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1.xml" ContentType="application/vnd.openxmlformats-officedocument.spreadsheetml.tab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drawings/drawing6.xml" ContentType="application/vnd.openxmlformats-officedocument.drawing+xml"/>
  <Override PartName="/xl/pivotTables/pivotTable5.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3" codeName="{00000000-0000-0000-0000-000000000000}"/>
  <workbookPr codeName="ThisWorkbook" defaultThemeVersion="202300"/>
  <mc:AlternateContent xmlns:mc="http://schemas.openxmlformats.org/markup-compatibility/2006">
    <mc:Choice Requires="x15">
      <x15ac:absPath xmlns:x15ac="http://schemas.microsoft.com/office/spreadsheetml/2010/11/ac" url="C:\Users\ALBAASHA\Desktop\"/>
    </mc:Choice>
  </mc:AlternateContent>
  <xr:revisionPtr revIDLastSave="0" documentId="8_{F9922C16-9463-F14A-8D6E-C6939D324ABA}" xr6:coauthVersionLast="47" xr6:coauthVersionMax="47" xr10:uidLastSave="{00000000-0000-0000-0000-000000000000}"/>
  <bookViews>
    <workbookView xWindow="-120" yWindow="-120" windowWidth="29040" windowHeight="15840" tabRatio="855" activeTab="10" xr2:uid="{1CBA8E3E-1978-4A8A-86A7-9FBAFEA580A5}"/>
  </bookViews>
  <sheets>
    <sheet name="Home" sheetId="7" r:id="rId1"/>
    <sheet name="judje" sheetId="2" r:id="rId2"/>
    <sheet name="data" sheetId="3" r:id="rId3"/>
    <sheet name="Daily Operation" sheetId="4" r:id="rId4"/>
    <sheet name="ورقة1" sheetId="12" r:id="rId5"/>
    <sheet name="ميزان المراجعة" sheetId="9" r:id="rId6"/>
    <sheet name="ورقة3" sheetId="16" r:id="rId7"/>
    <sheet name="Daily Journal" sheetId="5" r:id="rId8"/>
    <sheet name="التقرير العام" sheetId="11" r:id="rId9"/>
    <sheet name="report" sheetId="6" r:id="rId10"/>
    <sheet name="التقرير التحليلي" sheetId="14" r:id="rId11"/>
  </sheets>
  <definedNames>
    <definedName name="calender">"وظيفة إضافية 1"</definedName>
    <definedName name="itm">OFFSET(#REF!,,,COUNTIFS(#REF!,"?*"))</definedName>
    <definedName name="_xlnm.Print_Area" localSheetId="0">Home!$A$1:$U$40</definedName>
    <definedName name="_xlnm.Print_Area" localSheetId="9">report!$B$1:$N$172</definedName>
    <definedName name="_xlnm.Print_Area" localSheetId="10">'التقرير التحليلي'!$B$7:$H$304</definedName>
    <definedName name="_xlnm.Print_Area" localSheetId="8">'التقرير العام'!$B$7:$G$246</definedName>
    <definedName name="_xlnm.Print_Titles" localSheetId="9">report!$1:$6</definedName>
    <definedName name="مقسم_طريقة_العرض_الحساب">#N/A</definedName>
    <definedName name="مقسم_طريقة_العرض_الحساب1">#N/A</definedName>
    <definedName name="مقسم_طريقة_العرض_الشهــــر">#N/A</definedName>
  </definedNames>
  <calcPr calcId="191028" calcCompleted="0"/>
  <pivotCaches>
    <pivotCache cacheId="2"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37" i="5" l="1"/>
  <c r="E737" i="5"/>
  <c r="F737" i="5"/>
  <c r="I737" i="5"/>
  <c r="J737" i="5"/>
  <c r="K737" i="5" a="1"/>
  <c r="L737" i="5" a="1"/>
  <c r="M737" i="5"/>
  <c r="N737" i="5"/>
  <c r="O737" i="5"/>
  <c r="P737" i="5"/>
  <c r="Q737" i="5"/>
  <c r="R737" i="5"/>
  <c r="S737" i="5"/>
  <c r="T737" i="5"/>
  <c r="AB737" i="5"/>
  <c r="B736" i="5"/>
  <c r="E736" i="5"/>
  <c r="F736" i="5"/>
  <c r="I736" i="5"/>
  <c r="J736" i="5"/>
  <c r="K736" i="5" a="1"/>
  <c r="L736" i="5" a="1"/>
  <c r="M736" i="5"/>
  <c r="N736" i="5"/>
  <c r="O736" i="5"/>
  <c r="P736" i="5"/>
  <c r="Q736" i="5"/>
  <c r="R736" i="5"/>
  <c r="S736" i="5"/>
  <c r="T736" i="5"/>
  <c r="AB736" i="5"/>
  <c r="A3" i="4"/>
  <c r="E3" i="4"/>
  <c r="H3" i="4"/>
  <c r="M3" i="4"/>
  <c r="S3" i="4"/>
  <c r="W3" i="4"/>
  <c r="X3" i="4"/>
  <c r="Y3" i="4"/>
  <c r="Z3" i="4"/>
  <c r="AA3" i="4"/>
  <c r="B735" i="5"/>
  <c r="E735" i="5"/>
  <c r="F735" i="5"/>
  <c r="I735" i="5"/>
  <c r="J735" i="5"/>
  <c r="K735" i="5" a="1"/>
  <c r="L735" i="5" a="1"/>
  <c r="M735" i="5"/>
  <c r="N735" i="5"/>
  <c r="O735" i="5"/>
  <c r="P735" i="5"/>
  <c r="Q735" i="5"/>
  <c r="R735" i="5"/>
  <c r="S735" i="5"/>
  <c r="T735" i="5"/>
  <c r="AB735" i="5"/>
  <c r="B734" i="5"/>
  <c r="E734" i="5"/>
  <c r="F734" i="5"/>
  <c r="I734" i="5"/>
  <c r="J734" i="5"/>
  <c r="K734" i="5" a="1"/>
  <c r="L734" i="5" a="1"/>
  <c r="M734" i="5"/>
  <c r="N734" i="5"/>
  <c r="O734" i="5"/>
  <c r="P734" i="5"/>
  <c r="Q734" i="5"/>
  <c r="R734" i="5"/>
  <c r="S734" i="5"/>
  <c r="T734" i="5"/>
  <c r="AB734" i="5"/>
  <c r="A4" i="4"/>
  <c r="E4" i="4"/>
  <c r="H4" i="4"/>
  <c r="M4" i="4"/>
  <c r="S4" i="4"/>
  <c r="W4" i="4"/>
  <c r="X4" i="4"/>
  <c r="Y4" i="4"/>
  <c r="Z4" i="4"/>
  <c r="AA4" i="4"/>
  <c r="B733" i="5"/>
  <c r="E733" i="5"/>
  <c r="F733" i="5"/>
  <c r="I733" i="5"/>
  <c r="J733" i="5"/>
  <c r="K733" i="5" a="1"/>
  <c r="L733" i="5" a="1"/>
  <c r="M733" i="5"/>
  <c r="N733" i="5"/>
  <c r="O733" i="5"/>
  <c r="P733" i="5"/>
  <c r="Q733" i="5"/>
  <c r="R733" i="5"/>
  <c r="S733" i="5"/>
  <c r="T733" i="5"/>
  <c r="AB733" i="5"/>
  <c r="B732" i="5"/>
  <c r="E732" i="5"/>
  <c r="F732" i="5"/>
  <c r="I732" i="5"/>
  <c r="J732" i="5"/>
  <c r="K732" i="5" a="1"/>
  <c r="L732" i="5" a="1"/>
  <c r="M732" i="5"/>
  <c r="N732" i="5"/>
  <c r="O732" i="5"/>
  <c r="P732" i="5"/>
  <c r="Q732" i="5"/>
  <c r="R732" i="5"/>
  <c r="S732" i="5"/>
  <c r="T732" i="5"/>
  <c r="AB732" i="5"/>
  <c r="A5" i="4"/>
  <c r="E5" i="4"/>
  <c r="H5" i="4"/>
  <c r="M5" i="4"/>
  <c r="S5" i="4"/>
  <c r="W5" i="4"/>
  <c r="X5" i="4"/>
  <c r="Y5" i="4"/>
  <c r="Z5" i="4"/>
  <c r="AA5" i="4"/>
  <c r="D12" i="16"/>
  <c r="H3" i="6"/>
  <c r="B7" i="14"/>
  <c r="B731" i="5"/>
  <c r="E731" i="5"/>
  <c r="F731" i="5"/>
  <c r="I731" i="5"/>
  <c r="J731" i="5"/>
  <c r="K731" i="5" a="1"/>
  <c r="L731" i="5" a="1"/>
  <c r="O731" i="5"/>
  <c r="P731" i="5"/>
  <c r="Q731" i="5"/>
  <c r="R731" i="5"/>
  <c r="S731" i="5"/>
  <c r="AB731" i="5"/>
  <c r="B730" i="5"/>
  <c r="E730" i="5"/>
  <c r="F730" i="5"/>
  <c r="I730" i="5"/>
  <c r="J730" i="5"/>
  <c r="K730" i="5" a="1"/>
  <c r="L730" i="5" a="1"/>
  <c r="O730" i="5"/>
  <c r="P730" i="5"/>
  <c r="Q730" i="5"/>
  <c r="R730" i="5"/>
  <c r="S730" i="5"/>
  <c r="T730" i="5"/>
  <c r="AB730" i="5"/>
  <c r="A6" i="4"/>
  <c r="E6" i="4"/>
  <c r="H6" i="4"/>
  <c r="M6" i="4"/>
  <c r="S6" i="4"/>
  <c r="W6" i="4"/>
  <c r="X6" i="4"/>
  <c r="Y6" i="4"/>
  <c r="Z6" i="4"/>
  <c r="AA6" i="4"/>
  <c r="B729" i="5"/>
  <c r="E729" i="5"/>
  <c r="F729" i="5"/>
  <c r="I729" i="5"/>
  <c r="J729" i="5"/>
  <c r="K729" i="5" a="1"/>
  <c r="L729" i="5" a="1"/>
  <c r="O729" i="5"/>
  <c r="P729" i="5"/>
  <c r="Q729" i="5"/>
  <c r="R729" i="5"/>
  <c r="S729" i="5"/>
  <c r="AB729" i="5"/>
  <c r="B728" i="5"/>
  <c r="E728" i="5"/>
  <c r="F728" i="5"/>
  <c r="I728" i="5"/>
  <c r="J728" i="5"/>
  <c r="K728" i="5" a="1"/>
  <c r="L728" i="5" a="1"/>
  <c r="O728" i="5"/>
  <c r="P728" i="5"/>
  <c r="Q728" i="5"/>
  <c r="R728" i="5"/>
  <c r="S728" i="5"/>
  <c r="AB728" i="5"/>
  <c r="A7" i="4"/>
  <c r="E7" i="4"/>
  <c r="H7" i="4"/>
  <c r="M7" i="4"/>
  <c r="S7" i="4"/>
  <c r="W7" i="4"/>
  <c r="X7" i="4"/>
  <c r="Y7" i="4"/>
  <c r="Z7" i="4"/>
  <c r="AA7" i="4"/>
  <c r="B727" i="5"/>
  <c r="E727" i="5"/>
  <c r="F727" i="5"/>
  <c r="I727" i="5"/>
  <c r="J727" i="5"/>
  <c r="K727" i="5" a="1"/>
  <c r="L727" i="5" a="1"/>
  <c r="O727" i="5"/>
  <c r="P727" i="5"/>
  <c r="Q727" i="5"/>
  <c r="R727" i="5"/>
  <c r="S727" i="5"/>
  <c r="AB727" i="5"/>
  <c r="B726" i="5"/>
  <c r="E726" i="5"/>
  <c r="F726" i="5"/>
  <c r="I726" i="5"/>
  <c r="J726" i="5"/>
  <c r="K726" i="5" a="1"/>
  <c r="L726" i="5" a="1"/>
  <c r="O726" i="5"/>
  <c r="P726" i="5"/>
  <c r="Q726" i="5"/>
  <c r="R726" i="5"/>
  <c r="S726" i="5"/>
  <c r="T726" i="5"/>
  <c r="AB726" i="5"/>
  <c r="A8" i="4"/>
  <c r="E8" i="4"/>
  <c r="H8" i="4"/>
  <c r="M8" i="4"/>
  <c r="S8" i="4"/>
  <c r="W8" i="4"/>
  <c r="X8" i="4"/>
  <c r="Y8" i="4"/>
  <c r="Z8" i="4"/>
  <c r="AA8" i="4"/>
  <c r="B725" i="5"/>
  <c r="E725" i="5"/>
  <c r="F725" i="5"/>
  <c r="I725" i="5"/>
  <c r="J725" i="5"/>
  <c r="K725" i="5" a="1"/>
  <c r="L725" i="5" a="1"/>
  <c r="O725" i="5"/>
  <c r="P725" i="5"/>
  <c r="Q725" i="5"/>
  <c r="R725" i="5"/>
  <c r="S725" i="5"/>
  <c r="AB725" i="5"/>
  <c r="B724" i="5"/>
  <c r="E724" i="5"/>
  <c r="F724" i="5"/>
  <c r="I724" i="5"/>
  <c r="J724" i="5"/>
  <c r="K724" i="5" a="1"/>
  <c r="L724" i="5" a="1"/>
  <c r="O724" i="5"/>
  <c r="P724" i="5"/>
  <c r="Q724" i="5"/>
  <c r="R724" i="5"/>
  <c r="S724" i="5"/>
  <c r="AB724" i="5"/>
  <c r="A9" i="4"/>
  <c r="E9" i="4"/>
  <c r="H9" i="4"/>
  <c r="M9" i="4"/>
  <c r="S9" i="4"/>
  <c r="W9" i="4"/>
  <c r="X9" i="4"/>
  <c r="Y9" i="4"/>
  <c r="Z9" i="4"/>
  <c r="AA9" i="4"/>
  <c r="B723" i="5"/>
  <c r="E723" i="5"/>
  <c r="F723" i="5"/>
  <c r="I723" i="5"/>
  <c r="J723" i="5"/>
  <c r="K723" i="5" a="1"/>
  <c r="L723" i="5" a="1"/>
  <c r="O723" i="5"/>
  <c r="P723" i="5"/>
  <c r="Q723" i="5"/>
  <c r="R723" i="5"/>
  <c r="S723" i="5"/>
  <c r="AB723" i="5"/>
  <c r="B722" i="5"/>
  <c r="E722" i="5"/>
  <c r="F722" i="5"/>
  <c r="I722" i="5"/>
  <c r="J722" i="5"/>
  <c r="K722" i="5" a="1"/>
  <c r="L722" i="5" a="1"/>
  <c r="O722" i="5"/>
  <c r="P722" i="5"/>
  <c r="Q722" i="5"/>
  <c r="R722" i="5"/>
  <c r="S722" i="5"/>
  <c r="AB722" i="5"/>
  <c r="A10" i="4"/>
  <c r="E10" i="4"/>
  <c r="H10" i="4"/>
  <c r="M10" i="4"/>
  <c r="S10" i="4"/>
  <c r="W10" i="4"/>
  <c r="X10" i="4"/>
  <c r="Y10" i="4"/>
  <c r="Z10" i="4"/>
  <c r="AA10" i="4"/>
  <c r="B721" i="5"/>
  <c r="E721" i="5"/>
  <c r="F721" i="5"/>
  <c r="I721" i="5"/>
  <c r="J721" i="5"/>
  <c r="K721" i="5" a="1"/>
  <c r="L721" i="5" a="1"/>
  <c r="O721" i="5"/>
  <c r="P721" i="5"/>
  <c r="Q721" i="5"/>
  <c r="R721" i="5"/>
  <c r="S721" i="5"/>
  <c r="T721" i="5"/>
  <c r="AB721" i="5"/>
  <c r="B720" i="5"/>
  <c r="E720" i="5"/>
  <c r="F720" i="5"/>
  <c r="I720" i="5"/>
  <c r="J720" i="5"/>
  <c r="K720" i="5" a="1"/>
  <c r="L720" i="5" a="1"/>
  <c r="O720" i="5"/>
  <c r="P720" i="5"/>
  <c r="Q720" i="5"/>
  <c r="R720" i="5"/>
  <c r="S720" i="5"/>
  <c r="AB720" i="5"/>
  <c r="A11" i="4"/>
  <c r="E11" i="4"/>
  <c r="H11" i="4"/>
  <c r="M11" i="4"/>
  <c r="S11" i="4"/>
  <c r="W11" i="4"/>
  <c r="X11" i="4"/>
  <c r="Y11" i="4"/>
  <c r="Z11" i="4"/>
  <c r="AA11" i="4"/>
  <c r="B719" i="5"/>
  <c r="E719" i="5"/>
  <c r="F719" i="5"/>
  <c r="I719" i="5"/>
  <c r="J719" i="5"/>
  <c r="K719" i="5" a="1"/>
  <c r="L719" i="5" a="1"/>
  <c r="O719" i="5"/>
  <c r="P719" i="5"/>
  <c r="Q719" i="5"/>
  <c r="R719" i="5"/>
  <c r="S719" i="5"/>
  <c r="AB719" i="5"/>
  <c r="B718" i="5"/>
  <c r="E718" i="5"/>
  <c r="F718" i="5"/>
  <c r="I718" i="5"/>
  <c r="J718" i="5"/>
  <c r="K718" i="5" a="1"/>
  <c r="L718" i="5" a="1"/>
  <c r="O718" i="5"/>
  <c r="P718" i="5"/>
  <c r="Q718" i="5"/>
  <c r="R718" i="5"/>
  <c r="S718" i="5"/>
  <c r="AB718" i="5"/>
  <c r="A12" i="4"/>
  <c r="E12" i="4"/>
  <c r="H12" i="4"/>
  <c r="M12" i="4"/>
  <c r="S12" i="4"/>
  <c r="W12" i="4"/>
  <c r="X12" i="4"/>
  <c r="Y12" i="4"/>
  <c r="Z12" i="4"/>
  <c r="AA12" i="4"/>
  <c r="B717" i="5"/>
  <c r="E717" i="5"/>
  <c r="F717" i="5"/>
  <c r="I717" i="5"/>
  <c r="J717" i="5"/>
  <c r="K717" i="5" a="1"/>
  <c r="L717" i="5" a="1"/>
  <c r="O717" i="5"/>
  <c r="P717" i="5"/>
  <c r="Q717" i="5"/>
  <c r="R717" i="5"/>
  <c r="S717" i="5"/>
  <c r="AB717" i="5"/>
  <c r="B716" i="5"/>
  <c r="E716" i="5"/>
  <c r="F716" i="5"/>
  <c r="I716" i="5"/>
  <c r="J716" i="5"/>
  <c r="K716" i="5" a="1"/>
  <c r="L716" i="5" a="1"/>
  <c r="O716" i="5"/>
  <c r="P716" i="5"/>
  <c r="Q716" i="5"/>
  <c r="R716" i="5"/>
  <c r="S716" i="5"/>
  <c r="AB716" i="5"/>
  <c r="A13" i="4"/>
  <c r="E13" i="4"/>
  <c r="H13" i="4"/>
  <c r="M13" i="4"/>
  <c r="S13" i="4"/>
  <c r="W13" i="4"/>
  <c r="X13" i="4"/>
  <c r="Y13" i="4"/>
  <c r="Z13" i="4"/>
  <c r="AA13" i="4"/>
  <c r="B715" i="5"/>
  <c r="E715" i="5"/>
  <c r="F715" i="5"/>
  <c r="I715" i="5"/>
  <c r="J715" i="5"/>
  <c r="K715" i="5" a="1"/>
  <c r="L715" i="5" a="1"/>
  <c r="O715" i="5"/>
  <c r="P715" i="5"/>
  <c r="Q715" i="5"/>
  <c r="R715" i="5"/>
  <c r="S715" i="5"/>
  <c r="AB715" i="5"/>
  <c r="B714" i="5"/>
  <c r="E714" i="5"/>
  <c r="F714" i="5"/>
  <c r="I714" i="5"/>
  <c r="J714" i="5"/>
  <c r="K714" i="5" a="1"/>
  <c r="L714" i="5" a="1"/>
  <c r="O714" i="5"/>
  <c r="P714" i="5"/>
  <c r="Q714" i="5"/>
  <c r="R714" i="5"/>
  <c r="S714" i="5"/>
  <c r="AB714" i="5"/>
  <c r="A14" i="4"/>
  <c r="E14" i="4"/>
  <c r="H14" i="4"/>
  <c r="M14" i="4"/>
  <c r="S14" i="4"/>
  <c r="W14" i="4"/>
  <c r="X14" i="4"/>
  <c r="Y14" i="4"/>
  <c r="Z14" i="4"/>
  <c r="AA14" i="4"/>
  <c r="B713" i="5"/>
  <c r="E713" i="5"/>
  <c r="F713" i="5"/>
  <c r="I713" i="5"/>
  <c r="J713" i="5"/>
  <c r="K713" i="5" a="1"/>
  <c r="L713" i="5" a="1"/>
  <c r="O713" i="5"/>
  <c r="P713" i="5"/>
  <c r="Q713" i="5"/>
  <c r="R713" i="5"/>
  <c r="S713" i="5"/>
  <c r="AB713" i="5"/>
  <c r="B712" i="5"/>
  <c r="E712" i="5"/>
  <c r="F712" i="5"/>
  <c r="I712" i="5"/>
  <c r="J712" i="5"/>
  <c r="K712" i="5" a="1"/>
  <c r="L712" i="5" a="1"/>
  <c r="O712" i="5"/>
  <c r="P712" i="5"/>
  <c r="Q712" i="5"/>
  <c r="R712" i="5"/>
  <c r="S712" i="5"/>
  <c r="AB712" i="5"/>
  <c r="A15" i="4"/>
  <c r="E15" i="4"/>
  <c r="H15" i="4"/>
  <c r="M15" i="4"/>
  <c r="S15" i="4"/>
  <c r="W15" i="4"/>
  <c r="X15" i="4"/>
  <c r="Y15" i="4"/>
  <c r="Z15" i="4"/>
  <c r="AA15" i="4"/>
  <c r="B711" i="5"/>
  <c r="E711" i="5"/>
  <c r="F711" i="5"/>
  <c r="I711" i="5"/>
  <c r="J711" i="5"/>
  <c r="K711" i="5" a="1"/>
  <c r="L711" i="5" a="1"/>
  <c r="O711" i="5"/>
  <c r="P711" i="5"/>
  <c r="Q711" i="5"/>
  <c r="R711" i="5"/>
  <c r="S711" i="5"/>
  <c r="AB711" i="5"/>
  <c r="B710" i="5"/>
  <c r="E710" i="5"/>
  <c r="F710" i="5"/>
  <c r="I710" i="5"/>
  <c r="J710" i="5"/>
  <c r="K710" i="5" a="1"/>
  <c r="L710" i="5" a="1"/>
  <c r="O710" i="5"/>
  <c r="P710" i="5"/>
  <c r="Q710" i="5"/>
  <c r="R710" i="5"/>
  <c r="S710" i="5"/>
  <c r="AB710" i="5"/>
  <c r="A16" i="4"/>
  <c r="E16" i="4"/>
  <c r="H16" i="4"/>
  <c r="M16" i="4"/>
  <c r="S16" i="4"/>
  <c r="W16" i="4"/>
  <c r="X16" i="4"/>
  <c r="Y16" i="4"/>
  <c r="Z16" i="4"/>
  <c r="AA16" i="4"/>
  <c r="B709" i="5"/>
  <c r="E709" i="5"/>
  <c r="F709" i="5"/>
  <c r="I709" i="5"/>
  <c r="J709" i="5"/>
  <c r="K709" i="5" a="1"/>
  <c r="L709" i="5" a="1"/>
  <c r="O709" i="5"/>
  <c r="P709" i="5"/>
  <c r="Q709" i="5"/>
  <c r="R709" i="5"/>
  <c r="S709" i="5"/>
  <c r="AB709" i="5"/>
  <c r="B708" i="5"/>
  <c r="E708" i="5"/>
  <c r="F708" i="5"/>
  <c r="I708" i="5"/>
  <c r="J708" i="5"/>
  <c r="K708" i="5" a="1"/>
  <c r="L708" i="5" a="1"/>
  <c r="O708" i="5"/>
  <c r="P708" i="5"/>
  <c r="Q708" i="5"/>
  <c r="R708" i="5"/>
  <c r="S708" i="5"/>
  <c r="AB708" i="5"/>
  <c r="A17" i="4"/>
  <c r="E17" i="4"/>
  <c r="H17" i="4"/>
  <c r="M17" i="4"/>
  <c r="S17" i="4"/>
  <c r="W17" i="4"/>
  <c r="X17" i="4"/>
  <c r="Y17" i="4"/>
  <c r="Z17" i="4"/>
  <c r="AA17" i="4"/>
  <c r="B707" i="5"/>
  <c r="E707" i="5"/>
  <c r="F707" i="5"/>
  <c r="I707" i="5"/>
  <c r="J707" i="5"/>
  <c r="K707" i="5" a="1"/>
  <c r="L707" i="5" a="1"/>
  <c r="O707" i="5"/>
  <c r="P707" i="5"/>
  <c r="Q707" i="5"/>
  <c r="R707" i="5"/>
  <c r="S707" i="5"/>
  <c r="AB707" i="5"/>
  <c r="B706" i="5"/>
  <c r="E706" i="5"/>
  <c r="F706" i="5"/>
  <c r="I706" i="5"/>
  <c r="J706" i="5"/>
  <c r="K706" i="5" a="1"/>
  <c r="L706" i="5" a="1"/>
  <c r="O706" i="5"/>
  <c r="P706" i="5"/>
  <c r="Q706" i="5"/>
  <c r="R706" i="5"/>
  <c r="S706" i="5"/>
  <c r="AB706" i="5"/>
  <c r="A18" i="4"/>
  <c r="E18" i="4"/>
  <c r="H18" i="4"/>
  <c r="M18" i="4"/>
  <c r="S18" i="4"/>
  <c r="W18" i="4"/>
  <c r="X18" i="4"/>
  <c r="Y18" i="4"/>
  <c r="Z18" i="4"/>
  <c r="AA18" i="4"/>
  <c r="B705" i="5"/>
  <c r="E705" i="5"/>
  <c r="F705" i="5"/>
  <c r="I705" i="5"/>
  <c r="J705" i="5"/>
  <c r="K705" i="5" a="1"/>
  <c r="L705" i="5" a="1"/>
  <c r="O705" i="5"/>
  <c r="P705" i="5"/>
  <c r="Q705" i="5"/>
  <c r="R705" i="5"/>
  <c r="S705" i="5"/>
  <c r="AB705" i="5"/>
  <c r="B704" i="5"/>
  <c r="E704" i="5"/>
  <c r="F704" i="5"/>
  <c r="I704" i="5"/>
  <c r="J704" i="5"/>
  <c r="K704" i="5" a="1"/>
  <c r="L704" i="5" a="1"/>
  <c r="O704" i="5"/>
  <c r="P704" i="5"/>
  <c r="Q704" i="5"/>
  <c r="R704" i="5"/>
  <c r="S704" i="5"/>
  <c r="AB704" i="5"/>
  <c r="A19" i="4"/>
  <c r="E19" i="4"/>
  <c r="H19" i="4"/>
  <c r="M19" i="4"/>
  <c r="S19" i="4"/>
  <c r="W19" i="4"/>
  <c r="X19" i="4"/>
  <c r="Y19" i="4"/>
  <c r="Z19" i="4"/>
  <c r="AA19" i="4"/>
  <c r="B703" i="5"/>
  <c r="E703" i="5"/>
  <c r="F703" i="5"/>
  <c r="I703" i="5"/>
  <c r="J703" i="5"/>
  <c r="K703" i="5" a="1"/>
  <c r="L703" i="5" a="1"/>
  <c r="O703" i="5"/>
  <c r="P703" i="5"/>
  <c r="Q703" i="5"/>
  <c r="R703" i="5"/>
  <c r="S703" i="5"/>
  <c r="AB703" i="5"/>
  <c r="B702" i="5"/>
  <c r="E702" i="5"/>
  <c r="F702" i="5"/>
  <c r="I702" i="5"/>
  <c r="J702" i="5"/>
  <c r="K702" i="5" a="1"/>
  <c r="L702" i="5" a="1"/>
  <c r="O702" i="5"/>
  <c r="P702" i="5"/>
  <c r="Q702" i="5"/>
  <c r="R702" i="5"/>
  <c r="S702" i="5"/>
  <c r="AB702" i="5"/>
  <c r="A20" i="4"/>
  <c r="E20" i="4"/>
  <c r="H20" i="4"/>
  <c r="M20" i="4"/>
  <c r="S20" i="4"/>
  <c r="W20" i="4"/>
  <c r="X20" i="4"/>
  <c r="Y20" i="4"/>
  <c r="Z20" i="4"/>
  <c r="AA20" i="4"/>
  <c r="B701" i="5"/>
  <c r="E701" i="5"/>
  <c r="F701" i="5"/>
  <c r="I701" i="5"/>
  <c r="J701" i="5"/>
  <c r="K701" i="5" a="1"/>
  <c r="L701" i="5" a="1"/>
  <c r="O701" i="5"/>
  <c r="P701" i="5"/>
  <c r="Q701" i="5"/>
  <c r="R701" i="5"/>
  <c r="S701" i="5"/>
  <c r="AB701" i="5"/>
  <c r="B700" i="5"/>
  <c r="E700" i="5"/>
  <c r="F700" i="5"/>
  <c r="I700" i="5"/>
  <c r="J700" i="5"/>
  <c r="K700" i="5" a="1"/>
  <c r="L700" i="5" a="1"/>
  <c r="O700" i="5"/>
  <c r="P700" i="5"/>
  <c r="Q700" i="5"/>
  <c r="R700" i="5"/>
  <c r="S700" i="5"/>
  <c r="AB700" i="5"/>
  <c r="A21" i="4"/>
  <c r="E21" i="4"/>
  <c r="H21" i="4"/>
  <c r="M21" i="4"/>
  <c r="S21" i="4"/>
  <c r="W21" i="4"/>
  <c r="X21" i="4"/>
  <c r="Y21" i="4"/>
  <c r="Z21" i="4"/>
  <c r="AA21" i="4"/>
  <c r="B699" i="5"/>
  <c r="E699" i="5"/>
  <c r="F699" i="5"/>
  <c r="I699" i="5"/>
  <c r="J699" i="5"/>
  <c r="K699" i="5" a="1"/>
  <c r="L699" i="5" a="1"/>
  <c r="O699" i="5"/>
  <c r="P699" i="5"/>
  <c r="Q699" i="5"/>
  <c r="R699" i="5"/>
  <c r="S699" i="5"/>
  <c r="AB699" i="5"/>
  <c r="B698" i="5"/>
  <c r="E698" i="5"/>
  <c r="F698" i="5"/>
  <c r="I698" i="5"/>
  <c r="J698" i="5"/>
  <c r="K698" i="5" a="1"/>
  <c r="L698" i="5" a="1"/>
  <c r="O698" i="5"/>
  <c r="P698" i="5"/>
  <c r="Q698" i="5"/>
  <c r="R698" i="5"/>
  <c r="S698" i="5"/>
  <c r="AB698" i="5"/>
  <c r="A22" i="4"/>
  <c r="E22" i="4"/>
  <c r="H22" i="4"/>
  <c r="M22" i="4"/>
  <c r="S22" i="4"/>
  <c r="W22" i="4"/>
  <c r="X22" i="4"/>
  <c r="Y22" i="4"/>
  <c r="Z22" i="4"/>
  <c r="AA22" i="4"/>
  <c r="B697" i="5"/>
  <c r="E697" i="5"/>
  <c r="F697" i="5"/>
  <c r="I697" i="5"/>
  <c r="J697" i="5"/>
  <c r="K697" i="5" a="1"/>
  <c r="L697" i="5" a="1"/>
  <c r="O697" i="5"/>
  <c r="P697" i="5"/>
  <c r="Q697" i="5"/>
  <c r="R697" i="5"/>
  <c r="S697" i="5"/>
  <c r="AB697" i="5"/>
  <c r="B696" i="5"/>
  <c r="E696" i="5"/>
  <c r="F696" i="5"/>
  <c r="I696" i="5"/>
  <c r="J696" i="5"/>
  <c r="K696" i="5" a="1"/>
  <c r="L696" i="5" a="1"/>
  <c r="O696" i="5"/>
  <c r="P696" i="5"/>
  <c r="Q696" i="5"/>
  <c r="R696" i="5"/>
  <c r="S696" i="5"/>
  <c r="AB696" i="5"/>
  <c r="A23" i="4"/>
  <c r="E23" i="4"/>
  <c r="H23" i="4"/>
  <c r="M23" i="4"/>
  <c r="S23" i="4"/>
  <c r="W23" i="4"/>
  <c r="X23" i="4"/>
  <c r="Y23" i="4"/>
  <c r="Z23" i="4"/>
  <c r="AA23" i="4"/>
  <c r="B695" i="5"/>
  <c r="E695" i="5"/>
  <c r="F695" i="5"/>
  <c r="I695" i="5"/>
  <c r="J695" i="5"/>
  <c r="K695" i="5" a="1"/>
  <c r="L695" i="5" a="1"/>
  <c r="O695" i="5"/>
  <c r="P695" i="5"/>
  <c r="Q695" i="5"/>
  <c r="R695" i="5"/>
  <c r="S695" i="5"/>
  <c r="AB695" i="5"/>
  <c r="B694" i="5"/>
  <c r="E694" i="5"/>
  <c r="F694" i="5"/>
  <c r="I694" i="5"/>
  <c r="J694" i="5"/>
  <c r="K694" i="5" a="1"/>
  <c r="L694" i="5" a="1"/>
  <c r="O694" i="5"/>
  <c r="P694" i="5"/>
  <c r="Q694" i="5"/>
  <c r="R694" i="5"/>
  <c r="S694" i="5"/>
  <c r="AB694" i="5"/>
  <c r="A24" i="4"/>
  <c r="E24" i="4"/>
  <c r="H24" i="4"/>
  <c r="M24" i="4"/>
  <c r="S24" i="4"/>
  <c r="W24" i="4"/>
  <c r="X24" i="4"/>
  <c r="Y24" i="4"/>
  <c r="Z24" i="4"/>
  <c r="AA24" i="4"/>
  <c r="B693" i="5"/>
  <c r="E693" i="5"/>
  <c r="F693" i="5"/>
  <c r="I693" i="5"/>
  <c r="J693" i="5"/>
  <c r="K693" i="5" a="1"/>
  <c r="L693" i="5" a="1"/>
  <c r="O693" i="5"/>
  <c r="P693" i="5"/>
  <c r="Q693" i="5"/>
  <c r="R693" i="5"/>
  <c r="S693" i="5"/>
  <c r="AB693" i="5"/>
  <c r="B692" i="5"/>
  <c r="E692" i="5"/>
  <c r="F692" i="5"/>
  <c r="I692" i="5"/>
  <c r="J692" i="5"/>
  <c r="K692" i="5" a="1"/>
  <c r="L692" i="5" a="1"/>
  <c r="O692" i="5"/>
  <c r="P692" i="5"/>
  <c r="Q692" i="5"/>
  <c r="R692" i="5"/>
  <c r="S692" i="5"/>
  <c r="AB692" i="5"/>
  <c r="A25" i="4"/>
  <c r="E25" i="4"/>
  <c r="H25" i="4"/>
  <c r="M25" i="4"/>
  <c r="S25" i="4"/>
  <c r="W25" i="4"/>
  <c r="X25" i="4"/>
  <c r="Y25" i="4"/>
  <c r="Z25" i="4"/>
  <c r="AA25" i="4"/>
  <c r="B691" i="5"/>
  <c r="E691" i="5"/>
  <c r="F691" i="5"/>
  <c r="I691" i="5"/>
  <c r="J691" i="5"/>
  <c r="K691" i="5" a="1"/>
  <c r="L691" i="5" a="1"/>
  <c r="O691" i="5"/>
  <c r="P691" i="5"/>
  <c r="Q691" i="5"/>
  <c r="R691" i="5"/>
  <c r="S691" i="5"/>
  <c r="AB691" i="5"/>
  <c r="B690" i="5"/>
  <c r="E690" i="5"/>
  <c r="F690" i="5"/>
  <c r="I690" i="5"/>
  <c r="J690" i="5"/>
  <c r="K690" i="5" a="1"/>
  <c r="L690" i="5" a="1"/>
  <c r="O690" i="5"/>
  <c r="P690" i="5"/>
  <c r="Q690" i="5"/>
  <c r="R690" i="5"/>
  <c r="S690" i="5"/>
  <c r="AB690" i="5"/>
  <c r="A26" i="4"/>
  <c r="E26" i="4"/>
  <c r="H26" i="4"/>
  <c r="M26" i="4"/>
  <c r="S26" i="4"/>
  <c r="W26" i="4"/>
  <c r="X26" i="4"/>
  <c r="Y26" i="4"/>
  <c r="Z26" i="4"/>
  <c r="AA26" i="4"/>
  <c r="B689" i="5"/>
  <c r="E689" i="5"/>
  <c r="F689" i="5"/>
  <c r="I689" i="5"/>
  <c r="J689" i="5"/>
  <c r="K689" i="5" a="1"/>
  <c r="L689" i="5" a="1"/>
  <c r="O689" i="5"/>
  <c r="P689" i="5"/>
  <c r="Q689" i="5"/>
  <c r="R689" i="5"/>
  <c r="S689" i="5"/>
  <c r="AB689" i="5"/>
  <c r="B688" i="5"/>
  <c r="E688" i="5"/>
  <c r="F688" i="5"/>
  <c r="I688" i="5"/>
  <c r="J688" i="5"/>
  <c r="K688" i="5" a="1"/>
  <c r="L688" i="5" a="1"/>
  <c r="O688" i="5"/>
  <c r="P688" i="5"/>
  <c r="Q688" i="5"/>
  <c r="R688" i="5"/>
  <c r="S688" i="5"/>
  <c r="AB688" i="5"/>
  <c r="A27" i="4"/>
  <c r="E27" i="4"/>
  <c r="H27" i="4"/>
  <c r="M27" i="4"/>
  <c r="S27" i="4"/>
  <c r="W27" i="4"/>
  <c r="X27" i="4"/>
  <c r="Y27" i="4"/>
  <c r="Z27" i="4"/>
  <c r="AA27" i="4"/>
  <c r="B687" i="5"/>
  <c r="E687" i="5"/>
  <c r="F687" i="5"/>
  <c r="I687" i="5"/>
  <c r="J687" i="5"/>
  <c r="K687" i="5" a="1"/>
  <c r="L687" i="5" a="1"/>
  <c r="O687" i="5"/>
  <c r="P687" i="5"/>
  <c r="Q687" i="5"/>
  <c r="R687" i="5"/>
  <c r="S687" i="5"/>
  <c r="AB687" i="5"/>
  <c r="B686" i="5"/>
  <c r="E686" i="5"/>
  <c r="F686" i="5"/>
  <c r="I686" i="5"/>
  <c r="J686" i="5"/>
  <c r="K686" i="5" a="1"/>
  <c r="L686" i="5" a="1"/>
  <c r="O686" i="5"/>
  <c r="P686" i="5"/>
  <c r="Q686" i="5"/>
  <c r="R686" i="5"/>
  <c r="S686" i="5"/>
  <c r="AB686" i="5"/>
  <c r="A28" i="4"/>
  <c r="E28" i="4"/>
  <c r="H28" i="4"/>
  <c r="M28" i="4"/>
  <c r="S28" i="4"/>
  <c r="W28" i="4"/>
  <c r="X28" i="4"/>
  <c r="Y28" i="4"/>
  <c r="Z28" i="4"/>
  <c r="AA28" i="4"/>
  <c r="B685" i="5"/>
  <c r="E685" i="5"/>
  <c r="F685" i="5"/>
  <c r="I685" i="5"/>
  <c r="J685" i="5"/>
  <c r="K685" i="5" a="1"/>
  <c r="L685" i="5" a="1"/>
  <c r="O685" i="5"/>
  <c r="P685" i="5"/>
  <c r="Q685" i="5"/>
  <c r="R685" i="5"/>
  <c r="S685" i="5"/>
  <c r="AB685" i="5"/>
  <c r="B684" i="5"/>
  <c r="E684" i="5"/>
  <c r="F684" i="5"/>
  <c r="I684" i="5"/>
  <c r="J684" i="5"/>
  <c r="K684" i="5" a="1"/>
  <c r="L684" i="5" a="1"/>
  <c r="O684" i="5"/>
  <c r="P684" i="5"/>
  <c r="Q684" i="5"/>
  <c r="R684" i="5"/>
  <c r="S684" i="5"/>
  <c r="AB684" i="5"/>
  <c r="A29" i="4"/>
  <c r="E29" i="4"/>
  <c r="H29" i="4"/>
  <c r="M29" i="4"/>
  <c r="S29" i="4"/>
  <c r="W29" i="4"/>
  <c r="X29" i="4"/>
  <c r="Y29" i="4"/>
  <c r="Z29" i="4"/>
  <c r="AA29" i="4"/>
  <c r="B683" i="5"/>
  <c r="E683" i="5"/>
  <c r="F683" i="5"/>
  <c r="I683" i="5"/>
  <c r="J683" i="5"/>
  <c r="K683" i="5" a="1"/>
  <c r="L683" i="5" a="1"/>
  <c r="O683" i="5"/>
  <c r="P683" i="5"/>
  <c r="Q683" i="5"/>
  <c r="R683" i="5"/>
  <c r="S683" i="5"/>
  <c r="AB683" i="5"/>
  <c r="B682" i="5"/>
  <c r="E682" i="5"/>
  <c r="F682" i="5"/>
  <c r="I682" i="5"/>
  <c r="J682" i="5"/>
  <c r="K682" i="5" a="1"/>
  <c r="L682" i="5" a="1"/>
  <c r="O682" i="5"/>
  <c r="P682" i="5"/>
  <c r="Q682" i="5"/>
  <c r="R682" i="5"/>
  <c r="S682" i="5"/>
  <c r="AB682" i="5"/>
  <c r="A30" i="4"/>
  <c r="E30" i="4"/>
  <c r="H30" i="4"/>
  <c r="M30" i="4"/>
  <c r="S30" i="4"/>
  <c r="W30" i="4"/>
  <c r="X30" i="4"/>
  <c r="Y30" i="4"/>
  <c r="Z30" i="4"/>
  <c r="AA30" i="4"/>
  <c r="B681" i="5"/>
  <c r="E681" i="5"/>
  <c r="F681" i="5"/>
  <c r="I681" i="5"/>
  <c r="J681" i="5"/>
  <c r="K681" i="5" a="1"/>
  <c r="L681" i="5" a="1"/>
  <c r="O681" i="5"/>
  <c r="P681" i="5"/>
  <c r="Q681" i="5"/>
  <c r="R681" i="5"/>
  <c r="S681" i="5"/>
  <c r="AB681" i="5"/>
  <c r="B680" i="5"/>
  <c r="E680" i="5"/>
  <c r="F680" i="5"/>
  <c r="I680" i="5"/>
  <c r="J680" i="5"/>
  <c r="K680" i="5" a="1"/>
  <c r="L680" i="5" a="1"/>
  <c r="O680" i="5"/>
  <c r="P680" i="5"/>
  <c r="Q680" i="5"/>
  <c r="R680" i="5"/>
  <c r="S680" i="5"/>
  <c r="AB680" i="5"/>
  <c r="A31" i="4"/>
  <c r="E31" i="4"/>
  <c r="H31" i="4"/>
  <c r="M31" i="4"/>
  <c r="S31" i="4"/>
  <c r="W31" i="4"/>
  <c r="X31" i="4"/>
  <c r="Y31" i="4"/>
  <c r="Z31" i="4"/>
  <c r="AA31" i="4"/>
  <c r="B679" i="5"/>
  <c r="E679" i="5"/>
  <c r="F679" i="5"/>
  <c r="I679" i="5"/>
  <c r="J679" i="5"/>
  <c r="K679" i="5" a="1"/>
  <c r="L679" i="5" a="1"/>
  <c r="O679" i="5"/>
  <c r="P679" i="5"/>
  <c r="Q679" i="5"/>
  <c r="R679" i="5"/>
  <c r="S679" i="5"/>
  <c r="AB679" i="5"/>
  <c r="B678" i="5"/>
  <c r="E678" i="5"/>
  <c r="F678" i="5"/>
  <c r="I678" i="5"/>
  <c r="J678" i="5"/>
  <c r="K678" i="5" a="1"/>
  <c r="L678" i="5" a="1"/>
  <c r="O678" i="5"/>
  <c r="P678" i="5"/>
  <c r="Q678" i="5"/>
  <c r="R678" i="5"/>
  <c r="S678" i="5"/>
  <c r="AB678" i="5"/>
  <c r="A32" i="4"/>
  <c r="E32" i="4"/>
  <c r="H32" i="4"/>
  <c r="M32" i="4"/>
  <c r="S32" i="4"/>
  <c r="W32" i="4"/>
  <c r="X32" i="4"/>
  <c r="Y32" i="4"/>
  <c r="Z32" i="4"/>
  <c r="AA32" i="4"/>
  <c r="K550" i="5" a="1"/>
  <c r="L550" i="5" a="1"/>
  <c r="B677" i="5"/>
  <c r="E677" i="5"/>
  <c r="F677" i="5"/>
  <c r="I677" i="5"/>
  <c r="J677" i="5"/>
  <c r="K677" i="5" a="1"/>
  <c r="L677" i="5" a="1"/>
  <c r="O677" i="5"/>
  <c r="P677" i="5"/>
  <c r="Q677" i="5"/>
  <c r="R677" i="5"/>
  <c r="S677" i="5"/>
  <c r="AB677" i="5"/>
  <c r="B676" i="5"/>
  <c r="E676" i="5"/>
  <c r="F676" i="5"/>
  <c r="I676" i="5"/>
  <c r="J676" i="5"/>
  <c r="K676" i="5" a="1"/>
  <c r="L676" i="5" a="1"/>
  <c r="O676" i="5"/>
  <c r="P676" i="5"/>
  <c r="Q676" i="5"/>
  <c r="R676" i="5"/>
  <c r="S676" i="5"/>
  <c r="AB676" i="5"/>
  <c r="A33" i="4"/>
  <c r="E33" i="4"/>
  <c r="H33" i="4"/>
  <c r="M33" i="4"/>
  <c r="S33" i="4"/>
  <c r="W33" i="4"/>
  <c r="X33" i="4"/>
  <c r="Y33" i="4"/>
  <c r="Z33" i="4"/>
  <c r="AA33" i="4"/>
  <c r="B675" i="5"/>
  <c r="E675" i="5"/>
  <c r="F675" i="5"/>
  <c r="I675" i="5"/>
  <c r="J675" i="5"/>
  <c r="K675" i="5" a="1"/>
  <c r="L675" i="5" a="1"/>
  <c r="O675" i="5"/>
  <c r="P675" i="5"/>
  <c r="Q675" i="5"/>
  <c r="R675" i="5"/>
  <c r="S675" i="5"/>
  <c r="AB675" i="5"/>
  <c r="B674" i="5"/>
  <c r="E674" i="5"/>
  <c r="F674" i="5"/>
  <c r="I674" i="5"/>
  <c r="J674" i="5"/>
  <c r="K674" i="5" a="1"/>
  <c r="L674" i="5" a="1"/>
  <c r="O674" i="5"/>
  <c r="P674" i="5"/>
  <c r="Q674" i="5"/>
  <c r="R674" i="5"/>
  <c r="S674" i="5"/>
  <c r="AB674" i="5"/>
  <c r="A34" i="4"/>
  <c r="E34" i="4"/>
  <c r="H34" i="4"/>
  <c r="M34" i="4"/>
  <c r="S34" i="4"/>
  <c r="W34" i="4"/>
  <c r="X34" i="4"/>
  <c r="Y34" i="4"/>
  <c r="Z34" i="4"/>
  <c r="AA34" i="4"/>
  <c r="B673" i="5"/>
  <c r="E673" i="5"/>
  <c r="F673" i="5"/>
  <c r="I673" i="5"/>
  <c r="J673" i="5"/>
  <c r="K673" i="5" a="1"/>
  <c r="L673" i="5" a="1"/>
  <c r="O673" i="5"/>
  <c r="P673" i="5"/>
  <c r="Q673" i="5"/>
  <c r="R673" i="5"/>
  <c r="S673" i="5"/>
  <c r="AB673" i="5"/>
  <c r="B672" i="5"/>
  <c r="E672" i="5"/>
  <c r="F672" i="5"/>
  <c r="I672" i="5"/>
  <c r="J672" i="5"/>
  <c r="K672" i="5" a="1"/>
  <c r="L672" i="5" a="1"/>
  <c r="O672" i="5"/>
  <c r="P672" i="5"/>
  <c r="Q672" i="5"/>
  <c r="R672" i="5"/>
  <c r="S672" i="5"/>
  <c r="AB672" i="5"/>
  <c r="A35" i="4"/>
  <c r="E35" i="4"/>
  <c r="H35" i="4"/>
  <c r="M35" i="4"/>
  <c r="S35" i="4"/>
  <c r="W35" i="4"/>
  <c r="X35" i="4"/>
  <c r="Y35" i="4"/>
  <c r="Z35" i="4"/>
  <c r="AA35" i="4"/>
  <c r="B671" i="5"/>
  <c r="E671" i="5"/>
  <c r="F671" i="5"/>
  <c r="I671" i="5"/>
  <c r="J671" i="5"/>
  <c r="K671" i="5" a="1"/>
  <c r="L671" i="5" a="1"/>
  <c r="O671" i="5"/>
  <c r="P671" i="5"/>
  <c r="Q671" i="5"/>
  <c r="R671" i="5"/>
  <c r="S671" i="5"/>
  <c r="AB671" i="5"/>
  <c r="B670" i="5"/>
  <c r="E670" i="5"/>
  <c r="F670" i="5"/>
  <c r="I670" i="5"/>
  <c r="J670" i="5"/>
  <c r="K670" i="5" a="1"/>
  <c r="L670" i="5" a="1"/>
  <c r="O670" i="5"/>
  <c r="P670" i="5"/>
  <c r="Q670" i="5"/>
  <c r="R670" i="5"/>
  <c r="S670" i="5"/>
  <c r="AB670" i="5"/>
  <c r="A36" i="4"/>
  <c r="E36" i="4"/>
  <c r="H36" i="4"/>
  <c r="M36" i="4"/>
  <c r="S36" i="4"/>
  <c r="W36" i="4"/>
  <c r="X36" i="4"/>
  <c r="Y36" i="4"/>
  <c r="Z36" i="4"/>
  <c r="AA36" i="4"/>
  <c r="B669" i="5"/>
  <c r="E669" i="5"/>
  <c r="F669" i="5"/>
  <c r="I669" i="5"/>
  <c r="J669" i="5"/>
  <c r="K669" i="5" a="1"/>
  <c r="L669" i="5" a="1"/>
  <c r="O669" i="5"/>
  <c r="P669" i="5"/>
  <c r="Q669" i="5"/>
  <c r="R669" i="5"/>
  <c r="S669" i="5"/>
  <c r="AB669" i="5"/>
  <c r="B668" i="5"/>
  <c r="E668" i="5"/>
  <c r="F668" i="5"/>
  <c r="I668" i="5"/>
  <c r="J668" i="5"/>
  <c r="K668" i="5" a="1"/>
  <c r="L668" i="5" a="1"/>
  <c r="O668" i="5"/>
  <c r="P668" i="5"/>
  <c r="Q668" i="5"/>
  <c r="R668" i="5"/>
  <c r="S668" i="5"/>
  <c r="AB668" i="5"/>
  <c r="A37" i="4"/>
  <c r="E37" i="4"/>
  <c r="H37" i="4"/>
  <c r="M37" i="4"/>
  <c r="S37" i="4"/>
  <c r="W37" i="4"/>
  <c r="X37" i="4"/>
  <c r="Y37" i="4"/>
  <c r="Z37" i="4"/>
  <c r="AA37" i="4"/>
  <c r="B667" i="5"/>
  <c r="E667" i="5"/>
  <c r="F667" i="5"/>
  <c r="I667" i="5"/>
  <c r="J667" i="5"/>
  <c r="K667" i="5" a="1"/>
  <c r="L667" i="5" a="1"/>
  <c r="O667" i="5"/>
  <c r="P667" i="5"/>
  <c r="Q667" i="5"/>
  <c r="R667" i="5"/>
  <c r="S667" i="5"/>
  <c r="AB667" i="5"/>
  <c r="B666" i="5"/>
  <c r="E666" i="5"/>
  <c r="F666" i="5"/>
  <c r="I666" i="5"/>
  <c r="J666" i="5"/>
  <c r="K666" i="5" a="1"/>
  <c r="L666" i="5" a="1"/>
  <c r="O666" i="5"/>
  <c r="P666" i="5"/>
  <c r="Q666" i="5"/>
  <c r="R666" i="5"/>
  <c r="S666" i="5"/>
  <c r="AB666" i="5"/>
  <c r="A38" i="4"/>
  <c r="E38" i="4"/>
  <c r="H38" i="4"/>
  <c r="M38" i="4"/>
  <c r="S38" i="4"/>
  <c r="W38" i="4"/>
  <c r="X38" i="4"/>
  <c r="Y38" i="4"/>
  <c r="Z38" i="4"/>
  <c r="AA38" i="4"/>
  <c r="B665" i="5"/>
  <c r="E665" i="5"/>
  <c r="F665" i="5"/>
  <c r="I665" i="5"/>
  <c r="J665" i="5"/>
  <c r="K665" i="5" a="1"/>
  <c r="L665" i="5" a="1"/>
  <c r="O665" i="5"/>
  <c r="P665" i="5"/>
  <c r="Q665" i="5"/>
  <c r="R665" i="5"/>
  <c r="S665" i="5"/>
  <c r="AB665" i="5"/>
  <c r="B664" i="5"/>
  <c r="E664" i="5"/>
  <c r="F664" i="5"/>
  <c r="I664" i="5"/>
  <c r="J664" i="5"/>
  <c r="K664" i="5" a="1"/>
  <c r="L664" i="5" a="1"/>
  <c r="O664" i="5"/>
  <c r="P664" i="5"/>
  <c r="Q664" i="5"/>
  <c r="R664" i="5"/>
  <c r="S664" i="5"/>
  <c r="AB664" i="5"/>
  <c r="A39" i="4"/>
  <c r="E39" i="4"/>
  <c r="H39" i="4"/>
  <c r="M39" i="4"/>
  <c r="S39" i="4"/>
  <c r="W39" i="4"/>
  <c r="X39" i="4"/>
  <c r="Y39" i="4"/>
  <c r="Z39" i="4"/>
  <c r="AA39" i="4"/>
  <c r="B663" i="5"/>
  <c r="E663" i="5"/>
  <c r="F663" i="5"/>
  <c r="I663" i="5"/>
  <c r="J663" i="5"/>
  <c r="K663" i="5" a="1"/>
  <c r="L663" i="5" a="1"/>
  <c r="O663" i="5"/>
  <c r="P663" i="5"/>
  <c r="Q663" i="5"/>
  <c r="R663" i="5"/>
  <c r="S663" i="5"/>
  <c r="AB663" i="5"/>
  <c r="B662" i="5"/>
  <c r="E662" i="5"/>
  <c r="F662" i="5"/>
  <c r="I662" i="5"/>
  <c r="J662" i="5"/>
  <c r="K662" i="5" a="1"/>
  <c r="L662" i="5" a="1"/>
  <c r="O662" i="5"/>
  <c r="P662" i="5"/>
  <c r="Q662" i="5"/>
  <c r="R662" i="5"/>
  <c r="S662" i="5"/>
  <c r="AB662" i="5"/>
  <c r="A40" i="4"/>
  <c r="E40" i="4"/>
  <c r="H40" i="4"/>
  <c r="M40" i="4"/>
  <c r="S40" i="4"/>
  <c r="W40" i="4"/>
  <c r="X40" i="4"/>
  <c r="Y40" i="4"/>
  <c r="Z40" i="4"/>
  <c r="AA40" i="4"/>
  <c r="B661" i="5"/>
  <c r="E661" i="5"/>
  <c r="F661" i="5"/>
  <c r="I661" i="5"/>
  <c r="J661" i="5"/>
  <c r="K661" i="5" a="1"/>
  <c r="L661" i="5" a="1"/>
  <c r="O661" i="5"/>
  <c r="P661" i="5"/>
  <c r="Q661" i="5"/>
  <c r="R661" i="5"/>
  <c r="S661" i="5"/>
  <c r="AB661" i="5"/>
  <c r="B660" i="5"/>
  <c r="E660" i="5"/>
  <c r="F660" i="5"/>
  <c r="I660" i="5"/>
  <c r="J660" i="5"/>
  <c r="K660" i="5" a="1"/>
  <c r="L660" i="5" a="1"/>
  <c r="O660" i="5"/>
  <c r="P660" i="5"/>
  <c r="Q660" i="5"/>
  <c r="R660" i="5"/>
  <c r="S660" i="5"/>
  <c r="AB660" i="5"/>
  <c r="A41" i="4"/>
  <c r="E41" i="4"/>
  <c r="H41" i="4"/>
  <c r="M41" i="4"/>
  <c r="S41" i="4"/>
  <c r="W41" i="4"/>
  <c r="X41" i="4"/>
  <c r="Y41" i="4"/>
  <c r="Z41" i="4"/>
  <c r="AA41" i="4"/>
  <c r="B659" i="5"/>
  <c r="E659" i="5"/>
  <c r="F659" i="5"/>
  <c r="I659" i="5"/>
  <c r="J659" i="5"/>
  <c r="K659" i="5" a="1"/>
  <c r="L659" i="5" a="1"/>
  <c r="O659" i="5"/>
  <c r="P659" i="5"/>
  <c r="Q659" i="5"/>
  <c r="R659" i="5"/>
  <c r="S659" i="5"/>
  <c r="AB659" i="5"/>
  <c r="B658" i="5"/>
  <c r="E658" i="5"/>
  <c r="F658" i="5"/>
  <c r="I658" i="5"/>
  <c r="J658" i="5"/>
  <c r="K658" i="5" a="1"/>
  <c r="L658" i="5" a="1"/>
  <c r="O658" i="5"/>
  <c r="P658" i="5"/>
  <c r="Q658" i="5"/>
  <c r="R658" i="5"/>
  <c r="S658" i="5"/>
  <c r="AB658" i="5"/>
  <c r="A42" i="4"/>
  <c r="E42" i="4"/>
  <c r="H42" i="4"/>
  <c r="M42" i="4"/>
  <c r="S42" i="4"/>
  <c r="W42" i="4"/>
  <c r="X42" i="4"/>
  <c r="Y42" i="4"/>
  <c r="Z42" i="4"/>
  <c r="AA42" i="4"/>
  <c r="B657" i="5"/>
  <c r="E657" i="5"/>
  <c r="F657" i="5"/>
  <c r="I657" i="5"/>
  <c r="J657" i="5"/>
  <c r="K657" i="5" a="1"/>
  <c r="L657" i="5" a="1"/>
  <c r="O657" i="5"/>
  <c r="P657" i="5"/>
  <c r="Q657" i="5"/>
  <c r="R657" i="5"/>
  <c r="S657" i="5"/>
  <c r="AB657" i="5"/>
  <c r="B656" i="5"/>
  <c r="E656" i="5"/>
  <c r="F656" i="5"/>
  <c r="I656" i="5"/>
  <c r="J656" i="5"/>
  <c r="K656" i="5" a="1"/>
  <c r="L656" i="5" a="1"/>
  <c r="O656" i="5"/>
  <c r="P656" i="5"/>
  <c r="Q656" i="5"/>
  <c r="R656" i="5"/>
  <c r="S656" i="5"/>
  <c r="AB656" i="5"/>
  <c r="A43" i="4"/>
  <c r="E43" i="4"/>
  <c r="H43" i="4"/>
  <c r="M43" i="4"/>
  <c r="S43" i="4"/>
  <c r="W43" i="4"/>
  <c r="X43" i="4"/>
  <c r="Y43" i="4"/>
  <c r="Z43" i="4"/>
  <c r="AA43" i="4"/>
  <c r="B655" i="5"/>
  <c r="E655" i="5"/>
  <c r="F655" i="5"/>
  <c r="I655" i="5"/>
  <c r="J655" i="5"/>
  <c r="K655" i="5" a="1"/>
  <c r="L655" i="5" a="1"/>
  <c r="O655" i="5"/>
  <c r="P655" i="5"/>
  <c r="Q655" i="5"/>
  <c r="R655" i="5"/>
  <c r="S655" i="5"/>
  <c r="AB655" i="5"/>
  <c r="B654" i="5"/>
  <c r="E654" i="5"/>
  <c r="F654" i="5"/>
  <c r="I654" i="5"/>
  <c r="J654" i="5"/>
  <c r="K654" i="5" a="1"/>
  <c r="L654" i="5" a="1"/>
  <c r="O654" i="5"/>
  <c r="P654" i="5"/>
  <c r="Q654" i="5"/>
  <c r="R654" i="5"/>
  <c r="S654" i="5"/>
  <c r="AB654" i="5"/>
  <c r="A44" i="4"/>
  <c r="E44" i="4"/>
  <c r="H44" i="4"/>
  <c r="M44" i="4"/>
  <c r="S44" i="4"/>
  <c r="W44" i="4"/>
  <c r="X44" i="4"/>
  <c r="Y44" i="4"/>
  <c r="Z44" i="4"/>
  <c r="AA44" i="4"/>
  <c r="B653" i="5"/>
  <c r="E653" i="5"/>
  <c r="F653" i="5"/>
  <c r="I653" i="5"/>
  <c r="J653" i="5"/>
  <c r="K653" i="5" a="1"/>
  <c r="L653" i="5" a="1"/>
  <c r="O653" i="5"/>
  <c r="P653" i="5"/>
  <c r="Q653" i="5"/>
  <c r="R653" i="5"/>
  <c r="S653" i="5"/>
  <c r="AB653" i="5"/>
  <c r="B652" i="5"/>
  <c r="E652" i="5"/>
  <c r="F652" i="5"/>
  <c r="I652" i="5"/>
  <c r="J652" i="5"/>
  <c r="K652" i="5" a="1"/>
  <c r="L652" i="5" a="1"/>
  <c r="O652" i="5"/>
  <c r="P652" i="5"/>
  <c r="Q652" i="5"/>
  <c r="R652" i="5"/>
  <c r="S652" i="5"/>
  <c r="AB652" i="5"/>
  <c r="A45" i="4"/>
  <c r="E45" i="4"/>
  <c r="H45" i="4"/>
  <c r="M45" i="4"/>
  <c r="S45" i="4"/>
  <c r="W45" i="4"/>
  <c r="X45" i="4"/>
  <c r="Y45" i="4"/>
  <c r="Z45" i="4"/>
  <c r="AA45" i="4"/>
  <c r="B651" i="5"/>
  <c r="E651" i="5"/>
  <c r="F651" i="5"/>
  <c r="I651" i="5"/>
  <c r="J651" i="5"/>
  <c r="K651" i="5" a="1"/>
  <c r="L651" i="5" a="1"/>
  <c r="O651" i="5"/>
  <c r="P651" i="5"/>
  <c r="Q651" i="5"/>
  <c r="R651" i="5"/>
  <c r="S651" i="5"/>
  <c r="AB651" i="5"/>
  <c r="B650" i="5"/>
  <c r="E650" i="5"/>
  <c r="F650" i="5"/>
  <c r="I650" i="5"/>
  <c r="J650" i="5"/>
  <c r="K650" i="5" a="1"/>
  <c r="L650" i="5" a="1"/>
  <c r="O650" i="5"/>
  <c r="P650" i="5"/>
  <c r="Q650" i="5"/>
  <c r="R650" i="5"/>
  <c r="S650" i="5"/>
  <c r="AB650" i="5"/>
  <c r="A46" i="4"/>
  <c r="E46" i="4"/>
  <c r="H46" i="4"/>
  <c r="M46" i="4"/>
  <c r="S46" i="4"/>
  <c r="W46" i="4"/>
  <c r="X46" i="4"/>
  <c r="Y46" i="4"/>
  <c r="Z46" i="4"/>
  <c r="AA46" i="4"/>
  <c r="B649" i="5"/>
  <c r="E649" i="5"/>
  <c r="F649" i="5"/>
  <c r="I649" i="5"/>
  <c r="J649" i="5"/>
  <c r="K649" i="5" a="1"/>
  <c r="L649" i="5" a="1"/>
  <c r="O649" i="5"/>
  <c r="P649" i="5"/>
  <c r="Q649" i="5"/>
  <c r="R649" i="5"/>
  <c r="S649" i="5"/>
  <c r="AB649" i="5"/>
  <c r="B648" i="5"/>
  <c r="E648" i="5"/>
  <c r="F648" i="5"/>
  <c r="I648" i="5"/>
  <c r="J648" i="5"/>
  <c r="K648" i="5" a="1"/>
  <c r="L648" i="5" a="1"/>
  <c r="O648" i="5"/>
  <c r="P648" i="5"/>
  <c r="Q648" i="5"/>
  <c r="R648" i="5"/>
  <c r="S648" i="5"/>
  <c r="AB648" i="5"/>
  <c r="A47" i="4"/>
  <c r="E47" i="4"/>
  <c r="H47" i="4"/>
  <c r="M47" i="4"/>
  <c r="S47" i="4"/>
  <c r="W47" i="4"/>
  <c r="X47" i="4"/>
  <c r="Y47" i="4"/>
  <c r="Z47" i="4"/>
  <c r="AA47" i="4"/>
  <c r="B647" i="5"/>
  <c r="E647" i="5"/>
  <c r="F647" i="5"/>
  <c r="I647" i="5"/>
  <c r="J647" i="5"/>
  <c r="K647" i="5" a="1"/>
  <c r="L647" i="5" a="1"/>
  <c r="O647" i="5"/>
  <c r="P647" i="5"/>
  <c r="Q647" i="5"/>
  <c r="R647" i="5"/>
  <c r="S647" i="5"/>
  <c r="AB647" i="5"/>
  <c r="B646" i="5"/>
  <c r="E646" i="5"/>
  <c r="F646" i="5"/>
  <c r="I646" i="5"/>
  <c r="J646" i="5"/>
  <c r="K646" i="5" a="1"/>
  <c r="L646" i="5" a="1"/>
  <c r="O646" i="5"/>
  <c r="P646" i="5"/>
  <c r="Q646" i="5"/>
  <c r="R646" i="5"/>
  <c r="S646" i="5"/>
  <c r="AB646" i="5"/>
  <c r="A48" i="4"/>
  <c r="E48" i="4"/>
  <c r="H48" i="4"/>
  <c r="M48" i="4"/>
  <c r="S48" i="4"/>
  <c r="W48" i="4"/>
  <c r="X48" i="4"/>
  <c r="Y48" i="4"/>
  <c r="Z48" i="4"/>
  <c r="AA48" i="4"/>
  <c r="B645" i="5"/>
  <c r="E645" i="5"/>
  <c r="F645" i="5"/>
  <c r="I645" i="5"/>
  <c r="J645" i="5"/>
  <c r="K645" i="5" a="1"/>
  <c r="L645" i="5" a="1"/>
  <c r="O645" i="5"/>
  <c r="P645" i="5"/>
  <c r="Q645" i="5"/>
  <c r="R645" i="5"/>
  <c r="S645" i="5"/>
  <c r="AB645" i="5"/>
  <c r="B644" i="5"/>
  <c r="E644" i="5"/>
  <c r="F644" i="5"/>
  <c r="I644" i="5"/>
  <c r="J644" i="5"/>
  <c r="K644" i="5" a="1"/>
  <c r="L644" i="5" a="1"/>
  <c r="O644" i="5"/>
  <c r="P644" i="5"/>
  <c r="Q644" i="5"/>
  <c r="R644" i="5"/>
  <c r="S644" i="5"/>
  <c r="AB644" i="5"/>
  <c r="A49" i="4"/>
  <c r="E49" i="4"/>
  <c r="H49" i="4"/>
  <c r="M49" i="4"/>
  <c r="S49" i="4"/>
  <c r="W49" i="4"/>
  <c r="X49" i="4"/>
  <c r="Y49" i="4"/>
  <c r="Z49" i="4"/>
  <c r="AA49" i="4"/>
  <c r="B643" i="5"/>
  <c r="E643" i="5"/>
  <c r="F643" i="5"/>
  <c r="I643" i="5"/>
  <c r="J643" i="5"/>
  <c r="K643" i="5" a="1"/>
  <c r="L643" i="5" a="1"/>
  <c r="O643" i="5"/>
  <c r="P643" i="5"/>
  <c r="Q643" i="5"/>
  <c r="R643" i="5"/>
  <c r="S643" i="5"/>
  <c r="AB643" i="5"/>
  <c r="B642" i="5"/>
  <c r="E642" i="5"/>
  <c r="F642" i="5"/>
  <c r="I642" i="5"/>
  <c r="J642" i="5"/>
  <c r="K642" i="5" a="1"/>
  <c r="L642" i="5" a="1"/>
  <c r="O642" i="5"/>
  <c r="P642" i="5"/>
  <c r="Q642" i="5"/>
  <c r="R642" i="5"/>
  <c r="S642" i="5"/>
  <c r="AB642" i="5"/>
  <c r="A50" i="4"/>
  <c r="E50" i="4"/>
  <c r="H50" i="4"/>
  <c r="M50" i="4"/>
  <c r="S50" i="4"/>
  <c r="W50" i="4"/>
  <c r="X50" i="4"/>
  <c r="Y50" i="4"/>
  <c r="Z50" i="4"/>
  <c r="AA50" i="4"/>
  <c r="B641" i="5"/>
  <c r="E641" i="5"/>
  <c r="F641" i="5"/>
  <c r="I641" i="5"/>
  <c r="J641" i="5"/>
  <c r="K641" i="5" a="1"/>
  <c r="L641" i="5" a="1"/>
  <c r="O641" i="5"/>
  <c r="P641" i="5"/>
  <c r="Q641" i="5"/>
  <c r="R641" i="5"/>
  <c r="S641" i="5"/>
  <c r="AB641" i="5"/>
  <c r="B640" i="5"/>
  <c r="E640" i="5"/>
  <c r="F640" i="5"/>
  <c r="I640" i="5"/>
  <c r="J640" i="5"/>
  <c r="K640" i="5" a="1"/>
  <c r="L640" i="5" a="1"/>
  <c r="O640" i="5"/>
  <c r="P640" i="5"/>
  <c r="Q640" i="5"/>
  <c r="R640" i="5"/>
  <c r="S640" i="5"/>
  <c r="AB640" i="5"/>
  <c r="A51" i="4"/>
  <c r="E51" i="4"/>
  <c r="H51" i="4"/>
  <c r="M51" i="4"/>
  <c r="S51" i="4"/>
  <c r="W51" i="4"/>
  <c r="X51" i="4"/>
  <c r="Y51" i="4"/>
  <c r="Z51" i="4"/>
  <c r="AA51" i="4"/>
  <c r="B639" i="5"/>
  <c r="E639" i="5"/>
  <c r="F639" i="5"/>
  <c r="I639" i="5"/>
  <c r="J639" i="5"/>
  <c r="K639" i="5" a="1"/>
  <c r="L639" i="5" a="1"/>
  <c r="O639" i="5"/>
  <c r="P639" i="5"/>
  <c r="Q639" i="5"/>
  <c r="R639" i="5"/>
  <c r="S639" i="5"/>
  <c r="AB639" i="5"/>
  <c r="B638" i="5"/>
  <c r="E638" i="5"/>
  <c r="F638" i="5"/>
  <c r="I638" i="5"/>
  <c r="J638" i="5"/>
  <c r="K638" i="5" a="1"/>
  <c r="L638" i="5" a="1"/>
  <c r="O638" i="5"/>
  <c r="P638" i="5"/>
  <c r="Q638" i="5"/>
  <c r="R638" i="5"/>
  <c r="S638" i="5"/>
  <c r="AB638" i="5"/>
  <c r="A52" i="4"/>
  <c r="E52" i="4"/>
  <c r="H52" i="4"/>
  <c r="M52" i="4"/>
  <c r="S52" i="4"/>
  <c r="W52" i="4"/>
  <c r="X52" i="4"/>
  <c r="Y52" i="4"/>
  <c r="Z52" i="4"/>
  <c r="AA52" i="4"/>
  <c r="B637" i="5"/>
  <c r="E637" i="5"/>
  <c r="F637" i="5"/>
  <c r="I637" i="5"/>
  <c r="J637" i="5"/>
  <c r="K637" i="5" a="1"/>
  <c r="L637" i="5" a="1"/>
  <c r="O637" i="5"/>
  <c r="P637" i="5"/>
  <c r="Q637" i="5"/>
  <c r="R637" i="5"/>
  <c r="S637" i="5"/>
  <c r="AB637" i="5"/>
  <c r="B636" i="5"/>
  <c r="E636" i="5"/>
  <c r="F636" i="5"/>
  <c r="I636" i="5"/>
  <c r="J636" i="5"/>
  <c r="K636" i="5" a="1"/>
  <c r="L636" i="5" a="1"/>
  <c r="O636" i="5"/>
  <c r="P636" i="5"/>
  <c r="Q636" i="5"/>
  <c r="R636" i="5"/>
  <c r="S636" i="5"/>
  <c r="AB636" i="5"/>
  <c r="A53" i="4"/>
  <c r="E53" i="4"/>
  <c r="H53" i="4"/>
  <c r="M53" i="4"/>
  <c r="S53" i="4"/>
  <c r="W53" i="4"/>
  <c r="X53" i="4"/>
  <c r="Y53" i="4"/>
  <c r="Z53" i="4"/>
  <c r="AA53" i="4"/>
  <c r="B635" i="5"/>
  <c r="E635" i="5"/>
  <c r="F635" i="5"/>
  <c r="I635" i="5"/>
  <c r="J635" i="5"/>
  <c r="K635" i="5" a="1"/>
  <c r="L635" i="5" a="1"/>
  <c r="O635" i="5"/>
  <c r="P635" i="5"/>
  <c r="Q635" i="5"/>
  <c r="R635" i="5"/>
  <c r="S635" i="5"/>
  <c r="AB635" i="5"/>
  <c r="B634" i="5"/>
  <c r="E634" i="5"/>
  <c r="F634" i="5"/>
  <c r="I634" i="5"/>
  <c r="J634" i="5"/>
  <c r="K634" i="5" a="1"/>
  <c r="L634" i="5" a="1"/>
  <c r="O634" i="5"/>
  <c r="P634" i="5"/>
  <c r="Q634" i="5"/>
  <c r="R634" i="5"/>
  <c r="S634" i="5"/>
  <c r="AB634" i="5"/>
  <c r="A54" i="4"/>
  <c r="E54" i="4"/>
  <c r="H54" i="4"/>
  <c r="M54" i="4"/>
  <c r="S54" i="4"/>
  <c r="W54" i="4"/>
  <c r="X54" i="4"/>
  <c r="Y54" i="4"/>
  <c r="Z54" i="4"/>
  <c r="AA54" i="4"/>
  <c r="B633" i="5"/>
  <c r="E633" i="5"/>
  <c r="F633" i="5"/>
  <c r="I633" i="5"/>
  <c r="J633" i="5"/>
  <c r="K633" i="5" a="1"/>
  <c r="L633" i="5" a="1"/>
  <c r="O633" i="5"/>
  <c r="P633" i="5"/>
  <c r="Q633" i="5"/>
  <c r="R633" i="5"/>
  <c r="S633" i="5"/>
  <c r="AB633" i="5"/>
  <c r="B632" i="5"/>
  <c r="E632" i="5"/>
  <c r="F632" i="5"/>
  <c r="I632" i="5"/>
  <c r="J632" i="5"/>
  <c r="K632" i="5" a="1"/>
  <c r="L632" i="5" a="1"/>
  <c r="O632" i="5"/>
  <c r="P632" i="5"/>
  <c r="Q632" i="5"/>
  <c r="R632" i="5"/>
  <c r="S632" i="5"/>
  <c r="AB632" i="5"/>
  <c r="A55" i="4"/>
  <c r="E55" i="4"/>
  <c r="H55" i="4"/>
  <c r="M55" i="4"/>
  <c r="S55" i="4"/>
  <c r="W55" i="4"/>
  <c r="X55" i="4"/>
  <c r="Y55" i="4"/>
  <c r="Z55" i="4"/>
  <c r="AA55" i="4"/>
  <c r="B631" i="5"/>
  <c r="E631" i="5"/>
  <c r="F631" i="5"/>
  <c r="I631" i="5"/>
  <c r="J631" i="5"/>
  <c r="K631" i="5" a="1"/>
  <c r="L631" i="5" a="1"/>
  <c r="O631" i="5"/>
  <c r="P631" i="5"/>
  <c r="Q631" i="5"/>
  <c r="R631" i="5"/>
  <c r="S631" i="5"/>
  <c r="AB631" i="5"/>
  <c r="B630" i="5"/>
  <c r="E630" i="5"/>
  <c r="F630" i="5"/>
  <c r="I630" i="5"/>
  <c r="J630" i="5"/>
  <c r="K630" i="5" a="1"/>
  <c r="L630" i="5" a="1"/>
  <c r="O630" i="5"/>
  <c r="P630" i="5"/>
  <c r="Q630" i="5"/>
  <c r="R630" i="5"/>
  <c r="S630" i="5"/>
  <c r="AB630" i="5"/>
  <c r="A56" i="4"/>
  <c r="E56" i="4"/>
  <c r="H56" i="4"/>
  <c r="M56" i="4"/>
  <c r="S56" i="4"/>
  <c r="W56" i="4"/>
  <c r="X56" i="4"/>
  <c r="Y56" i="4"/>
  <c r="Z56" i="4"/>
  <c r="AA56" i="4"/>
  <c r="B629" i="5"/>
  <c r="E629" i="5"/>
  <c r="F629" i="5"/>
  <c r="I629" i="5"/>
  <c r="J629" i="5"/>
  <c r="K629" i="5" a="1"/>
  <c r="L629" i="5" a="1"/>
  <c r="O629" i="5"/>
  <c r="P629" i="5"/>
  <c r="Q629" i="5"/>
  <c r="R629" i="5"/>
  <c r="S629" i="5"/>
  <c r="AB629" i="5"/>
  <c r="B628" i="5"/>
  <c r="E628" i="5"/>
  <c r="F628" i="5"/>
  <c r="I628" i="5"/>
  <c r="J628" i="5"/>
  <c r="K628" i="5" a="1"/>
  <c r="L628" i="5" a="1"/>
  <c r="O628" i="5"/>
  <c r="P628" i="5"/>
  <c r="Q628" i="5"/>
  <c r="R628" i="5"/>
  <c r="S628" i="5"/>
  <c r="AB628" i="5"/>
  <c r="A57" i="4"/>
  <c r="E57" i="4"/>
  <c r="H57" i="4"/>
  <c r="M57" i="4"/>
  <c r="S57" i="4"/>
  <c r="W57" i="4"/>
  <c r="X57" i="4"/>
  <c r="Y57" i="4"/>
  <c r="Z57" i="4"/>
  <c r="AA57" i="4"/>
  <c r="B627" i="5"/>
  <c r="E627" i="5"/>
  <c r="F627" i="5"/>
  <c r="I627" i="5"/>
  <c r="J627" i="5"/>
  <c r="K627" i="5" a="1"/>
  <c r="L627" i="5" a="1"/>
  <c r="O627" i="5"/>
  <c r="P627" i="5"/>
  <c r="Q627" i="5"/>
  <c r="R627" i="5"/>
  <c r="S627" i="5"/>
  <c r="AB627" i="5"/>
  <c r="B626" i="5"/>
  <c r="E626" i="5"/>
  <c r="F626" i="5"/>
  <c r="I626" i="5"/>
  <c r="J626" i="5"/>
  <c r="K626" i="5" a="1"/>
  <c r="L626" i="5" a="1"/>
  <c r="O626" i="5"/>
  <c r="P626" i="5"/>
  <c r="Q626" i="5"/>
  <c r="R626" i="5"/>
  <c r="S626" i="5"/>
  <c r="AB626" i="5"/>
  <c r="A58" i="4"/>
  <c r="E58" i="4"/>
  <c r="H58" i="4"/>
  <c r="M58" i="4"/>
  <c r="S58" i="4"/>
  <c r="W58" i="4"/>
  <c r="X58" i="4"/>
  <c r="Y58" i="4"/>
  <c r="Z58" i="4"/>
  <c r="AA58" i="4"/>
  <c r="B625" i="5"/>
  <c r="E625" i="5"/>
  <c r="F625" i="5"/>
  <c r="I625" i="5"/>
  <c r="J625" i="5"/>
  <c r="K625" i="5" a="1"/>
  <c r="L625" i="5" a="1"/>
  <c r="O625" i="5"/>
  <c r="P625" i="5"/>
  <c r="Q625" i="5"/>
  <c r="R625" i="5"/>
  <c r="S625" i="5"/>
  <c r="AB625" i="5"/>
  <c r="B624" i="5"/>
  <c r="E624" i="5"/>
  <c r="F624" i="5"/>
  <c r="I624" i="5"/>
  <c r="J624" i="5"/>
  <c r="K624" i="5" a="1"/>
  <c r="L624" i="5" a="1"/>
  <c r="O624" i="5"/>
  <c r="P624" i="5"/>
  <c r="Q624" i="5"/>
  <c r="R624" i="5"/>
  <c r="S624" i="5"/>
  <c r="AB624" i="5"/>
  <c r="A59" i="4"/>
  <c r="E59" i="4"/>
  <c r="H59" i="4"/>
  <c r="M59" i="4"/>
  <c r="S59" i="4"/>
  <c r="W59" i="4"/>
  <c r="X59" i="4"/>
  <c r="Y59" i="4"/>
  <c r="Z59" i="4"/>
  <c r="AA59" i="4"/>
  <c r="B623" i="5"/>
  <c r="E623" i="5"/>
  <c r="F623" i="5"/>
  <c r="I623" i="5"/>
  <c r="J623" i="5"/>
  <c r="K623" i="5" a="1"/>
  <c r="L623" i="5" a="1"/>
  <c r="O623" i="5"/>
  <c r="P623" i="5"/>
  <c r="Q623" i="5"/>
  <c r="R623" i="5"/>
  <c r="S623" i="5"/>
  <c r="AB623" i="5"/>
  <c r="B622" i="5"/>
  <c r="E622" i="5"/>
  <c r="F622" i="5"/>
  <c r="I622" i="5"/>
  <c r="J622" i="5"/>
  <c r="K622" i="5" a="1"/>
  <c r="L622" i="5" a="1"/>
  <c r="O622" i="5"/>
  <c r="P622" i="5"/>
  <c r="Q622" i="5"/>
  <c r="R622" i="5"/>
  <c r="S622" i="5"/>
  <c r="AB622" i="5"/>
  <c r="A60" i="4"/>
  <c r="E60" i="4"/>
  <c r="H60" i="4"/>
  <c r="M60" i="4"/>
  <c r="S60" i="4"/>
  <c r="W60" i="4"/>
  <c r="X60" i="4"/>
  <c r="Y60" i="4"/>
  <c r="Z60" i="4"/>
  <c r="AA60" i="4"/>
  <c r="B621" i="5"/>
  <c r="E621" i="5"/>
  <c r="F621" i="5"/>
  <c r="I621" i="5"/>
  <c r="J621" i="5"/>
  <c r="K621" i="5" a="1"/>
  <c r="L621" i="5" a="1"/>
  <c r="O621" i="5"/>
  <c r="P621" i="5"/>
  <c r="Q621" i="5"/>
  <c r="R621" i="5"/>
  <c r="S621" i="5"/>
  <c r="AB621" i="5"/>
  <c r="B620" i="5"/>
  <c r="E620" i="5"/>
  <c r="F620" i="5"/>
  <c r="I620" i="5"/>
  <c r="J620" i="5"/>
  <c r="K620" i="5" a="1"/>
  <c r="L620" i="5" a="1"/>
  <c r="O620" i="5"/>
  <c r="P620" i="5"/>
  <c r="Q620" i="5"/>
  <c r="R620" i="5"/>
  <c r="S620" i="5"/>
  <c r="AB620" i="5"/>
  <c r="A61" i="4"/>
  <c r="E61" i="4"/>
  <c r="H61" i="4"/>
  <c r="M61" i="4"/>
  <c r="S61" i="4"/>
  <c r="W61" i="4"/>
  <c r="X61" i="4"/>
  <c r="Y61" i="4"/>
  <c r="Z61" i="4"/>
  <c r="AA61" i="4"/>
  <c r="B619" i="5"/>
  <c r="E619" i="5"/>
  <c r="F619" i="5"/>
  <c r="I619" i="5"/>
  <c r="J619" i="5"/>
  <c r="K619" i="5" a="1"/>
  <c r="L619" i="5" a="1"/>
  <c r="O619" i="5"/>
  <c r="P619" i="5"/>
  <c r="Q619" i="5"/>
  <c r="R619" i="5"/>
  <c r="S619" i="5"/>
  <c r="AB619" i="5"/>
  <c r="B618" i="5"/>
  <c r="E618" i="5"/>
  <c r="F618" i="5"/>
  <c r="I618" i="5"/>
  <c r="J618" i="5"/>
  <c r="K618" i="5" a="1"/>
  <c r="L618" i="5" a="1"/>
  <c r="O618" i="5"/>
  <c r="P618" i="5"/>
  <c r="Q618" i="5"/>
  <c r="R618" i="5"/>
  <c r="S618" i="5"/>
  <c r="AB618" i="5"/>
  <c r="A62" i="4"/>
  <c r="E62" i="4"/>
  <c r="H62" i="4"/>
  <c r="M62" i="4"/>
  <c r="S62" i="4"/>
  <c r="W62" i="4"/>
  <c r="X62" i="4"/>
  <c r="Y62" i="4"/>
  <c r="Z62" i="4"/>
  <c r="AA62" i="4"/>
  <c r="B617" i="5"/>
  <c r="E617" i="5"/>
  <c r="F617" i="5"/>
  <c r="I617" i="5"/>
  <c r="J617" i="5"/>
  <c r="K617" i="5" a="1"/>
  <c r="L617" i="5" a="1"/>
  <c r="O617" i="5"/>
  <c r="P617" i="5"/>
  <c r="Q617" i="5"/>
  <c r="R617" i="5"/>
  <c r="S617" i="5"/>
  <c r="AB617" i="5"/>
  <c r="B616" i="5"/>
  <c r="E616" i="5"/>
  <c r="F616" i="5"/>
  <c r="I616" i="5"/>
  <c r="J616" i="5"/>
  <c r="K616" i="5" a="1"/>
  <c r="L616" i="5" a="1"/>
  <c r="O616" i="5"/>
  <c r="P616" i="5"/>
  <c r="Q616" i="5"/>
  <c r="R616" i="5"/>
  <c r="S616" i="5"/>
  <c r="AB616" i="5"/>
  <c r="A63" i="4"/>
  <c r="E63" i="4"/>
  <c r="H63" i="4"/>
  <c r="M63" i="4"/>
  <c r="S63" i="4"/>
  <c r="W63" i="4"/>
  <c r="X63" i="4"/>
  <c r="Y63" i="4"/>
  <c r="Z63" i="4"/>
  <c r="AA63" i="4"/>
  <c r="B615" i="5"/>
  <c r="E615" i="5"/>
  <c r="F615" i="5"/>
  <c r="I615" i="5"/>
  <c r="J615" i="5"/>
  <c r="K615" i="5" a="1"/>
  <c r="L615" i="5" a="1"/>
  <c r="O615" i="5"/>
  <c r="P615" i="5"/>
  <c r="Q615" i="5"/>
  <c r="R615" i="5"/>
  <c r="S615" i="5"/>
  <c r="AB615" i="5"/>
  <c r="B614" i="5"/>
  <c r="E614" i="5"/>
  <c r="F614" i="5"/>
  <c r="I614" i="5"/>
  <c r="J614" i="5"/>
  <c r="K614" i="5" a="1"/>
  <c r="L614" i="5" a="1"/>
  <c r="O614" i="5"/>
  <c r="P614" i="5"/>
  <c r="Q614" i="5"/>
  <c r="R614" i="5"/>
  <c r="S614" i="5"/>
  <c r="AB614" i="5"/>
  <c r="A64" i="4"/>
  <c r="E64" i="4"/>
  <c r="H64" i="4"/>
  <c r="M64" i="4"/>
  <c r="S64" i="4"/>
  <c r="W64" i="4"/>
  <c r="X64" i="4"/>
  <c r="Y64" i="4"/>
  <c r="Z64" i="4"/>
  <c r="AA64" i="4"/>
  <c r="B613" i="5"/>
  <c r="E613" i="5"/>
  <c r="F613" i="5"/>
  <c r="I613" i="5"/>
  <c r="J613" i="5"/>
  <c r="K613" i="5" a="1"/>
  <c r="L613" i="5" a="1"/>
  <c r="O613" i="5"/>
  <c r="P613" i="5"/>
  <c r="Q613" i="5"/>
  <c r="R613" i="5"/>
  <c r="S613" i="5"/>
  <c r="AB613" i="5"/>
  <c r="B612" i="5"/>
  <c r="E612" i="5"/>
  <c r="F612" i="5"/>
  <c r="I612" i="5"/>
  <c r="J612" i="5"/>
  <c r="K612" i="5" a="1"/>
  <c r="L612" i="5" a="1"/>
  <c r="O612" i="5"/>
  <c r="P612" i="5"/>
  <c r="Q612" i="5"/>
  <c r="R612" i="5"/>
  <c r="S612" i="5"/>
  <c r="AB612" i="5"/>
  <c r="A65" i="4"/>
  <c r="E65" i="4"/>
  <c r="H65" i="4"/>
  <c r="M65" i="4"/>
  <c r="S65" i="4"/>
  <c r="W65" i="4"/>
  <c r="X65" i="4"/>
  <c r="Y65" i="4"/>
  <c r="Z65" i="4"/>
  <c r="AA65" i="4"/>
  <c r="B611" i="5"/>
  <c r="E611" i="5"/>
  <c r="F611" i="5"/>
  <c r="I611" i="5"/>
  <c r="J611" i="5"/>
  <c r="K611" i="5" a="1"/>
  <c r="L611" i="5" a="1"/>
  <c r="O611" i="5"/>
  <c r="P611" i="5"/>
  <c r="Q611" i="5"/>
  <c r="R611" i="5"/>
  <c r="S611" i="5"/>
  <c r="AB611" i="5"/>
  <c r="B610" i="5"/>
  <c r="E610" i="5"/>
  <c r="F610" i="5"/>
  <c r="I610" i="5"/>
  <c r="J610" i="5"/>
  <c r="K610" i="5" a="1"/>
  <c r="L610" i="5" a="1"/>
  <c r="O610" i="5"/>
  <c r="P610" i="5"/>
  <c r="Q610" i="5"/>
  <c r="R610" i="5"/>
  <c r="S610" i="5"/>
  <c r="AB610" i="5"/>
  <c r="A66" i="4"/>
  <c r="E66" i="4"/>
  <c r="H66" i="4"/>
  <c r="M66" i="4"/>
  <c r="S66" i="4"/>
  <c r="W66" i="4"/>
  <c r="X66" i="4"/>
  <c r="Y66" i="4"/>
  <c r="Z66" i="4"/>
  <c r="AA66" i="4"/>
  <c r="B609" i="5"/>
  <c r="E609" i="5"/>
  <c r="F609" i="5"/>
  <c r="I609" i="5"/>
  <c r="J609" i="5"/>
  <c r="K609" i="5" a="1"/>
  <c r="L609" i="5" a="1"/>
  <c r="O609" i="5"/>
  <c r="P609" i="5"/>
  <c r="Q609" i="5"/>
  <c r="R609" i="5"/>
  <c r="S609" i="5"/>
  <c r="AB609" i="5"/>
  <c r="B608" i="5"/>
  <c r="E608" i="5"/>
  <c r="F608" i="5"/>
  <c r="I608" i="5"/>
  <c r="J608" i="5"/>
  <c r="K608" i="5" a="1"/>
  <c r="L608" i="5" a="1"/>
  <c r="O608" i="5"/>
  <c r="P608" i="5"/>
  <c r="Q608" i="5"/>
  <c r="R608" i="5"/>
  <c r="S608" i="5"/>
  <c r="AB608" i="5"/>
  <c r="A67" i="4"/>
  <c r="E67" i="4"/>
  <c r="H67" i="4"/>
  <c r="M67" i="4"/>
  <c r="S67" i="4"/>
  <c r="W67" i="4"/>
  <c r="X67" i="4"/>
  <c r="Y67" i="4"/>
  <c r="Z67" i="4"/>
  <c r="AA67" i="4"/>
  <c r="B607" i="5"/>
  <c r="E607" i="5"/>
  <c r="F607" i="5"/>
  <c r="I607" i="5"/>
  <c r="J607" i="5"/>
  <c r="K607" i="5" a="1"/>
  <c r="L607" i="5" a="1"/>
  <c r="O607" i="5"/>
  <c r="P607" i="5"/>
  <c r="Q607" i="5"/>
  <c r="R607" i="5"/>
  <c r="S607" i="5"/>
  <c r="AB607" i="5"/>
  <c r="B606" i="5"/>
  <c r="E606" i="5"/>
  <c r="F606" i="5"/>
  <c r="I606" i="5"/>
  <c r="J606" i="5"/>
  <c r="K606" i="5" a="1"/>
  <c r="L606" i="5" a="1"/>
  <c r="O606" i="5"/>
  <c r="P606" i="5"/>
  <c r="Q606" i="5"/>
  <c r="R606" i="5"/>
  <c r="S606" i="5"/>
  <c r="AB606" i="5"/>
  <c r="A68" i="4"/>
  <c r="E68" i="4"/>
  <c r="H68" i="4"/>
  <c r="M68" i="4"/>
  <c r="S68" i="4"/>
  <c r="W68" i="4"/>
  <c r="X68" i="4"/>
  <c r="Y68" i="4"/>
  <c r="Z68" i="4"/>
  <c r="AA68" i="4"/>
  <c r="B605" i="5"/>
  <c r="E605" i="5"/>
  <c r="F605" i="5"/>
  <c r="I605" i="5"/>
  <c r="J605" i="5"/>
  <c r="K605" i="5" a="1"/>
  <c r="L605" i="5" a="1"/>
  <c r="O605" i="5"/>
  <c r="P605" i="5"/>
  <c r="Q605" i="5"/>
  <c r="R605" i="5"/>
  <c r="S605" i="5"/>
  <c r="AB605" i="5"/>
  <c r="B604" i="5"/>
  <c r="E604" i="5"/>
  <c r="F604" i="5"/>
  <c r="I604" i="5"/>
  <c r="J604" i="5"/>
  <c r="K604" i="5" a="1"/>
  <c r="L604" i="5" a="1"/>
  <c r="O604" i="5"/>
  <c r="P604" i="5"/>
  <c r="Q604" i="5"/>
  <c r="R604" i="5"/>
  <c r="S604" i="5"/>
  <c r="AB604" i="5"/>
  <c r="A69" i="4"/>
  <c r="E69" i="4"/>
  <c r="H69" i="4"/>
  <c r="M69" i="4"/>
  <c r="S69" i="4"/>
  <c r="W69" i="4"/>
  <c r="X69" i="4"/>
  <c r="Y69" i="4"/>
  <c r="Z69" i="4"/>
  <c r="AA69" i="4"/>
  <c r="B603" i="5"/>
  <c r="E603" i="5"/>
  <c r="F603" i="5"/>
  <c r="I603" i="5"/>
  <c r="J603" i="5"/>
  <c r="K603" i="5" a="1"/>
  <c r="L603" i="5" a="1"/>
  <c r="O603" i="5"/>
  <c r="P603" i="5"/>
  <c r="Q603" i="5"/>
  <c r="R603" i="5"/>
  <c r="S603" i="5"/>
  <c r="AB603" i="5"/>
  <c r="B602" i="5"/>
  <c r="E602" i="5"/>
  <c r="F602" i="5"/>
  <c r="I602" i="5"/>
  <c r="J602" i="5"/>
  <c r="K602" i="5" a="1"/>
  <c r="L602" i="5" a="1"/>
  <c r="O602" i="5"/>
  <c r="P602" i="5"/>
  <c r="Q602" i="5"/>
  <c r="R602" i="5"/>
  <c r="S602" i="5"/>
  <c r="AB602" i="5"/>
  <c r="A70" i="4"/>
  <c r="E70" i="4"/>
  <c r="H70" i="4"/>
  <c r="M70" i="4"/>
  <c r="S70" i="4"/>
  <c r="W70" i="4"/>
  <c r="X70" i="4"/>
  <c r="Y70" i="4"/>
  <c r="Z70" i="4"/>
  <c r="AA70" i="4"/>
  <c r="B601" i="5"/>
  <c r="E601" i="5"/>
  <c r="F601" i="5"/>
  <c r="I601" i="5"/>
  <c r="J601" i="5"/>
  <c r="K601" i="5" a="1"/>
  <c r="L601" i="5" a="1"/>
  <c r="O601" i="5"/>
  <c r="P601" i="5"/>
  <c r="Q601" i="5"/>
  <c r="R601" i="5"/>
  <c r="S601" i="5"/>
  <c r="AB601" i="5"/>
  <c r="B600" i="5"/>
  <c r="E600" i="5"/>
  <c r="F600" i="5"/>
  <c r="I600" i="5"/>
  <c r="J600" i="5"/>
  <c r="K600" i="5" a="1"/>
  <c r="L600" i="5" a="1"/>
  <c r="O600" i="5"/>
  <c r="P600" i="5"/>
  <c r="Q600" i="5"/>
  <c r="R600" i="5"/>
  <c r="S600" i="5"/>
  <c r="AB600" i="5"/>
  <c r="A71" i="4"/>
  <c r="E71" i="4"/>
  <c r="H71" i="4"/>
  <c r="M71" i="4"/>
  <c r="S71" i="4"/>
  <c r="W71" i="4"/>
  <c r="X71" i="4"/>
  <c r="Y71" i="4"/>
  <c r="Z71" i="4"/>
  <c r="AA71" i="4"/>
  <c r="B599" i="5"/>
  <c r="E599" i="5"/>
  <c r="F599" i="5"/>
  <c r="I599" i="5"/>
  <c r="J599" i="5"/>
  <c r="K599" i="5" a="1"/>
  <c r="L599" i="5" a="1"/>
  <c r="O599" i="5"/>
  <c r="P599" i="5"/>
  <c r="Q599" i="5"/>
  <c r="R599" i="5"/>
  <c r="S599" i="5"/>
  <c r="AB599" i="5"/>
  <c r="B598" i="5"/>
  <c r="E598" i="5"/>
  <c r="F598" i="5"/>
  <c r="I598" i="5"/>
  <c r="J598" i="5"/>
  <c r="K598" i="5" a="1"/>
  <c r="L598" i="5" a="1"/>
  <c r="O598" i="5"/>
  <c r="P598" i="5"/>
  <c r="Q598" i="5"/>
  <c r="R598" i="5"/>
  <c r="S598" i="5"/>
  <c r="AB598" i="5"/>
  <c r="A72" i="4"/>
  <c r="E72" i="4"/>
  <c r="H72" i="4"/>
  <c r="M72" i="4"/>
  <c r="S72" i="4"/>
  <c r="W72" i="4"/>
  <c r="X72" i="4"/>
  <c r="Y72" i="4"/>
  <c r="Z72" i="4"/>
  <c r="AA72" i="4"/>
  <c r="B597" i="5"/>
  <c r="E597" i="5"/>
  <c r="F597" i="5"/>
  <c r="I597" i="5"/>
  <c r="J597" i="5"/>
  <c r="K597" i="5" a="1"/>
  <c r="L597" i="5" a="1"/>
  <c r="O597" i="5"/>
  <c r="P597" i="5"/>
  <c r="Q597" i="5"/>
  <c r="R597" i="5"/>
  <c r="S597" i="5"/>
  <c r="AB597" i="5"/>
  <c r="B596" i="5"/>
  <c r="E596" i="5"/>
  <c r="F596" i="5"/>
  <c r="I596" i="5"/>
  <c r="J596" i="5"/>
  <c r="K596" i="5" a="1"/>
  <c r="L596" i="5" a="1"/>
  <c r="O596" i="5"/>
  <c r="P596" i="5"/>
  <c r="Q596" i="5"/>
  <c r="R596" i="5"/>
  <c r="S596" i="5"/>
  <c r="AB596" i="5"/>
  <c r="A73" i="4"/>
  <c r="E73" i="4"/>
  <c r="H73" i="4"/>
  <c r="M73" i="4"/>
  <c r="S73" i="4"/>
  <c r="W73" i="4"/>
  <c r="X73" i="4"/>
  <c r="Y73" i="4"/>
  <c r="Z73" i="4"/>
  <c r="AA73" i="4"/>
  <c r="B595" i="5"/>
  <c r="E595" i="5"/>
  <c r="F595" i="5"/>
  <c r="I595" i="5"/>
  <c r="J595" i="5"/>
  <c r="K595" i="5" a="1"/>
  <c r="L595" i="5" a="1"/>
  <c r="O595" i="5"/>
  <c r="P595" i="5"/>
  <c r="Q595" i="5"/>
  <c r="R595" i="5"/>
  <c r="S595" i="5"/>
  <c r="AB595" i="5"/>
  <c r="B594" i="5"/>
  <c r="E594" i="5"/>
  <c r="F594" i="5"/>
  <c r="I594" i="5"/>
  <c r="J594" i="5"/>
  <c r="K594" i="5" a="1"/>
  <c r="L594" i="5" a="1"/>
  <c r="O594" i="5"/>
  <c r="P594" i="5"/>
  <c r="Q594" i="5"/>
  <c r="R594" i="5"/>
  <c r="S594" i="5"/>
  <c r="AB594" i="5"/>
  <c r="A74" i="4"/>
  <c r="E74" i="4"/>
  <c r="H74" i="4"/>
  <c r="M74" i="4"/>
  <c r="S74" i="4"/>
  <c r="W74" i="4"/>
  <c r="X74" i="4"/>
  <c r="Y74" i="4"/>
  <c r="Z74" i="4"/>
  <c r="AA74" i="4"/>
  <c r="B593" i="5"/>
  <c r="E593" i="5"/>
  <c r="F593" i="5"/>
  <c r="I593" i="5"/>
  <c r="J593" i="5"/>
  <c r="K593" i="5" a="1"/>
  <c r="L593" i="5" a="1"/>
  <c r="O593" i="5"/>
  <c r="P593" i="5"/>
  <c r="Q593" i="5"/>
  <c r="R593" i="5"/>
  <c r="S593" i="5"/>
  <c r="AB593" i="5"/>
  <c r="B592" i="5"/>
  <c r="E592" i="5"/>
  <c r="F592" i="5"/>
  <c r="I592" i="5"/>
  <c r="J592" i="5"/>
  <c r="K592" i="5" a="1"/>
  <c r="L592" i="5" a="1"/>
  <c r="O592" i="5"/>
  <c r="P592" i="5"/>
  <c r="Q592" i="5"/>
  <c r="R592" i="5"/>
  <c r="S592" i="5"/>
  <c r="AB592" i="5"/>
  <c r="A75" i="4"/>
  <c r="E75" i="4"/>
  <c r="H75" i="4"/>
  <c r="M75" i="4"/>
  <c r="S75" i="4"/>
  <c r="W75" i="4"/>
  <c r="X75" i="4"/>
  <c r="Y75" i="4"/>
  <c r="Z75" i="4"/>
  <c r="AA75" i="4"/>
  <c r="B591" i="5"/>
  <c r="E591" i="5"/>
  <c r="F591" i="5"/>
  <c r="I591" i="5"/>
  <c r="J591" i="5"/>
  <c r="K591" i="5" a="1"/>
  <c r="L591" i="5" a="1"/>
  <c r="O591" i="5"/>
  <c r="P591" i="5"/>
  <c r="Q591" i="5"/>
  <c r="R591" i="5"/>
  <c r="S591" i="5"/>
  <c r="AB591" i="5"/>
  <c r="B590" i="5"/>
  <c r="E590" i="5"/>
  <c r="F590" i="5"/>
  <c r="I590" i="5"/>
  <c r="J590" i="5"/>
  <c r="K590" i="5" a="1"/>
  <c r="L590" i="5" a="1"/>
  <c r="O590" i="5"/>
  <c r="P590" i="5"/>
  <c r="Q590" i="5"/>
  <c r="R590" i="5"/>
  <c r="S590" i="5"/>
  <c r="AB590" i="5"/>
  <c r="A76" i="4"/>
  <c r="E76" i="4"/>
  <c r="H76" i="4"/>
  <c r="M76" i="4"/>
  <c r="S76" i="4"/>
  <c r="W76" i="4"/>
  <c r="X76" i="4"/>
  <c r="Y76" i="4"/>
  <c r="Z76" i="4"/>
  <c r="AA76" i="4"/>
  <c r="B589" i="5"/>
  <c r="E589" i="5"/>
  <c r="F589" i="5"/>
  <c r="I589" i="5"/>
  <c r="J589" i="5"/>
  <c r="K589" i="5" a="1"/>
  <c r="L589" i="5" a="1"/>
  <c r="O589" i="5"/>
  <c r="P589" i="5"/>
  <c r="Q589" i="5"/>
  <c r="R589" i="5"/>
  <c r="S589" i="5"/>
  <c r="AB589" i="5"/>
  <c r="B588" i="5"/>
  <c r="E588" i="5"/>
  <c r="F588" i="5"/>
  <c r="I588" i="5"/>
  <c r="J588" i="5"/>
  <c r="K588" i="5" a="1"/>
  <c r="L588" i="5" a="1"/>
  <c r="O588" i="5"/>
  <c r="P588" i="5"/>
  <c r="Q588" i="5"/>
  <c r="R588" i="5"/>
  <c r="S588" i="5"/>
  <c r="AB588" i="5"/>
  <c r="A77" i="4"/>
  <c r="E77" i="4"/>
  <c r="H77" i="4"/>
  <c r="M77" i="4"/>
  <c r="S77" i="4"/>
  <c r="W77" i="4"/>
  <c r="X77" i="4"/>
  <c r="Y77" i="4"/>
  <c r="Z77" i="4"/>
  <c r="AA77" i="4"/>
  <c r="B587" i="5"/>
  <c r="E587" i="5"/>
  <c r="F587" i="5"/>
  <c r="I587" i="5"/>
  <c r="J587" i="5"/>
  <c r="K587" i="5" a="1"/>
  <c r="L587" i="5" a="1"/>
  <c r="O587" i="5"/>
  <c r="P587" i="5"/>
  <c r="Q587" i="5"/>
  <c r="R587" i="5"/>
  <c r="S587" i="5"/>
  <c r="AB587" i="5"/>
  <c r="B586" i="5"/>
  <c r="E586" i="5"/>
  <c r="F586" i="5"/>
  <c r="I586" i="5"/>
  <c r="J586" i="5"/>
  <c r="K586" i="5" a="1"/>
  <c r="L586" i="5" a="1"/>
  <c r="O586" i="5"/>
  <c r="P586" i="5"/>
  <c r="Q586" i="5"/>
  <c r="R586" i="5"/>
  <c r="S586" i="5"/>
  <c r="AB586" i="5"/>
  <c r="A78" i="4"/>
  <c r="E78" i="4"/>
  <c r="H78" i="4"/>
  <c r="M78" i="4"/>
  <c r="S78" i="4"/>
  <c r="W78" i="4"/>
  <c r="X78" i="4"/>
  <c r="Y78" i="4"/>
  <c r="Z78" i="4"/>
  <c r="AA78" i="4"/>
  <c r="B585" i="5"/>
  <c r="E585" i="5"/>
  <c r="F585" i="5"/>
  <c r="I585" i="5"/>
  <c r="J585" i="5"/>
  <c r="K585" i="5" a="1"/>
  <c r="L585" i="5" a="1"/>
  <c r="O585" i="5"/>
  <c r="P585" i="5"/>
  <c r="Q585" i="5"/>
  <c r="R585" i="5"/>
  <c r="S585" i="5"/>
  <c r="AB585" i="5"/>
  <c r="B584" i="5"/>
  <c r="E584" i="5"/>
  <c r="F584" i="5"/>
  <c r="I584" i="5"/>
  <c r="J584" i="5"/>
  <c r="K584" i="5" a="1"/>
  <c r="L584" i="5" a="1"/>
  <c r="O584" i="5"/>
  <c r="P584" i="5"/>
  <c r="Q584" i="5"/>
  <c r="R584" i="5"/>
  <c r="S584" i="5"/>
  <c r="AB584" i="5"/>
  <c r="A79" i="4"/>
  <c r="E79" i="4"/>
  <c r="H79" i="4"/>
  <c r="M79" i="4"/>
  <c r="S79" i="4"/>
  <c r="W79" i="4"/>
  <c r="X79" i="4"/>
  <c r="Y79" i="4"/>
  <c r="Z79" i="4"/>
  <c r="AA79" i="4"/>
  <c r="B583" i="5"/>
  <c r="E583" i="5"/>
  <c r="F583" i="5"/>
  <c r="I583" i="5"/>
  <c r="J583" i="5"/>
  <c r="K583" i="5" a="1"/>
  <c r="L583" i="5" a="1"/>
  <c r="O583" i="5"/>
  <c r="P583" i="5"/>
  <c r="Q583" i="5"/>
  <c r="R583" i="5"/>
  <c r="S583" i="5"/>
  <c r="AB583" i="5"/>
  <c r="B582" i="5"/>
  <c r="E582" i="5"/>
  <c r="F582" i="5"/>
  <c r="I582" i="5"/>
  <c r="J582" i="5"/>
  <c r="K582" i="5" a="1"/>
  <c r="L582" i="5" a="1"/>
  <c r="O582" i="5"/>
  <c r="P582" i="5"/>
  <c r="Q582" i="5"/>
  <c r="R582" i="5"/>
  <c r="S582" i="5"/>
  <c r="AB582" i="5"/>
  <c r="A80" i="4"/>
  <c r="E80" i="4"/>
  <c r="H80" i="4"/>
  <c r="M80" i="4"/>
  <c r="S80" i="4"/>
  <c r="W80" i="4"/>
  <c r="X80" i="4"/>
  <c r="Y80" i="4"/>
  <c r="Z80" i="4"/>
  <c r="AA80" i="4"/>
  <c r="B581" i="5"/>
  <c r="E581" i="5"/>
  <c r="F581" i="5"/>
  <c r="I581" i="5"/>
  <c r="J581" i="5"/>
  <c r="K581" i="5" a="1"/>
  <c r="L581" i="5" a="1"/>
  <c r="O581" i="5"/>
  <c r="P581" i="5"/>
  <c r="Q581" i="5"/>
  <c r="R581" i="5"/>
  <c r="S581" i="5"/>
  <c r="AB581" i="5"/>
  <c r="B580" i="5"/>
  <c r="E580" i="5"/>
  <c r="F580" i="5"/>
  <c r="I580" i="5"/>
  <c r="J580" i="5"/>
  <c r="K580" i="5" a="1"/>
  <c r="L580" i="5" a="1"/>
  <c r="O580" i="5"/>
  <c r="P580" i="5"/>
  <c r="Q580" i="5"/>
  <c r="R580" i="5"/>
  <c r="S580" i="5"/>
  <c r="AB580" i="5"/>
  <c r="A81" i="4"/>
  <c r="E81" i="4"/>
  <c r="H81" i="4"/>
  <c r="M81" i="4"/>
  <c r="S81" i="4"/>
  <c r="W81" i="4"/>
  <c r="X81" i="4"/>
  <c r="Y81" i="4"/>
  <c r="Z81" i="4"/>
  <c r="AA81" i="4"/>
  <c r="B579" i="5"/>
  <c r="E579" i="5"/>
  <c r="F579" i="5"/>
  <c r="I579" i="5"/>
  <c r="J579" i="5"/>
  <c r="K579" i="5" a="1"/>
  <c r="L579" i="5" a="1"/>
  <c r="O579" i="5"/>
  <c r="P579" i="5"/>
  <c r="Q579" i="5"/>
  <c r="R579" i="5"/>
  <c r="S579" i="5"/>
  <c r="AB579" i="5"/>
  <c r="B578" i="5"/>
  <c r="E578" i="5"/>
  <c r="F578" i="5"/>
  <c r="I578" i="5"/>
  <c r="J578" i="5"/>
  <c r="K578" i="5" a="1"/>
  <c r="L578" i="5" a="1"/>
  <c r="O578" i="5"/>
  <c r="P578" i="5"/>
  <c r="Q578" i="5"/>
  <c r="R578" i="5"/>
  <c r="S578" i="5"/>
  <c r="AB578" i="5"/>
  <c r="A82" i="4"/>
  <c r="E82" i="4"/>
  <c r="H82" i="4"/>
  <c r="M82" i="4"/>
  <c r="S82" i="4"/>
  <c r="W82" i="4"/>
  <c r="X82" i="4"/>
  <c r="Y82" i="4"/>
  <c r="Z82" i="4"/>
  <c r="AA82" i="4"/>
  <c r="B577" i="5"/>
  <c r="E577" i="5"/>
  <c r="F577" i="5"/>
  <c r="I577" i="5"/>
  <c r="J577" i="5"/>
  <c r="K577" i="5" a="1"/>
  <c r="L577" i="5" a="1"/>
  <c r="O577" i="5"/>
  <c r="P577" i="5"/>
  <c r="Q577" i="5"/>
  <c r="R577" i="5"/>
  <c r="S577" i="5"/>
  <c r="AB577" i="5"/>
  <c r="B576" i="5"/>
  <c r="E576" i="5"/>
  <c r="F576" i="5"/>
  <c r="I576" i="5"/>
  <c r="J576" i="5"/>
  <c r="K576" i="5" a="1"/>
  <c r="L576" i="5" a="1"/>
  <c r="O576" i="5"/>
  <c r="P576" i="5"/>
  <c r="Q576" i="5"/>
  <c r="R576" i="5"/>
  <c r="S576" i="5"/>
  <c r="AB576" i="5"/>
  <c r="A83" i="4"/>
  <c r="E83" i="4"/>
  <c r="H83" i="4"/>
  <c r="M83" i="4"/>
  <c r="S83" i="4"/>
  <c r="W83" i="4"/>
  <c r="X83" i="4"/>
  <c r="Y83" i="4"/>
  <c r="Z83" i="4"/>
  <c r="AA83" i="4"/>
  <c r="B575" i="5"/>
  <c r="E575" i="5"/>
  <c r="F575" i="5"/>
  <c r="I575" i="5"/>
  <c r="J575" i="5"/>
  <c r="K575" i="5" a="1"/>
  <c r="L575" i="5" a="1"/>
  <c r="O575" i="5"/>
  <c r="P575" i="5"/>
  <c r="Q575" i="5"/>
  <c r="R575" i="5"/>
  <c r="S575" i="5"/>
  <c r="AB575" i="5"/>
  <c r="B574" i="5"/>
  <c r="E574" i="5"/>
  <c r="F574" i="5"/>
  <c r="I574" i="5"/>
  <c r="J574" i="5"/>
  <c r="K574" i="5" a="1"/>
  <c r="L574" i="5" a="1"/>
  <c r="O574" i="5"/>
  <c r="P574" i="5"/>
  <c r="Q574" i="5"/>
  <c r="R574" i="5"/>
  <c r="S574" i="5"/>
  <c r="AB574" i="5"/>
  <c r="A84" i="4"/>
  <c r="E84" i="4"/>
  <c r="H84" i="4"/>
  <c r="M84" i="4"/>
  <c r="S84" i="4"/>
  <c r="W84" i="4"/>
  <c r="X84" i="4"/>
  <c r="Y84" i="4"/>
  <c r="Z84" i="4"/>
  <c r="AA84" i="4"/>
  <c r="B573" i="5"/>
  <c r="E573" i="5"/>
  <c r="F573" i="5"/>
  <c r="I573" i="5"/>
  <c r="J573" i="5"/>
  <c r="K573" i="5" a="1"/>
  <c r="L573" i="5" a="1"/>
  <c r="O573" i="5"/>
  <c r="P573" i="5"/>
  <c r="Q573" i="5"/>
  <c r="R573" i="5"/>
  <c r="S573" i="5"/>
  <c r="AB573" i="5"/>
  <c r="B572" i="5"/>
  <c r="E572" i="5"/>
  <c r="F572" i="5"/>
  <c r="I572" i="5"/>
  <c r="J572" i="5"/>
  <c r="K572" i="5" a="1"/>
  <c r="L572" i="5" a="1"/>
  <c r="O572" i="5"/>
  <c r="P572" i="5"/>
  <c r="Q572" i="5"/>
  <c r="R572" i="5"/>
  <c r="S572" i="5"/>
  <c r="AB572" i="5"/>
  <c r="A85" i="4"/>
  <c r="E85" i="4"/>
  <c r="H85" i="4"/>
  <c r="M85" i="4"/>
  <c r="S85" i="4"/>
  <c r="W85" i="4"/>
  <c r="X85" i="4"/>
  <c r="Y85" i="4"/>
  <c r="Z85" i="4"/>
  <c r="AA85" i="4"/>
  <c r="B571" i="5"/>
  <c r="E571" i="5"/>
  <c r="F571" i="5"/>
  <c r="I571" i="5"/>
  <c r="J571" i="5"/>
  <c r="K571" i="5" a="1"/>
  <c r="L571" i="5" a="1"/>
  <c r="O571" i="5"/>
  <c r="P571" i="5"/>
  <c r="Q571" i="5"/>
  <c r="R571" i="5"/>
  <c r="S571" i="5"/>
  <c r="AB571" i="5"/>
  <c r="B570" i="5"/>
  <c r="E570" i="5"/>
  <c r="F570" i="5"/>
  <c r="I570" i="5"/>
  <c r="J570" i="5"/>
  <c r="K570" i="5" a="1"/>
  <c r="L570" i="5" a="1"/>
  <c r="O570" i="5"/>
  <c r="P570" i="5"/>
  <c r="Q570" i="5"/>
  <c r="R570" i="5"/>
  <c r="S570" i="5"/>
  <c r="AB570" i="5"/>
  <c r="A86" i="4"/>
  <c r="E86" i="4"/>
  <c r="H86" i="4"/>
  <c r="M86" i="4"/>
  <c r="S86" i="4"/>
  <c r="W86" i="4"/>
  <c r="X86" i="4"/>
  <c r="Y86" i="4"/>
  <c r="Z86" i="4"/>
  <c r="AA86" i="4"/>
  <c r="B569" i="5"/>
  <c r="E569" i="5"/>
  <c r="F569" i="5"/>
  <c r="I569" i="5"/>
  <c r="J569" i="5"/>
  <c r="K569" i="5" a="1"/>
  <c r="L569" i="5" a="1"/>
  <c r="O569" i="5"/>
  <c r="P569" i="5"/>
  <c r="Q569" i="5"/>
  <c r="R569" i="5"/>
  <c r="S569" i="5"/>
  <c r="AB569" i="5"/>
  <c r="B568" i="5"/>
  <c r="E568" i="5"/>
  <c r="F568" i="5"/>
  <c r="I568" i="5"/>
  <c r="J568" i="5"/>
  <c r="K568" i="5" a="1"/>
  <c r="L568" i="5" a="1"/>
  <c r="O568" i="5"/>
  <c r="P568" i="5"/>
  <c r="Q568" i="5"/>
  <c r="R568" i="5"/>
  <c r="S568" i="5"/>
  <c r="AB568" i="5"/>
  <c r="A87" i="4"/>
  <c r="E87" i="4"/>
  <c r="H87" i="4"/>
  <c r="M87" i="4"/>
  <c r="S87" i="4"/>
  <c r="W87" i="4"/>
  <c r="X87" i="4"/>
  <c r="Y87" i="4"/>
  <c r="Z87" i="4"/>
  <c r="AA87" i="4"/>
  <c r="B567" i="5"/>
  <c r="E567" i="5"/>
  <c r="F567" i="5"/>
  <c r="I567" i="5"/>
  <c r="J567" i="5"/>
  <c r="K567" i="5" a="1"/>
  <c r="L567" i="5" a="1"/>
  <c r="O567" i="5"/>
  <c r="P567" i="5"/>
  <c r="Q567" i="5"/>
  <c r="R567" i="5"/>
  <c r="S567" i="5"/>
  <c r="AB567" i="5"/>
  <c r="B566" i="5"/>
  <c r="E566" i="5"/>
  <c r="F566" i="5"/>
  <c r="I566" i="5"/>
  <c r="J566" i="5"/>
  <c r="K566" i="5" a="1"/>
  <c r="L566" i="5" a="1"/>
  <c r="O566" i="5"/>
  <c r="P566" i="5"/>
  <c r="Q566" i="5"/>
  <c r="R566" i="5"/>
  <c r="S566" i="5"/>
  <c r="AB566" i="5"/>
  <c r="A88" i="4"/>
  <c r="E88" i="4"/>
  <c r="H88" i="4"/>
  <c r="M88" i="4"/>
  <c r="S88" i="4"/>
  <c r="W88" i="4"/>
  <c r="X88" i="4"/>
  <c r="Y88" i="4"/>
  <c r="Z88" i="4"/>
  <c r="AA88" i="4"/>
  <c r="B565" i="5"/>
  <c r="E565" i="5"/>
  <c r="F565" i="5"/>
  <c r="I565" i="5"/>
  <c r="J565" i="5"/>
  <c r="K565" i="5" a="1"/>
  <c r="L565" i="5" a="1"/>
  <c r="O565" i="5"/>
  <c r="P565" i="5"/>
  <c r="Q565" i="5"/>
  <c r="R565" i="5"/>
  <c r="S565" i="5"/>
  <c r="AB565" i="5"/>
  <c r="B564" i="5"/>
  <c r="E564" i="5"/>
  <c r="F564" i="5"/>
  <c r="I564" i="5"/>
  <c r="J564" i="5"/>
  <c r="K564" i="5" a="1"/>
  <c r="L564" i="5" a="1"/>
  <c r="O564" i="5"/>
  <c r="P564" i="5"/>
  <c r="Q564" i="5"/>
  <c r="R564" i="5"/>
  <c r="S564" i="5"/>
  <c r="AB564" i="5"/>
  <c r="A89" i="4"/>
  <c r="E89" i="4"/>
  <c r="H89" i="4"/>
  <c r="M89" i="4"/>
  <c r="S89" i="4"/>
  <c r="W89" i="4"/>
  <c r="X89" i="4"/>
  <c r="Y89" i="4"/>
  <c r="Z89" i="4"/>
  <c r="AA89" i="4"/>
  <c r="B563" i="5"/>
  <c r="E563" i="5"/>
  <c r="F563" i="5"/>
  <c r="I563" i="5"/>
  <c r="J563" i="5"/>
  <c r="K563" i="5" a="1"/>
  <c r="L563" i="5" a="1"/>
  <c r="O563" i="5"/>
  <c r="P563" i="5"/>
  <c r="Q563" i="5"/>
  <c r="R563" i="5"/>
  <c r="S563" i="5"/>
  <c r="AB563" i="5"/>
  <c r="B562" i="5"/>
  <c r="E562" i="5"/>
  <c r="F562" i="5"/>
  <c r="I562" i="5"/>
  <c r="J562" i="5"/>
  <c r="K562" i="5" a="1"/>
  <c r="L562" i="5" a="1"/>
  <c r="O562" i="5"/>
  <c r="P562" i="5"/>
  <c r="Q562" i="5"/>
  <c r="R562" i="5"/>
  <c r="S562" i="5"/>
  <c r="AB562" i="5"/>
  <c r="A90" i="4"/>
  <c r="E90" i="4"/>
  <c r="H90" i="4"/>
  <c r="M90" i="4"/>
  <c r="S90" i="4"/>
  <c r="W90" i="4"/>
  <c r="X90" i="4"/>
  <c r="Y90" i="4"/>
  <c r="Z90" i="4"/>
  <c r="AA90" i="4"/>
  <c r="B561" i="5"/>
  <c r="E561" i="5"/>
  <c r="F561" i="5"/>
  <c r="I561" i="5"/>
  <c r="J561" i="5"/>
  <c r="K561" i="5" a="1"/>
  <c r="L561" i="5" a="1"/>
  <c r="O561" i="5"/>
  <c r="P561" i="5"/>
  <c r="Q561" i="5"/>
  <c r="R561" i="5"/>
  <c r="S561" i="5"/>
  <c r="AB561" i="5"/>
  <c r="B560" i="5"/>
  <c r="E560" i="5"/>
  <c r="F560" i="5"/>
  <c r="I560" i="5"/>
  <c r="J560" i="5"/>
  <c r="K560" i="5" a="1"/>
  <c r="L560" i="5" a="1"/>
  <c r="O560" i="5"/>
  <c r="P560" i="5"/>
  <c r="Q560" i="5"/>
  <c r="R560" i="5"/>
  <c r="S560" i="5"/>
  <c r="AB560" i="5"/>
  <c r="A91" i="4"/>
  <c r="E91" i="4"/>
  <c r="H91" i="4"/>
  <c r="M91" i="4"/>
  <c r="S91" i="4"/>
  <c r="W91" i="4"/>
  <c r="X91" i="4"/>
  <c r="Y91" i="4"/>
  <c r="Z91" i="4"/>
  <c r="AA91" i="4"/>
  <c r="B559" i="5"/>
  <c r="E559" i="5"/>
  <c r="F559" i="5"/>
  <c r="I559" i="5"/>
  <c r="J559" i="5"/>
  <c r="K559" i="5" a="1"/>
  <c r="L559" i="5" a="1"/>
  <c r="O559" i="5"/>
  <c r="P559" i="5"/>
  <c r="Q559" i="5"/>
  <c r="R559" i="5"/>
  <c r="S559" i="5"/>
  <c r="AB559" i="5"/>
  <c r="B558" i="5"/>
  <c r="E558" i="5"/>
  <c r="F558" i="5"/>
  <c r="I558" i="5"/>
  <c r="J558" i="5"/>
  <c r="K558" i="5" a="1"/>
  <c r="L558" i="5" a="1"/>
  <c r="O558" i="5"/>
  <c r="P558" i="5"/>
  <c r="Q558" i="5"/>
  <c r="R558" i="5"/>
  <c r="S558" i="5"/>
  <c r="AB558" i="5"/>
  <c r="A92" i="4"/>
  <c r="E92" i="4"/>
  <c r="H92" i="4"/>
  <c r="M92" i="4"/>
  <c r="S92" i="4"/>
  <c r="W92" i="4"/>
  <c r="X92" i="4"/>
  <c r="Y92" i="4"/>
  <c r="Z92" i="4"/>
  <c r="AA92" i="4"/>
  <c r="B557" i="5"/>
  <c r="E557" i="5"/>
  <c r="F557" i="5"/>
  <c r="I557" i="5"/>
  <c r="J557" i="5"/>
  <c r="K557" i="5" a="1"/>
  <c r="L557" i="5" a="1"/>
  <c r="O557" i="5"/>
  <c r="P557" i="5"/>
  <c r="Q557" i="5"/>
  <c r="R557" i="5"/>
  <c r="S557" i="5"/>
  <c r="AB557" i="5"/>
  <c r="B556" i="5"/>
  <c r="E556" i="5"/>
  <c r="F556" i="5"/>
  <c r="I556" i="5"/>
  <c r="J556" i="5"/>
  <c r="K556" i="5" a="1"/>
  <c r="L556" i="5" a="1"/>
  <c r="O556" i="5"/>
  <c r="P556" i="5"/>
  <c r="Q556" i="5"/>
  <c r="R556" i="5"/>
  <c r="S556" i="5"/>
  <c r="AB556" i="5"/>
  <c r="A93" i="4"/>
  <c r="E93" i="4"/>
  <c r="H93" i="4"/>
  <c r="M93" i="4"/>
  <c r="S93" i="4"/>
  <c r="W93" i="4"/>
  <c r="X93" i="4"/>
  <c r="Y93" i="4"/>
  <c r="Z93" i="4"/>
  <c r="AA93" i="4"/>
  <c r="B555" i="5"/>
  <c r="E555" i="5"/>
  <c r="F555" i="5"/>
  <c r="I555" i="5"/>
  <c r="J555" i="5"/>
  <c r="K555" i="5" a="1"/>
  <c r="L555" i="5" a="1"/>
  <c r="O555" i="5"/>
  <c r="P555" i="5"/>
  <c r="Q555" i="5"/>
  <c r="R555" i="5"/>
  <c r="S555" i="5"/>
  <c r="AB555" i="5"/>
  <c r="B554" i="5"/>
  <c r="E554" i="5"/>
  <c r="F554" i="5"/>
  <c r="I554" i="5"/>
  <c r="J554" i="5"/>
  <c r="K554" i="5" a="1"/>
  <c r="L554" i="5" a="1"/>
  <c r="O554" i="5"/>
  <c r="P554" i="5"/>
  <c r="Q554" i="5"/>
  <c r="R554" i="5"/>
  <c r="S554" i="5"/>
  <c r="AB554" i="5"/>
  <c r="A94" i="4"/>
  <c r="E94" i="4"/>
  <c r="H94" i="4"/>
  <c r="M94" i="4"/>
  <c r="S94" i="4"/>
  <c r="W94" i="4"/>
  <c r="X94" i="4"/>
  <c r="Y94" i="4"/>
  <c r="Z94" i="4"/>
  <c r="AA94" i="4"/>
  <c r="B553" i="5"/>
  <c r="E553" i="5"/>
  <c r="F553" i="5"/>
  <c r="I553" i="5"/>
  <c r="J553" i="5"/>
  <c r="K553" i="5" a="1"/>
  <c r="L553" i="5" a="1"/>
  <c r="O553" i="5"/>
  <c r="P553" i="5"/>
  <c r="Q553" i="5"/>
  <c r="R553" i="5"/>
  <c r="S553" i="5"/>
  <c r="AB553" i="5"/>
  <c r="B552" i="5"/>
  <c r="E552" i="5"/>
  <c r="F552" i="5"/>
  <c r="I552" i="5"/>
  <c r="J552" i="5"/>
  <c r="K552" i="5" a="1"/>
  <c r="L552" i="5" a="1"/>
  <c r="O552" i="5"/>
  <c r="P552" i="5"/>
  <c r="Q552" i="5"/>
  <c r="R552" i="5"/>
  <c r="S552" i="5"/>
  <c r="AB552" i="5"/>
  <c r="A95" i="4"/>
  <c r="E95" i="4"/>
  <c r="H95" i="4"/>
  <c r="M95" i="4"/>
  <c r="S95" i="4"/>
  <c r="W95" i="4"/>
  <c r="X95" i="4"/>
  <c r="Y95" i="4"/>
  <c r="Z95" i="4"/>
  <c r="AA95" i="4"/>
  <c r="B551" i="5"/>
  <c r="E551" i="5"/>
  <c r="F551" i="5"/>
  <c r="I551" i="5"/>
  <c r="J551" i="5"/>
  <c r="K551" i="5" a="1"/>
  <c r="L551" i="5" a="1"/>
  <c r="O551" i="5"/>
  <c r="P551" i="5"/>
  <c r="Q551" i="5"/>
  <c r="R551" i="5"/>
  <c r="S551" i="5"/>
  <c r="AB551" i="5"/>
  <c r="B550" i="5"/>
  <c r="E550" i="5"/>
  <c r="F550" i="5"/>
  <c r="I550" i="5"/>
  <c r="J550" i="5"/>
  <c r="O550" i="5"/>
  <c r="P550" i="5"/>
  <c r="Q550" i="5"/>
  <c r="R550" i="5"/>
  <c r="S550" i="5"/>
  <c r="AB550" i="5"/>
  <c r="A96" i="4"/>
  <c r="E96" i="4"/>
  <c r="H96" i="4"/>
  <c r="M96" i="4"/>
  <c r="S96" i="4"/>
  <c r="W96" i="4"/>
  <c r="X96" i="4"/>
  <c r="Y96" i="4"/>
  <c r="Z96" i="4"/>
  <c r="AA96" i="4"/>
  <c r="AB179" i="5"/>
  <c r="O499" i="5"/>
  <c r="B549" i="5"/>
  <c r="E549" i="5"/>
  <c r="F549" i="5"/>
  <c r="I549" i="5"/>
  <c r="J549" i="5"/>
  <c r="K549" i="5" a="1"/>
  <c r="L549" i="5" a="1"/>
  <c r="O549" i="5"/>
  <c r="P549" i="5"/>
  <c r="Q549" i="5"/>
  <c r="R549" i="5"/>
  <c r="S549" i="5"/>
  <c r="AB549" i="5"/>
  <c r="B548" i="5"/>
  <c r="E548" i="5"/>
  <c r="F548" i="5"/>
  <c r="I548" i="5"/>
  <c r="J548" i="5"/>
  <c r="K548" i="5" a="1"/>
  <c r="L548" i="5" a="1"/>
  <c r="O548" i="5"/>
  <c r="P548" i="5"/>
  <c r="Q548" i="5"/>
  <c r="R548" i="5"/>
  <c r="S548" i="5"/>
  <c r="AB548" i="5"/>
  <c r="A97" i="4"/>
  <c r="E97" i="4"/>
  <c r="H97" i="4"/>
  <c r="M97" i="4"/>
  <c r="S97" i="4"/>
  <c r="W97" i="4"/>
  <c r="X97" i="4"/>
  <c r="Y97" i="4"/>
  <c r="Z97" i="4"/>
  <c r="AA97" i="4"/>
  <c r="B547" i="5"/>
  <c r="E547" i="5"/>
  <c r="F547" i="5"/>
  <c r="I547" i="5"/>
  <c r="J547" i="5"/>
  <c r="K547" i="5" a="1"/>
  <c r="L547" i="5" a="1"/>
  <c r="O547" i="5"/>
  <c r="P547" i="5"/>
  <c r="Q547" i="5"/>
  <c r="R547" i="5"/>
  <c r="S547" i="5"/>
  <c r="AB547" i="5"/>
  <c r="B546" i="5"/>
  <c r="E546" i="5"/>
  <c r="F546" i="5"/>
  <c r="I546" i="5"/>
  <c r="J546" i="5"/>
  <c r="K546" i="5" a="1"/>
  <c r="L546" i="5" a="1"/>
  <c r="O546" i="5"/>
  <c r="P546" i="5"/>
  <c r="Q546" i="5"/>
  <c r="R546" i="5"/>
  <c r="S546" i="5"/>
  <c r="AB546" i="5"/>
  <c r="A98" i="4"/>
  <c r="E98" i="4"/>
  <c r="H98" i="4"/>
  <c r="M98" i="4"/>
  <c r="S98" i="4"/>
  <c r="W98" i="4"/>
  <c r="X98" i="4"/>
  <c r="Y98" i="4"/>
  <c r="Z98" i="4"/>
  <c r="AA98" i="4"/>
  <c r="B545" i="5"/>
  <c r="E545" i="5"/>
  <c r="F545" i="5"/>
  <c r="I545" i="5"/>
  <c r="J545" i="5"/>
  <c r="K545" i="5" a="1"/>
  <c r="L545" i="5" a="1"/>
  <c r="O545" i="5"/>
  <c r="P545" i="5"/>
  <c r="Q545" i="5"/>
  <c r="R545" i="5"/>
  <c r="S545" i="5"/>
  <c r="AB545" i="5"/>
  <c r="B544" i="5"/>
  <c r="E544" i="5"/>
  <c r="F544" i="5"/>
  <c r="I544" i="5"/>
  <c r="J544" i="5"/>
  <c r="K544" i="5" a="1"/>
  <c r="L544" i="5" a="1"/>
  <c r="O544" i="5"/>
  <c r="P544" i="5"/>
  <c r="Q544" i="5"/>
  <c r="R544" i="5"/>
  <c r="S544" i="5"/>
  <c r="AB544" i="5"/>
  <c r="A99" i="4"/>
  <c r="E99" i="4"/>
  <c r="H99" i="4"/>
  <c r="M99" i="4"/>
  <c r="S99" i="4"/>
  <c r="W99" i="4"/>
  <c r="X99" i="4"/>
  <c r="Y99" i="4"/>
  <c r="Z99" i="4"/>
  <c r="AA99" i="4"/>
  <c r="B543" i="5"/>
  <c r="E543" i="5"/>
  <c r="F543" i="5"/>
  <c r="I543" i="5"/>
  <c r="J543" i="5"/>
  <c r="K543" i="5" a="1"/>
  <c r="L543" i="5" a="1"/>
  <c r="O543" i="5"/>
  <c r="P543" i="5"/>
  <c r="Q543" i="5"/>
  <c r="R543" i="5"/>
  <c r="S543" i="5"/>
  <c r="AB543" i="5"/>
  <c r="B542" i="5"/>
  <c r="E542" i="5"/>
  <c r="F542" i="5"/>
  <c r="I542" i="5"/>
  <c r="J542" i="5"/>
  <c r="K542" i="5" a="1"/>
  <c r="L542" i="5" a="1"/>
  <c r="O542" i="5"/>
  <c r="P542" i="5"/>
  <c r="Q542" i="5"/>
  <c r="R542" i="5"/>
  <c r="S542" i="5"/>
  <c r="AB542" i="5"/>
  <c r="A100" i="4"/>
  <c r="E100" i="4"/>
  <c r="H100" i="4"/>
  <c r="M100" i="4"/>
  <c r="S100" i="4"/>
  <c r="W100" i="4"/>
  <c r="X100" i="4"/>
  <c r="Y100" i="4"/>
  <c r="Z100" i="4"/>
  <c r="AA100" i="4"/>
  <c r="B541" i="5"/>
  <c r="E541" i="5"/>
  <c r="F541" i="5"/>
  <c r="I541" i="5"/>
  <c r="J541" i="5"/>
  <c r="K541" i="5" a="1"/>
  <c r="L541" i="5" a="1"/>
  <c r="O541" i="5"/>
  <c r="P541" i="5"/>
  <c r="Q541" i="5"/>
  <c r="R541" i="5"/>
  <c r="S541" i="5"/>
  <c r="AB541" i="5"/>
  <c r="B540" i="5"/>
  <c r="E540" i="5"/>
  <c r="F540" i="5"/>
  <c r="I540" i="5"/>
  <c r="J540" i="5"/>
  <c r="K540" i="5" a="1"/>
  <c r="L540" i="5" a="1"/>
  <c r="O540" i="5"/>
  <c r="P540" i="5"/>
  <c r="Q540" i="5"/>
  <c r="R540" i="5"/>
  <c r="S540" i="5"/>
  <c r="AB540" i="5"/>
  <c r="A101" i="4"/>
  <c r="E101" i="4"/>
  <c r="H101" i="4"/>
  <c r="M101" i="4"/>
  <c r="S101" i="4"/>
  <c r="W101" i="4"/>
  <c r="X101" i="4"/>
  <c r="Y101" i="4"/>
  <c r="Z101" i="4"/>
  <c r="AA101" i="4"/>
  <c r="B539" i="5"/>
  <c r="E539" i="5"/>
  <c r="F539" i="5"/>
  <c r="I539" i="5"/>
  <c r="J539" i="5"/>
  <c r="K539" i="5" a="1"/>
  <c r="L539" i="5" a="1"/>
  <c r="O539" i="5"/>
  <c r="P539" i="5"/>
  <c r="Q539" i="5"/>
  <c r="R539" i="5"/>
  <c r="S539" i="5"/>
  <c r="AB539" i="5"/>
  <c r="B538" i="5"/>
  <c r="E538" i="5"/>
  <c r="F538" i="5"/>
  <c r="I538" i="5"/>
  <c r="J538" i="5"/>
  <c r="K538" i="5" a="1"/>
  <c r="L538" i="5" a="1"/>
  <c r="O538" i="5"/>
  <c r="P538" i="5"/>
  <c r="Q538" i="5"/>
  <c r="R538" i="5"/>
  <c r="S538" i="5"/>
  <c r="AB538" i="5"/>
  <c r="A102" i="4"/>
  <c r="E102" i="4"/>
  <c r="H102" i="4"/>
  <c r="M102" i="4"/>
  <c r="S102" i="4"/>
  <c r="W102" i="4"/>
  <c r="X102" i="4"/>
  <c r="Y102" i="4"/>
  <c r="Z102" i="4"/>
  <c r="AA102" i="4"/>
  <c r="B537" i="5"/>
  <c r="E537" i="5"/>
  <c r="F537" i="5"/>
  <c r="I537" i="5"/>
  <c r="J537" i="5"/>
  <c r="K537" i="5" a="1"/>
  <c r="L537" i="5" a="1"/>
  <c r="O537" i="5"/>
  <c r="P537" i="5"/>
  <c r="Q537" i="5"/>
  <c r="R537" i="5"/>
  <c r="S537" i="5"/>
  <c r="AB537" i="5"/>
  <c r="B536" i="5"/>
  <c r="E536" i="5"/>
  <c r="F536" i="5"/>
  <c r="I536" i="5"/>
  <c r="J536" i="5"/>
  <c r="K536" i="5" a="1"/>
  <c r="L536" i="5" a="1"/>
  <c r="O536" i="5"/>
  <c r="P536" i="5"/>
  <c r="Q536" i="5"/>
  <c r="R536" i="5"/>
  <c r="S536" i="5"/>
  <c r="AB536" i="5"/>
  <c r="A103" i="4"/>
  <c r="E103" i="4"/>
  <c r="H103" i="4"/>
  <c r="M103" i="4"/>
  <c r="S103" i="4"/>
  <c r="W103" i="4"/>
  <c r="X103" i="4"/>
  <c r="Y103" i="4"/>
  <c r="Z103" i="4"/>
  <c r="AA103" i="4"/>
  <c r="B535" i="5"/>
  <c r="E535" i="5"/>
  <c r="F535" i="5"/>
  <c r="I535" i="5"/>
  <c r="J535" i="5"/>
  <c r="K535" i="5" a="1"/>
  <c r="L535" i="5" a="1"/>
  <c r="O535" i="5"/>
  <c r="P535" i="5"/>
  <c r="Q535" i="5"/>
  <c r="R535" i="5"/>
  <c r="S535" i="5"/>
  <c r="AB535" i="5"/>
  <c r="B534" i="5"/>
  <c r="E534" i="5"/>
  <c r="F534" i="5"/>
  <c r="I534" i="5"/>
  <c r="J534" i="5"/>
  <c r="K534" i="5" a="1"/>
  <c r="L534" i="5" a="1"/>
  <c r="O534" i="5"/>
  <c r="P534" i="5"/>
  <c r="Q534" i="5"/>
  <c r="R534" i="5"/>
  <c r="S534" i="5"/>
  <c r="AB534" i="5"/>
  <c r="A104" i="4"/>
  <c r="E104" i="4"/>
  <c r="H104" i="4"/>
  <c r="M104" i="4"/>
  <c r="S104" i="4"/>
  <c r="W104" i="4"/>
  <c r="X104" i="4"/>
  <c r="Y104" i="4"/>
  <c r="Z104" i="4"/>
  <c r="AA104" i="4"/>
  <c r="B533" i="5"/>
  <c r="E533" i="5"/>
  <c r="F533" i="5"/>
  <c r="I533" i="5"/>
  <c r="J533" i="5"/>
  <c r="K533" i="5" a="1"/>
  <c r="L533" i="5" a="1"/>
  <c r="O533" i="5"/>
  <c r="P533" i="5"/>
  <c r="Q533" i="5"/>
  <c r="R533" i="5"/>
  <c r="S533" i="5"/>
  <c r="AB533" i="5"/>
  <c r="B532" i="5"/>
  <c r="E532" i="5"/>
  <c r="F532" i="5"/>
  <c r="I532" i="5"/>
  <c r="J532" i="5"/>
  <c r="K532" i="5" a="1"/>
  <c r="L532" i="5" a="1"/>
  <c r="O532" i="5"/>
  <c r="P532" i="5"/>
  <c r="Q532" i="5"/>
  <c r="R532" i="5"/>
  <c r="S532" i="5"/>
  <c r="AB532" i="5"/>
  <c r="A105" i="4"/>
  <c r="E105" i="4"/>
  <c r="H105" i="4"/>
  <c r="M105" i="4"/>
  <c r="S105" i="4"/>
  <c r="W105" i="4"/>
  <c r="X105" i="4"/>
  <c r="Y105" i="4"/>
  <c r="Z105" i="4"/>
  <c r="AA105" i="4"/>
  <c r="B531" i="5"/>
  <c r="E531" i="5"/>
  <c r="F531" i="5"/>
  <c r="I531" i="5"/>
  <c r="J531" i="5"/>
  <c r="K531" i="5" a="1"/>
  <c r="L531" i="5" a="1"/>
  <c r="O531" i="5"/>
  <c r="P531" i="5"/>
  <c r="Q531" i="5"/>
  <c r="R531" i="5"/>
  <c r="S531" i="5"/>
  <c r="AB531" i="5"/>
  <c r="B530" i="5"/>
  <c r="E530" i="5"/>
  <c r="F530" i="5"/>
  <c r="I530" i="5"/>
  <c r="J530" i="5"/>
  <c r="K530" i="5" a="1"/>
  <c r="L530" i="5" a="1"/>
  <c r="O530" i="5"/>
  <c r="P530" i="5"/>
  <c r="Q530" i="5"/>
  <c r="R530" i="5"/>
  <c r="S530" i="5"/>
  <c r="AB530" i="5"/>
  <c r="A106" i="4"/>
  <c r="E106" i="4"/>
  <c r="H106" i="4"/>
  <c r="M106" i="4"/>
  <c r="S106" i="4"/>
  <c r="W106" i="4"/>
  <c r="X106" i="4"/>
  <c r="Y106" i="4"/>
  <c r="Z106" i="4"/>
  <c r="AA106" i="4"/>
  <c r="B529" i="5"/>
  <c r="E529" i="5"/>
  <c r="F529" i="5"/>
  <c r="I529" i="5"/>
  <c r="J529" i="5"/>
  <c r="K529" i="5" a="1"/>
  <c r="L529" i="5" a="1"/>
  <c r="O529" i="5"/>
  <c r="P529" i="5"/>
  <c r="Q529" i="5"/>
  <c r="R529" i="5"/>
  <c r="S529" i="5"/>
  <c r="AB529" i="5"/>
  <c r="B528" i="5"/>
  <c r="E528" i="5"/>
  <c r="F528" i="5"/>
  <c r="I528" i="5"/>
  <c r="J528" i="5"/>
  <c r="K528" i="5" a="1"/>
  <c r="L528" i="5" a="1"/>
  <c r="O528" i="5"/>
  <c r="P528" i="5"/>
  <c r="Q528" i="5"/>
  <c r="R528" i="5"/>
  <c r="S528" i="5"/>
  <c r="AB528" i="5"/>
  <c r="A107" i="4"/>
  <c r="E107" i="4"/>
  <c r="H107" i="4"/>
  <c r="M107" i="4"/>
  <c r="S107" i="4"/>
  <c r="W107" i="4"/>
  <c r="X107" i="4"/>
  <c r="Y107" i="4"/>
  <c r="Z107" i="4"/>
  <c r="AA107" i="4"/>
  <c r="B527" i="5"/>
  <c r="E527" i="5"/>
  <c r="F527" i="5"/>
  <c r="I527" i="5"/>
  <c r="J527" i="5"/>
  <c r="K527" i="5" a="1"/>
  <c r="L527" i="5" a="1"/>
  <c r="O527" i="5"/>
  <c r="P527" i="5"/>
  <c r="Q527" i="5"/>
  <c r="R527" i="5"/>
  <c r="S527" i="5"/>
  <c r="AB527" i="5"/>
  <c r="B526" i="5"/>
  <c r="E526" i="5"/>
  <c r="F526" i="5"/>
  <c r="I526" i="5"/>
  <c r="J526" i="5"/>
  <c r="K526" i="5" a="1"/>
  <c r="L526" i="5" a="1"/>
  <c r="O526" i="5"/>
  <c r="P526" i="5"/>
  <c r="Q526" i="5"/>
  <c r="R526" i="5"/>
  <c r="S526" i="5"/>
  <c r="AB526" i="5"/>
  <c r="A108" i="4"/>
  <c r="E108" i="4"/>
  <c r="H108" i="4"/>
  <c r="M108" i="4"/>
  <c r="S108" i="4"/>
  <c r="W108" i="4"/>
  <c r="X108" i="4"/>
  <c r="Y108" i="4"/>
  <c r="Z108" i="4"/>
  <c r="AA108" i="4"/>
  <c r="B525" i="5"/>
  <c r="E525" i="5"/>
  <c r="F525" i="5"/>
  <c r="I525" i="5"/>
  <c r="J525" i="5"/>
  <c r="K525" i="5" a="1"/>
  <c r="L525" i="5" a="1"/>
  <c r="O525" i="5"/>
  <c r="P525" i="5"/>
  <c r="Q525" i="5"/>
  <c r="R525" i="5"/>
  <c r="S525" i="5"/>
  <c r="AB525" i="5"/>
  <c r="B524" i="5"/>
  <c r="E524" i="5"/>
  <c r="F524" i="5"/>
  <c r="I524" i="5"/>
  <c r="J524" i="5"/>
  <c r="K524" i="5" a="1"/>
  <c r="L524" i="5" a="1"/>
  <c r="O524" i="5"/>
  <c r="P524" i="5"/>
  <c r="Q524" i="5"/>
  <c r="R524" i="5"/>
  <c r="S524" i="5"/>
  <c r="AB524" i="5"/>
  <c r="A109" i="4"/>
  <c r="E109" i="4"/>
  <c r="H109" i="4"/>
  <c r="M109" i="4"/>
  <c r="S109" i="4"/>
  <c r="W109" i="4"/>
  <c r="X109" i="4"/>
  <c r="Y109" i="4"/>
  <c r="Z109" i="4"/>
  <c r="AA109" i="4"/>
  <c r="B523" i="5"/>
  <c r="E523" i="5"/>
  <c r="F523" i="5"/>
  <c r="I523" i="5"/>
  <c r="J523" i="5"/>
  <c r="K523" i="5" a="1"/>
  <c r="L523" i="5" a="1"/>
  <c r="O523" i="5"/>
  <c r="P523" i="5"/>
  <c r="Q523" i="5"/>
  <c r="R523" i="5"/>
  <c r="S523" i="5"/>
  <c r="AB523" i="5"/>
  <c r="B522" i="5"/>
  <c r="E522" i="5"/>
  <c r="F522" i="5"/>
  <c r="I522" i="5"/>
  <c r="J522" i="5"/>
  <c r="K522" i="5" a="1"/>
  <c r="L522" i="5" a="1"/>
  <c r="O522" i="5"/>
  <c r="P522" i="5"/>
  <c r="Q522" i="5"/>
  <c r="R522" i="5"/>
  <c r="S522" i="5"/>
  <c r="AB522" i="5"/>
  <c r="A110" i="4"/>
  <c r="E110" i="4"/>
  <c r="H110" i="4"/>
  <c r="M110" i="4"/>
  <c r="S110" i="4"/>
  <c r="W110" i="4"/>
  <c r="X110" i="4"/>
  <c r="Y110" i="4"/>
  <c r="Z110" i="4"/>
  <c r="AA110" i="4"/>
  <c r="B521" i="5"/>
  <c r="E521" i="5"/>
  <c r="F521" i="5"/>
  <c r="I521" i="5"/>
  <c r="J521" i="5"/>
  <c r="K521" i="5" a="1"/>
  <c r="L521" i="5" a="1"/>
  <c r="O521" i="5"/>
  <c r="P521" i="5"/>
  <c r="Q521" i="5"/>
  <c r="R521" i="5"/>
  <c r="S521" i="5"/>
  <c r="AB521" i="5"/>
  <c r="B520" i="5"/>
  <c r="E520" i="5"/>
  <c r="F520" i="5"/>
  <c r="I520" i="5"/>
  <c r="J520" i="5"/>
  <c r="K520" i="5" a="1"/>
  <c r="L520" i="5" a="1"/>
  <c r="O520" i="5"/>
  <c r="P520" i="5"/>
  <c r="Q520" i="5"/>
  <c r="R520" i="5"/>
  <c r="S520" i="5"/>
  <c r="AB520" i="5"/>
  <c r="A111" i="4"/>
  <c r="E111" i="4"/>
  <c r="H111" i="4"/>
  <c r="M111" i="4"/>
  <c r="S111" i="4"/>
  <c r="W111" i="4"/>
  <c r="X111" i="4"/>
  <c r="Y111" i="4"/>
  <c r="Z111" i="4"/>
  <c r="AA111" i="4"/>
  <c r="B519" i="5"/>
  <c r="E519" i="5"/>
  <c r="F519" i="5"/>
  <c r="I519" i="5"/>
  <c r="J519" i="5"/>
  <c r="K519" i="5" a="1"/>
  <c r="L519" i="5" a="1"/>
  <c r="O519" i="5"/>
  <c r="P519" i="5"/>
  <c r="Q519" i="5"/>
  <c r="R519" i="5"/>
  <c r="S519" i="5"/>
  <c r="AB519" i="5"/>
  <c r="B518" i="5"/>
  <c r="E518" i="5"/>
  <c r="F518" i="5"/>
  <c r="I518" i="5"/>
  <c r="J518" i="5"/>
  <c r="K518" i="5" a="1"/>
  <c r="L518" i="5" a="1"/>
  <c r="O518" i="5"/>
  <c r="P518" i="5"/>
  <c r="Q518" i="5"/>
  <c r="R518" i="5"/>
  <c r="S518" i="5"/>
  <c r="AB518" i="5"/>
  <c r="A112" i="4"/>
  <c r="E112" i="4"/>
  <c r="H112" i="4"/>
  <c r="M112" i="4"/>
  <c r="S112" i="4"/>
  <c r="W112" i="4"/>
  <c r="X112" i="4"/>
  <c r="Y112" i="4"/>
  <c r="Z112" i="4"/>
  <c r="AA112" i="4"/>
  <c r="B517" i="5"/>
  <c r="E517" i="5"/>
  <c r="F517" i="5"/>
  <c r="I517" i="5"/>
  <c r="J517" i="5"/>
  <c r="K517" i="5" a="1"/>
  <c r="L517" i="5" a="1"/>
  <c r="O517" i="5"/>
  <c r="P517" i="5"/>
  <c r="Q517" i="5"/>
  <c r="R517" i="5"/>
  <c r="S517" i="5"/>
  <c r="AB517" i="5"/>
  <c r="B516" i="5"/>
  <c r="E516" i="5"/>
  <c r="F516" i="5"/>
  <c r="I516" i="5"/>
  <c r="J516" i="5"/>
  <c r="K516" i="5" a="1"/>
  <c r="L516" i="5" a="1"/>
  <c r="O516" i="5"/>
  <c r="P516" i="5"/>
  <c r="Q516" i="5"/>
  <c r="R516" i="5"/>
  <c r="S516" i="5"/>
  <c r="AB516" i="5"/>
  <c r="A113" i="4"/>
  <c r="E113" i="4"/>
  <c r="H113" i="4"/>
  <c r="M113" i="4"/>
  <c r="S113" i="4"/>
  <c r="W113" i="4"/>
  <c r="X113" i="4"/>
  <c r="Y113" i="4"/>
  <c r="Z113" i="4"/>
  <c r="AA113" i="4"/>
  <c r="B515" i="5"/>
  <c r="E515" i="5"/>
  <c r="F515" i="5"/>
  <c r="I515" i="5"/>
  <c r="J515" i="5"/>
  <c r="K515" i="5" a="1"/>
  <c r="L515" i="5" a="1"/>
  <c r="O515" i="5"/>
  <c r="P515" i="5"/>
  <c r="Q515" i="5"/>
  <c r="R515" i="5"/>
  <c r="S515" i="5"/>
  <c r="AB515" i="5"/>
  <c r="B514" i="5"/>
  <c r="E514" i="5"/>
  <c r="F514" i="5"/>
  <c r="I514" i="5"/>
  <c r="J514" i="5"/>
  <c r="K514" i="5" a="1"/>
  <c r="L514" i="5" a="1"/>
  <c r="O514" i="5"/>
  <c r="P514" i="5"/>
  <c r="Q514" i="5"/>
  <c r="R514" i="5"/>
  <c r="S514" i="5"/>
  <c r="AB514" i="5"/>
  <c r="A114" i="4"/>
  <c r="E114" i="4"/>
  <c r="H114" i="4"/>
  <c r="M114" i="4"/>
  <c r="S114" i="4"/>
  <c r="W114" i="4"/>
  <c r="X114" i="4"/>
  <c r="Y114" i="4"/>
  <c r="Z114" i="4"/>
  <c r="AA114" i="4"/>
  <c r="B513" i="5"/>
  <c r="E513" i="5"/>
  <c r="F513" i="5"/>
  <c r="I513" i="5"/>
  <c r="J513" i="5"/>
  <c r="K513" i="5" a="1"/>
  <c r="L513" i="5" a="1"/>
  <c r="O513" i="5"/>
  <c r="P513" i="5"/>
  <c r="Q513" i="5"/>
  <c r="R513" i="5"/>
  <c r="S513" i="5"/>
  <c r="AB513" i="5"/>
  <c r="B512" i="5"/>
  <c r="E512" i="5"/>
  <c r="F512" i="5"/>
  <c r="I512" i="5"/>
  <c r="J512" i="5"/>
  <c r="K512" i="5" a="1"/>
  <c r="L512" i="5" a="1"/>
  <c r="O512" i="5"/>
  <c r="P512" i="5"/>
  <c r="Q512" i="5"/>
  <c r="R512" i="5"/>
  <c r="S512" i="5"/>
  <c r="AB512" i="5"/>
  <c r="A115" i="4"/>
  <c r="E115" i="4"/>
  <c r="H115" i="4"/>
  <c r="M115" i="4"/>
  <c r="S115" i="4"/>
  <c r="W115" i="4"/>
  <c r="X115" i="4"/>
  <c r="Y115" i="4"/>
  <c r="Z115" i="4"/>
  <c r="AA115" i="4"/>
  <c r="B511" i="5"/>
  <c r="E511" i="5"/>
  <c r="F511" i="5"/>
  <c r="I511" i="5"/>
  <c r="J511" i="5"/>
  <c r="K511" i="5" a="1"/>
  <c r="L511" i="5" a="1"/>
  <c r="O511" i="5"/>
  <c r="P511" i="5"/>
  <c r="Q511" i="5"/>
  <c r="R511" i="5"/>
  <c r="S511" i="5"/>
  <c r="AB511" i="5"/>
  <c r="B510" i="5"/>
  <c r="E510" i="5"/>
  <c r="F510" i="5"/>
  <c r="I510" i="5"/>
  <c r="J510" i="5"/>
  <c r="K510" i="5" a="1"/>
  <c r="L510" i="5" a="1"/>
  <c r="O510" i="5"/>
  <c r="P510" i="5"/>
  <c r="Q510" i="5"/>
  <c r="R510" i="5"/>
  <c r="S510" i="5"/>
  <c r="AB510" i="5"/>
  <c r="A116" i="4"/>
  <c r="E116" i="4"/>
  <c r="H116" i="4"/>
  <c r="M116" i="4"/>
  <c r="S116" i="4"/>
  <c r="W116" i="4"/>
  <c r="X116" i="4"/>
  <c r="Y116" i="4"/>
  <c r="Z116" i="4"/>
  <c r="AA116" i="4"/>
  <c r="B509" i="5"/>
  <c r="E509" i="5"/>
  <c r="F509" i="5"/>
  <c r="I509" i="5"/>
  <c r="J509" i="5"/>
  <c r="K509" i="5" a="1"/>
  <c r="L509" i="5" a="1"/>
  <c r="O509" i="5"/>
  <c r="P509" i="5"/>
  <c r="Q509" i="5"/>
  <c r="R509" i="5"/>
  <c r="S509" i="5"/>
  <c r="AB509" i="5"/>
  <c r="B508" i="5"/>
  <c r="E508" i="5"/>
  <c r="F508" i="5"/>
  <c r="I508" i="5"/>
  <c r="J508" i="5"/>
  <c r="K508" i="5" a="1"/>
  <c r="L508" i="5" a="1"/>
  <c r="O508" i="5"/>
  <c r="P508" i="5"/>
  <c r="Q508" i="5"/>
  <c r="R508" i="5"/>
  <c r="S508" i="5"/>
  <c r="AB508" i="5"/>
  <c r="A117" i="4"/>
  <c r="E117" i="4"/>
  <c r="H117" i="4"/>
  <c r="M117" i="4"/>
  <c r="S117" i="4"/>
  <c r="W117" i="4"/>
  <c r="X117" i="4"/>
  <c r="Y117" i="4"/>
  <c r="Z117" i="4"/>
  <c r="AA117" i="4"/>
  <c r="B507" i="5"/>
  <c r="E507" i="5"/>
  <c r="F507" i="5"/>
  <c r="I507" i="5"/>
  <c r="J507" i="5"/>
  <c r="K507" i="5" a="1"/>
  <c r="L507" i="5" a="1"/>
  <c r="O507" i="5"/>
  <c r="P507" i="5"/>
  <c r="Q507" i="5"/>
  <c r="R507" i="5"/>
  <c r="S507" i="5"/>
  <c r="AB507" i="5"/>
  <c r="B506" i="5"/>
  <c r="E506" i="5"/>
  <c r="F506" i="5"/>
  <c r="I506" i="5"/>
  <c r="J506" i="5"/>
  <c r="K506" i="5" a="1"/>
  <c r="L506" i="5" a="1"/>
  <c r="O506" i="5"/>
  <c r="P506" i="5"/>
  <c r="Q506" i="5"/>
  <c r="R506" i="5"/>
  <c r="S506" i="5"/>
  <c r="AB506" i="5"/>
  <c r="A118" i="4"/>
  <c r="E118" i="4"/>
  <c r="H118" i="4"/>
  <c r="M118" i="4"/>
  <c r="S118" i="4"/>
  <c r="W118" i="4"/>
  <c r="X118" i="4"/>
  <c r="Y118" i="4"/>
  <c r="Z118" i="4"/>
  <c r="AA118" i="4"/>
  <c r="B505" i="5"/>
  <c r="E505" i="5"/>
  <c r="F505" i="5"/>
  <c r="I505" i="5"/>
  <c r="J505" i="5"/>
  <c r="K505" i="5" a="1"/>
  <c r="L505" i="5" a="1"/>
  <c r="O505" i="5"/>
  <c r="P505" i="5"/>
  <c r="Q505" i="5"/>
  <c r="R505" i="5"/>
  <c r="S505" i="5"/>
  <c r="AB505" i="5"/>
  <c r="B504" i="5"/>
  <c r="E504" i="5"/>
  <c r="F504" i="5"/>
  <c r="I504" i="5"/>
  <c r="J504" i="5"/>
  <c r="K504" i="5" a="1"/>
  <c r="L504" i="5" a="1"/>
  <c r="O504" i="5"/>
  <c r="P504" i="5"/>
  <c r="Q504" i="5"/>
  <c r="R504" i="5"/>
  <c r="S504" i="5"/>
  <c r="AB504" i="5"/>
  <c r="A119" i="4"/>
  <c r="E119" i="4"/>
  <c r="H119" i="4"/>
  <c r="M119" i="4"/>
  <c r="S119" i="4"/>
  <c r="W119" i="4"/>
  <c r="X119" i="4"/>
  <c r="Y119" i="4"/>
  <c r="Z119" i="4"/>
  <c r="AA119" i="4"/>
  <c r="B503" i="5"/>
  <c r="E503" i="5"/>
  <c r="F503" i="5"/>
  <c r="I503" i="5"/>
  <c r="J503" i="5"/>
  <c r="K503" i="5" a="1"/>
  <c r="L503" i="5" a="1"/>
  <c r="O503" i="5"/>
  <c r="P503" i="5"/>
  <c r="Q503" i="5"/>
  <c r="R503" i="5"/>
  <c r="S503" i="5"/>
  <c r="AB503" i="5"/>
  <c r="B502" i="5"/>
  <c r="E502" i="5"/>
  <c r="F502" i="5"/>
  <c r="I502" i="5"/>
  <c r="J502" i="5"/>
  <c r="K502" i="5" a="1"/>
  <c r="L502" i="5" a="1"/>
  <c r="O502" i="5"/>
  <c r="P502" i="5"/>
  <c r="Q502" i="5"/>
  <c r="R502" i="5"/>
  <c r="S502" i="5"/>
  <c r="AB502" i="5"/>
  <c r="A120" i="4"/>
  <c r="E120" i="4"/>
  <c r="H120" i="4"/>
  <c r="M120" i="4"/>
  <c r="S120" i="4"/>
  <c r="W120" i="4"/>
  <c r="X120" i="4"/>
  <c r="Y120" i="4"/>
  <c r="Z120" i="4"/>
  <c r="AA120" i="4"/>
  <c r="B501" i="5"/>
  <c r="E501" i="5"/>
  <c r="F501" i="5"/>
  <c r="I501" i="5"/>
  <c r="J501" i="5"/>
  <c r="K501" i="5" a="1"/>
  <c r="M501" i="5"/>
  <c r="L501" i="5" a="1"/>
  <c r="N501" i="5"/>
  <c r="O501" i="5"/>
  <c r="P501" i="5"/>
  <c r="Q501" i="5"/>
  <c r="R501" i="5"/>
  <c r="S501" i="5"/>
  <c r="T501" i="5"/>
  <c r="AB501" i="5"/>
  <c r="B500" i="5"/>
  <c r="E500" i="5"/>
  <c r="F500" i="5"/>
  <c r="I500" i="5"/>
  <c r="J500" i="5"/>
  <c r="K500" i="5" a="1"/>
  <c r="L500" i="5" a="1"/>
  <c r="O500" i="5"/>
  <c r="P500" i="5"/>
  <c r="Q500" i="5"/>
  <c r="R500" i="5"/>
  <c r="S500" i="5"/>
  <c r="AB500" i="5"/>
  <c r="A121" i="4"/>
  <c r="E121" i="4"/>
  <c r="H121" i="4"/>
  <c r="M121" i="4"/>
  <c r="S121" i="4"/>
  <c r="W121" i="4"/>
  <c r="X121" i="4"/>
  <c r="Y121" i="4"/>
  <c r="Z121" i="4"/>
  <c r="AA500" i="5"/>
  <c r="AA121" i="4"/>
  <c r="B499" i="5"/>
  <c r="E499" i="5"/>
  <c r="F499" i="5"/>
  <c r="I499" i="5"/>
  <c r="J499" i="5"/>
  <c r="K499" i="5" a="1"/>
  <c r="L499" i="5" a="1"/>
  <c r="P499" i="5"/>
  <c r="Q499" i="5"/>
  <c r="R499" i="5"/>
  <c r="S499" i="5"/>
  <c r="T499" i="5"/>
  <c r="AB499" i="5"/>
  <c r="B498" i="5"/>
  <c r="E498" i="5"/>
  <c r="F498" i="5"/>
  <c r="I498" i="5"/>
  <c r="J498" i="5"/>
  <c r="K498" i="5" a="1"/>
  <c r="M498" i="5"/>
  <c r="L498" i="5" a="1"/>
  <c r="O498" i="5"/>
  <c r="P498" i="5"/>
  <c r="Q498" i="5"/>
  <c r="R498" i="5"/>
  <c r="S498" i="5"/>
  <c r="AB498" i="5"/>
  <c r="A122" i="4"/>
  <c r="E122" i="4"/>
  <c r="H122" i="4"/>
  <c r="M122" i="4"/>
  <c r="S122" i="4"/>
  <c r="W122" i="4"/>
  <c r="X122" i="4"/>
  <c r="Y122" i="4"/>
  <c r="Z122" i="4"/>
  <c r="AA498" i="5"/>
  <c r="AA122" i="4"/>
  <c r="A196" i="2"/>
  <c r="M196" i="2"/>
  <c r="N196" i="2"/>
  <c r="O196" i="2"/>
  <c r="P196" i="2"/>
  <c r="Q196" i="2"/>
  <c r="B497" i="5"/>
  <c r="E497" i="5"/>
  <c r="F497" i="5"/>
  <c r="I497" i="5"/>
  <c r="J497" i="5"/>
  <c r="K497" i="5" a="1"/>
  <c r="L497" i="5" a="1"/>
  <c r="O497" i="5"/>
  <c r="P497" i="5"/>
  <c r="Q497" i="5"/>
  <c r="R497" i="5"/>
  <c r="S497" i="5"/>
  <c r="T497" i="5"/>
  <c r="AB497" i="5"/>
  <c r="B496" i="5"/>
  <c r="E496" i="5"/>
  <c r="F496" i="5"/>
  <c r="I496" i="5"/>
  <c r="J496" i="5"/>
  <c r="K496" i="5" a="1"/>
  <c r="L496" i="5" a="1"/>
  <c r="O496" i="5"/>
  <c r="P496" i="5"/>
  <c r="Q496" i="5"/>
  <c r="R496" i="5"/>
  <c r="S496" i="5"/>
  <c r="T496" i="5"/>
  <c r="AB496" i="5"/>
  <c r="A123" i="4"/>
  <c r="E123" i="4"/>
  <c r="H123" i="4"/>
  <c r="M123" i="4"/>
  <c r="S123" i="4"/>
  <c r="W123" i="4"/>
  <c r="X123" i="4"/>
  <c r="Y123" i="4"/>
  <c r="Z123" i="4"/>
  <c r="AA496" i="5"/>
  <c r="AA123" i="4"/>
  <c r="B495" i="5"/>
  <c r="E495" i="5"/>
  <c r="F495" i="5"/>
  <c r="I495" i="5"/>
  <c r="J495" i="5"/>
  <c r="K495" i="5" a="1"/>
  <c r="M495" i="5"/>
  <c r="L495" i="5" a="1"/>
  <c r="N495" i="5"/>
  <c r="O495" i="5"/>
  <c r="P495" i="5"/>
  <c r="Q495" i="5"/>
  <c r="R495" i="5"/>
  <c r="S495" i="5"/>
  <c r="T495" i="5"/>
  <c r="AB495" i="5"/>
  <c r="B494" i="5"/>
  <c r="E494" i="5"/>
  <c r="F494" i="5"/>
  <c r="I494" i="5"/>
  <c r="J494" i="5"/>
  <c r="K494" i="5" a="1"/>
  <c r="L494" i="5" a="1"/>
  <c r="O494" i="5"/>
  <c r="P494" i="5"/>
  <c r="Q494" i="5"/>
  <c r="R494" i="5"/>
  <c r="S494" i="5"/>
  <c r="T494" i="5"/>
  <c r="AB494" i="5"/>
  <c r="A124" i="4"/>
  <c r="E124" i="4"/>
  <c r="H124" i="4"/>
  <c r="M124" i="4"/>
  <c r="S124" i="4"/>
  <c r="W124" i="4"/>
  <c r="X124" i="4"/>
  <c r="Y124" i="4"/>
  <c r="Z124" i="4"/>
  <c r="AA494" i="5"/>
  <c r="AA124" i="4"/>
  <c r="B493" i="5"/>
  <c r="E493" i="5"/>
  <c r="F493" i="5"/>
  <c r="I493" i="5"/>
  <c r="J493" i="5"/>
  <c r="K493" i="5" a="1"/>
  <c r="L493" i="5" a="1"/>
  <c r="O493" i="5"/>
  <c r="P493" i="5"/>
  <c r="Q493" i="5"/>
  <c r="R493" i="5"/>
  <c r="S493" i="5"/>
  <c r="T493" i="5"/>
  <c r="AB493" i="5"/>
  <c r="B492" i="5"/>
  <c r="E492" i="5"/>
  <c r="F492" i="5"/>
  <c r="I492" i="5"/>
  <c r="J492" i="5"/>
  <c r="K492" i="5" a="1"/>
  <c r="L492" i="5" a="1"/>
  <c r="O492" i="5"/>
  <c r="P492" i="5"/>
  <c r="Q492" i="5"/>
  <c r="R492" i="5"/>
  <c r="S492" i="5"/>
  <c r="T492" i="5"/>
  <c r="AB492" i="5"/>
  <c r="A125" i="4"/>
  <c r="E125" i="4"/>
  <c r="H125" i="4"/>
  <c r="M125" i="4"/>
  <c r="S125" i="4"/>
  <c r="W125" i="4"/>
  <c r="X125" i="4"/>
  <c r="Y125" i="4"/>
  <c r="Z125" i="4"/>
  <c r="AA492" i="5"/>
  <c r="AA125" i="4"/>
  <c r="B491" i="5"/>
  <c r="E491" i="5"/>
  <c r="F491" i="5"/>
  <c r="I491" i="5"/>
  <c r="J491" i="5"/>
  <c r="K491" i="5" a="1"/>
  <c r="L491" i="5" a="1"/>
  <c r="O491" i="5"/>
  <c r="P491" i="5"/>
  <c r="Q491" i="5"/>
  <c r="R491" i="5"/>
  <c r="S491" i="5"/>
  <c r="T491" i="5"/>
  <c r="AB491" i="5"/>
  <c r="B490" i="5"/>
  <c r="E490" i="5"/>
  <c r="F490" i="5"/>
  <c r="I490" i="5"/>
  <c r="J490" i="5"/>
  <c r="K490" i="5" a="1"/>
  <c r="M490" i="5"/>
  <c r="L490" i="5" a="1"/>
  <c r="O490" i="5"/>
  <c r="P490" i="5"/>
  <c r="Q490" i="5"/>
  <c r="R490" i="5"/>
  <c r="S490" i="5"/>
  <c r="T490" i="5"/>
  <c r="AB490" i="5"/>
  <c r="A126" i="4"/>
  <c r="E126" i="4"/>
  <c r="H126" i="4"/>
  <c r="M126" i="4"/>
  <c r="S126" i="4"/>
  <c r="W126" i="4"/>
  <c r="X126" i="4"/>
  <c r="Y126" i="4"/>
  <c r="Z126" i="4"/>
  <c r="AA490" i="5"/>
  <c r="AA126" i="4"/>
  <c r="B489" i="5"/>
  <c r="E489" i="5"/>
  <c r="F489" i="5"/>
  <c r="I489" i="5"/>
  <c r="J489" i="5"/>
  <c r="K489" i="5" a="1"/>
  <c r="L489" i="5" a="1"/>
  <c r="O489" i="5"/>
  <c r="P489" i="5"/>
  <c r="Q489" i="5"/>
  <c r="R489" i="5"/>
  <c r="S489" i="5"/>
  <c r="T489" i="5"/>
  <c r="AB489" i="5"/>
  <c r="B488" i="5"/>
  <c r="E488" i="5"/>
  <c r="F488" i="5"/>
  <c r="I488" i="5"/>
  <c r="J488" i="5"/>
  <c r="K488" i="5" a="1"/>
  <c r="L488" i="5" a="1"/>
  <c r="O488" i="5"/>
  <c r="P488" i="5"/>
  <c r="Q488" i="5"/>
  <c r="R488" i="5"/>
  <c r="S488" i="5"/>
  <c r="T488" i="5"/>
  <c r="AB488" i="5"/>
  <c r="A127" i="4"/>
  <c r="E127" i="4"/>
  <c r="H127" i="4"/>
  <c r="M127" i="4"/>
  <c r="S127" i="4"/>
  <c r="W127" i="4"/>
  <c r="X127" i="4"/>
  <c r="Y127" i="4"/>
  <c r="Z127" i="4"/>
  <c r="AA488" i="5"/>
  <c r="AA127" i="4"/>
  <c r="B487" i="5"/>
  <c r="E487" i="5"/>
  <c r="F487" i="5"/>
  <c r="I487" i="5"/>
  <c r="J487" i="5"/>
  <c r="K487" i="5" a="1"/>
  <c r="L487" i="5" a="1"/>
  <c r="O487" i="5"/>
  <c r="P487" i="5"/>
  <c r="Q487" i="5"/>
  <c r="R487" i="5"/>
  <c r="S487" i="5"/>
  <c r="T487" i="5"/>
  <c r="AB487" i="5"/>
  <c r="B486" i="5"/>
  <c r="E486" i="5"/>
  <c r="F486" i="5"/>
  <c r="I486" i="5"/>
  <c r="J486" i="5"/>
  <c r="K486" i="5" a="1"/>
  <c r="L486" i="5" a="1"/>
  <c r="O486" i="5"/>
  <c r="P486" i="5"/>
  <c r="Q486" i="5"/>
  <c r="R486" i="5"/>
  <c r="S486" i="5"/>
  <c r="T486" i="5"/>
  <c r="AB486" i="5"/>
  <c r="A128" i="4"/>
  <c r="E128" i="4"/>
  <c r="H128" i="4"/>
  <c r="M128" i="4"/>
  <c r="S128" i="4"/>
  <c r="W128" i="4"/>
  <c r="X128" i="4"/>
  <c r="Y128" i="4"/>
  <c r="Z128" i="4"/>
  <c r="AA486" i="5"/>
  <c r="AA128" i="4"/>
  <c r="B485" i="5"/>
  <c r="E485" i="5"/>
  <c r="F485" i="5"/>
  <c r="I485" i="5"/>
  <c r="J485" i="5"/>
  <c r="K485" i="5" a="1"/>
  <c r="L485" i="5" a="1"/>
  <c r="O485" i="5"/>
  <c r="P485" i="5"/>
  <c r="Q485" i="5"/>
  <c r="R485" i="5"/>
  <c r="S485" i="5"/>
  <c r="T485" i="5"/>
  <c r="AB485" i="5"/>
  <c r="B484" i="5"/>
  <c r="E484" i="5"/>
  <c r="F484" i="5"/>
  <c r="I484" i="5"/>
  <c r="J484" i="5"/>
  <c r="K484" i="5" a="1"/>
  <c r="L484" i="5" a="1"/>
  <c r="O484" i="5"/>
  <c r="P484" i="5"/>
  <c r="Q484" i="5"/>
  <c r="R484" i="5"/>
  <c r="S484" i="5"/>
  <c r="T484" i="5"/>
  <c r="AB484" i="5"/>
  <c r="A129" i="4"/>
  <c r="E129" i="4"/>
  <c r="H129" i="4"/>
  <c r="M129" i="4"/>
  <c r="S129" i="4"/>
  <c r="W129" i="4"/>
  <c r="X129" i="4"/>
  <c r="Y129" i="4"/>
  <c r="Z129" i="4"/>
  <c r="H485" i="5"/>
  <c r="AA129" i="4"/>
  <c r="B483" i="5"/>
  <c r="E483" i="5"/>
  <c r="F483" i="5"/>
  <c r="I483" i="5"/>
  <c r="J483" i="5"/>
  <c r="K483" i="5" a="1"/>
  <c r="L483" i="5" a="1"/>
  <c r="O483" i="5"/>
  <c r="P483" i="5"/>
  <c r="Q483" i="5"/>
  <c r="R483" i="5"/>
  <c r="S483" i="5"/>
  <c r="T483" i="5"/>
  <c r="AB483" i="5"/>
  <c r="B482" i="5"/>
  <c r="E482" i="5"/>
  <c r="F482" i="5"/>
  <c r="I482" i="5"/>
  <c r="J482" i="5"/>
  <c r="K482" i="5" a="1"/>
  <c r="L482" i="5" a="1"/>
  <c r="O482" i="5"/>
  <c r="P482" i="5"/>
  <c r="Q482" i="5"/>
  <c r="R482" i="5"/>
  <c r="S482" i="5"/>
  <c r="T482" i="5"/>
  <c r="AB482" i="5"/>
  <c r="A130" i="4"/>
  <c r="E130" i="4"/>
  <c r="H130" i="4"/>
  <c r="M130" i="4"/>
  <c r="S130" i="4"/>
  <c r="W130" i="4"/>
  <c r="X130" i="4"/>
  <c r="Y130" i="4"/>
  <c r="Z130" i="4"/>
  <c r="H483" i="5"/>
  <c r="AA130" i="4"/>
  <c r="B481" i="5"/>
  <c r="E481" i="5"/>
  <c r="F481" i="5"/>
  <c r="I481" i="5"/>
  <c r="J481" i="5"/>
  <c r="K481" i="5" a="1"/>
  <c r="L481" i="5" a="1"/>
  <c r="O481" i="5"/>
  <c r="P481" i="5"/>
  <c r="Q481" i="5"/>
  <c r="R481" i="5"/>
  <c r="S481" i="5"/>
  <c r="T481" i="5"/>
  <c r="AB481" i="5"/>
  <c r="B480" i="5"/>
  <c r="E480" i="5"/>
  <c r="F480" i="5"/>
  <c r="I480" i="5"/>
  <c r="J480" i="5"/>
  <c r="K480" i="5" a="1"/>
  <c r="L480" i="5" a="1"/>
  <c r="O480" i="5"/>
  <c r="P480" i="5"/>
  <c r="Q480" i="5"/>
  <c r="R480" i="5"/>
  <c r="S480" i="5"/>
  <c r="T480" i="5"/>
  <c r="AB480" i="5"/>
  <c r="A131" i="4"/>
  <c r="E131" i="4"/>
  <c r="H131" i="4"/>
  <c r="M131" i="4"/>
  <c r="S131" i="4"/>
  <c r="W131" i="4"/>
  <c r="X131" i="4"/>
  <c r="Y131" i="4"/>
  <c r="Z131" i="4"/>
  <c r="AA480" i="5"/>
  <c r="AA131" i="4"/>
  <c r="B479" i="5"/>
  <c r="E479" i="5"/>
  <c r="F479" i="5"/>
  <c r="I479" i="5"/>
  <c r="J479" i="5"/>
  <c r="K479" i="5" a="1"/>
  <c r="L479" i="5" a="1"/>
  <c r="O479" i="5"/>
  <c r="P479" i="5"/>
  <c r="Q479" i="5"/>
  <c r="R479" i="5"/>
  <c r="S479" i="5"/>
  <c r="T479" i="5"/>
  <c r="AB479" i="5"/>
  <c r="B478" i="5"/>
  <c r="E478" i="5"/>
  <c r="F478" i="5"/>
  <c r="I478" i="5"/>
  <c r="J478" i="5"/>
  <c r="K478" i="5" a="1"/>
  <c r="L478" i="5" a="1"/>
  <c r="O478" i="5"/>
  <c r="P478" i="5"/>
  <c r="Q478" i="5"/>
  <c r="R478" i="5"/>
  <c r="S478" i="5"/>
  <c r="T478" i="5"/>
  <c r="AB478" i="5"/>
  <c r="A132" i="4"/>
  <c r="E132" i="4"/>
  <c r="H132" i="4"/>
  <c r="M132" i="4"/>
  <c r="S132" i="4"/>
  <c r="W132" i="4"/>
  <c r="X132" i="4"/>
  <c r="Y132" i="4"/>
  <c r="Z132" i="4"/>
  <c r="H479" i="5"/>
  <c r="AA132" i="4"/>
  <c r="H737" i="5"/>
  <c r="AA737" i="5"/>
  <c r="H736" i="5"/>
  <c r="AA736" i="5"/>
  <c r="T3" i="4"/>
  <c r="N499" i="5"/>
  <c r="M499" i="5"/>
  <c r="H735" i="5"/>
  <c r="AA735" i="5"/>
  <c r="H734" i="5"/>
  <c r="AA734" i="5"/>
  <c r="T4" i="4"/>
  <c r="T723" i="5"/>
  <c r="T696" i="5"/>
  <c r="T718" i="5"/>
  <c r="T729" i="5"/>
  <c r="T687" i="5"/>
  <c r="T705" i="5"/>
  <c r="T724" i="5"/>
  <c r="H733" i="5"/>
  <c r="AA733" i="5"/>
  <c r="H732" i="5"/>
  <c r="AA732" i="5"/>
  <c r="T5" i="4"/>
  <c r="M722" i="5"/>
  <c r="N722" i="5"/>
  <c r="T700" i="5"/>
  <c r="T693" i="5"/>
  <c r="M687" i="5"/>
  <c r="M728" i="5"/>
  <c r="N728" i="5"/>
  <c r="T728" i="5"/>
  <c r="T714" i="5"/>
  <c r="M701" i="5"/>
  <c r="M729" i="5"/>
  <c r="N729" i="5"/>
  <c r="M697" i="5"/>
  <c r="N697" i="5"/>
  <c r="T697" i="5"/>
  <c r="T731" i="5"/>
  <c r="T716" i="5"/>
  <c r="M713" i="5"/>
  <c r="T713" i="5"/>
  <c r="T701" i="5"/>
  <c r="T699" i="5"/>
  <c r="M695" i="5"/>
  <c r="T695" i="5"/>
  <c r="T727" i="5"/>
  <c r="T708" i="5"/>
  <c r="M702" i="5"/>
  <c r="T702" i="5"/>
  <c r="T690" i="5"/>
  <c r="M730" i="5"/>
  <c r="N730" i="5"/>
  <c r="M717" i="5"/>
  <c r="T715" i="5"/>
  <c r="M700" i="5"/>
  <c r="N700" i="5"/>
  <c r="M692" i="5"/>
  <c r="T692" i="5"/>
  <c r="M688" i="5"/>
  <c r="T688" i="5"/>
  <c r="M727" i="5"/>
  <c r="N727" i="5"/>
  <c r="T725" i="5"/>
  <c r="T722" i="5"/>
  <c r="T706" i="5"/>
  <c r="M694" i="5"/>
  <c r="T691" i="5"/>
  <c r="M689" i="5"/>
  <c r="T689" i="5"/>
  <c r="M731" i="5"/>
  <c r="N731" i="5"/>
  <c r="M726" i="5"/>
  <c r="N726" i="5"/>
  <c r="M724" i="5"/>
  <c r="N724" i="5"/>
  <c r="M720" i="5"/>
  <c r="N720" i="5"/>
  <c r="T720" i="5"/>
  <c r="N714" i="5"/>
  <c r="T710" i="5"/>
  <c r="T707" i="5"/>
  <c r="M699" i="5"/>
  <c r="N699" i="5"/>
  <c r="M690" i="5"/>
  <c r="T686" i="5"/>
  <c r="T97" i="4"/>
  <c r="M725" i="5"/>
  <c r="N725" i="5"/>
  <c r="M723" i="5"/>
  <c r="N723" i="5"/>
  <c r="M721" i="5"/>
  <c r="N721" i="5"/>
  <c r="T719" i="5"/>
  <c r="M698" i="5"/>
  <c r="N698" i="5"/>
  <c r="T698" i="5"/>
  <c r="M696" i="5"/>
  <c r="N696" i="5"/>
  <c r="M691" i="5"/>
  <c r="N702" i="5"/>
  <c r="N701" i="5"/>
  <c r="T717" i="5"/>
  <c r="H731" i="5"/>
  <c r="AA731" i="5"/>
  <c r="H730" i="5"/>
  <c r="AA730" i="5"/>
  <c r="T6" i="4"/>
  <c r="M686" i="5"/>
  <c r="H729" i="5"/>
  <c r="AA729" i="5"/>
  <c r="H728" i="5"/>
  <c r="AA728" i="5"/>
  <c r="T7" i="4"/>
  <c r="H727" i="5"/>
  <c r="AA727" i="5"/>
  <c r="H726" i="5"/>
  <c r="AA726" i="5"/>
  <c r="T8" i="4"/>
  <c r="T712" i="5"/>
  <c r="M719" i="5"/>
  <c r="N719" i="5"/>
  <c r="N717" i="5"/>
  <c r="M716" i="5"/>
  <c r="N716" i="5"/>
  <c r="M714" i="5"/>
  <c r="N713" i="5"/>
  <c r="M712" i="5"/>
  <c r="N712" i="5"/>
  <c r="M718" i="5"/>
  <c r="N718" i="5"/>
  <c r="H725" i="5"/>
  <c r="AA725" i="5"/>
  <c r="H724" i="5"/>
  <c r="AA724" i="5"/>
  <c r="T9" i="4"/>
  <c r="M715" i="5"/>
  <c r="N715" i="5"/>
  <c r="H723" i="5"/>
  <c r="AA723" i="5"/>
  <c r="H722" i="5"/>
  <c r="AA722" i="5"/>
  <c r="T10" i="4"/>
  <c r="N690" i="5"/>
  <c r="N689" i="5"/>
  <c r="T684" i="5"/>
  <c r="T694" i="5"/>
  <c r="N692" i="5"/>
  <c r="N691" i="5"/>
  <c r="T682" i="5"/>
  <c r="H721" i="5"/>
  <c r="AA721" i="5"/>
  <c r="H720" i="5"/>
  <c r="AA720" i="5"/>
  <c r="T11" i="4"/>
  <c r="N695" i="5"/>
  <c r="N694" i="5"/>
  <c r="H719" i="5"/>
  <c r="AA719" i="5"/>
  <c r="H718" i="5"/>
  <c r="AA718" i="5"/>
  <c r="T12" i="4"/>
  <c r="T679" i="5"/>
  <c r="T683" i="5"/>
  <c r="T667" i="5"/>
  <c r="N485" i="5"/>
  <c r="H717" i="5"/>
  <c r="AA717" i="5"/>
  <c r="H716" i="5"/>
  <c r="AA716" i="5"/>
  <c r="T13" i="4"/>
  <c r="M681" i="5"/>
  <c r="H715" i="5"/>
  <c r="AA715" i="5"/>
  <c r="H714" i="5"/>
  <c r="AA714" i="5"/>
  <c r="T14" i="4"/>
  <c r="M707" i="5"/>
  <c r="N707" i="5"/>
  <c r="M708" i="5"/>
  <c r="N708" i="5"/>
  <c r="M710" i="5"/>
  <c r="N710" i="5"/>
  <c r="M706" i="5"/>
  <c r="N706" i="5"/>
  <c r="M711" i="5"/>
  <c r="T709" i="5"/>
  <c r="T704" i="5"/>
  <c r="N711" i="5"/>
  <c r="T711" i="5"/>
  <c r="M709" i="5"/>
  <c r="N709" i="5"/>
  <c r="M704" i="5"/>
  <c r="N704" i="5"/>
  <c r="M705" i="5"/>
  <c r="N705" i="5"/>
  <c r="M703" i="5"/>
  <c r="N703" i="5"/>
  <c r="T703" i="5"/>
  <c r="H713" i="5"/>
  <c r="AA713" i="5"/>
  <c r="H712" i="5"/>
  <c r="AA712" i="5"/>
  <c r="T15" i="4"/>
  <c r="N688" i="5"/>
  <c r="N687" i="5"/>
  <c r="H711" i="5"/>
  <c r="AA711" i="5"/>
  <c r="H710" i="5"/>
  <c r="AA710" i="5"/>
  <c r="T16" i="4"/>
  <c r="N686" i="5"/>
  <c r="H709" i="5"/>
  <c r="AA709" i="5"/>
  <c r="H708" i="5"/>
  <c r="AA708" i="5"/>
  <c r="T17" i="4"/>
  <c r="T672" i="5"/>
  <c r="H707" i="5"/>
  <c r="AA707" i="5"/>
  <c r="H706" i="5"/>
  <c r="AA706" i="5"/>
  <c r="T18" i="4"/>
  <c r="H705" i="5"/>
  <c r="AA705" i="5"/>
  <c r="H704" i="5"/>
  <c r="AA704" i="5"/>
  <c r="T19" i="4"/>
  <c r="M693" i="5"/>
  <c r="N693" i="5"/>
  <c r="H703" i="5"/>
  <c r="AA703" i="5"/>
  <c r="H702" i="5"/>
  <c r="AA702" i="5"/>
  <c r="T20" i="4"/>
  <c r="H701" i="5"/>
  <c r="AA701" i="5"/>
  <c r="H700" i="5"/>
  <c r="AA700" i="5"/>
  <c r="T21" i="4"/>
  <c r="T677" i="5"/>
  <c r="H699" i="5"/>
  <c r="AA699" i="5"/>
  <c r="H698" i="5"/>
  <c r="AA698" i="5"/>
  <c r="T22" i="4"/>
  <c r="N672" i="5"/>
  <c r="H697" i="5"/>
  <c r="AA697" i="5"/>
  <c r="H696" i="5"/>
  <c r="AA696" i="5"/>
  <c r="T23" i="4"/>
  <c r="H695" i="5"/>
  <c r="AA695" i="5"/>
  <c r="H694" i="5"/>
  <c r="AA694" i="5"/>
  <c r="T24" i="4"/>
  <c r="H693" i="5"/>
  <c r="AA693" i="5"/>
  <c r="H692" i="5"/>
  <c r="AA692" i="5"/>
  <c r="T25" i="4"/>
  <c r="T668" i="5"/>
  <c r="T656" i="5"/>
  <c r="H691" i="5"/>
  <c r="AA691" i="5"/>
  <c r="H690" i="5"/>
  <c r="AA690" i="5"/>
  <c r="T26" i="4"/>
  <c r="T664" i="5"/>
  <c r="T654" i="5"/>
  <c r="H689" i="5"/>
  <c r="AA689" i="5"/>
  <c r="H688" i="5"/>
  <c r="AA688" i="5"/>
  <c r="T27" i="4"/>
  <c r="H687" i="5"/>
  <c r="AA687" i="5"/>
  <c r="H686" i="5"/>
  <c r="AA686" i="5"/>
  <c r="T28" i="4"/>
  <c r="M684" i="5"/>
  <c r="N684" i="5"/>
  <c r="M682" i="5"/>
  <c r="N682" i="5"/>
  <c r="N681" i="5"/>
  <c r="M685" i="5"/>
  <c r="N685" i="5"/>
  <c r="T685" i="5"/>
  <c r="M675" i="5"/>
  <c r="M683" i="5"/>
  <c r="N683" i="5"/>
  <c r="T681" i="5"/>
  <c r="N673" i="5"/>
  <c r="T662" i="5"/>
  <c r="T648" i="5"/>
  <c r="T644" i="5"/>
  <c r="T640" i="5"/>
  <c r="T651" i="5"/>
  <c r="T674" i="5"/>
  <c r="M679" i="5"/>
  <c r="N679" i="5"/>
  <c r="M674" i="5"/>
  <c r="M678" i="5"/>
  <c r="N678" i="5"/>
  <c r="M676" i="5"/>
  <c r="T676" i="5"/>
  <c r="M680" i="5"/>
  <c r="N680" i="5"/>
  <c r="M677" i="5"/>
  <c r="N677" i="5"/>
  <c r="T675" i="5"/>
  <c r="T680" i="5"/>
  <c r="T678" i="5"/>
  <c r="H685" i="5"/>
  <c r="AA685" i="5"/>
  <c r="H684" i="5"/>
  <c r="AA684" i="5"/>
  <c r="T29" i="4"/>
  <c r="H683" i="5"/>
  <c r="AA683" i="5"/>
  <c r="H682" i="5"/>
  <c r="AA682" i="5"/>
  <c r="T30" i="4"/>
  <c r="T673" i="5"/>
  <c r="H681" i="5"/>
  <c r="AA681" i="5"/>
  <c r="H680" i="5"/>
  <c r="AA680" i="5"/>
  <c r="T31" i="4"/>
  <c r="H679" i="5"/>
  <c r="AA679" i="5"/>
  <c r="H678" i="5"/>
  <c r="AA678" i="5"/>
  <c r="T32" i="4"/>
  <c r="T661" i="5"/>
  <c r="M665" i="5"/>
  <c r="N665" i="5"/>
  <c r="T665" i="5"/>
  <c r="M668" i="5"/>
  <c r="N668" i="5"/>
  <c r="T670" i="5"/>
  <c r="T663" i="5"/>
  <c r="M671" i="5"/>
  <c r="N671" i="5"/>
  <c r="T671" i="5"/>
  <c r="M663" i="5"/>
  <c r="N663" i="5"/>
  <c r="M670" i="5"/>
  <c r="N670" i="5"/>
  <c r="T666" i="5"/>
  <c r="T660" i="5"/>
  <c r="M669" i="5"/>
  <c r="N669" i="5"/>
  <c r="N676" i="5"/>
  <c r="N675" i="5"/>
  <c r="N674" i="5"/>
  <c r="T669" i="5"/>
  <c r="M673" i="5"/>
  <c r="M672" i="5"/>
  <c r="M664" i="5"/>
  <c r="N664" i="5"/>
  <c r="M662" i="5"/>
  <c r="N662" i="5"/>
  <c r="T658" i="5"/>
  <c r="T635" i="5"/>
  <c r="M666" i="5"/>
  <c r="N666" i="5"/>
  <c r="M667" i="5"/>
  <c r="N667" i="5"/>
  <c r="H677" i="5"/>
  <c r="AA677" i="5"/>
  <c r="H676" i="5"/>
  <c r="AA676" i="5"/>
  <c r="T33" i="4"/>
  <c r="M500" i="5"/>
  <c r="N500" i="5"/>
  <c r="T655" i="5"/>
  <c r="H675" i="5"/>
  <c r="AA675" i="5"/>
  <c r="H674" i="5"/>
  <c r="AA674" i="5"/>
  <c r="T34" i="4"/>
  <c r="T659" i="5"/>
  <c r="T652" i="5"/>
  <c r="T637" i="5"/>
  <c r="M635" i="5"/>
  <c r="M632" i="5"/>
  <c r="T627" i="5"/>
  <c r="T632" i="5"/>
  <c r="M639" i="5"/>
  <c r="M652" i="5"/>
  <c r="M638" i="5"/>
  <c r="T634" i="5"/>
  <c r="H673" i="5"/>
  <c r="AA673" i="5"/>
  <c r="H672" i="5"/>
  <c r="AA672" i="5"/>
  <c r="T35" i="4"/>
  <c r="H671" i="5"/>
  <c r="AA671" i="5"/>
  <c r="H670" i="5"/>
  <c r="AA670" i="5"/>
  <c r="T36" i="4"/>
  <c r="H669" i="5"/>
  <c r="AA669" i="5"/>
  <c r="H668" i="5"/>
  <c r="AA668" i="5"/>
  <c r="T37" i="4"/>
  <c r="M637" i="5"/>
  <c r="M636" i="5"/>
  <c r="T625" i="5"/>
  <c r="H667" i="5"/>
  <c r="AA667" i="5"/>
  <c r="H666" i="5"/>
  <c r="AA666" i="5"/>
  <c r="T38" i="4"/>
  <c r="M634" i="5"/>
  <c r="H665" i="5"/>
  <c r="AA665" i="5"/>
  <c r="H664" i="5"/>
  <c r="AA664" i="5"/>
  <c r="T39" i="4"/>
  <c r="T621" i="5"/>
  <c r="T619" i="5"/>
  <c r="T617" i="5"/>
  <c r="T615" i="5"/>
  <c r="T613" i="5"/>
  <c r="H663" i="5"/>
  <c r="AA663" i="5"/>
  <c r="H662" i="5"/>
  <c r="AA662" i="5"/>
  <c r="T40" i="4"/>
  <c r="T630" i="5"/>
  <c r="M661" i="5"/>
  <c r="N661" i="5"/>
  <c r="AA661" i="5"/>
  <c r="T647" i="5"/>
  <c r="T643" i="5"/>
  <c r="T642" i="5"/>
  <c r="H660" i="5"/>
  <c r="T41" i="4"/>
  <c r="M658" i="5"/>
  <c r="N658" i="5"/>
  <c r="M657" i="5"/>
  <c r="N657" i="5"/>
  <c r="M655" i="5"/>
  <c r="N655" i="5"/>
  <c r="M654" i="5"/>
  <c r="N654" i="5"/>
  <c r="M650" i="5"/>
  <c r="N650" i="5"/>
  <c r="M659" i="5"/>
  <c r="N659" i="5"/>
  <c r="M651" i="5"/>
  <c r="N651" i="5"/>
  <c r="M653" i="5"/>
  <c r="N653" i="5"/>
  <c r="M660" i="5"/>
  <c r="N660" i="5"/>
  <c r="AA660" i="5"/>
  <c r="M656" i="5"/>
  <c r="N656" i="5"/>
  <c r="T653" i="5"/>
  <c r="N652" i="5"/>
  <c r="H661" i="5"/>
  <c r="T657" i="5"/>
  <c r="T650" i="5"/>
  <c r="H659" i="5"/>
  <c r="AA659" i="5"/>
  <c r="H658" i="5"/>
  <c r="AA658" i="5"/>
  <c r="T42" i="4"/>
  <c r="H657" i="5"/>
  <c r="AA657" i="5"/>
  <c r="H656" i="5"/>
  <c r="AA656" i="5"/>
  <c r="T43" i="4"/>
  <c r="T626" i="5"/>
  <c r="N498" i="5"/>
  <c r="H655" i="5"/>
  <c r="AA655" i="5"/>
  <c r="H654" i="5"/>
  <c r="AA654" i="5"/>
  <c r="T44" i="4"/>
  <c r="H653" i="5"/>
  <c r="AA653" i="5"/>
  <c r="H652" i="5"/>
  <c r="AA652" i="5"/>
  <c r="T45" i="4"/>
  <c r="M633" i="5"/>
  <c r="H651" i="5"/>
  <c r="AA651" i="5"/>
  <c r="H650" i="5"/>
  <c r="AA650" i="5"/>
  <c r="T46" i="4"/>
  <c r="N640" i="5"/>
  <c r="M646" i="5"/>
  <c r="N646" i="5"/>
  <c r="M647" i="5"/>
  <c r="N647" i="5"/>
  <c r="M645" i="5"/>
  <c r="T649" i="5"/>
  <c r="AA649" i="5"/>
  <c r="T646" i="5"/>
  <c r="N642" i="5"/>
  <c r="M649" i="5"/>
  <c r="N649" i="5"/>
  <c r="H648" i="5"/>
  <c r="N641" i="5"/>
  <c r="M648" i="5"/>
  <c r="N648" i="5"/>
  <c r="N643" i="5"/>
  <c r="T641" i="5"/>
  <c r="AA648" i="5"/>
  <c r="M644" i="5"/>
  <c r="H649" i="5"/>
  <c r="T47" i="4"/>
  <c r="T645" i="5"/>
  <c r="H647" i="5"/>
  <c r="AA647" i="5"/>
  <c r="H646" i="5"/>
  <c r="AA646" i="5"/>
  <c r="T48" i="4"/>
  <c r="H644" i="5"/>
  <c r="T49" i="4"/>
  <c r="M643" i="5"/>
  <c r="M642" i="5"/>
  <c r="M641" i="5"/>
  <c r="M640" i="5"/>
  <c r="T639" i="5"/>
  <c r="T638" i="5"/>
  <c r="T636" i="5"/>
  <c r="N629" i="5"/>
  <c r="H645" i="5"/>
  <c r="N645" i="5"/>
  <c r="AA645" i="5"/>
  <c r="N644" i="5"/>
  <c r="AA644" i="5"/>
  <c r="N639" i="5"/>
  <c r="N638" i="5"/>
  <c r="N637" i="5"/>
  <c r="N635" i="5"/>
  <c r="N634" i="5"/>
  <c r="N633" i="5"/>
  <c r="T633" i="5"/>
  <c r="N632" i="5"/>
  <c r="T631" i="5"/>
  <c r="T620" i="5"/>
  <c r="M631" i="5"/>
  <c r="M628" i="5"/>
  <c r="H643" i="5"/>
  <c r="AA643" i="5"/>
  <c r="H642" i="5"/>
  <c r="AA642" i="5"/>
  <c r="T50" i="4"/>
  <c r="M629" i="5"/>
  <c r="T628" i="5"/>
  <c r="H641" i="5"/>
  <c r="AA641" i="5"/>
  <c r="H640" i="5"/>
  <c r="AA640" i="5"/>
  <c r="T51" i="4"/>
  <c r="H639" i="5"/>
  <c r="AA639" i="5"/>
  <c r="H638" i="5"/>
  <c r="AA638" i="5"/>
  <c r="T52" i="4"/>
  <c r="M622" i="5"/>
  <c r="N636" i="5"/>
  <c r="M627" i="5"/>
  <c r="M623" i="5"/>
  <c r="H637" i="5"/>
  <c r="AA637" i="5"/>
  <c r="H636" i="5"/>
  <c r="AA636" i="5"/>
  <c r="T53" i="4"/>
  <c r="T611" i="5"/>
  <c r="T618" i="5"/>
  <c r="T612" i="5"/>
  <c r="T622" i="5"/>
  <c r="M621" i="5"/>
  <c r="T614" i="5"/>
  <c r="T610" i="5"/>
  <c r="H635" i="5"/>
  <c r="AA635" i="5"/>
  <c r="H634" i="5"/>
  <c r="AA634" i="5"/>
  <c r="T54" i="4"/>
  <c r="T624" i="5"/>
  <c r="T623" i="5"/>
  <c r="T616" i="5"/>
  <c r="H633" i="5"/>
  <c r="AA633" i="5"/>
  <c r="H632" i="5"/>
  <c r="AA632" i="5"/>
  <c r="T55" i="4"/>
  <c r="T607" i="5"/>
  <c r="T583" i="5"/>
  <c r="H631" i="5"/>
  <c r="N631" i="5"/>
  <c r="AA631" i="5"/>
  <c r="M630" i="5"/>
  <c r="N630" i="5"/>
  <c r="AA630" i="5"/>
  <c r="T629" i="5"/>
  <c r="N628" i="5"/>
  <c r="N627" i="5"/>
  <c r="M625" i="5"/>
  <c r="N625" i="5"/>
  <c r="N622" i="5"/>
  <c r="N621" i="5"/>
  <c r="M620" i="5"/>
  <c r="N620" i="5"/>
  <c r="T585" i="5"/>
  <c r="H630" i="5"/>
  <c r="T56" i="4"/>
  <c r="M626" i="5"/>
  <c r="N626" i="5"/>
  <c r="M624" i="5"/>
  <c r="N624" i="5"/>
  <c r="N623" i="5"/>
  <c r="M486" i="5"/>
  <c r="H629" i="5"/>
  <c r="AA629" i="5"/>
  <c r="H628" i="5"/>
  <c r="AA628" i="5"/>
  <c r="T57" i="4"/>
  <c r="H627" i="5"/>
  <c r="AA627" i="5"/>
  <c r="H626" i="5"/>
  <c r="AA626" i="5"/>
  <c r="T58" i="4"/>
  <c r="H625" i="5"/>
  <c r="AA625" i="5"/>
  <c r="H624" i="5"/>
  <c r="AA624" i="5"/>
  <c r="T59" i="4"/>
  <c r="H623" i="5"/>
  <c r="AA623" i="5"/>
  <c r="H622" i="5"/>
  <c r="AA622" i="5"/>
  <c r="T60" i="4"/>
  <c r="H621" i="5"/>
  <c r="AA621" i="5"/>
  <c r="H620" i="5"/>
  <c r="AA620" i="5"/>
  <c r="T61" i="4"/>
  <c r="T586" i="5"/>
  <c r="T575" i="5"/>
  <c r="M612" i="5"/>
  <c r="T582" i="5"/>
  <c r="M616" i="5"/>
  <c r="N616" i="5"/>
  <c r="M611" i="5"/>
  <c r="N611" i="5"/>
  <c r="T606" i="5"/>
  <c r="T596" i="5"/>
  <c r="M610" i="5"/>
  <c r="N610" i="5"/>
  <c r="T603" i="5"/>
  <c r="H619" i="5"/>
  <c r="M618" i="5"/>
  <c r="N618" i="5"/>
  <c r="AA618" i="5"/>
  <c r="M617" i="5"/>
  <c r="N617" i="5"/>
  <c r="T608" i="5"/>
  <c r="M607" i="5"/>
  <c r="M609" i="5"/>
  <c r="N609" i="5"/>
  <c r="T609" i="5"/>
  <c r="T605" i="5"/>
  <c r="T597" i="5"/>
  <c r="M619" i="5"/>
  <c r="N619" i="5"/>
  <c r="AA619" i="5"/>
  <c r="H618" i="5"/>
  <c r="T62" i="4"/>
  <c r="M615" i="5"/>
  <c r="N615" i="5"/>
  <c r="M614" i="5"/>
  <c r="N614" i="5"/>
  <c r="M613" i="5"/>
  <c r="N613" i="5"/>
  <c r="N612" i="5"/>
  <c r="M605" i="5"/>
  <c r="M604" i="5"/>
  <c r="T601" i="5"/>
  <c r="T595" i="5"/>
  <c r="T591" i="5"/>
  <c r="T589" i="5"/>
  <c r="M591" i="5"/>
  <c r="T588" i="5"/>
  <c r="N587" i="5"/>
  <c r="T600" i="5"/>
  <c r="M589" i="5"/>
  <c r="M606" i="5"/>
  <c r="N606" i="5"/>
  <c r="T602" i="5"/>
  <c r="T594" i="5"/>
  <c r="M593" i="5"/>
  <c r="N593" i="5"/>
  <c r="T593" i="5"/>
  <c r="H617" i="5"/>
  <c r="AA617" i="5"/>
  <c r="H616" i="5"/>
  <c r="AA616" i="5"/>
  <c r="T63" i="4"/>
  <c r="N607" i="5"/>
  <c r="T604" i="5"/>
  <c r="T598" i="5"/>
  <c r="M592" i="5"/>
  <c r="M590" i="5"/>
  <c r="N590" i="5"/>
  <c r="T590" i="5"/>
  <c r="M586" i="5"/>
  <c r="T584" i="5"/>
  <c r="M582" i="5"/>
  <c r="T580" i="5"/>
  <c r="T578" i="5"/>
  <c r="H615" i="5"/>
  <c r="AA615" i="5"/>
  <c r="H614" i="5"/>
  <c r="AA614" i="5"/>
  <c r="T64" i="4"/>
  <c r="M608" i="5"/>
  <c r="N608" i="5"/>
  <c r="N592" i="5"/>
  <c r="T592" i="5"/>
  <c r="H613" i="5"/>
  <c r="AA613" i="5"/>
  <c r="H612" i="5"/>
  <c r="AA612" i="5"/>
  <c r="T65" i="4"/>
  <c r="N604" i="5"/>
  <c r="N605" i="5"/>
  <c r="H611" i="5"/>
  <c r="AA611" i="5"/>
  <c r="H610" i="5"/>
  <c r="AA610" i="5"/>
  <c r="T66" i="4"/>
  <c r="M596" i="5"/>
  <c r="T581" i="5"/>
  <c r="M588" i="5"/>
  <c r="H609" i="5"/>
  <c r="AA609" i="5"/>
  <c r="H608" i="5"/>
  <c r="AA608" i="5"/>
  <c r="T67" i="4"/>
  <c r="M594" i="5"/>
  <c r="N594" i="5"/>
  <c r="T587" i="5"/>
  <c r="T579" i="5"/>
  <c r="H607" i="5"/>
  <c r="AA607" i="5"/>
  <c r="H606" i="5"/>
  <c r="AA606" i="5"/>
  <c r="T68" i="4"/>
  <c r="M585" i="5"/>
  <c r="H605" i="5"/>
  <c r="AA605" i="5"/>
  <c r="H604" i="5"/>
  <c r="AA604" i="5"/>
  <c r="T69" i="4"/>
  <c r="N591" i="5"/>
  <c r="T569" i="5"/>
  <c r="H602" i="5"/>
  <c r="T573" i="5"/>
  <c r="M602" i="5"/>
  <c r="N602" i="5"/>
  <c r="T70" i="4"/>
  <c r="T599" i="5"/>
  <c r="M603" i="5"/>
  <c r="N603" i="5"/>
  <c r="AA603" i="5"/>
  <c r="AA602" i="5"/>
  <c r="T121" i="4"/>
  <c r="H603" i="5"/>
  <c r="M601" i="5"/>
  <c r="M595" i="5"/>
  <c r="N595" i="5"/>
  <c r="H600" i="5"/>
  <c r="M598" i="5"/>
  <c r="N598" i="5"/>
  <c r="M597" i="5"/>
  <c r="N597" i="5"/>
  <c r="H601" i="5"/>
  <c r="N601" i="5"/>
  <c r="AA601" i="5"/>
  <c r="M600" i="5"/>
  <c r="N600" i="5"/>
  <c r="AA600" i="5"/>
  <c r="T71" i="4"/>
  <c r="M599" i="5"/>
  <c r="N599" i="5"/>
  <c r="N596" i="5"/>
  <c r="H599" i="5"/>
  <c r="AA599" i="5"/>
  <c r="H598" i="5"/>
  <c r="AA598" i="5"/>
  <c r="T72" i="4"/>
  <c r="H597" i="5"/>
  <c r="AA597" i="5"/>
  <c r="H596" i="5"/>
  <c r="AA596" i="5"/>
  <c r="T73" i="4"/>
  <c r="T549" i="5"/>
  <c r="H595" i="5"/>
  <c r="AA595" i="5"/>
  <c r="H594" i="5"/>
  <c r="AA594" i="5"/>
  <c r="T74" i="4"/>
  <c r="N586" i="5"/>
  <c r="T574" i="5"/>
  <c r="N589" i="5"/>
  <c r="M587" i="5"/>
  <c r="M584" i="5"/>
  <c r="M572" i="5"/>
  <c r="T563" i="5"/>
  <c r="H593" i="5"/>
  <c r="AA593" i="5"/>
  <c r="H592" i="5"/>
  <c r="AA592" i="5"/>
  <c r="T75" i="4"/>
  <c r="N588" i="5"/>
  <c r="N585" i="5"/>
  <c r="T122" i="4"/>
  <c r="H591" i="5"/>
  <c r="AA591" i="5"/>
  <c r="H590" i="5"/>
  <c r="AA590" i="5"/>
  <c r="T76" i="4"/>
  <c r="T559" i="5"/>
  <c r="T557" i="5"/>
  <c r="N581" i="5"/>
  <c r="N582" i="5"/>
  <c r="T556" i="5"/>
  <c r="T548" i="5"/>
  <c r="M583" i="5"/>
  <c r="N583" i="5"/>
  <c r="M573" i="5"/>
  <c r="H589" i="5"/>
  <c r="AA589" i="5"/>
  <c r="H588" i="5"/>
  <c r="AA588" i="5"/>
  <c r="T77" i="4"/>
  <c r="N584" i="5"/>
  <c r="T570" i="5"/>
  <c r="T554" i="5"/>
  <c r="T553" i="5"/>
  <c r="T550" i="5"/>
  <c r="T571" i="5"/>
  <c r="H587" i="5"/>
  <c r="AA587" i="5"/>
  <c r="H586" i="5"/>
  <c r="AA586" i="5"/>
  <c r="T78" i="4"/>
  <c r="M581" i="5"/>
  <c r="M580" i="5"/>
  <c r="N580" i="5"/>
  <c r="M557" i="5"/>
  <c r="H585" i="5"/>
  <c r="AA585" i="5"/>
  <c r="H584" i="5"/>
  <c r="AA584" i="5"/>
  <c r="T79" i="4"/>
  <c r="N573" i="5"/>
  <c r="N572" i="5"/>
  <c r="T572" i="5"/>
  <c r="M558" i="5"/>
  <c r="N558" i="5"/>
  <c r="N557" i="5"/>
  <c r="H583" i="5"/>
  <c r="AA583" i="5"/>
  <c r="H582" i="5"/>
  <c r="AA582" i="5"/>
  <c r="T80" i="4"/>
  <c r="T577" i="5"/>
  <c r="T547" i="5"/>
  <c r="H581" i="5"/>
  <c r="AA581" i="5"/>
  <c r="H580" i="5"/>
  <c r="AA580" i="5"/>
  <c r="T81" i="4"/>
  <c r="M574" i="5"/>
  <c r="N574" i="5"/>
  <c r="T576" i="5"/>
  <c r="M575" i="5"/>
  <c r="N575" i="5"/>
  <c r="H579" i="5"/>
  <c r="M578" i="5"/>
  <c r="N578" i="5"/>
  <c r="AA578" i="5"/>
  <c r="M576" i="5"/>
  <c r="N576" i="5"/>
  <c r="M550" i="5"/>
  <c r="M577" i="5"/>
  <c r="N577" i="5"/>
  <c r="M579" i="5"/>
  <c r="N579" i="5"/>
  <c r="AA579" i="5"/>
  <c r="H578" i="5"/>
  <c r="T82" i="4"/>
  <c r="H577" i="5"/>
  <c r="AA577" i="5"/>
  <c r="H576" i="5"/>
  <c r="AA576" i="5"/>
  <c r="T83" i="4"/>
  <c r="M560" i="5"/>
  <c r="N560" i="5"/>
  <c r="T560" i="5"/>
  <c r="H575" i="5"/>
  <c r="AA575" i="5"/>
  <c r="H574" i="5"/>
  <c r="AA574" i="5"/>
  <c r="T84" i="4"/>
  <c r="T558" i="5"/>
  <c r="H573" i="5"/>
  <c r="AA573" i="5"/>
  <c r="H572" i="5"/>
  <c r="AA572" i="5"/>
  <c r="T85" i="4"/>
  <c r="M556" i="5"/>
  <c r="N556" i="5"/>
  <c r="T567" i="5"/>
  <c r="M555" i="5"/>
  <c r="H571" i="5"/>
  <c r="M570" i="5"/>
  <c r="N570" i="5"/>
  <c r="AA570" i="5"/>
  <c r="T568" i="5"/>
  <c r="T566" i="5"/>
  <c r="T561" i="5"/>
  <c r="M569" i="5"/>
  <c r="T565" i="5"/>
  <c r="M571" i="5"/>
  <c r="N571" i="5"/>
  <c r="AA571" i="5"/>
  <c r="H570" i="5"/>
  <c r="T86" i="4"/>
  <c r="H568" i="5"/>
  <c r="T87" i="4"/>
  <c r="H569" i="5"/>
  <c r="N569" i="5"/>
  <c r="AA569" i="5"/>
  <c r="M568" i="5"/>
  <c r="N568" i="5"/>
  <c r="AA568" i="5"/>
  <c r="M567" i="5"/>
  <c r="N567" i="5"/>
  <c r="M566" i="5"/>
  <c r="N566" i="5"/>
  <c r="M553" i="5"/>
  <c r="N553" i="5"/>
  <c r="T555" i="5"/>
  <c r="M551" i="5"/>
  <c r="N551" i="5"/>
  <c r="H567" i="5"/>
  <c r="AA567" i="5"/>
  <c r="H566" i="5"/>
  <c r="AA566" i="5"/>
  <c r="T88" i="4"/>
  <c r="N555" i="5"/>
  <c r="M554" i="5"/>
  <c r="N554" i="5"/>
  <c r="M552" i="5"/>
  <c r="N552" i="5"/>
  <c r="T552" i="5"/>
  <c r="N550" i="5"/>
  <c r="M561" i="5"/>
  <c r="N561" i="5"/>
  <c r="H565" i="5"/>
  <c r="T562" i="5"/>
  <c r="M564" i="5"/>
  <c r="N564" i="5"/>
  <c r="T564" i="5"/>
  <c r="AA564" i="5"/>
  <c r="M563" i="5"/>
  <c r="N563" i="5"/>
  <c r="M562" i="5"/>
  <c r="N562" i="5"/>
  <c r="M565" i="5"/>
  <c r="N565" i="5"/>
  <c r="AA565" i="5"/>
  <c r="H564" i="5"/>
  <c r="T89" i="4"/>
  <c r="H563" i="5"/>
  <c r="AA563" i="5"/>
  <c r="H562" i="5"/>
  <c r="AA562" i="5"/>
  <c r="T90" i="4"/>
  <c r="M559" i="5"/>
  <c r="N559" i="5"/>
  <c r="T546" i="5"/>
  <c r="T545" i="5"/>
  <c r="H561" i="5"/>
  <c r="AA561" i="5"/>
  <c r="H560" i="5"/>
  <c r="AA560" i="5"/>
  <c r="T91" i="4"/>
  <c r="H559" i="5"/>
  <c r="AA559" i="5"/>
  <c r="H558" i="5"/>
  <c r="AA558" i="5"/>
  <c r="T92" i="4"/>
  <c r="T551" i="5"/>
  <c r="H557" i="5"/>
  <c r="AA557" i="5"/>
  <c r="H556" i="5"/>
  <c r="AA556" i="5"/>
  <c r="T93" i="4"/>
  <c r="H555" i="5"/>
  <c r="AA555" i="5"/>
  <c r="H554" i="5"/>
  <c r="AA554" i="5"/>
  <c r="T94" i="4"/>
  <c r="H553" i="5"/>
  <c r="AA553" i="5"/>
  <c r="H552" i="5"/>
  <c r="AA552" i="5"/>
  <c r="T95" i="4"/>
  <c r="T531" i="5"/>
  <c r="H551" i="5"/>
  <c r="AA551" i="5"/>
  <c r="H550" i="5"/>
  <c r="AA550" i="5"/>
  <c r="T96" i="4"/>
  <c r="M543" i="5"/>
  <c r="N548" i="5"/>
  <c r="M549" i="5"/>
  <c r="N549" i="5"/>
  <c r="T533" i="5"/>
  <c r="H501" i="5"/>
  <c r="M548" i="5"/>
  <c r="M544" i="5"/>
  <c r="H549" i="5"/>
  <c r="AA549" i="5"/>
  <c r="H548" i="5"/>
  <c r="AA548" i="5"/>
  <c r="H547" i="5"/>
  <c r="M546" i="5"/>
  <c r="N546" i="5"/>
  <c r="AA546" i="5"/>
  <c r="T544" i="5"/>
  <c r="T543" i="5"/>
  <c r="T537" i="5"/>
  <c r="T98" i="4"/>
  <c r="N544" i="5"/>
  <c r="T541" i="5"/>
  <c r="M545" i="5"/>
  <c r="N545" i="5"/>
  <c r="M540" i="5"/>
  <c r="T539" i="5"/>
  <c r="M547" i="5"/>
  <c r="N547" i="5"/>
  <c r="AA547" i="5"/>
  <c r="H546" i="5"/>
  <c r="N543" i="5"/>
  <c r="M542" i="5"/>
  <c r="N542" i="5"/>
  <c r="T542" i="5"/>
  <c r="T538" i="5"/>
  <c r="H545" i="5"/>
  <c r="AA545" i="5"/>
  <c r="H544" i="5"/>
  <c r="AA544" i="5"/>
  <c r="T99" i="4"/>
  <c r="T523" i="5"/>
  <c r="N540" i="5"/>
  <c r="T514" i="5"/>
  <c r="M532" i="5"/>
  <c r="M541" i="5"/>
  <c r="N541" i="5"/>
  <c r="T520" i="5"/>
  <c r="H543" i="5"/>
  <c r="AA543" i="5"/>
  <c r="H542" i="5"/>
  <c r="AA542" i="5"/>
  <c r="T100" i="4"/>
  <c r="T540" i="5"/>
  <c r="H541" i="5"/>
  <c r="AA541" i="5"/>
  <c r="H540" i="5"/>
  <c r="AA540" i="5"/>
  <c r="T101" i="4"/>
  <c r="T535" i="5"/>
  <c r="T511" i="5"/>
  <c r="T525" i="5"/>
  <c r="H538" i="5"/>
  <c r="M536" i="5"/>
  <c r="N536" i="5"/>
  <c r="T536" i="5"/>
  <c r="M534" i="5"/>
  <c r="N534" i="5"/>
  <c r="M535" i="5"/>
  <c r="N535" i="5"/>
  <c r="T529" i="5"/>
  <c r="H539" i="5"/>
  <c r="M538" i="5"/>
  <c r="N538" i="5"/>
  <c r="AA538" i="5"/>
  <c r="M537" i="5"/>
  <c r="N537" i="5"/>
  <c r="T526" i="5"/>
  <c r="M539" i="5"/>
  <c r="N539" i="5"/>
  <c r="AA539" i="5"/>
  <c r="T102" i="4"/>
  <c r="T534" i="5"/>
  <c r="T528" i="5"/>
  <c r="N532" i="5"/>
  <c r="N530" i="5"/>
  <c r="M533" i="5"/>
  <c r="N533" i="5"/>
  <c r="M527" i="5"/>
  <c r="T512" i="5"/>
  <c r="T532" i="5"/>
  <c r="H537" i="5"/>
  <c r="AA537" i="5"/>
  <c r="H536" i="5"/>
  <c r="AA536" i="5"/>
  <c r="T103" i="4"/>
  <c r="M531" i="5"/>
  <c r="T530" i="5"/>
  <c r="M526" i="5"/>
  <c r="M524" i="5"/>
  <c r="H535" i="5"/>
  <c r="AA535" i="5"/>
  <c r="H534" i="5"/>
  <c r="AA534" i="5"/>
  <c r="T104" i="4"/>
  <c r="N531" i="5"/>
  <c r="M530" i="5"/>
  <c r="M529" i="5"/>
  <c r="T527" i="5"/>
  <c r="T521" i="5"/>
  <c r="T518" i="5"/>
  <c r="T519" i="5"/>
  <c r="T515" i="5"/>
  <c r="H533" i="5"/>
  <c r="AA533" i="5"/>
  <c r="H532" i="5"/>
  <c r="AA532" i="5"/>
  <c r="T105" i="4"/>
  <c r="N526" i="5"/>
  <c r="M523" i="5"/>
  <c r="M518" i="5"/>
  <c r="N524" i="5"/>
  <c r="M521" i="5"/>
  <c r="N521" i="5"/>
  <c r="T524" i="5"/>
  <c r="M522" i="5"/>
  <c r="H531" i="5"/>
  <c r="AA531" i="5"/>
  <c r="H530" i="5"/>
  <c r="AA530" i="5"/>
  <c r="T106" i="4"/>
  <c r="T522" i="5"/>
  <c r="N518" i="5"/>
  <c r="M509" i="5"/>
  <c r="T508" i="5"/>
  <c r="N527" i="5"/>
  <c r="M528" i="5"/>
  <c r="N528" i="5"/>
  <c r="AA528" i="5"/>
  <c r="H528" i="5"/>
  <c r="T107" i="4"/>
  <c r="H529" i="5"/>
  <c r="N529" i="5"/>
  <c r="AA529" i="5"/>
  <c r="H527" i="5"/>
  <c r="AA527" i="5"/>
  <c r="H526" i="5"/>
  <c r="AA526" i="5"/>
  <c r="T108" i="4"/>
  <c r="N523" i="5"/>
  <c r="N522" i="5"/>
  <c r="T509" i="5"/>
  <c r="M525" i="5"/>
  <c r="N525" i="5"/>
  <c r="M508" i="5"/>
  <c r="M519" i="5"/>
  <c r="H525" i="5"/>
  <c r="AA525" i="5"/>
  <c r="H524" i="5"/>
  <c r="AA524" i="5"/>
  <c r="T109" i="4"/>
  <c r="T516" i="5"/>
  <c r="M520" i="5"/>
  <c r="N520" i="5"/>
  <c r="M517" i="5"/>
  <c r="T517" i="5"/>
  <c r="H523" i="5"/>
  <c r="AA523" i="5"/>
  <c r="H522" i="5"/>
  <c r="AA522" i="5"/>
  <c r="T110" i="4"/>
  <c r="N513" i="5"/>
  <c r="N519" i="5"/>
  <c r="M512" i="5"/>
  <c r="N512" i="5"/>
  <c r="M516" i="5"/>
  <c r="N516" i="5"/>
  <c r="T510" i="5"/>
  <c r="H521" i="5"/>
  <c r="AA521" i="5"/>
  <c r="H520" i="5"/>
  <c r="AA520" i="5"/>
  <c r="T111" i="4"/>
  <c r="M514" i="5"/>
  <c r="N514" i="5"/>
  <c r="H519" i="5"/>
  <c r="AA519" i="5"/>
  <c r="H518" i="5"/>
  <c r="AA518" i="5"/>
  <c r="N517" i="5"/>
  <c r="T507" i="5"/>
  <c r="T112" i="4"/>
  <c r="M513" i="5"/>
  <c r="T513" i="5"/>
  <c r="H517" i="5"/>
  <c r="AA517" i="5"/>
  <c r="H516" i="5"/>
  <c r="AA516" i="5"/>
  <c r="M515" i="5"/>
  <c r="N515" i="5"/>
  <c r="M510" i="5"/>
  <c r="M505" i="5"/>
  <c r="T505" i="5"/>
  <c r="T113" i="4"/>
  <c r="H515" i="5"/>
  <c r="AA515" i="5"/>
  <c r="H514" i="5"/>
  <c r="AA514" i="5"/>
  <c r="T503" i="5"/>
  <c r="AA513" i="5"/>
  <c r="H512" i="5"/>
  <c r="AA512" i="5"/>
  <c r="M511" i="5"/>
  <c r="T114" i="4"/>
  <c r="AA511" i="5"/>
  <c r="H510" i="5"/>
  <c r="AA509" i="5"/>
  <c r="H508" i="5"/>
  <c r="M507" i="5"/>
  <c r="M502" i="5"/>
  <c r="T502" i="5"/>
  <c r="H513" i="5"/>
  <c r="N511" i="5"/>
  <c r="N510" i="5"/>
  <c r="T115" i="4"/>
  <c r="AA507" i="5"/>
  <c r="H506" i="5"/>
  <c r="H511" i="5"/>
  <c r="N509" i="5"/>
  <c r="N508" i="5"/>
  <c r="AA510" i="5"/>
  <c r="T116" i="4"/>
  <c r="M506" i="5"/>
  <c r="AA503" i="5"/>
  <c r="H509" i="5"/>
  <c r="N507" i="5"/>
  <c r="H504" i="5"/>
  <c r="AA508" i="5"/>
  <c r="T117" i="4"/>
  <c r="M504" i="5"/>
  <c r="N504" i="5"/>
  <c r="T504" i="5"/>
  <c r="N506" i="5"/>
  <c r="AA505" i="5"/>
  <c r="N502" i="5"/>
  <c r="H507" i="5"/>
  <c r="N505" i="5"/>
  <c r="M503" i="5"/>
  <c r="T506" i="5"/>
  <c r="AA506" i="5"/>
  <c r="T118" i="4"/>
  <c r="H505" i="5"/>
  <c r="N503" i="5"/>
  <c r="AA504" i="5"/>
  <c r="T119" i="4"/>
  <c r="H502" i="5"/>
  <c r="H503" i="5"/>
  <c r="AA502" i="5"/>
  <c r="T120" i="4"/>
  <c r="T498" i="5"/>
  <c r="M494" i="5"/>
  <c r="N494" i="5"/>
  <c r="T500" i="5"/>
  <c r="AA501" i="5"/>
  <c r="H500" i="5"/>
  <c r="N497" i="5"/>
  <c r="M497" i="5"/>
  <c r="AA499" i="5"/>
  <c r="N496" i="5"/>
  <c r="H498" i="5"/>
  <c r="H499" i="5"/>
  <c r="T123" i="4"/>
  <c r="D496" i="5"/>
  <c r="M496" i="5"/>
  <c r="AA497" i="5"/>
  <c r="N491" i="5"/>
  <c r="N492" i="5"/>
  <c r="M491" i="5"/>
  <c r="M492" i="5"/>
  <c r="H496" i="5"/>
  <c r="H497" i="5"/>
  <c r="M485" i="5"/>
  <c r="N493" i="5"/>
  <c r="M493" i="5"/>
  <c r="T124" i="4"/>
  <c r="D494" i="5"/>
  <c r="AA495" i="5"/>
  <c r="N490" i="5"/>
  <c r="T125" i="4"/>
  <c r="D493" i="5"/>
  <c r="Y493" i="5"/>
  <c r="H494" i="5"/>
  <c r="H495" i="5"/>
  <c r="T128" i="4"/>
  <c r="N486" i="5"/>
  <c r="N480" i="5"/>
  <c r="N488" i="5"/>
  <c r="AA493" i="5"/>
  <c r="N487" i="5"/>
  <c r="N481" i="5"/>
  <c r="M487" i="5"/>
  <c r="H492" i="5"/>
  <c r="H493" i="5"/>
  <c r="N489" i="5"/>
  <c r="M489" i="5"/>
  <c r="T126" i="4"/>
  <c r="D491" i="5"/>
  <c r="AA491" i="5"/>
  <c r="M488" i="5"/>
  <c r="N483" i="5"/>
  <c r="H490" i="5"/>
  <c r="H491" i="5"/>
  <c r="T127" i="4"/>
  <c r="D488" i="5"/>
  <c r="T130" i="4"/>
  <c r="D482" i="5"/>
  <c r="AA489" i="5"/>
  <c r="M481" i="5"/>
  <c r="H488" i="5"/>
  <c r="H489" i="5"/>
  <c r="M483" i="5"/>
  <c r="AA487" i="5"/>
  <c r="M480" i="5"/>
  <c r="M479" i="5"/>
  <c r="H486" i="5"/>
  <c r="H487" i="5"/>
  <c r="N484" i="5"/>
  <c r="AA484" i="5"/>
  <c r="M482" i="5"/>
  <c r="T129" i="4"/>
  <c r="D485" i="5"/>
  <c r="M484" i="5"/>
  <c r="AA485" i="5"/>
  <c r="H484" i="5"/>
  <c r="N482" i="5"/>
  <c r="AA482" i="5"/>
  <c r="AA483" i="5"/>
  <c r="N478" i="5"/>
  <c r="T131" i="4"/>
  <c r="D480" i="5"/>
  <c r="M478" i="5"/>
  <c r="H482" i="5"/>
  <c r="N479" i="5"/>
  <c r="AA481" i="5"/>
  <c r="T132" i="4"/>
  <c r="D478" i="5"/>
  <c r="H480" i="5"/>
  <c r="H481" i="5"/>
  <c r="AA479" i="5"/>
  <c r="AA478" i="5"/>
  <c r="H478" i="5"/>
  <c r="B477" i="5"/>
  <c r="E477" i="5"/>
  <c r="F477" i="5"/>
  <c r="I477" i="5"/>
  <c r="J477" i="5"/>
  <c r="K477" i="5" a="1"/>
  <c r="L477" i="5" a="1"/>
  <c r="O477" i="5"/>
  <c r="P477" i="5"/>
  <c r="Q477" i="5"/>
  <c r="R477" i="5"/>
  <c r="S477" i="5"/>
  <c r="T477" i="5"/>
  <c r="AB477" i="5"/>
  <c r="B476" i="5"/>
  <c r="E476" i="5"/>
  <c r="F476" i="5"/>
  <c r="I476" i="5"/>
  <c r="J476" i="5"/>
  <c r="K476" i="5" a="1"/>
  <c r="L476" i="5" a="1"/>
  <c r="O476" i="5"/>
  <c r="P476" i="5"/>
  <c r="Q476" i="5"/>
  <c r="R476" i="5"/>
  <c r="S476" i="5"/>
  <c r="T476" i="5"/>
  <c r="AB476" i="5"/>
  <c r="A133" i="4"/>
  <c r="E133" i="4"/>
  <c r="H133" i="4"/>
  <c r="M133" i="4"/>
  <c r="S133" i="4"/>
  <c r="W133" i="4"/>
  <c r="X133" i="4"/>
  <c r="Y133" i="4"/>
  <c r="Z133" i="4"/>
  <c r="H477" i="5"/>
  <c r="AA133" i="4"/>
  <c r="B475" i="5"/>
  <c r="E475" i="5"/>
  <c r="F475" i="5"/>
  <c r="I475" i="5"/>
  <c r="J475" i="5"/>
  <c r="K475" i="5" a="1"/>
  <c r="L475" i="5" a="1"/>
  <c r="O475" i="5"/>
  <c r="P475" i="5"/>
  <c r="Q475" i="5"/>
  <c r="R475" i="5"/>
  <c r="S475" i="5"/>
  <c r="T475" i="5"/>
  <c r="AB475" i="5"/>
  <c r="B474" i="5"/>
  <c r="E474" i="5"/>
  <c r="F474" i="5"/>
  <c r="I474" i="5"/>
  <c r="J474" i="5"/>
  <c r="K474" i="5" a="1"/>
  <c r="L474" i="5" a="1"/>
  <c r="O474" i="5"/>
  <c r="P474" i="5"/>
  <c r="Q474" i="5"/>
  <c r="R474" i="5"/>
  <c r="S474" i="5"/>
  <c r="T474" i="5"/>
  <c r="AB474" i="5"/>
  <c r="A134" i="4"/>
  <c r="E134" i="4"/>
  <c r="H134" i="4"/>
  <c r="M134" i="4"/>
  <c r="S134" i="4"/>
  <c r="W134" i="4"/>
  <c r="X134" i="4"/>
  <c r="Y134" i="4"/>
  <c r="Z134" i="4"/>
  <c r="H475" i="5"/>
  <c r="AA134" i="4"/>
  <c r="A195" i="2"/>
  <c r="M195" i="2"/>
  <c r="N195" i="2"/>
  <c r="O195" i="2"/>
  <c r="P195" i="2"/>
  <c r="Q195" i="2"/>
  <c r="D736" i="5"/>
  <c r="D737" i="5"/>
  <c r="D734" i="5"/>
  <c r="D735" i="5"/>
  <c r="D732" i="5"/>
  <c r="D733" i="5"/>
  <c r="D730" i="5"/>
  <c r="D731" i="5"/>
  <c r="D728" i="5"/>
  <c r="D729" i="5"/>
  <c r="D726" i="5"/>
  <c r="D727" i="5"/>
  <c r="D724" i="5"/>
  <c r="D725" i="5"/>
  <c r="D722" i="5"/>
  <c r="D723" i="5"/>
  <c r="D720" i="5"/>
  <c r="D721" i="5"/>
  <c r="D718" i="5"/>
  <c r="D719" i="5"/>
  <c r="D716" i="5"/>
  <c r="D717" i="5"/>
  <c r="D714" i="5"/>
  <c r="D715" i="5"/>
  <c r="D712" i="5"/>
  <c r="D713" i="5"/>
  <c r="D710" i="5"/>
  <c r="D711" i="5"/>
  <c r="D708" i="5"/>
  <c r="D709" i="5"/>
  <c r="D706" i="5"/>
  <c r="D707" i="5"/>
  <c r="D704" i="5"/>
  <c r="D705" i="5"/>
  <c r="D702" i="5"/>
  <c r="D703" i="5"/>
  <c r="D700" i="5"/>
  <c r="D701" i="5"/>
  <c r="D698" i="5"/>
  <c r="D699" i="5"/>
  <c r="D696" i="5"/>
  <c r="D697" i="5"/>
  <c r="D694" i="5"/>
  <c r="D695" i="5"/>
  <c r="D692" i="5"/>
  <c r="D693" i="5"/>
  <c r="D690" i="5"/>
  <c r="D691" i="5"/>
  <c r="D688" i="5"/>
  <c r="D689" i="5"/>
  <c r="D686" i="5"/>
  <c r="D687" i="5"/>
  <c r="D684" i="5"/>
  <c r="D685" i="5"/>
  <c r="D682" i="5"/>
  <c r="D683" i="5"/>
  <c r="D680" i="5"/>
  <c r="D681" i="5"/>
  <c r="D678" i="5"/>
  <c r="D679" i="5"/>
  <c r="D676" i="5"/>
  <c r="D677" i="5"/>
  <c r="D674" i="5"/>
  <c r="D675" i="5"/>
  <c r="D672" i="5"/>
  <c r="D673" i="5"/>
  <c r="D670" i="5"/>
  <c r="D671" i="5"/>
  <c r="D668" i="5"/>
  <c r="D669" i="5"/>
  <c r="D666" i="5"/>
  <c r="D667" i="5"/>
  <c r="D664" i="5"/>
  <c r="D665" i="5"/>
  <c r="D662" i="5"/>
  <c r="D663" i="5"/>
  <c r="D660" i="5"/>
  <c r="D661" i="5"/>
  <c r="D658" i="5"/>
  <c r="D659" i="5"/>
  <c r="D656" i="5"/>
  <c r="D657" i="5"/>
  <c r="D654" i="5"/>
  <c r="D655" i="5"/>
  <c r="D652" i="5"/>
  <c r="D653" i="5"/>
  <c r="D650" i="5"/>
  <c r="D651" i="5"/>
  <c r="D648" i="5"/>
  <c r="D649" i="5"/>
  <c r="D646" i="5"/>
  <c r="D647" i="5"/>
  <c r="D645" i="5"/>
  <c r="D644" i="5"/>
  <c r="D642" i="5"/>
  <c r="D643" i="5"/>
  <c r="D640" i="5"/>
  <c r="D641" i="5"/>
  <c r="D638" i="5"/>
  <c r="D639" i="5"/>
  <c r="D636" i="5"/>
  <c r="D637" i="5"/>
  <c r="D634" i="5"/>
  <c r="D635" i="5"/>
  <c r="D632" i="5"/>
  <c r="D633" i="5"/>
  <c r="D631" i="5"/>
  <c r="D630" i="5"/>
  <c r="D628" i="5"/>
  <c r="D629" i="5"/>
  <c r="D626" i="5"/>
  <c r="D627" i="5"/>
  <c r="D624" i="5"/>
  <c r="D625" i="5"/>
  <c r="D622" i="5"/>
  <c r="D623" i="5"/>
  <c r="D620" i="5"/>
  <c r="D621" i="5"/>
  <c r="D618" i="5"/>
  <c r="D619" i="5"/>
  <c r="D616" i="5"/>
  <c r="D617" i="5"/>
  <c r="D614" i="5"/>
  <c r="D615" i="5"/>
  <c r="D612" i="5"/>
  <c r="D613" i="5"/>
  <c r="D610" i="5"/>
  <c r="D611" i="5"/>
  <c r="D608" i="5"/>
  <c r="D609" i="5"/>
  <c r="D606" i="5"/>
  <c r="D607" i="5"/>
  <c r="D604" i="5"/>
  <c r="D605" i="5"/>
  <c r="D603" i="5"/>
  <c r="D602" i="5"/>
  <c r="D501" i="5"/>
  <c r="D500" i="5"/>
  <c r="D600" i="5"/>
  <c r="D601" i="5"/>
  <c r="D598" i="5"/>
  <c r="D599" i="5"/>
  <c r="D596" i="5"/>
  <c r="D597" i="5"/>
  <c r="D594" i="5"/>
  <c r="D595" i="5"/>
  <c r="M475" i="5"/>
  <c r="D592" i="5"/>
  <c r="D593" i="5"/>
  <c r="D590" i="5"/>
  <c r="D591" i="5"/>
  <c r="D498" i="5"/>
  <c r="D499" i="5"/>
  <c r="D588" i="5"/>
  <c r="D589" i="5"/>
  <c r="D586" i="5"/>
  <c r="D587" i="5"/>
  <c r="D584" i="5"/>
  <c r="D585" i="5"/>
  <c r="D582" i="5"/>
  <c r="D583" i="5"/>
  <c r="D580" i="5"/>
  <c r="D581" i="5"/>
  <c r="D578" i="5"/>
  <c r="D579" i="5"/>
  <c r="D576" i="5"/>
  <c r="D577" i="5"/>
  <c r="D574" i="5"/>
  <c r="D575" i="5"/>
  <c r="D572" i="5"/>
  <c r="D573" i="5"/>
  <c r="D570" i="5"/>
  <c r="D571" i="5"/>
  <c r="D569" i="5"/>
  <c r="D568" i="5"/>
  <c r="D566" i="5"/>
  <c r="D567" i="5"/>
  <c r="D564" i="5"/>
  <c r="D565" i="5"/>
  <c r="D562" i="5"/>
  <c r="D563" i="5"/>
  <c r="D560" i="5"/>
  <c r="D561" i="5"/>
  <c r="D558" i="5"/>
  <c r="D559" i="5"/>
  <c r="D556" i="5"/>
  <c r="D557" i="5"/>
  <c r="D554" i="5"/>
  <c r="D555" i="5"/>
  <c r="D552" i="5"/>
  <c r="D553" i="5"/>
  <c r="D550" i="5"/>
  <c r="D551" i="5"/>
  <c r="D548" i="5"/>
  <c r="D549" i="5"/>
  <c r="D547" i="5"/>
  <c r="D546" i="5"/>
  <c r="D544" i="5"/>
  <c r="D545" i="5"/>
  <c r="D495" i="5"/>
  <c r="D542" i="5"/>
  <c r="D543" i="5"/>
  <c r="D540" i="5"/>
  <c r="D541" i="5"/>
  <c r="D538" i="5"/>
  <c r="D539" i="5"/>
  <c r="D536" i="5"/>
  <c r="D537" i="5"/>
  <c r="D534" i="5"/>
  <c r="D535" i="5"/>
  <c r="D532" i="5"/>
  <c r="D533" i="5"/>
  <c r="N475" i="5"/>
  <c r="D530" i="5"/>
  <c r="D531" i="5"/>
  <c r="D529" i="5"/>
  <c r="D528" i="5"/>
  <c r="D487" i="5"/>
  <c r="D486" i="5"/>
  <c r="D526" i="5"/>
  <c r="D527" i="5"/>
  <c r="D524" i="5"/>
  <c r="D525" i="5"/>
  <c r="D522" i="5"/>
  <c r="D523" i="5"/>
  <c r="D520" i="5"/>
  <c r="D521" i="5"/>
  <c r="D518" i="5"/>
  <c r="D519" i="5"/>
  <c r="D516" i="5"/>
  <c r="D517" i="5"/>
  <c r="D514" i="5"/>
  <c r="D515" i="5"/>
  <c r="D512" i="5"/>
  <c r="D513" i="5"/>
  <c r="D510" i="5"/>
  <c r="D511" i="5"/>
  <c r="M476" i="5"/>
  <c r="D508" i="5"/>
  <c r="D509" i="5"/>
  <c r="D506" i="5"/>
  <c r="D507" i="5"/>
  <c r="D504" i="5"/>
  <c r="D505" i="5"/>
  <c r="D502" i="5"/>
  <c r="D503" i="5"/>
  <c r="D492" i="5"/>
  <c r="D497" i="5"/>
  <c r="X497" i="5"/>
  <c r="D483" i="5"/>
  <c r="X483" i="5"/>
  <c r="M477" i="5"/>
  <c r="X493" i="5"/>
  <c r="X496" i="5"/>
  <c r="Y496" i="5"/>
  <c r="Z496" i="5"/>
  <c r="Z493" i="5"/>
  <c r="D489" i="5"/>
  <c r="Y489" i="5"/>
  <c r="X494" i="5"/>
  <c r="Y494" i="5"/>
  <c r="Z494" i="5"/>
  <c r="N476" i="5"/>
  <c r="D490" i="5"/>
  <c r="X490" i="5"/>
  <c r="D481" i="5"/>
  <c r="Y481" i="5"/>
  <c r="X491" i="5"/>
  <c r="Y491" i="5"/>
  <c r="Z491" i="5"/>
  <c r="D484" i="5"/>
  <c r="X484" i="5"/>
  <c r="X488" i="5"/>
  <c r="Y488" i="5"/>
  <c r="Z488" i="5"/>
  <c r="D479" i="5"/>
  <c r="X479" i="5"/>
  <c r="X485" i="5"/>
  <c r="Y485" i="5"/>
  <c r="Z485" i="5"/>
  <c r="X482" i="5"/>
  <c r="Y482" i="5"/>
  <c r="Z482" i="5"/>
  <c r="X480" i="5"/>
  <c r="Y480" i="5"/>
  <c r="Z480" i="5"/>
  <c r="X478" i="5"/>
  <c r="Y478" i="5"/>
  <c r="Z478" i="5"/>
  <c r="N477" i="5"/>
  <c r="N474" i="5"/>
  <c r="T133" i="4"/>
  <c r="D476" i="5"/>
  <c r="M474" i="5"/>
  <c r="AA477" i="5"/>
  <c r="AA476" i="5"/>
  <c r="T134" i="4"/>
  <c r="D475" i="5"/>
  <c r="H476" i="5"/>
  <c r="AA474" i="5"/>
  <c r="AA475" i="5"/>
  <c r="H474" i="5"/>
  <c r="B473" i="5"/>
  <c r="E473" i="5"/>
  <c r="F473" i="5"/>
  <c r="I473" i="5"/>
  <c r="J473" i="5"/>
  <c r="K473" i="5" a="1"/>
  <c r="L473" i="5" a="1"/>
  <c r="O473" i="5"/>
  <c r="P473" i="5"/>
  <c r="Q473" i="5"/>
  <c r="R473" i="5"/>
  <c r="S473" i="5"/>
  <c r="T473" i="5"/>
  <c r="AB473" i="5"/>
  <c r="B472" i="5"/>
  <c r="E472" i="5"/>
  <c r="F472" i="5"/>
  <c r="I472" i="5"/>
  <c r="J472" i="5"/>
  <c r="K472" i="5" a="1"/>
  <c r="L472" i="5" a="1"/>
  <c r="O472" i="5"/>
  <c r="P472" i="5"/>
  <c r="Q472" i="5"/>
  <c r="R472" i="5"/>
  <c r="S472" i="5"/>
  <c r="T472" i="5"/>
  <c r="AB472" i="5"/>
  <c r="A135" i="4"/>
  <c r="E135" i="4"/>
  <c r="H135" i="4"/>
  <c r="M135" i="4"/>
  <c r="S135" i="4"/>
  <c r="W135" i="4"/>
  <c r="X135" i="4"/>
  <c r="Y135" i="4"/>
  <c r="Z135" i="4"/>
  <c r="AA472" i="5"/>
  <c r="AA135" i="4"/>
  <c r="B471" i="5"/>
  <c r="E471" i="5"/>
  <c r="F471" i="5"/>
  <c r="I471" i="5"/>
  <c r="J471" i="5"/>
  <c r="K471" i="5" a="1"/>
  <c r="L471" i="5" a="1"/>
  <c r="O471" i="5"/>
  <c r="P471" i="5"/>
  <c r="Q471" i="5"/>
  <c r="R471" i="5"/>
  <c r="S471" i="5"/>
  <c r="T471" i="5"/>
  <c r="AB471" i="5"/>
  <c r="B470" i="5"/>
  <c r="E470" i="5"/>
  <c r="F470" i="5"/>
  <c r="I470" i="5"/>
  <c r="J470" i="5"/>
  <c r="K470" i="5" a="1"/>
  <c r="M470" i="5"/>
  <c r="L470" i="5" a="1"/>
  <c r="O470" i="5"/>
  <c r="P470" i="5"/>
  <c r="Q470" i="5"/>
  <c r="R470" i="5"/>
  <c r="S470" i="5"/>
  <c r="T470" i="5"/>
  <c r="AB470" i="5"/>
  <c r="A136" i="4"/>
  <c r="E136" i="4"/>
  <c r="H136" i="4"/>
  <c r="M136" i="4"/>
  <c r="S136" i="4"/>
  <c r="W136" i="4"/>
  <c r="X136" i="4"/>
  <c r="Y136" i="4"/>
  <c r="Z136" i="4"/>
  <c r="AA470" i="5"/>
  <c r="AA136" i="4"/>
  <c r="B469" i="5"/>
  <c r="E469" i="5"/>
  <c r="F469" i="5"/>
  <c r="I469" i="5"/>
  <c r="J469" i="5"/>
  <c r="K469" i="5" a="1"/>
  <c r="L469" i="5" a="1"/>
  <c r="O469" i="5"/>
  <c r="P469" i="5"/>
  <c r="Q469" i="5"/>
  <c r="R469" i="5"/>
  <c r="S469" i="5"/>
  <c r="T469" i="5"/>
  <c r="AB469" i="5"/>
  <c r="B468" i="5"/>
  <c r="E468" i="5"/>
  <c r="F468" i="5"/>
  <c r="I468" i="5"/>
  <c r="J468" i="5"/>
  <c r="K468" i="5" a="1"/>
  <c r="L468" i="5" a="1"/>
  <c r="O468" i="5"/>
  <c r="P468" i="5"/>
  <c r="Q468" i="5"/>
  <c r="R468" i="5"/>
  <c r="S468" i="5"/>
  <c r="T468" i="5"/>
  <c r="AB468" i="5"/>
  <c r="A137" i="4"/>
  <c r="E137" i="4"/>
  <c r="H137" i="4"/>
  <c r="M137" i="4"/>
  <c r="S137" i="4"/>
  <c r="W137" i="4"/>
  <c r="X137" i="4"/>
  <c r="Y137" i="4"/>
  <c r="Z137" i="4"/>
  <c r="AA468" i="5"/>
  <c r="AA137" i="4"/>
  <c r="B467" i="5"/>
  <c r="E467" i="5"/>
  <c r="F467" i="5"/>
  <c r="I467" i="5"/>
  <c r="J467" i="5"/>
  <c r="K467" i="5" a="1"/>
  <c r="L467" i="5" a="1"/>
  <c r="O467" i="5"/>
  <c r="P467" i="5"/>
  <c r="Q467" i="5"/>
  <c r="R467" i="5"/>
  <c r="S467" i="5"/>
  <c r="T467" i="5"/>
  <c r="AB467" i="5"/>
  <c r="B466" i="5"/>
  <c r="E466" i="5"/>
  <c r="F466" i="5"/>
  <c r="I466" i="5"/>
  <c r="J466" i="5"/>
  <c r="K466" i="5" a="1"/>
  <c r="L466" i="5" a="1"/>
  <c r="O466" i="5"/>
  <c r="P466" i="5"/>
  <c r="Q466" i="5"/>
  <c r="R466" i="5"/>
  <c r="S466" i="5"/>
  <c r="T466" i="5"/>
  <c r="AB466" i="5"/>
  <c r="A138" i="4"/>
  <c r="E138" i="4"/>
  <c r="H138" i="4"/>
  <c r="M138" i="4"/>
  <c r="S138" i="4"/>
  <c r="W138" i="4"/>
  <c r="X138" i="4"/>
  <c r="Y138" i="4"/>
  <c r="Z138" i="4"/>
  <c r="AA466" i="5"/>
  <c r="AA138" i="4"/>
  <c r="B465" i="5"/>
  <c r="E465" i="5"/>
  <c r="F465" i="5"/>
  <c r="I465" i="5"/>
  <c r="J465" i="5"/>
  <c r="K465" i="5" a="1"/>
  <c r="L465" i="5" a="1"/>
  <c r="O465" i="5"/>
  <c r="P465" i="5"/>
  <c r="Q465" i="5"/>
  <c r="R465" i="5"/>
  <c r="S465" i="5"/>
  <c r="T465" i="5"/>
  <c r="AB465" i="5"/>
  <c r="B464" i="5"/>
  <c r="E464" i="5"/>
  <c r="F464" i="5"/>
  <c r="I464" i="5"/>
  <c r="J464" i="5"/>
  <c r="K464" i="5" a="1"/>
  <c r="L464" i="5" a="1"/>
  <c r="O464" i="5"/>
  <c r="P464" i="5"/>
  <c r="Q464" i="5"/>
  <c r="R464" i="5"/>
  <c r="S464" i="5"/>
  <c r="T464" i="5"/>
  <c r="AB464" i="5"/>
  <c r="A139" i="4"/>
  <c r="E139" i="4"/>
  <c r="H139" i="4"/>
  <c r="M139" i="4"/>
  <c r="S139" i="4"/>
  <c r="W139" i="4"/>
  <c r="X139" i="4"/>
  <c r="Y139" i="4"/>
  <c r="Z139" i="4"/>
  <c r="AA464" i="5"/>
  <c r="AA139" i="4"/>
  <c r="B463" i="5"/>
  <c r="E463" i="5"/>
  <c r="F463" i="5"/>
  <c r="I463" i="5"/>
  <c r="J463" i="5"/>
  <c r="K463" i="5" a="1"/>
  <c r="L463" i="5" a="1"/>
  <c r="O463" i="5"/>
  <c r="P463" i="5"/>
  <c r="Q463" i="5"/>
  <c r="R463" i="5"/>
  <c r="S463" i="5"/>
  <c r="T463" i="5"/>
  <c r="AB463" i="5"/>
  <c r="B462" i="5"/>
  <c r="E462" i="5"/>
  <c r="F462" i="5"/>
  <c r="I462" i="5"/>
  <c r="J462" i="5"/>
  <c r="K462" i="5" a="1"/>
  <c r="L462" i="5" a="1"/>
  <c r="O462" i="5"/>
  <c r="P462" i="5"/>
  <c r="Q462" i="5"/>
  <c r="R462" i="5"/>
  <c r="S462" i="5"/>
  <c r="T462" i="5"/>
  <c r="AB462" i="5"/>
  <c r="A140" i="4"/>
  <c r="E140" i="4"/>
  <c r="H140" i="4"/>
  <c r="M140" i="4"/>
  <c r="S140" i="4"/>
  <c r="W140" i="4"/>
  <c r="X140" i="4"/>
  <c r="Y140" i="4"/>
  <c r="Z140" i="4"/>
  <c r="AA462" i="5"/>
  <c r="AA140" i="4"/>
  <c r="B461" i="5"/>
  <c r="E461" i="5"/>
  <c r="F461" i="5"/>
  <c r="I461" i="5"/>
  <c r="J461" i="5"/>
  <c r="K461" i="5" a="1"/>
  <c r="L461" i="5" a="1"/>
  <c r="O461" i="5"/>
  <c r="P461" i="5"/>
  <c r="Q461" i="5"/>
  <c r="R461" i="5"/>
  <c r="S461" i="5"/>
  <c r="T461" i="5"/>
  <c r="AB461" i="5"/>
  <c r="B460" i="5"/>
  <c r="E460" i="5"/>
  <c r="F460" i="5"/>
  <c r="I460" i="5"/>
  <c r="J460" i="5"/>
  <c r="K460" i="5" a="1"/>
  <c r="L460" i="5" a="1"/>
  <c r="O460" i="5"/>
  <c r="P460" i="5"/>
  <c r="Q460" i="5"/>
  <c r="R460" i="5"/>
  <c r="S460" i="5"/>
  <c r="T460" i="5"/>
  <c r="AB460" i="5"/>
  <c r="A141" i="4"/>
  <c r="E141" i="4"/>
  <c r="H141" i="4"/>
  <c r="M141" i="4"/>
  <c r="S141" i="4"/>
  <c r="W141" i="4"/>
  <c r="X141" i="4"/>
  <c r="Y141" i="4"/>
  <c r="Z141" i="4"/>
  <c r="AA460" i="5"/>
  <c r="AA141" i="4"/>
  <c r="B459" i="5"/>
  <c r="E459" i="5"/>
  <c r="F459" i="5"/>
  <c r="I459" i="5"/>
  <c r="J459" i="5"/>
  <c r="K459" i="5" a="1"/>
  <c r="L459" i="5" a="1"/>
  <c r="O459" i="5"/>
  <c r="P459" i="5"/>
  <c r="Q459" i="5"/>
  <c r="R459" i="5"/>
  <c r="S459" i="5"/>
  <c r="T459" i="5"/>
  <c r="AB459" i="5"/>
  <c r="B458" i="5"/>
  <c r="E458" i="5"/>
  <c r="F458" i="5"/>
  <c r="I458" i="5"/>
  <c r="J458" i="5"/>
  <c r="K458" i="5" a="1"/>
  <c r="L458" i="5" a="1"/>
  <c r="O458" i="5"/>
  <c r="P458" i="5"/>
  <c r="Q458" i="5"/>
  <c r="R458" i="5"/>
  <c r="S458" i="5"/>
  <c r="T458" i="5"/>
  <c r="AB458" i="5"/>
  <c r="A142" i="4"/>
  <c r="E142" i="4"/>
  <c r="H142" i="4"/>
  <c r="M142" i="4"/>
  <c r="S142" i="4"/>
  <c r="W142" i="4"/>
  <c r="X142" i="4"/>
  <c r="Y142" i="4"/>
  <c r="Z142" i="4"/>
  <c r="AA458" i="5"/>
  <c r="AA142" i="4"/>
  <c r="B457" i="5"/>
  <c r="E457" i="5"/>
  <c r="F457" i="5"/>
  <c r="I457" i="5"/>
  <c r="J457" i="5"/>
  <c r="K457" i="5" a="1"/>
  <c r="L457" i="5" a="1"/>
  <c r="O457" i="5"/>
  <c r="P457" i="5"/>
  <c r="Q457" i="5"/>
  <c r="R457" i="5"/>
  <c r="S457" i="5"/>
  <c r="T457" i="5"/>
  <c r="AB457" i="5"/>
  <c r="B456" i="5"/>
  <c r="E456" i="5"/>
  <c r="F456" i="5"/>
  <c r="I456" i="5"/>
  <c r="J456" i="5"/>
  <c r="K456" i="5" a="1"/>
  <c r="M456" i="5"/>
  <c r="L456" i="5" a="1"/>
  <c r="O456" i="5"/>
  <c r="P456" i="5"/>
  <c r="Q456" i="5"/>
  <c r="R456" i="5"/>
  <c r="S456" i="5"/>
  <c r="T456" i="5"/>
  <c r="AB456" i="5"/>
  <c r="A143" i="4"/>
  <c r="E143" i="4"/>
  <c r="H143" i="4"/>
  <c r="M143" i="4"/>
  <c r="S143" i="4"/>
  <c r="W143" i="4"/>
  <c r="X143" i="4"/>
  <c r="Y143" i="4"/>
  <c r="Z143" i="4"/>
  <c r="AA456" i="5"/>
  <c r="AA143" i="4"/>
  <c r="B455" i="5"/>
  <c r="E455" i="5"/>
  <c r="F455" i="5"/>
  <c r="I455" i="5"/>
  <c r="J455" i="5"/>
  <c r="K455" i="5" a="1"/>
  <c r="L455" i="5" a="1"/>
  <c r="O455" i="5"/>
  <c r="P455" i="5"/>
  <c r="Q455" i="5"/>
  <c r="R455" i="5"/>
  <c r="S455" i="5"/>
  <c r="T455" i="5"/>
  <c r="AB455" i="5"/>
  <c r="B454" i="5"/>
  <c r="E454" i="5"/>
  <c r="F454" i="5"/>
  <c r="I454" i="5"/>
  <c r="J454" i="5"/>
  <c r="K454" i="5" a="1"/>
  <c r="L454" i="5" a="1"/>
  <c r="O454" i="5"/>
  <c r="P454" i="5"/>
  <c r="Q454" i="5"/>
  <c r="R454" i="5"/>
  <c r="S454" i="5"/>
  <c r="T454" i="5"/>
  <c r="AB454" i="5"/>
  <c r="A144" i="4"/>
  <c r="E144" i="4"/>
  <c r="H144" i="4"/>
  <c r="M144" i="4"/>
  <c r="S144" i="4"/>
  <c r="W144" i="4"/>
  <c r="X144" i="4"/>
  <c r="Y144" i="4"/>
  <c r="Z144" i="4"/>
  <c r="AA454" i="5"/>
  <c r="AA144" i="4"/>
  <c r="B453" i="5"/>
  <c r="E453" i="5"/>
  <c r="F453" i="5"/>
  <c r="I453" i="5"/>
  <c r="J453" i="5"/>
  <c r="K453" i="5" a="1"/>
  <c r="L453" i="5" a="1"/>
  <c r="O453" i="5"/>
  <c r="P453" i="5"/>
  <c r="Q453" i="5"/>
  <c r="R453" i="5"/>
  <c r="S453" i="5"/>
  <c r="T453" i="5"/>
  <c r="AB453" i="5"/>
  <c r="B452" i="5"/>
  <c r="E452" i="5"/>
  <c r="F452" i="5"/>
  <c r="I452" i="5"/>
  <c r="J452" i="5"/>
  <c r="K452" i="5" a="1"/>
  <c r="M452" i="5"/>
  <c r="L452" i="5" a="1"/>
  <c r="O452" i="5"/>
  <c r="P452" i="5"/>
  <c r="Q452" i="5"/>
  <c r="R452" i="5"/>
  <c r="S452" i="5"/>
  <c r="T452" i="5"/>
  <c r="AB452" i="5"/>
  <c r="A145" i="4"/>
  <c r="E145" i="4"/>
  <c r="H145" i="4"/>
  <c r="M145" i="4"/>
  <c r="S145" i="4"/>
  <c r="W145" i="4"/>
  <c r="X145" i="4"/>
  <c r="Y145" i="4"/>
  <c r="Z145" i="4"/>
  <c r="AA452" i="5"/>
  <c r="AA145" i="4"/>
  <c r="B451" i="5"/>
  <c r="E451" i="5"/>
  <c r="F451" i="5"/>
  <c r="I451" i="5"/>
  <c r="J451" i="5"/>
  <c r="K451" i="5" a="1"/>
  <c r="L451" i="5" a="1"/>
  <c r="O451" i="5"/>
  <c r="P451" i="5"/>
  <c r="Q451" i="5"/>
  <c r="R451" i="5"/>
  <c r="S451" i="5"/>
  <c r="T451" i="5"/>
  <c r="AB451" i="5"/>
  <c r="B450" i="5"/>
  <c r="E450" i="5"/>
  <c r="F450" i="5"/>
  <c r="I450" i="5"/>
  <c r="J450" i="5"/>
  <c r="K450" i="5" a="1"/>
  <c r="L450" i="5" a="1"/>
  <c r="O450" i="5"/>
  <c r="P450" i="5"/>
  <c r="Q450" i="5"/>
  <c r="R450" i="5"/>
  <c r="S450" i="5"/>
  <c r="T450" i="5"/>
  <c r="AB450" i="5"/>
  <c r="A146" i="4"/>
  <c r="E146" i="4"/>
  <c r="H146" i="4"/>
  <c r="M146" i="4"/>
  <c r="S146" i="4"/>
  <c r="W146" i="4"/>
  <c r="X146" i="4"/>
  <c r="Y146" i="4"/>
  <c r="Z146" i="4"/>
  <c r="AA450" i="5"/>
  <c r="AA146" i="4"/>
  <c r="B449" i="5"/>
  <c r="E449" i="5"/>
  <c r="F449" i="5"/>
  <c r="I449" i="5"/>
  <c r="J449" i="5"/>
  <c r="K449" i="5" a="1"/>
  <c r="L449" i="5" a="1"/>
  <c r="O449" i="5"/>
  <c r="P449" i="5"/>
  <c r="Q449" i="5"/>
  <c r="R449" i="5"/>
  <c r="S449" i="5"/>
  <c r="T449" i="5"/>
  <c r="AB449" i="5"/>
  <c r="B448" i="5"/>
  <c r="E448" i="5"/>
  <c r="F448" i="5"/>
  <c r="I448" i="5"/>
  <c r="J448" i="5"/>
  <c r="K448" i="5" a="1"/>
  <c r="L448" i="5" a="1"/>
  <c r="O448" i="5"/>
  <c r="P448" i="5"/>
  <c r="Q448" i="5"/>
  <c r="R448" i="5"/>
  <c r="S448" i="5"/>
  <c r="T448" i="5"/>
  <c r="AB448" i="5"/>
  <c r="A147" i="4"/>
  <c r="E147" i="4"/>
  <c r="H147" i="4"/>
  <c r="M147" i="4"/>
  <c r="S147" i="4"/>
  <c r="W147" i="4"/>
  <c r="X147" i="4"/>
  <c r="Y147" i="4"/>
  <c r="Z147" i="4"/>
  <c r="AA448" i="5"/>
  <c r="AA147" i="4"/>
  <c r="B447" i="5"/>
  <c r="E447" i="5"/>
  <c r="F447" i="5"/>
  <c r="I447" i="5"/>
  <c r="J447" i="5"/>
  <c r="K447" i="5" a="1"/>
  <c r="L447" i="5" a="1"/>
  <c r="O447" i="5"/>
  <c r="P447" i="5"/>
  <c r="Q447" i="5"/>
  <c r="R447" i="5"/>
  <c r="S447" i="5"/>
  <c r="T447" i="5"/>
  <c r="AB447" i="5"/>
  <c r="B446" i="5"/>
  <c r="E446" i="5"/>
  <c r="F446" i="5"/>
  <c r="I446" i="5"/>
  <c r="J446" i="5"/>
  <c r="K446" i="5" a="1"/>
  <c r="L446" i="5" a="1"/>
  <c r="O446" i="5"/>
  <c r="P446" i="5"/>
  <c r="Q446" i="5"/>
  <c r="R446" i="5"/>
  <c r="S446" i="5"/>
  <c r="T446" i="5"/>
  <c r="AB446" i="5"/>
  <c r="A148" i="4"/>
  <c r="E148" i="4"/>
  <c r="H148" i="4"/>
  <c r="M148" i="4"/>
  <c r="S148" i="4"/>
  <c r="W148" i="4"/>
  <c r="X148" i="4"/>
  <c r="Y148" i="4"/>
  <c r="Z148" i="4"/>
  <c r="AA446" i="5"/>
  <c r="AA148" i="4"/>
  <c r="B445" i="5"/>
  <c r="E445" i="5"/>
  <c r="F445" i="5"/>
  <c r="I445" i="5"/>
  <c r="J445" i="5"/>
  <c r="K445" i="5" a="1"/>
  <c r="L445" i="5" a="1"/>
  <c r="O445" i="5"/>
  <c r="P445" i="5"/>
  <c r="Q445" i="5"/>
  <c r="R445" i="5"/>
  <c r="S445" i="5"/>
  <c r="T445" i="5"/>
  <c r="AB445" i="5"/>
  <c r="B444" i="5"/>
  <c r="E444" i="5"/>
  <c r="F444" i="5"/>
  <c r="I444" i="5"/>
  <c r="J444" i="5"/>
  <c r="K444" i="5" a="1"/>
  <c r="L444" i="5" a="1"/>
  <c r="O444" i="5"/>
  <c r="P444" i="5"/>
  <c r="Q444" i="5"/>
  <c r="R444" i="5"/>
  <c r="S444" i="5"/>
  <c r="T444" i="5"/>
  <c r="AB444" i="5"/>
  <c r="A149" i="4"/>
  <c r="E149" i="4"/>
  <c r="H149" i="4"/>
  <c r="M149" i="4"/>
  <c r="S149" i="4"/>
  <c r="W149" i="4"/>
  <c r="X149" i="4"/>
  <c r="Y149" i="4"/>
  <c r="Z149" i="4"/>
  <c r="AA444" i="5"/>
  <c r="AA149" i="4"/>
  <c r="B443" i="5"/>
  <c r="E443" i="5"/>
  <c r="F443" i="5"/>
  <c r="I443" i="5"/>
  <c r="J443" i="5"/>
  <c r="K443" i="5" a="1"/>
  <c r="L443" i="5" a="1"/>
  <c r="O443" i="5"/>
  <c r="P443" i="5"/>
  <c r="Q443" i="5"/>
  <c r="R443" i="5"/>
  <c r="S443" i="5"/>
  <c r="T443" i="5"/>
  <c r="AB443" i="5"/>
  <c r="B442" i="5"/>
  <c r="E442" i="5"/>
  <c r="F442" i="5"/>
  <c r="I442" i="5"/>
  <c r="J442" i="5"/>
  <c r="K442" i="5" a="1"/>
  <c r="L442" i="5" a="1"/>
  <c r="O442" i="5"/>
  <c r="P442" i="5"/>
  <c r="Q442" i="5"/>
  <c r="R442" i="5"/>
  <c r="S442" i="5"/>
  <c r="T442" i="5"/>
  <c r="AB442" i="5"/>
  <c r="A150" i="4"/>
  <c r="E150" i="4"/>
  <c r="H150" i="4"/>
  <c r="M150" i="4"/>
  <c r="S150" i="4"/>
  <c r="W150" i="4"/>
  <c r="X150" i="4"/>
  <c r="Y150" i="4"/>
  <c r="Z150" i="4"/>
  <c r="AA442" i="5"/>
  <c r="AA150" i="4"/>
  <c r="B441" i="5"/>
  <c r="E441" i="5"/>
  <c r="F441" i="5"/>
  <c r="I441" i="5"/>
  <c r="J441" i="5"/>
  <c r="K441" i="5" a="1"/>
  <c r="L441" i="5" a="1"/>
  <c r="O441" i="5"/>
  <c r="P441" i="5"/>
  <c r="Q441" i="5"/>
  <c r="R441" i="5"/>
  <c r="S441" i="5"/>
  <c r="T441" i="5"/>
  <c r="AB441" i="5"/>
  <c r="B440" i="5"/>
  <c r="E440" i="5"/>
  <c r="F440" i="5"/>
  <c r="I440" i="5"/>
  <c r="J440" i="5"/>
  <c r="K440" i="5" a="1"/>
  <c r="L440" i="5" a="1"/>
  <c r="O440" i="5"/>
  <c r="P440" i="5"/>
  <c r="Q440" i="5"/>
  <c r="R440" i="5"/>
  <c r="S440" i="5"/>
  <c r="T440" i="5"/>
  <c r="AB440" i="5"/>
  <c r="A151" i="4"/>
  <c r="E151" i="4"/>
  <c r="H151" i="4"/>
  <c r="M151" i="4"/>
  <c r="S151" i="4"/>
  <c r="W151" i="4"/>
  <c r="X151" i="4"/>
  <c r="Y151" i="4"/>
  <c r="Z151" i="4"/>
  <c r="AA440" i="5"/>
  <c r="AA151" i="4"/>
  <c r="B439" i="5"/>
  <c r="E439" i="5"/>
  <c r="F439" i="5"/>
  <c r="I439" i="5"/>
  <c r="J439" i="5"/>
  <c r="K439" i="5" a="1"/>
  <c r="L439" i="5" a="1"/>
  <c r="O439" i="5"/>
  <c r="P439" i="5"/>
  <c r="Q439" i="5"/>
  <c r="R439" i="5"/>
  <c r="S439" i="5"/>
  <c r="T439" i="5"/>
  <c r="AB439" i="5"/>
  <c r="B438" i="5"/>
  <c r="E438" i="5"/>
  <c r="F438" i="5"/>
  <c r="I438" i="5"/>
  <c r="J438" i="5"/>
  <c r="K438" i="5" a="1"/>
  <c r="L438" i="5" a="1"/>
  <c r="O438" i="5"/>
  <c r="P438" i="5"/>
  <c r="Q438" i="5"/>
  <c r="R438" i="5"/>
  <c r="S438" i="5"/>
  <c r="T438" i="5"/>
  <c r="AB438" i="5"/>
  <c r="A152" i="4"/>
  <c r="E152" i="4"/>
  <c r="H152" i="4"/>
  <c r="M152" i="4"/>
  <c r="S152" i="4"/>
  <c r="W152" i="4"/>
  <c r="X152" i="4"/>
  <c r="Y152" i="4"/>
  <c r="Z152" i="4"/>
  <c r="H439" i="5"/>
  <c r="AA152" i="4"/>
  <c r="Z736" i="5"/>
  <c r="Y736" i="5"/>
  <c r="X736" i="5"/>
  <c r="U736" i="5"/>
  <c r="Z737" i="5"/>
  <c r="Y737" i="5"/>
  <c r="X737" i="5"/>
  <c r="U737" i="5"/>
  <c r="Z734" i="5"/>
  <c r="Y734" i="5"/>
  <c r="X734" i="5"/>
  <c r="U734" i="5"/>
  <c r="Z735" i="5"/>
  <c r="Y735" i="5"/>
  <c r="X735" i="5"/>
  <c r="U735" i="5"/>
  <c r="Z732" i="5"/>
  <c r="Y732" i="5"/>
  <c r="X732" i="5"/>
  <c r="U732" i="5"/>
  <c r="Z733" i="5"/>
  <c r="Y733" i="5"/>
  <c r="X733" i="5"/>
  <c r="U733" i="5"/>
  <c r="Z730" i="5"/>
  <c r="Y730" i="5"/>
  <c r="X730" i="5"/>
  <c r="U730" i="5"/>
  <c r="Z731" i="5"/>
  <c r="Y731" i="5"/>
  <c r="X731" i="5"/>
  <c r="U731" i="5"/>
  <c r="Z728" i="5"/>
  <c r="Y728" i="5"/>
  <c r="X728" i="5"/>
  <c r="U728" i="5"/>
  <c r="Z729" i="5"/>
  <c r="Y729" i="5"/>
  <c r="X729" i="5"/>
  <c r="U729" i="5"/>
  <c r="Z726" i="5"/>
  <c r="Y726" i="5"/>
  <c r="X726" i="5"/>
  <c r="U726" i="5"/>
  <c r="Z727" i="5"/>
  <c r="Y727" i="5"/>
  <c r="X727" i="5"/>
  <c r="U727" i="5"/>
  <c r="Z724" i="5"/>
  <c r="Y724" i="5"/>
  <c r="X724" i="5"/>
  <c r="Z725" i="5"/>
  <c r="Y725" i="5"/>
  <c r="X725" i="5"/>
  <c r="U725" i="5"/>
  <c r="Z722" i="5"/>
  <c r="Y722" i="5"/>
  <c r="X722" i="5"/>
  <c r="U722" i="5"/>
  <c r="Z723" i="5"/>
  <c r="Y723" i="5"/>
  <c r="X723" i="5"/>
  <c r="U723" i="5"/>
  <c r="Z720" i="5"/>
  <c r="Y720" i="5"/>
  <c r="X720" i="5"/>
  <c r="U720" i="5"/>
  <c r="Z721" i="5"/>
  <c r="Y721" i="5"/>
  <c r="X721" i="5"/>
  <c r="U721" i="5"/>
  <c r="Z718" i="5"/>
  <c r="Y718" i="5"/>
  <c r="X718" i="5"/>
  <c r="Z719" i="5"/>
  <c r="Y719" i="5"/>
  <c r="X719" i="5"/>
  <c r="U719" i="5"/>
  <c r="Z716" i="5"/>
  <c r="Y716" i="5"/>
  <c r="X716" i="5"/>
  <c r="U716" i="5"/>
  <c r="Z717" i="5"/>
  <c r="Y717" i="5"/>
  <c r="X717" i="5"/>
  <c r="U717" i="5"/>
  <c r="Z714" i="5"/>
  <c r="Y714" i="5"/>
  <c r="X714" i="5"/>
  <c r="U714" i="5"/>
  <c r="Z715" i="5"/>
  <c r="Y715" i="5"/>
  <c r="X715" i="5"/>
  <c r="U715" i="5"/>
  <c r="Z712" i="5"/>
  <c r="Y712" i="5"/>
  <c r="X712" i="5"/>
  <c r="U712" i="5"/>
  <c r="Z713" i="5"/>
  <c r="Y713" i="5"/>
  <c r="X713" i="5"/>
  <c r="U713" i="5"/>
  <c r="Z710" i="5"/>
  <c r="Y710" i="5"/>
  <c r="X710" i="5"/>
  <c r="Z711" i="5"/>
  <c r="Y711" i="5"/>
  <c r="X711" i="5"/>
  <c r="Z708" i="5"/>
  <c r="Y708" i="5"/>
  <c r="X708" i="5"/>
  <c r="U708" i="5"/>
  <c r="Z709" i="5"/>
  <c r="Y709" i="5"/>
  <c r="X709" i="5"/>
  <c r="Z706" i="5"/>
  <c r="Y706" i="5"/>
  <c r="X706" i="5"/>
  <c r="Z707" i="5"/>
  <c r="Y707" i="5"/>
  <c r="X707" i="5"/>
  <c r="Z704" i="5"/>
  <c r="Y704" i="5"/>
  <c r="X704" i="5"/>
  <c r="U704" i="5"/>
  <c r="Z705" i="5"/>
  <c r="Y705" i="5"/>
  <c r="X705" i="5"/>
  <c r="U705" i="5"/>
  <c r="Z702" i="5"/>
  <c r="Y702" i="5"/>
  <c r="X702" i="5"/>
  <c r="Z703" i="5"/>
  <c r="Y703" i="5"/>
  <c r="X703" i="5"/>
  <c r="U703" i="5"/>
  <c r="Z700" i="5"/>
  <c r="Y700" i="5"/>
  <c r="X700" i="5"/>
  <c r="Z701" i="5"/>
  <c r="Y701" i="5"/>
  <c r="X701" i="5"/>
  <c r="U701" i="5"/>
  <c r="Z698" i="5"/>
  <c r="Y698" i="5"/>
  <c r="X698" i="5"/>
  <c r="Z699" i="5"/>
  <c r="Y699" i="5"/>
  <c r="X699" i="5"/>
  <c r="U699" i="5"/>
  <c r="Z696" i="5"/>
  <c r="Y696" i="5"/>
  <c r="X696" i="5"/>
  <c r="U696" i="5"/>
  <c r="Z697" i="5"/>
  <c r="Y697" i="5"/>
  <c r="X697" i="5"/>
  <c r="U697" i="5"/>
  <c r="Z694" i="5"/>
  <c r="Y694" i="5"/>
  <c r="X694" i="5"/>
  <c r="U694" i="5"/>
  <c r="Z695" i="5"/>
  <c r="Y695" i="5"/>
  <c r="X695" i="5"/>
  <c r="U695" i="5"/>
  <c r="Z692" i="5"/>
  <c r="Y692" i="5"/>
  <c r="X692" i="5"/>
  <c r="U692" i="5"/>
  <c r="Z693" i="5"/>
  <c r="Y693" i="5"/>
  <c r="X693" i="5"/>
  <c r="U693" i="5"/>
  <c r="Z690" i="5"/>
  <c r="Y690" i="5"/>
  <c r="X690" i="5"/>
  <c r="U690" i="5"/>
  <c r="Z691" i="5"/>
  <c r="Y691" i="5"/>
  <c r="X691" i="5"/>
  <c r="Z688" i="5"/>
  <c r="Y688" i="5"/>
  <c r="X688" i="5"/>
  <c r="Z689" i="5"/>
  <c r="Y689" i="5"/>
  <c r="X689" i="5"/>
  <c r="Z686" i="5"/>
  <c r="Y686" i="5"/>
  <c r="X686" i="5"/>
  <c r="Z687" i="5"/>
  <c r="Y687" i="5"/>
  <c r="X687" i="5"/>
  <c r="U687" i="5"/>
  <c r="Z684" i="5"/>
  <c r="Y684" i="5"/>
  <c r="X684" i="5"/>
  <c r="Z685" i="5"/>
  <c r="Y685" i="5"/>
  <c r="X685" i="5"/>
  <c r="U685" i="5"/>
  <c r="Z682" i="5"/>
  <c r="Y682" i="5"/>
  <c r="X682" i="5"/>
  <c r="Z683" i="5"/>
  <c r="Y683" i="5"/>
  <c r="X683" i="5"/>
  <c r="U683" i="5"/>
  <c r="Z680" i="5"/>
  <c r="Y680" i="5"/>
  <c r="X680" i="5"/>
  <c r="Z681" i="5"/>
  <c r="Y681" i="5"/>
  <c r="X681" i="5"/>
  <c r="Z678" i="5"/>
  <c r="Y678" i="5"/>
  <c r="X678" i="5"/>
  <c r="Z679" i="5"/>
  <c r="Y679" i="5"/>
  <c r="X679" i="5"/>
  <c r="U679" i="5"/>
  <c r="Z676" i="5"/>
  <c r="Y676" i="5"/>
  <c r="X676" i="5"/>
  <c r="U676" i="5"/>
  <c r="Z677" i="5"/>
  <c r="Y677" i="5"/>
  <c r="X677" i="5"/>
  <c r="U677" i="5"/>
  <c r="Z674" i="5"/>
  <c r="Y674" i="5"/>
  <c r="X674" i="5"/>
  <c r="Z675" i="5"/>
  <c r="Y675" i="5"/>
  <c r="X675" i="5"/>
  <c r="Z672" i="5"/>
  <c r="Y672" i="5"/>
  <c r="X672" i="5"/>
  <c r="Z673" i="5"/>
  <c r="Y673" i="5"/>
  <c r="X673" i="5"/>
  <c r="U673" i="5"/>
  <c r="Z670" i="5"/>
  <c r="Y670" i="5"/>
  <c r="X670" i="5"/>
  <c r="Z671" i="5"/>
  <c r="Y671" i="5"/>
  <c r="X671" i="5"/>
  <c r="U671" i="5"/>
  <c r="Z668" i="5"/>
  <c r="Y668" i="5"/>
  <c r="X668" i="5"/>
  <c r="Z669" i="5"/>
  <c r="Y669" i="5"/>
  <c r="X669" i="5"/>
  <c r="Z666" i="5"/>
  <c r="Y666" i="5"/>
  <c r="X666" i="5"/>
  <c r="Z667" i="5"/>
  <c r="Y667" i="5"/>
  <c r="X667" i="5"/>
  <c r="Z664" i="5"/>
  <c r="Y664" i="5"/>
  <c r="X664" i="5"/>
  <c r="Z665" i="5"/>
  <c r="Y665" i="5"/>
  <c r="X665" i="5"/>
  <c r="Z662" i="5"/>
  <c r="Y662" i="5"/>
  <c r="X662" i="5"/>
  <c r="U662" i="5"/>
  <c r="Z663" i="5"/>
  <c r="Y663" i="5"/>
  <c r="X663" i="5"/>
  <c r="Z660" i="5"/>
  <c r="Y660" i="5"/>
  <c r="X660" i="5"/>
  <c r="Z661" i="5"/>
  <c r="Y661" i="5"/>
  <c r="X661" i="5"/>
  <c r="Z658" i="5"/>
  <c r="Y658" i="5"/>
  <c r="X658" i="5"/>
  <c r="Z659" i="5"/>
  <c r="Y659" i="5"/>
  <c r="X659" i="5"/>
  <c r="U659" i="5"/>
  <c r="Z656" i="5"/>
  <c r="Y656" i="5"/>
  <c r="X656" i="5"/>
  <c r="Z657" i="5"/>
  <c r="Y657" i="5"/>
  <c r="X657" i="5"/>
  <c r="Z654" i="5"/>
  <c r="Y654" i="5"/>
  <c r="X654" i="5"/>
  <c r="Z655" i="5"/>
  <c r="Y655" i="5"/>
  <c r="X655" i="5"/>
  <c r="Z652" i="5"/>
  <c r="Y652" i="5"/>
  <c r="X652" i="5"/>
  <c r="Z653" i="5"/>
  <c r="Y653" i="5"/>
  <c r="X653" i="5"/>
  <c r="U653" i="5"/>
  <c r="Z650" i="5"/>
  <c r="Y650" i="5"/>
  <c r="X650" i="5"/>
  <c r="Z651" i="5"/>
  <c r="Y651" i="5"/>
  <c r="X651" i="5"/>
  <c r="Z648" i="5"/>
  <c r="Y648" i="5"/>
  <c r="X648" i="5"/>
  <c r="Z649" i="5"/>
  <c r="Y649" i="5"/>
  <c r="X649" i="5"/>
  <c r="Z646" i="5"/>
  <c r="Y646" i="5"/>
  <c r="X646" i="5"/>
  <c r="Z647" i="5"/>
  <c r="Y647" i="5"/>
  <c r="X647" i="5"/>
  <c r="U647" i="5"/>
  <c r="Z645" i="5"/>
  <c r="Y645" i="5"/>
  <c r="X645" i="5"/>
  <c r="Z644" i="5"/>
  <c r="Y644" i="5"/>
  <c r="X644" i="5"/>
  <c r="M472" i="5"/>
  <c r="Z642" i="5"/>
  <c r="Y642" i="5"/>
  <c r="X642" i="5"/>
  <c r="Z643" i="5"/>
  <c r="Y643" i="5"/>
  <c r="X643" i="5"/>
  <c r="Z640" i="5"/>
  <c r="Y640" i="5"/>
  <c r="X640" i="5"/>
  <c r="Z641" i="5"/>
  <c r="Y641" i="5"/>
  <c r="X641" i="5"/>
  <c r="Z638" i="5"/>
  <c r="Y638" i="5"/>
  <c r="X638" i="5"/>
  <c r="Z639" i="5"/>
  <c r="Y639" i="5"/>
  <c r="X639" i="5"/>
  <c r="Z636" i="5"/>
  <c r="Y636" i="5"/>
  <c r="X636" i="5"/>
  <c r="Z637" i="5"/>
  <c r="Y637" i="5"/>
  <c r="X637" i="5"/>
  <c r="Z634" i="5"/>
  <c r="Y634" i="5"/>
  <c r="X634" i="5"/>
  <c r="U634" i="5"/>
  <c r="Z635" i="5"/>
  <c r="Y635" i="5"/>
  <c r="X635" i="5"/>
  <c r="Z632" i="5"/>
  <c r="Y632" i="5"/>
  <c r="X632" i="5"/>
  <c r="Z633" i="5"/>
  <c r="Y633" i="5"/>
  <c r="X633" i="5"/>
  <c r="Z631" i="5"/>
  <c r="Y631" i="5"/>
  <c r="X631" i="5"/>
  <c r="Z630" i="5"/>
  <c r="Y630" i="5"/>
  <c r="X630" i="5"/>
  <c r="Z628" i="5"/>
  <c r="Y628" i="5"/>
  <c r="X628" i="5"/>
  <c r="Z629" i="5"/>
  <c r="Y629" i="5"/>
  <c r="X629" i="5"/>
  <c r="Z626" i="5"/>
  <c r="Y626" i="5"/>
  <c r="X626" i="5"/>
  <c r="Z627" i="5"/>
  <c r="Y627" i="5"/>
  <c r="X627" i="5"/>
  <c r="Z624" i="5"/>
  <c r="Y624" i="5"/>
  <c r="X624" i="5"/>
  <c r="Z625" i="5"/>
  <c r="Y625" i="5"/>
  <c r="X625" i="5"/>
  <c r="Z622" i="5"/>
  <c r="Y622" i="5"/>
  <c r="X622" i="5"/>
  <c r="Z623" i="5"/>
  <c r="Y623" i="5"/>
  <c r="X623" i="5"/>
  <c r="Z620" i="5"/>
  <c r="Y620" i="5"/>
  <c r="X620" i="5"/>
  <c r="Z621" i="5"/>
  <c r="Y621" i="5"/>
  <c r="X621" i="5"/>
  <c r="Z618" i="5"/>
  <c r="Y618" i="5"/>
  <c r="X618" i="5"/>
  <c r="Z619" i="5"/>
  <c r="Y619" i="5"/>
  <c r="X619" i="5"/>
  <c r="Z616" i="5"/>
  <c r="Y616" i="5"/>
  <c r="X616" i="5"/>
  <c r="Z617" i="5"/>
  <c r="Y617" i="5"/>
  <c r="X617" i="5"/>
  <c r="U617" i="5"/>
  <c r="Z614" i="5"/>
  <c r="Y614" i="5"/>
  <c r="X614" i="5"/>
  <c r="Z615" i="5"/>
  <c r="Y615" i="5"/>
  <c r="X615" i="5"/>
  <c r="X500" i="5"/>
  <c r="Y500" i="5"/>
  <c r="Z500" i="5"/>
  <c r="X501" i="5"/>
  <c r="Y501" i="5"/>
  <c r="Z501" i="5"/>
  <c r="Z612" i="5"/>
  <c r="Y612" i="5"/>
  <c r="X612" i="5"/>
  <c r="Z613" i="5"/>
  <c r="Y613" i="5"/>
  <c r="X613" i="5"/>
  <c r="Z610" i="5"/>
  <c r="Y610" i="5"/>
  <c r="X610" i="5"/>
  <c r="Z611" i="5"/>
  <c r="Y611" i="5"/>
  <c r="X611" i="5"/>
  <c r="Z608" i="5"/>
  <c r="Y608" i="5"/>
  <c r="X608" i="5"/>
  <c r="Z609" i="5"/>
  <c r="Y609" i="5"/>
  <c r="X609" i="5"/>
  <c r="Z606" i="5"/>
  <c r="Y606" i="5"/>
  <c r="X606" i="5"/>
  <c r="Z607" i="5"/>
  <c r="Y607" i="5"/>
  <c r="X607" i="5"/>
  <c r="Z604" i="5"/>
  <c r="Y604" i="5"/>
  <c r="X604" i="5"/>
  <c r="Z605" i="5"/>
  <c r="Y605" i="5"/>
  <c r="X605" i="5"/>
  <c r="Z603" i="5"/>
  <c r="Y603" i="5"/>
  <c r="X603" i="5"/>
  <c r="Z602" i="5"/>
  <c r="Y602" i="5"/>
  <c r="X602" i="5"/>
  <c r="Z600" i="5"/>
  <c r="Y600" i="5"/>
  <c r="X600" i="5"/>
  <c r="Z601" i="5"/>
  <c r="Y601" i="5"/>
  <c r="X601" i="5"/>
  <c r="Z598" i="5"/>
  <c r="Y598" i="5"/>
  <c r="X598" i="5"/>
  <c r="Z599" i="5"/>
  <c r="Y599" i="5"/>
  <c r="X599" i="5"/>
  <c r="Z596" i="5"/>
  <c r="Y596" i="5"/>
  <c r="X596" i="5"/>
  <c r="Z597" i="5"/>
  <c r="Y597" i="5"/>
  <c r="X597" i="5"/>
  <c r="Z594" i="5"/>
  <c r="Y594" i="5"/>
  <c r="X594" i="5"/>
  <c r="Z595" i="5"/>
  <c r="Y595" i="5"/>
  <c r="X595" i="5"/>
  <c r="Z592" i="5"/>
  <c r="Y592" i="5"/>
  <c r="X592" i="5"/>
  <c r="Z593" i="5"/>
  <c r="Y593" i="5"/>
  <c r="X593" i="5"/>
  <c r="X498" i="5"/>
  <c r="Y498" i="5"/>
  <c r="Z498" i="5"/>
  <c r="X499" i="5"/>
  <c r="Y499" i="5"/>
  <c r="Z499" i="5"/>
  <c r="Z590" i="5"/>
  <c r="Y590" i="5"/>
  <c r="X590" i="5"/>
  <c r="Z591" i="5"/>
  <c r="Y591" i="5"/>
  <c r="X591" i="5"/>
  <c r="Z588" i="5"/>
  <c r="Y588" i="5"/>
  <c r="X588" i="5"/>
  <c r="Z589" i="5"/>
  <c r="Y589" i="5"/>
  <c r="X589" i="5"/>
  <c r="Z586" i="5"/>
  <c r="Y586" i="5"/>
  <c r="X586" i="5"/>
  <c r="Z587" i="5"/>
  <c r="Y587" i="5"/>
  <c r="X587" i="5"/>
  <c r="Z584" i="5"/>
  <c r="Y584" i="5"/>
  <c r="X584" i="5"/>
  <c r="Z585" i="5"/>
  <c r="Y585" i="5"/>
  <c r="X585" i="5"/>
  <c r="Z582" i="5"/>
  <c r="Y582" i="5"/>
  <c r="X582" i="5"/>
  <c r="Z583" i="5"/>
  <c r="Y583" i="5"/>
  <c r="X583" i="5"/>
  <c r="Z580" i="5"/>
  <c r="Y580" i="5"/>
  <c r="X580" i="5"/>
  <c r="Z581" i="5"/>
  <c r="Y581" i="5"/>
  <c r="X581" i="5"/>
  <c r="Z578" i="5"/>
  <c r="Y578" i="5"/>
  <c r="X578" i="5"/>
  <c r="Z579" i="5"/>
  <c r="Y579" i="5"/>
  <c r="X579" i="5"/>
  <c r="Z576" i="5"/>
  <c r="Y576" i="5"/>
  <c r="X576" i="5"/>
  <c r="Z577" i="5"/>
  <c r="Y577" i="5"/>
  <c r="X577" i="5"/>
  <c r="Z574" i="5"/>
  <c r="Y574" i="5"/>
  <c r="X574" i="5"/>
  <c r="Z575" i="5"/>
  <c r="Y575" i="5"/>
  <c r="X575" i="5"/>
  <c r="Z572" i="5"/>
  <c r="Y572" i="5"/>
  <c r="X572" i="5"/>
  <c r="Z573" i="5"/>
  <c r="Y573" i="5"/>
  <c r="X573" i="5"/>
  <c r="Z570" i="5"/>
  <c r="Y570" i="5"/>
  <c r="X570" i="5"/>
  <c r="Z571" i="5"/>
  <c r="Y571" i="5"/>
  <c r="X571" i="5"/>
  <c r="Z569" i="5"/>
  <c r="Y569" i="5"/>
  <c r="X569" i="5"/>
  <c r="Z568" i="5"/>
  <c r="Y568" i="5"/>
  <c r="X568" i="5"/>
  <c r="Z566" i="5"/>
  <c r="Y566" i="5"/>
  <c r="X566" i="5"/>
  <c r="Z567" i="5"/>
  <c r="Y567" i="5"/>
  <c r="X567" i="5"/>
  <c r="X564" i="5"/>
  <c r="Z564" i="5"/>
  <c r="Y564" i="5"/>
  <c r="Z565" i="5"/>
  <c r="Y565" i="5"/>
  <c r="X565" i="5"/>
  <c r="Z562" i="5"/>
  <c r="Y562" i="5"/>
  <c r="X562" i="5"/>
  <c r="Z563" i="5"/>
  <c r="Y563" i="5"/>
  <c r="X563" i="5"/>
  <c r="Z560" i="5"/>
  <c r="Y560" i="5"/>
  <c r="X560" i="5"/>
  <c r="Z561" i="5"/>
  <c r="Y561" i="5"/>
  <c r="X561" i="5"/>
  <c r="Z558" i="5"/>
  <c r="Y558" i="5"/>
  <c r="X558" i="5"/>
  <c r="Z559" i="5"/>
  <c r="Y559" i="5"/>
  <c r="X559" i="5"/>
  <c r="Z556" i="5"/>
  <c r="Y556" i="5"/>
  <c r="X556" i="5"/>
  <c r="Z557" i="5"/>
  <c r="Y557" i="5"/>
  <c r="X557" i="5"/>
  <c r="Z554" i="5"/>
  <c r="Y554" i="5"/>
  <c r="X554" i="5"/>
  <c r="Z555" i="5"/>
  <c r="Y555" i="5"/>
  <c r="X555" i="5"/>
  <c r="Z552" i="5"/>
  <c r="Y552" i="5"/>
  <c r="X552" i="5"/>
  <c r="Z553" i="5"/>
  <c r="Y553" i="5"/>
  <c r="X553" i="5"/>
  <c r="Z550" i="5"/>
  <c r="Y550" i="5"/>
  <c r="X550" i="5"/>
  <c r="Z551" i="5"/>
  <c r="Y551" i="5"/>
  <c r="X551" i="5"/>
  <c r="U551" i="5"/>
  <c r="X495" i="5"/>
  <c r="Y495" i="5"/>
  <c r="Z495" i="5"/>
  <c r="Z548" i="5"/>
  <c r="Y548" i="5"/>
  <c r="X548" i="5"/>
  <c r="Z549" i="5"/>
  <c r="Y549" i="5"/>
  <c r="X549" i="5"/>
  <c r="Y547" i="5"/>
  <c r="X547" i="5"/>
  <c r="Z547" i="5"/>
  <c r="Z546" i="5"/>
  <c r="Y546" i="5"/>
  <c r="X546" i="5"/>
  <c r="Z544" i="5"/>
  <c r="Y544" i="5"/>
  <c r="X544" i="5"/>
  <c r="Z545" i="5"/>
  <c r="Y545" i="5"/>
  <c r="X545" i="5"/>
  <c r="Z542" i="5"/>
  <c r="Y542" i="5"/>
  <c r="X542" i="5"/>
  <c r="Z543" i="5"/>
  <c r="Y543" i="5"/>
  <c r="X543" i="5"/>
  <c r="Z540" i="5"/>
  <c r="Y540" i="5"/>
  <c r="X540" i="5"/>
  <c r="Z541" i="5"/>
  <c r="Y541" i="5"/>
  <c r="X541" i="5"/>
  <c r="Z538" i="5"/>
  <c r="Y538" i="5"/>
  <c r="X538" i="5"/>
  <c r="Z539" i="5"/>
  <c r="Y539" i="5"/>
  <c r="X539" i="5"/>
  <c r="Z536" i="5"/>
  <c r="Y536" i="5"/>
  <c r="X536" i="5"/>
  <c r="Z537" i="5"/>
  <c r="Y537" i="5"/>
  <c r="X537" i="5"/>
  <c r="Z534" i="5"/>
  <c r="Y534" i="5"/>
  <c r="X534" i="5"/>
  <c r="Z535" i="5"/>
  <c r="Y535" i="5"/>
  <c r="X535" i="5"/>
  <c r="Z532" i="5"/>
  <c r="Y532" i="5"/>
  <c r="X532" i="5"/>
  <c r="Z533" i="5"/>
  <c r="Y533" i="5"/>
  <c r="X533" i="5"/>
  <c r="Z530" i="5"/>
  <c r="Y530" i="5"/>
  <c r="X530" i="5"/>
  <c r="Z531" i="5"/>
  <c r="Y531" i="5"/>
  <c r="X531" i="5"/>
  <c r="X486" i="5"/>
  <c r="Y486" i="5"/>
  <c r="Z486" i="5"/>
  <c r="X487" i="5"/>
  <c r="Y487" i="5"/>
  <c r="Z487" i="5"/>
  <c r="Z529" i="5"/>
  <c r="Y529" i="5"/>
  <c r="X529" i="5"/>
  <c r="Z528" i="5"/>
  <c r="Y528" i="5"/>
  <c r="X528" i="5"/>
  <c r="Z526" i="5"/>
  <c r="Y526" i="5"/>
  <c r="X526" i="5"/>
  <c r="Z527" i="5"/>
  <c r="Y527" i="5"/>
  <c r="X527" i="5"/>
  <c r="Z524" i="5"/>
  <c r="Y524" i="5"/>
  <c r="X524" i="5"/>
  <c r="Z525" i="5"/>
  <c r="Y525" i="5"/>
  <c r="X525" i="5"/>
  <c r="Z522" i="5"/>
  <c r="Y522" i="5"/>
  <c r="X522" i="5"/>
  <c r="Z523" i="5"/>
  <c r="Y523" i="5"/>
  <c r="X523" i="5"/>
  <c r="Z520" i="5"/>
  <c r="Y520" i="5"/>
  <c r="X520" i="5"/>
  <c r="Z521" i="5"/>
  <c r="Y521" i="5"/>
  <c r="X521" i="5"/>
  <c r="Z518" i="5"/>
  <c r="Y518" i="5"/>
  <c r="X518" i="5"/>
  <c r="Z519" i="5"/>
  <c r="Y519" i="5"/>
  <c r="X519" i="5"/>
  <c r="X492" i="5"/>
  <c r="Y492" i="5"/>
  <c r="Z492" i="5"/>
  <c r="Z516" i="5"/>
  <c r="Y516" i="5"/>
  <c r="X516" i="5"/>
  <c r="Z517" i="5"/>
  <c r="Y517" i="5"/>
  <c r="X517" i="5"/>
  <c r="Z514" i="5"/>
  <c r="Y514" i="5"/>
  <c r="X514" i="5"/>
  <c r="Z515" i="5"/>
  <c r="Y515" i="5"/>
  <c r="X515" i="5"/>
  <c r="Z512" i="5"/>
  <c r="Y512" i="5"/>
  <c r="X512" i="5"/>
  <c r="Z513" i="5"/>
  <c r="Y513" i="5"/>
  <c r="X513" i="5"/>
  <c r="Z510" i="5"/>
  <c r="Y510" i="5"/>
  <c r="X510" i="5"/>
  <c r="Z511" i="5"/>
  <c r="Y511" i="5"/>
  <c r="X511" i="5"/>
  <c r="Z508" i="5"/>
  <c r="Y508" i="5"/>
  <c r="X508" i="5"/>
  <c r="Z509" i="5"/>
  <c r="Y509" i="5"/>
  <c r="X509" i="5"/>
  <c r="Z506" i="5"/>
  <c r="Y506" i="5"/>
  <c r="X506" i="5"/>
  <c r="Z507" i="5"/>
  <c r="Y507" i="5"/>
  <c r="X507" i="5"/>
  <c r="Z504" i="5"/>
  <c r="Y504" i="5"/>
  <c r="X504" i="5"/>
  <c r="Z505" i="5"/>
  <c r="Y505" i="5"/>
  <c r="X505" i="5"/>
  <c r="Z502" i="5"/>
  <c r="Y502" i="5"/>
  <c r="X502" i="5"/>
  <c r="Z503" i="5"/>
  <c r="Y503" i="5"/>
  <c r="X503" i="5"/>
  <c r="U493" i="5"/>
  <c r="Z497" i="5"/>
  <c r="Y497" i="5"/>
  <c r="Z483" i="5"/>
  <c r="X489" i="5"/>
  <c r="Y483" i="5"/>
  <c r="U494" i="5"/>
  <c r="U496" i="5"/>
  <c r="Z489" i="5"/>
  <c r="Y490" i="5"/>
  <c r="X481" i="5"/>
  <c r="Z484" i="5"/>
  <c r="Z481" i="5"/>
  <c r="Z490" i="5"/>
  <c r="U488" i="5"/>
  <c r="U491" i="5"/>
  <c r="D477" i="5"/>
  <c r="X477" i="5"/>
  <c r="Y484" i="5"/>
  <c r="Z479" i="5"/>
  <c r="Y479" i="5"/>
  <c r="U485" i="5"/>
  <c r="U482" i="5"/>
  <c r="U480" i="5"/>
  <c r="U478" i="5"/>
  <c r="N472" i="5"/>
  <c r="M462" i="5"/>
  <c r="D474" i="5"/>
  <c r="X474" i="5"/>
  <c r="X476" i="5"/>
  <c r="Y476" i="5"/>
  <c r="Z476" i="5"/>
  <c r="N470" i="5"/>
  <c r="N471" i="5"/>
  <c r="X475" i="5"/>
  <c r="Y475" i="5"/>
  <c r="Z475" i="5"/>
  <c r="N473" i="5"/>
  <c r="M473" i="5"/>
  <c r="M471" i="5"/>
  <c r="T135" i="4"/>
  <c r="D473" i="5"/>
  <c r="AA473" i="5"/>
  <c r="N468" i="5"/>
  <c r="T136" i="4"/>
  <c r="D471" i="5"/>
  <c r="M468" i="5"/>
  <c r="H472" i="5"/>
  <c r="H473" i="5"/>
  <c r="N469" i="5"/>
  <c r="M469" i="5"/>
  <c r="AA471" i="5"/>
  <c r="N466" i="5"/>
  <c r="M466" i="5"/>
  <c r="H470" i="5"/>
  <c r="H471" i="5"/>
  <c r="N467" i="5"/>
  <c r="M467" i="5"/>
  <c r="T137" i="4"/>
  <c r="D469" i="5"/>
  <c r="AA469" i="5"/>
  <c r="N463" i="5"/>
  <c r="N464" i="5"/>
  <c r="T138" i="4"/>
  <c r="D467" i="5"/>
  <c r="M463" i="5"/>
  <c r="M464" i="5"/>
  <c r="H468" i="5"/>
  <c r="H469" i="5"/>
  <c r="N465" i="5"/>
  <c r="M465" i="5"/>
  <c r="AA467" i="5"/>
  <c r="N457" i="5"/>
  <c r="N462" i="5"/>
  <c r="T139" i="4"/>
  <c r="D465" i="5"/>
  <c r="H466" i="5"/>
  <c r="H467" i="5"/>
  <c r="AA465" i="5"/>
  <c r="N460" i="5"/>
  <c r="M460" i="5"/>
  <c r="H464" i="5"/>
  <c r="H465" i="5"/>
  <c r="N461" i="5"/>
  <c r="M461" i="5"/>
  <c r="T140" i="4"/>
  <c r="D463" i="5"/>
  <c r="N458" i="5"/>
  <c r="AA463" i="5"/>
  <c r="N452" i="5"/>
  <c r="M457" i="5"/>
  <c r="T142" i="4"/>
  <c r="D459" i="5"/>
  <c r="M458" i="5"/>
  <c r="H462" i="5"/>
  <c r="N456" i="5"/>
  <c r="H463" i="5"/>
  <c r="N459" i="5"/>
  <c r="M459" i="5"/>
  <c r="T141" i="4"/>
  <c r="D460" i="5"/>
  <c r="AA461" i="5"/>
  <c r="N454" i="5"/>
  <c r="N453" i="5"/>
  <c r="M453" i="5"/>
  <c r="H460" i="5"/>
  <c r="H461" i="5"/>
  <c r="N455" i="5"/>
  <c r="M455" i="5"/>
  <c r="T143" i="4"/>
  <c r="D457" i="5"/>
  <c r="AA459" i="5"/>
  <c r="T144" i="4"/>
  <c r="D455" i="5"/>
  <c r="X455" i="5"/>
  <c r="H458" i="5"/>
  <c r="H459" i="5"/>
  <c r="N450" i="5"/>
  <c r="M454" i="5"/>
  <c r="AA457" i="5"/>
  <c r="M450" i="5"/>
  <c r="H456" i="5"/>
  <c r="H457" i="5"/>
  <c r="N451" i="5"/>
  <c r="M451" i="5"/>
  <c r="T145" i="4"/>
  <c r="D453" i="5"/>
  <c r="AA455" i="5"/>
  <c r="N448" i="5"/>
  <c r="M448" i="5"/>
  <c r="H454" i="5"/>
  <c r="H455" i="5"/>
  <c r="N449" i="5"/>
  <c r="M449" i="5"/>
  <c r="T146" i="4"/>
  <c r="D450" i="5"/>
  <c r="AA453" i="5"/>
  <c r="N442" i="5"/>
  <c r="N446" i="5"/>
  <c r="M446" i="5"/>
  <c r="H452" i="5"/>
  <c r="H453" i="5"/>
  <c r="N447" i="5"/>
  <c r="M447" i="5"/>
  <c r="T147" i="4"/>
  <c r="D449" i="5"/>
  <c r="AA451" i="5"/>
  <c r="N440" i="5"/>
  <c r="N443" i="5"/>
  <c r="H450" i="5"/>
  <c r="H451" i="5"/>
  <c r="T149" i="4"/>
  <c r="D445" i="5"/>
  <c r="Y445" i="5"/>
  <c r="M441" i="5"/>
  <c r="AA449" i="5"/>
  <c r="N444" i="5"/>
  <c r="M443" i="5"/>
  <c r="M444" i="5"/>
  <c r="H448" i="5"/>
  <c r="H449" i="5"/>
  <c r="N445" i="5"/>
  <c r="M445" i="5"/>
  <c r="T148" i="4"/>
  <c r="D447" i="5"/>
  <c r="AA447" i="5"/>
  <c r="M440" i="5"/>
  <c r="M439" i="5"/>
  <c r="H446" i="5"/>
  <c r="H447" i="5"/>
  <c r="N441" i="5"/>
  <c r="T150" i="4"/>
  <c r="D443" i="5"/>
  <c r="M442" i="5"/>
  <c r="AA445" i="5"/>
  <c r="H444" i="5"/>
  <c r="H445" i="5"/>
  <c r="AA443" i="5"/>
  <c r="N438" i="5"/>
  <c r="T151" i="4"/>
  <c r="D440" i="5"/>
  <c r="M438" i="5"/>
  <c r="H442" i="5"/>
  <c r="H443" i="5"/>
  <c r="N439" i="5"/>
  <c r="AA441" i="5"/>
  <c r="T152" i="4"/>
  <c r="D439" i="5"/>
  <c r="H440" i="5"/>
  <c r="H441" i="5"/>
  <c r="AA438" i="5"/>
  <c r="AA439" i="5"/>
  <c r="H438" i="5"/>
  <c r="U724" i="5"/>
  <c r="U718" i="5"/>
  <c r="U710" i="5"/>
  <c r="U707" i="5"/>
  <c r="U711" i="5"/>
  <c r="U709" i="5"/>
  <c r="U706" i="5"/>
  <c r="U700" i="5"/>
  <c r="U629" i="5"/>
  <c r="U574" i="5"/>
  <c r="U684" i="5"/>
  <c r="U666" i="5"/>
  <c r="U698" i="5"/>
  <c r="U688" i="5"/>
  <c r="U686" i="5"/>
  <c r="U669" i="5"/>
  <c r="U639" i="5"/>
  <c r="U645" i="5"/>
  <c r="U702" i="5"/>
  <c r="U637" i="5"/>
  <c r="U682" i="5"/>
  <c r="U665" i="5"/>
  <c r="U633" i="5"/>
  <c r="U680" i="5"/>
  <c r="U678" i="5"/>
  <c r="U691" i="5"/>
  <c r="U576" i="5"/>
  <c r="U675" i="5"/>
  <c r="U681" i="5"/>
  <c r="U689" i="5"/>
  <c r="U670" i="5"/>
  <c r="U524" i="5"/>
  <c r="U674" i="5"/>
  <c r="U635" i="5"/>
  <c r="U630" i="5"/>
  <c r="U615" i="5"/>
  <c r="U646" i="5"/>
  <c r="U613" i="5"/>
  <c r="U566" i="5"/>
  <c r="U672" i="5"/>
  <c r="U656" i="5"/>
  <c r="U643" i="5"/>
  <c r="U667" i="5"/>
  <c r="U663" i="5"/>
  <c r="U561" i="5"/>
  <c r="U593" i="5"/>
  <c r="U654" i="5"/>
  <c r="U652" i="5"/>
  <c r="U627" i="5"/>
  <c r="U625" i="5"/>
  <c r="U650" i="5"/>
  <c r="U642" i="5"/>
  <c r="U636" i="5"/>
  <c r="U664" i="5"/>
  <c r="U623" i="5"/>
  <c r="U660" i="5"/>
  <c r="U648" i="5"/>
  <c r="U529" i="5"/>
  <c r="U658" i="5"/>
  <c r="U668" i="5"/>
  <c r="U523" i="5"/>
  <c r="U661" i="5"/>
  <c r="U657" i="5"/>
  <c r="U640" i="5"/>
  <c r="U570" i="5"/>
  <c r="U651" i="5"/>
  <c r="U612" i="5"/>
  <c r="U655" i="5"/>
  <c r="U649" i="5"/>
  <c r="U586" i="5"/>
  <c r="U644" i="5"/>
  <c r="U579" i="5"/>
  <c r="U641" i="5"/>
  <c r="U620" i="5"/>
  <c r="U621" i="5"/>
  <c r="U618" i="5"/>
  <c r="U616" i="5"/>
  <c r="U638" i="5"/>
  <c r="U631" i="5"/>
  <c r="U622" i="5"/>
  <c r="U589" i="5"/>
  <c r="U632" i="5"/>
  <c r="U562" i="5"/>
  <c r="U628" i="5"/>
  <c r="U619" i="5"/>
  <c r="U626" i="5"/>
  <c r="U569" i="5"/>
  <c r="U624" i="5"/>
  <c r="U590" i="5"/>
  <c r="U610" i="5"/>
  <c r="U573" i="5"/>
  <c r="U614" i="5"/>
  <c r="U606" i="5"/>
  <c r="U607" i="5"/>
  <c r="U591" i="5"/>
  <c r="U588" i="5"/>
  <c r="U583" i="5"/>
  <c r="U575" i="5"/>
  <c r="U580" i="5"/>
  <c r="U594" i="5"/>
  <c r="U611" i="5"/>
  <c r="U608" i="5"/>
  <c r="U609" i="5"/>
  <c r="U605" i="5"/>
  <c r="U603" i="5"/>
  <c r="U601" i="5"/>
  <c r="U598" i="5"/>
  <c r="U596" i="5"/>
  <c r="U597" i="5"/>
  <c r="U568" i="5"/>
  <c r="U501" i="5"/>
  <c r="U500" i="5"/>
  <c r="U595" i="5"/>
  <c r="U587" i="5"/>
  <c r="U604" i="5"/>
  <c r="U602" i="5"/>
  <c r="U600" i="5"/>
  <c r="U582" i="5"/>
  <c r="U572" i="5"/>
  <c r="U531" i="5"/>
  <c r="U526" i="5"/>
  <c r="U513" i="5"/>
  <c r="U508" i="5"/>
  <c r="U578" i="5"/>
  <c r="U538" i="5"/>
  <c r="U592" i="5"/>
  <c r="U599" i="5"/>
  <c r="U534" i="5"/>
  <c r="U516" i="5"/>
  <c r="U585" i="5"/>
  <c r="U584" i="5"/>
  <c r="U499" i="5"/>
  <c r="U498" i="5"/>
  <c r="U581" i="5"/>
  <c r="U535" i="5"/>
  <c r="U571" i="5"/>
  <c r="U543" i="5"/>
  <c r="U577" i="5"/>
  <c r="U567" i="5"/>
  <c r="U565" i="5"/>
  <c r="U560" i="5"/>
  <c r="U563" i="5"/>
  <c r="U542" i="5"/>
  <c r="U564" i="5"/>
  <c r="U548" i="5"/>
  <c r="U540" i="5"/>
  <c r="U521" i="5"/>
  <c r="U558" i="5"/>
  <c r="U559" i="5"/>
  <c r="U556" i="5"/>
  <c r="U557" i="5"/>
  <c r="U554" i="5"/>
  <c r="U555" i="5"/>
  <c r="U552" i="5"/>
  <c r="U553" i="5"/>
  <c r="U533" i="5"/>
  <c r="U550" i="5"/>
  <c r="U544" i="5"/>
  <c r="U549" i="5"/>
  <c r="U546" i="5"/>
  <c r="U532" i="5"/>
  <c r="U507" i="5"/>
  <c r="U530" i="5"/>
  <c r="U545" i="5"/>
  <c r="U495" i="5"/>
  <c r="U547" i="5"/>
  <c r="U536" i="5"/>
  <c r="U527" i="5"/>
  <c r="U539" i="5"/>
  <c r="U541" i="5"/>
  <c r="U537" i="5"/>
  <c r="U520" i="5"/>
  <c r="U519" i="5"/>
  <c r="U509" i="5"/>
  <c r="U528" i="5"/>
  <c r="U487" i="5"/>
  <c r="U486" i="5"/>
  <c r="U515" i="5"/>
  <c r="U510" i="5"/>
  <c r="U522" i="5"/>
  <c r="U525" i="5"/>
  <c r="U511" i="5"/>
  <c r="U518" i="5"/>
  <c r="U517" i="5"/>
  <c r="U492" i="5"/>
  <c r="U514" i="5"/>
  <c r="U512" i="5"/>
  <c r="U505" i="5"/>
  <c r="U506" i="5"/>
  <c r="U504" i="5"/>
  <c r="U483" i="5"/>
  <c r="U502" i="5"/>
  <c r="U497" i="5"/>
  <c r="U503" i="5"/>
  <c r="U490" i="5"/>
  <c r="U489" i="5"/>
  <c r="U481" i="5"/>
  <c r="U484" i="5"/>
  <c r="U479" i="5"/>
  <c r="Z477" i="5"/>
  <c r="Y477" i="5"/>
  <c r="Z474" i="5"/>
  <c r="D470" i="5"/>
  <c r="Z470" i="5"/>
  <c r="D472" i="5"/>
  <c r="X472" i="5"/>
  <c r="Y474" i="5"/>
  <c r="U476" i="5"/>
  <c r="U475" i="5"/>
  <c r="D466" i="5"/>
  <c r="X466" i="5"/>
  <c r="X473" i="5"/>
  <c r="Y473" i="5"/>
  <c r="Z473" i="5"/>
  <c r="D468" i="5"/>
  <c r="X468" i="5"/>
  <c r="X471" i="5"/>
  <c r="Y471" i="5"/>
  <c r="Z471" i="5"/>
  <c r="D464" i="5"/>
  <c r="Y464" i="5"/>
  <c r="D458" i="5"/>
  <c r="Z458" i="5"/>
  <c r="X469" i="5"/>
  <c r="Y469" i="5"/>
  <c r="Z469" i="5"/>
  <c r="D461" i="5"/>
  <c r="Y461" i="5"/>
  <c r="X467" i="5"/>
  <c r="Y467" i="5"/>
  <c r="Z467" i="5"/>
  <c r="D456" i="5"/>
  <c r="X456" i="5"/>
  <c r="D462" i="5"/>
  <c r="X462" i="5"/>
  <c r="X465" i="5"/>
  <c r="Y465" i="5"/>
  <c r="Z465" i="5"/>
  <c r="D441" i="5"/>
  <c r="Y441" i="5"/>
  <c r="D452" i="5"/>
  <c r="X452" i="5"/>
  <c r="Y455" i="5"/>
  <c r="X463" i="5"/>
  <c r="Y463" i="5"/>
  <c r="Z463" i="5"/>
  <c r="Z455" i="5"/>
  <c r="D454" i="5"/>
  <c r="X454" i="5"/>
  <c r="X460" i="5"/>
  <c r="Y460" i="5"/>
  <c r="Z460" i="5"/>
  <c r="D451" i="5"/>
  <c r="X451" i="5"/>
  <c r="X459" i="5"/>
  <c r="Y459" i="5"/>
  <c r="Z459" i="5"/>
  <c r="X457" i="5"/>
  <c r="Y457" i="5"/>
  <c r="Z457" i="5"/>
  <c r="D448" i="5"/>
  <c r="X448" i="5"/>
  <c r="D444" i="5"/>
  <c r="Y444" i="5"/>
  <c r="Z445" i="5"/>
  <c r="X445" i="5"/>
  <c r="X453" i="5"/>
  <c r="Y453" i="5"/>
  <c r="Z453" i="5"/>
  <c r="D442" i="5"/>
  <c r="X442" i="5"/>
  <c r="X450" i="5"/>
  <c r="Y450" i="5"/>
  <c r="Z450" i="5"/>
  <c r="D446" i="5"/>
  <c r="Y446" i="5"/>
  <c r="X449" i="5"/>
  <c r="Y449" i="5"/>
  <c r="Z449" i="5"/>
  <c r="X447" i="5"/>
  <c r="Y447" i="5"/>
  <c r="Z447" i="5"/>
  <c r="X443" i="5"/>
  <c r="Y443" i="5"/>
  <c r="Z443" i="5"/>
  <c r="D438" i="5"/>
  <c r="Z438" i="5"/>
  <c r="X440" i="5"/>
  <c r="Y440" i="5"/>
  <c r="Z440" i="5"/>
  <c r="X439" i="5"/>
  <c r="Y439" i="5"/>
  <c r="Z439" i="5"/>
  <c r="U477" i="5"/>
  <c r="Z472" i="5"/>
  <c r="Y472" i="5"/>
  <c r="U474" i="5"/>
  <c r="Y470" i="5"/>
  <c r="X470" i="5"/>
  <c r="Z466" i="5"/>
  <c r="Y466" i="5"/>
  <c r="X464" i="5"/>
  <c r="U473" i="5"/>
  <c r="U469" i="5"/>
  <c r="U471" i="5"/>
  <c r="Z456" i="5"/>
  <c r="Z468" i="5"/>
  <c r="Y468" i="5"/>
  <c r="Y458" i="5"/>
  <c r="X458" i="5"/>
  <c r="Z464" i="5"/>
  <c r="Y456" i="5"/>
  <c r="X461" i="5"/>
  <c r="Z461" i="5"/>
  <c r="U467" i="5"/>
  <c r="Z462" i="5"/>
  <c r="U465" i="5"/>
  <c r="Y462" i="5"/>
  <c r="U455" i="5"/>
  <c r="Z454" i="5"/>
  <c r="X441" i="5"/>
  <c r="Z452" i="5"/>
  <c r="U463" i="5"/>
  <c r="Y452" i="5"/>
  <c r="Z441" i="5"/>
  <c r="U460" i="5"/>
  <c r="Z451" i="5"/>
  <c r="Y454" i="5"/>
  <c r="Y451" i="5"/>
  <c r="Z444" i="5"/>
  <c r="U459" i="5"/>
  <c r="U445" i="5"/>
  <c r="U457" i="5"/>
  <c r="X444" i="5"/>
  <c r="Z448" i="5"/>
  <c r="Y448" i="5"/>
  <c r="Y442" i="5"/>
  <c r="Z442" i="5"/>
  <c r="U453" i="5"/>
  <c r="U450" i="5"/>
  <c r="X446" i="5"/>
  <c r="Z446" i="5"/>
  <c r="U449" i="5"/>
  <c r="U447" i="5"/>
  <c r="U443" i="5"/>
  <c r="Y438" i="5"/>
  <c r="X438" i="5"/>
  <c r="U440" i="5"/>
  <c r="U439" i="5"/>
  <c r="U454" i="5"/>
  <c r="U472" i="5"/>
  <c r="U458" i="5"/>
  <c r="U470" i="5"/>
  <c r="U466" i="5"/>
  <c r="U456" i="5"/>
  <c r="U468" i="5"/>
  <c r="U464" i="5"/>
  <c r="U451" i="5"/>
  <c r="U461" i="5"/>
  <c r="U452" i="5"/>
  <c r="U462" i="5"/>
  <c r="U441" i="5"/>
  <c r="U444" i="5"/>
  <c r="U448" i="5"/>
  <c r="U442" i="5"/>
  <c r="U446" i="5"/>
  <c r="U438" i="5"/>
  <c r="B437" i="5"/>
  <c r="E437" i="5"/>
  <c r="F437" i="5"/>
  <c r="I437" i="5"/>
  <c r="J437" i="5"/>
  <c r="K437" i="5" a="1"/>
  <c r="M437" i="5"/>
  <c r="L437" i="5" a="1"/>
  <c r="O437" i="5"/>
  <c r="P437" i="5"/>
  <c r="Q437" i="5"/>
  <c r="R437" i="5"/>
  <c r="S437" i="5"/>
  <c r="T437" i="5"/>
  <c r="AB437" i="5"/>
  <c r="B436" i="5"/>
  <c r="E436" i="5"/>
  <c r="F436" i="5"/>
  <c r="I436" i="5"/>
  <c r="J436" i="5"/>
  <c r="K436" i="5" a="1"/>
  <c r="M436" i="5"/>
  <c r="L436" i="5" a="1"/>
  <c r="N436" i="5"/>
  <c r="O436" i="5"/>
  <c r="P436" i="5"/>
  <c r="Q436" i="5"/>
  <c r="R436" i="5"/>
  <c r="S436" i="5"/>
  <c r="T436" i="5"/>
  <c r="AB436" i="5"/>
  <c r="A153" i="4"/>
  <c r="E153" i="4"/>
  <c r="H153" i="4"/>
  <c r="M153" i="4"/>
  <c r="S153" i="4"/>
  <c r="W153" i="4"/>
  <c r="X153" i="4"/>
  <c r="Y153" i="4"/>
  <c r="Z153" i="4"/>
  <c r="AA436" i="5"/>
  <c r="AA153" i="4"/>
  <c r="B435" i="5"/>
  <c r="E435" i="5"/>
  <c r="F435" i="5"/>
  <c r="I435" i="5"/>
  <c r="J435" i="5"/>
  <c r="K435" i="5" a="1"/>
  <c r="L435" i="5" a="1"/>
  <c r="O435" i="5"/>
  <c r="P435" i="5"/>
  <c r="Q435" i="5"/>
  <c r="R435" i="5"/>
  <c r="S435" i="5"/>
  <c r="T435" i="5"/>
  <c r="AB435" i="5"/>
  <c r="B434" i="5"/>
  <c r="E434" i="5"/>
  <c r="F434" i="5"/>
  <c r="I434" i="5"/>
  <c r="J434" i="5"/>
  <c r="K434" i="5" a="1"/>
  <c r="L434" i="5" a="1"/>
  <c r="O434" i="5"/>
  <c r="P434" i="5"/>
  <c r="Q434" i="5"/>
  <c r="R434" i="5"/>
  <c r="S434" i="5"/>
  <c r="T434" i="5"/>
  <c r="AB434" i="5"/>
  <c r="A154" i="4"/>
  <c r="E154" i="4"/>
  <c r="H154" i="4"/>
  <c r="M154" i="4"/>
  <c r="S154" i="4"/>
  <c r="W154" i="4"/>
  <c r="X154" i="4"/>
  <c r="Y154" i="4"/>
  <c r="Z154" i="4"/>
  <c r="AA434" i="5"/>
  <c r="AA154" i="4"/>
  <c r="A194" i="2"/>
  <c r="M194" i="2"/>
  <c r="N194" i="2"/>
  <c r="O194" i="2"/>
  <c r="P194" i="2"/>
  <c r="Q194" i="2"/>
  <c r="B433" i="5"/>
  <c r="E433" i="5"/>
  <c r="F433" i="5"/>
  <c r="I433" i="5"/>
  <c r="J433" i="5"/>
  <c r="K433" i="5" a="1"/>
  <c r="L433" i="5" a="1"/>
  <c r="O433" i="5"/>
  <c r="P433" i="5"/>
  <c r="Q433" i="5"/>
  <c r="R433" i="5"/>
  <c r="S433" i="5"/>
  <c r="T433" i="5"/>
  <c r="AB433" i="5"/>
  <c r="B432" i="5"/>
  <c r="E432" i="5"/>
  <c r="F432" i="5"/>
  <c r="I432" i="5"/>
  <c r="J432" i="5"/>
  <c r="K432" i="5" a="1"/>
  <c r="L432" i="5" a="1"/>
  <c r="O432" i="5"/>
  <c r="P432" i="5"/>
  <c r="Q432" i="5"/>
  <c r="R432" i="5"/>
  <c r="S432" i="5"/>
  <c r="T432" i="5"/>
  <c r="AB432" i="5"/>
  <c r="A155" i="4"/>
  <c r="E155" i="4"/>
  <c r="H155" i="4"/>
  <c r="M155" i="4"/>
  <c r="S155" i="4"/>
  <c r="W155" i="4"/>
  <c r="X155" i="4"/>
  <c r="Y155" i="4"/>
  <c r="Z155" i="4"/>
  <c r="AA432" i="5"/>
  <c r="AA155" i="4"/>
  <c r="B431" i="5"/>
  <c r="E431" i="5"/>
  <c r="F431" i="5"/>
  <c r="I431" i="5"/>
  <c r="J431" i="5"/>
  <c r="K431" i="5" a="1"/>
  <c r="L431" i="5" a="1"/>
  <c r="O431" i="5"/>
  <c r="P431" i="5"/>
  <c r="Q431" i="5"/>
  <c r="R431" i="5"/>
  <c r="S431" i="5"/>
  <c r="T431" i="5"/>
  <c r="AB431" i="5"/>
  <c r="B430" i="5"/>
  <c r="E430" i="5"/>
  <c r="F430" i="5"/>
  <c r="I430" i="5"/>
  <c r="J430" i="5"/>
  <c r="K430" i="5" a="1"/>
  <c r="L430" i="5" a="1"/>
  <c r="O430" i="5"/>
  <c r="P430" i="5"/>
  <c r="Q430" i="5"/>
  <c r="R430" i="5"/>
  <c r="S430" i="5"/>
  <c r="T430" i="5"/>
  <c r="AB430" i="5"/>
  <c r="A156" i="4"/>
  <c r="E156" i="4"/>
  <c r="H156" i="4"/>
  <c r="M156" i="4"/>
  <c r="S156" i="4"/>
  <c r="W156" i="4"/>
  <c r="X156" i="4"/>
  <c r="Y156" i="4"/>
  <c r="Z156" i="4"/>
  <c r="AA430" i="5"/>
  <c r="AA156" i="4"/>
  <c r="B429" i="5"/>
  <c r="E429" i="5"/>
  <c r="F429" i="5"/>
  <c r="I429" i="5"/>
  <c r="J429" i="5"/>
  <c r="K429" i="5" a="1"/>
  <c r="L429" i="5" a="1"/>
  <c r="O429" i="5"/>
  <c r="P429" i="5"/>
  <c r="Q429" i="5"/>
  <c r="R429" i="5"/>
  <c r="S429" i="5"/>
  <c r="T429" i="5"/>
  <c r="AB429" i="5"/>
  <c r="B428" i="5"/>
  <c r="E428" i="5"/>
  <c r="F428" i="5"/>
  <c r="I428" i="5"/>
  <c r="J428" i="5"/>
  <c r="K428" i="5" a="1"/>
  <c r="L428" i="5" a="1"/>
  <c r="O428" i="5"/>
  <c r="P428" i="5"/>
  <c r="Q428" i="5"/>
  <c r="R428" i="5"/>
  <c r="S428" i="5"/>
  <c r="T428" i="5"/>
  <c r="AB428" i="5"/>
  <c r="A157" i="4"/>
  <c r="E157" i="4"/>
  <c r="H157" i="4"/>
  <c r="M157" i="4"/>
  <c r="S157" i="4"/>
  <c r="W157" i="4"/>
  <c r="X157" i="4"/>
  <c r="Y157" i="4"/>
  <c r="Z157" i="4"/>
  <c r="AA428" i="5"/>
  <c r="AA157" i="4"/>
  <c r="A193" i="2"/>
  <c r="M193" i="2"/>
  <c r="N193" i="2"/>
  <c r="O193" i="2"/>
  <c r="P193" i="2"/>
  <c r="Q193" i="2"/>
  <c r="B427" i="5"/>
  <c r="E427" i="5"/>
  <c r="F427" i="5"/>
  <c r="I427" i="5"/>
  <c r="J427" i="5"/>
  <c r="K427" i="5" a="1"/>
  <c r="L427" i="5" a="1"/>
  <c r="O427" i="5"/>
  <c r="P427" i="5"/>
  <c r="Q427" i="5"/>
  <c r="R427" i="5"/>
  <c r="S427" i="5"/>
  <c r="T427" i="5"/>
  <c r="AB427" i="5"/>
  <c r="B426" i="5"/>
  <c r="E426" i="5"/>
  <c r="F426" i="5"/>
  <c r="I426" i="5"/>
  <c r="J426" i="5"/>
  <c r="K426" i="5" a="1"/>
  <c r="L426" i="5" a="1"/>
  <c r="O426" i="5"/>
  <c r="P426" i="5"/>
  <c r="Q426" i="5"/>
  <c r="R426" i="5"/>
  <c r="S426" i="5"/>
  <c r="T426" i="5"/>
  <c r="AB426" i="5"/>
  <c r="A158" i="4"/>
  <c r="E158" i="4"/>
  <c r="H158" i="4"/>
  <c r="M158" i="4"/>
  <c r="S158" i="4"/>
  <c r="W158" i="4"/>
  <c r="X158" i="4"/>
  <c r="Y158" i="4"/>
  <c r="Z158" i="4"/>
  <c r="AA426" i="5"/>
  <c r="AA158" i="4"/>
  <c r="B425" i="5"/>
  <c r="E425" i="5"/>
  <c r="F425" i="5"/>
  <c r="I425" i="5"/>
  <c r="J425" i="5"/>
  <c r="K425" i="5" a="1"/>
  <c r="L425" i="5" a="1"/>
  <c r="O425" i="5"/>
  <c r="P425" i="5"/>
  <c r="Q425" i="5"/>
  <c r="R425" i="5"/>
  <c r="S425" i="5"/>
  <c r="T425" i="5"/>
  <c r="AB425" i="5"/>
  <c r="B424" i="5"/>
  <c r="E424" i="5"/>
  <c r="F424" i="5"/>
  <c r="I424" i="5"/>
  <c r="J424" i="5"/>
  <c r="K424" i="5" a="1"/>
  <c r="L424" i="5" a="1"/>
  <c r="O424" i="5"/>
  <c r="P424" i="5"/>
  <c r="Q424" i="5"/>
  <c r="R424" i="5"/>
  <c r="S424" i="5"/>
  <c r="T424" i="5"/>
  <c r="AB424" i="5"/>
  <c r="A159" i="4"/>
  <c r="E159" i="4"/>
  <c r="H159" i="4"/>
  <c r="M159" i="4"/>
  <c r="S159" i="4"/>
  <c r="W159" i="4"/>
  <c r="X159" i="4"/>
  <c r="Y159" i="4"/>
  <c r="Z159" i="4"/>
  <c r="AA424" i="5"/>
  <c r="AA159" i="4"/>
  <c r="B423" i="5"/>
  <c r="E423" i="5"/>
  <c r="F423" i="5"/>
  <c r="I423" i="5"/>
  <c r="J423" i="5"/>
  <c r="K423" i="5" a="1"/>
  <c r="L423" i="5" a="1"/>
  <c r="O423" i="5"/>
  <c r="P423" i="5"/>
  <c r="Q423" i="5"/>
  <c r="R423" i="5"/>
  <c r="S423" i="5"/>
  <c r="T423" i="5"/>
  <c r="AB423" i="5"/>
  <c r="B422" i="5"/>
  <c r="E422" i="5"/>
  <c r="F422" i="5"/>
  <c r="I422" i="5"/>
  <c r="J422" i="5"/>
  <c r="K422" i="5" a="1"/>
  <c r="L422" i="5" a="1"/>
  <c r="O422" i="5"/>
  <c r="P422" i="5"/>
  <c r="Q422" i="5"/>
  <c r="R422" i="5"/>
  <c r="S422" i="5"/>
  <c r="T422" i="5"/>
  <c r="AB422" i="5"/>
  <c r="A160" i="4"/>
  <c r="E160" i="4"/>
  <c r="H160" i="4"/>
  <c r="M160" i="4"/>
  <c r="S160" i="4"/>
  <c r="W160" i="4"/>
  <c r="X160" i="4"/>
  <c r="Y160" i="4"/>
  <c r="Z160" i="4"/>
  <c r="AA422" i="5"/>
  <c r="AA160" i="4"/>
  <c r="B421" i="5"/>
  <c r="E421" i="5"/>
  <c r="F421" i="5"/>
  <c r="I421" i="5"/>
  <c r="J421" i="5"/>
  <c r="K421" i="5" a="1"/>
  <c r="L421" i="5" a="1"/>
  <c r="O421" i="5"/>
  <c r="P421" i="5"/>
  <c r="Q421" i="5"/>
  <c r="R421" i="5"/>
  <c r="S421" i="5"/>
  <c r="T421" i="5"/>
  <c r="AB421" i="5"/>
  <c r="B420" i="5"/>
  <c r="E420" i="5"/>
  <c r="F420" i="5"/>
  <c r="I420" i="5"/>
  <c r="J420" i="5"/>
  <c r="K420" i="5" a="1"/>
  <c r="L420" i="5" a="1"/>
  <c r="O420" i="5"/>
  <c r="P420" i="5"/>
  <c r="Q420" i="5"/>
  <c r="R420" i="5"/>
  <c r="S420" i="5"/>
  <c r="T420" i="5"/>
  <c r="AB420" i="5"/>
  <c r="A161" i="4"/>
  <c r="E161" i="4"/>
  <c r="H161" i="4"/>
  <c r="M161" i="4"/>
  <c r="S161" i="4"/>
  <c r="W161" i="4"/>
  <c r="X161" i="4"/>
  <c r="Y161" i="4"/>
  <c r="Z161" i="4"/>
  <c r="AA420" i="5"/>
  <c r="AA161" i="4"/>
  <c r="B419" i="5"/>
  <c r="E419" i="5"/>
  <c r="F419" i="5"/>
  <c r="I419" i="5"/>
  <c r="J419" i="5"/>
  <c r="K419" i="5" a="1"/>
  <c r="L419" i="5" a="1"/>
  <c r="O419" i="5"/>
  <c r="P419" i="5"/>
  <c r="Q419" i="5"/>
  <c r="R419" i="5"/>
  <c r="S419" i="5"/>
  <c r="T419" i="5"/>
  <c r="AB419" i="5"/>
  <c r="B418" i="5"/>
  <c r="E418" i="5"/>
  <c r="F418" i="5"/>
  <c r="I418" i="5"/>
  <c r="J418" i="5"/>
  <c r="K418" i="5" a="1"/>
  <c r="L418" i="5" a="1"/>
  <c r="O418" i="5"/>
  <c r="P418" i="5"/>
  <c r="Q418" i="5"/>
  <c r="R418" i="5"/>
  <c r="S418" i="5"/>
  <c r="T418" i="5"/>
  <c r="AB418" i="5"/>
  <c r="A162" i="4"/>
  <c r="E162" i="4"/>
  <c r="H162" i="4"/>
  <c r="M162" i="4"/>
  <c r="S162" i="4"/>
  <c r="W162" i="4"/>
  <c r="X162" i="4"/>
  <c r="Y162" i="4"/>
  <c r="Z162" i="4"/>
  <c r="AA418" i="5"/>
  <c r="AA162" i="4"/>
  <c r="B417" i="5"/>
  <c r="E417" i="5"/>
  <c r="F417" i="5"/>
  <c r="I417" i="5"/>
  <c r="J417" i="5"/>
  <c r="K417" i="5" a="1"/>
  <c r="L417" i="5" a="1"/>
  <c r="O417" i="5"/>
  <c r="P417" i="5"/>
  <c r="Q417" i="5"/>
  <c r="R417" i="5"/>
  <c r="S417" i="5"/>
  <c r="T417" i="5"/>
  <c r="AB417" i="5"/>
  <c r="B416" i="5"/>
  <c r="E416" i="5"/>
  <c r="F416" i="5"/>
  <c r="I416" i="5"/>
  <c r="J416" i="5"/>
  <c r="K416" i="5" a="1"/>
  <c r="L416" i="5" a="1"/>
  <c r="O416" i="5"/>
  <c r="P416" i="5"/>
  <c r="Q416" i="5"/>
  <c r="R416" i="5"/>
  <c r="S416" i="5"/>
  <c r="T416" i="5"/>
  <c r="AB416" i="5"/>
  <c r="A163" i="4"/>
  <c r="E163" i="4"/>
  <c r="H163" i="4"/>
  <c r="M163" i="4"/>
  <c r="S163" i="4"/>
  <c r="W163" i="4"/>
  <c r="X163" i="4"/>
  <c r="Y163" i="4"/>
  <c r="Z163" i="4"/>
  <c r="AA416" i="5"/>
  <c r="AA163" i="4"/>
  <c r="B415" i="5"/>
  <c r="E415" i="5"/>
  <c r="F415" i="5"/>
  <c r="I415" i="5"/>
  <c r="J415" i="5"/>
  <c r="K415" i="5" a="1"/>
  <c r="L415" i="5" a="1"/>
  <c r="O415" i="5"/>
  <c r="P415" i="5"/>
  <c r="Q415" i="5"/>
  <c r="R415" i="5"/>
  <c r="S415" i="5"/>
  <c r="T415" i="5"/>
  <c r="AB415" i="5"/>
  <c r="B414" i="5"/>
  <c r="E414" i="5"/>
  <c r="F414" i="5"/>
  <c r="I414" i="5"/>
  <c r="J414" i="5"/>
  <c r="K414" i="5" a="1"/>
  <c r="L414" i="5" a="1"/>
  <c r="O414" i="5"/>
  <c r="P414" i="5"/>
  <c r="Q414" i="5"/>
  <c r="R414" i="5"/>
  <c r="S414" i="5"/>
  <c r="T414" i="5"/>
  <c r="AB414" i="5"/>
  <c r="A164" i="4"/>
  <c r="E164" i="4"/>
  <c r="H164" i="4"/>
  <c r="M164" i="4"/>
  <c r="S164" i="4"/>
  <c r="W164" i="4"/>
  <c r="X164" i="4"/>
  <c r="Y164" i="4"/>
  <c r="Z164" i="4"/>
  <c r="AA414" i="5"/>
  <c r="AA164" i="4"/>
  <c r="B413" i="5"/>
  <c r="E413" i="5"/>
  <c r="F413" i="5"/>
  <c r="I413" i="5"/>
  <c r="J413" i="5"/>
  <c r="K413" i="5" a="1"/>
  <c r="L413" i="5" a="1"/>
  <c r="O413" i="5"/>
  <c r="P413" i="5"/>
  <c r="Q413" i="5"/>
  <c r="R413" i="5"/>
  <c r="S413" i="5"/>
  <c r="T413" i="5"/>
  <c r="AB413" i="5"/>
  <c r="B412" i="5"/>
  <c r="E412" i="5"/>
  <c r="F412" i="5"/>
  <c r="I412" i="5"/>
  <c r="J412" i="5"/>
  <c r="K412" i="5" a="1"/>
  <c r="L412" i="5" a="1"/>
  <c r="O412" i="5"/>
  <c r="P412" i="5"/>
  <c r="Q412" i="5"/>
  <c r="R412" i="5"/>
  <c r="S412" i="5"/>
  <c r="T412" i="5"/>
  <c r="AB412" i="5"/>
  <c r="A165" i="4"/>
  <c r="E165" i="4"/>
  <c r="H165" i="4"/>
  <c r="M165" i="4"/>
  <c r="S165" i="4"/>
  <c r="W165" i="4"/>
  <c r="X165" i="4"/>
  <c r="Y165" i="4"/>
  <c r="Z165" i="4"/>
  <c r="AA412" i="5"/>
  <c r="AA165" i="4"/>
  <c r="B411" i="5"/>
  <c r="E411" i="5"/>
  <c r="F411" i="5"/>
  <c r="I411" i="5"/>
  <c r="J411" i="5"/>
  <c r="K411" i="5" a="1"/>
  <c r="L411" i="5" a="1"/>
  <c r="O411" i="5"/>
  <c r="P411" i="5"/>
  <c r="Q411" i="5"/>
  <c r="R411" i="5"/>
  <c r="S411" i="5"/>
  <c r="T411" i="5"/>
  <c r="AB411" i="5"/>
  <c r="B410" i="5"/>
  <c r="E410" i="5"/>
  <c r="F410" i="5"/>
  <c r="I410" i="5"/>
  <c r="J410" i="5"/>
  <c r="K410" i="5" a="1"/>
  <c r="L410" i="5" a="1"/>
  <c r="O410" i="5"/>
  <c r="P410" i="5"/>
  <c r="Q410" i="5"/>
  <c r="R410" i="5"/>
  <c r="S410" i="5"/>
  <c r="T410" i="5"/>
  <c r="AB410" i="5"/>
  <c r="A166" i="4"/>
  <c r="E166" i="4"/>
  <c r="H166" i="4"/>
  <c r="M166" i="4"/>
  <c r="S166" i="4"/>
  <c r="W166" i="4"/>
  <c r="X166" i="4"/>
  <c r="Y166" i="4"/>
  <c r="Z166" i="4"/>
  <c r="AA410" i="5"/>
  <c r="AA166" i="4"/>
  <c r="B409" i="5"/>
  <c r="E409" i="5"/>
  <c r="F409" i="5"/>
  <c r="I409" i="5"/>
  <c r="J409" i="5"/>
  <c r="K409" i="5" a="1"/>
  <c r="L409" i="5" a="1"/>
  <c r="O409" i="5"/>
  <c r="P409" i="5"/>
  <c r="Q409" i="5"/>
  <c r="R409" i="5"/>
  <c r="S409" i="5"/>
  <c r="T409" i="5"/>
  <c r="AB409" i="5"/>
  <c r="B408" i="5"/>
  <c r="E408" i="5"/>
  <c r="F408" i="5"/>
  <c r="I408" i="5"/>
  <c r="J408" i="5"/>
  <c r="K408" i="5" a="1"/>
  <c r="L408" i="5" a="1"/>
  <c r="O408" i="5"/>
  <c r="P408" i="5"/>
  <c r="Q408" i="5"/>
  <c r="R408" i="5"/>
  <c r="S408" i="5"/>
  <c r="T408" i="5"/>
  <c r="AB408" i="5"/>
  <c r="A167" i="4"/>
  <c r="E167" i="4"/>
  <c r="H167" i="4"/>
  <c r="M167" i="4"/>
  <c r="S167" i="4"/>
  <c r="W167" i="4"/>
  <c r="X167" i="4"/>
  <c r="Y167" i="4"/>
  <c r="Z167" i="4"/>
  <c r="AA408" i="5"/>
  <c r="AA167" i="4"/>
  <c r="B407" i="5"/>
  <c r="E407" i="5"/>
  <c r="F407" i="5"/>
  <c r="I407" i="5"/>
  <c r="J407" i="5"/>
  <c r="K407" i="5" a="1"/>
  <c r="L407" i="5" a="1"/>
  <c r="O407" i="5"/>
  <c r="P407" i="5"/>
  <c r="Q407" i="5"/>
  <c r="R407" i="5"/>
  <c r="S407" i="5"/>
  <c r="T407" i="5"/>
  <c r="AB407" i="5"/>
  <c r="B406" i="5"/>
  <c r="E406" i="5"/>
  <c r="F406" i="5"/>
  <c r="I406" i="5"/>
  <c r="J406" i="5"/>
  <c r="K406" i="5" a="1"/>
  <c r="L406" i="5" a="1"/>
  <c r="O406" i="5"/>
  <c r="P406" i="5"/>
  <c r="Q406" i="5"/>
  <c r="R406" i="5"/>
  <c r="S406" i="5"/>
  <c r="T406" i="5"/>
  <c r="AB406" i="5"/>
  <c r="A168" i="4"/>
  <c r="E168" i="4"/>
  <c r="H168" i="4"/>
  <c r="M168" i="4"/>
  <c r="S168" i="4"/>
  <c r="W168" i="4"/>
  <c r="X168" i="4"/>
  <c r="Y168" i="4"/>
  <c r="Z168" i="4"/>
  <c r="AA406" i="5"/>
  <c r="AA168" i="4"/>
  <c r="B405" i="5"/>
  <c r="E405" i="5"/>
  <c r="F405" i="5"/>
  <c r="I405" i="5"/>
  <c r="J405" i="5"/>
  <c r="K405" i="5" a="1"/>
  <c r="L405" i="5" a="1"/>
  <c r="O405" i="5"/>
  <c r="P405" i="5"/>
  <c r="Q405" i="5"/>
  <c r="R405" i="5"/>
  <c r="S405" i="5"/>
  <c r="T405" i="5"/>
  <c r="AB405" i="5"/>
  <c r="B404" i="5"/>
  <c r="E404" i="5"/>
  <c r="F404" i="5"/>
  <c r="I404" i="5"/>
  <c r="J404" i="5"/>
  <c r="K404" i="5" a="1"/>
  <c r="L404" i="5" a="1"/>
  <c r="O404" i="5"/>
  <c r="P404" i="5"/>
  <c r="Q404" i="5"/>
  <c r="R404" i="5"/>
  <c r="S404" i="5"/>
  <c r="T404" i="5"/>
  <c r="AB404" i="5"/>
  <c r="A169" i="4"/>
  <c r="E169" i="4"/>
  <c r="H169" i="4"/>
  <c r="M169" i="4"/>
  <c r="S169" i="4"/>
  <c r="W169" i="4"/>
  <c r="X169" i="4"/>
  <c r="Y169" i="4"/>
  <c r="Z169" i="4"/>
  <c r="AA404" i="5"/>
  <c r="AA169" i="4"/>
  <c r="B403" i="5"/>
  <c r="E403" i="5"/>
  <c r="F403" i="5"/>
  <c r="I403" i="5"/>
  <c r="J403" i="5"/>
  <c r="K403" i="5" a="1"/>
  <c r="L403" i="5" a="1"/>
  <c r="O403" i="5"/>
  <c r="P403" i="5"/>
  <c r="Q403" i="5"/>
  <c r="R403" i="5"/>
  <c r="S403" i="5"/>
  <c r="T403" i="5"/>
  <c r="AB403" i="5"/>
  <c r="B402" i="5"/>
  <c r="E402" i="5"/>
  <c r="F402" i="5"/>
  <c r="I402" i="5"/>
  <c r="J402" i="5"/>
  <c r="K402" i="5" a="1"/>
  <c r="L402" i="5" a="1"/>
  <c r="O402" i="5"/>
  <c r="P402" i="5"/>
  <c r="Q402" i="5"/>
  <c r="R402" i="5"/>
  <c r="S402" i="5"/>
  <c r="T402" i="5"/>
  <c r="AB402" i="5"/>
  <c r="A170" i="4"/>
  <c r="E170" i="4"/>
  <c r="H170" i="4"/>
  <c r="M170" i="4"/>
  <c r="S170" i="4"/>
  <c r="W170" i="4"/>
  <c r="X170" i="4"/>
  <c r="Y170" i="4"/>
  <c r="Z170" i="4"/>
  <c r="AA402" i="5"/>
  <c r="AA170" i="4"/>
  <c r="B401" i="5"/>
  <c r="E401" i="5"/>
  <c r="F401" i="5"/>
  <c r="I401" i="5"/>
  <c r="J401" i="5"/>
  <c r="K401" i="5" a="1"/>
  <c r="L401" i="5" a="1"/>
  <c r="O401" i="5"/>
  <c r="P401" i="5"/>
  <c r="Q401" i="5"/>
  <c r="R401" i="5"/>
  <c r="S401" i="5"/>
  <c r="T401" i="5"/>
  <c r="AB401" i="5"/>
  <c r="B400" i="5"/>
  <c r="E400" i="5"/>
  <c r="F400" i="5"/>
  <c r="I400" i="5"/>
  <c r="J400" i="5"/>
  <c r="K400" i="5" a="1"/>
  <c r="L400" i="5" a="1"/>
  <c r="O400" i="5"/>
  <c r="P400" i="5"/>
  <c r="Q400" i="5"/>
  <c r="R400" i="5"/>
  <c r="S400" i="5"/>
  <c r="T400" i="5"/>
  <c r="AB400" i="5"/>
  <c r="A171" i="4"/>
  <c r="E171" i="4"/>
  <c r="H171" i="4"/>
  <c r="M171" i="4"/>
  <c r="S171" i="4"/>
  <c r="W171" i="4"/>
  <c r="X171" i="4"/>
  <c r="Y171" i="4"/>
  <c r="Z171" i="4"/>
  <c r="AA400" i="5"/>
  <c r="AA171" i="4"/>
  <c r="B399" i="5"/>
  <c r="E399" i="5"/>
  <c r="F399" i="5"/>
  <c r="I399" i="5"/>
  <c r="J399" i="5"/>
  <c r="K399" i="5" a="1"/>
  <c r="L399" i="5" a="1"/>
  <c r="O399" i="5"/>
  <c r="P399" i="5"/>
  <c r="Q399" i="5"/>
  <c r="R399" i="5"/>
  <c r="S399" i="5"/>
  <c r="T399" i="5"/>
  <c r="AB399" i="5"/>
  <c r="B398" i="5"/>
  <c r="E398" i="5"/>
  <c r="F398" i="5"/>
  <c r="I398" i="5"/>
  <c r="J398" i="5"/>
  <c r="K398" i="5" a="1"/>
  <c r="L398" i="5" a="1"/>
  <c r="O398" i="5"/>
  <c r="P398" i="5"/>
  <c r="Q398" i="5"/>
  <c r="R398" i="5"/>
  <c r="S398" i="5"/>
  <c r="T398" i="5"/>
  <c r="AB398" i="5"/>
  <c r="A172" i="4"/>
  <c r="E172" i="4"/>
  <c r="H172" i="4"/>
  <c r="M172" i="4"/>
  <c r="S172" i="4"/>
  <c r="W172" i="4"/>
  <c r="X172" i="4"/>
  <c r="Y172" i="4"/>
  <c r="Z172" i="4"/>
  <c r="AA398" i="5"/>
  <c r="AA172" i="4"/>
  <c r="B397" i="5"/>
  <c r="E397" i="5"/>
  <c r="F397" i="5"/>
  <c r="I397" i="5"/>
  <c r="J397" i="5"/>
  <c r="K397" i="5" a="1"/>
  <c r="L397" i="5" a="1"/>
  <c r="O397" i="5"/>
  <c r="P397" i="5"/>
  <c r="Q397" i="5"/>
  <c r="R397" i="5"/>
  <c r="S397" i="5"/>
  <c r="T397" i="5"/>
  <c r="AB397" i="5"/>
  <c r="B396" i="5"/>
  <c r="E396" i="5"/>
  <c r="F396" i="5"/>
  <c r="I396" i="5"/>
  <c r="J396" i="5"/>
  <c r="K396" i="5" a="1"/>
  <c r="L396" i="5" a="1"/>
  <c r="O396" i="5"/>
  <c r="P396" i="5"/>
  <c r="Q396" i="5"/>
  <c r="R396" i="5"/>
  <c r="S396" i="5"/>
  <c r="T396" i="5"/>
  <c r="AB396" i="5"/>
  <c r="A173" i="4"/>
  <c r="E173" i="4"/>
  <c r="H173" i="4"/>
  <c r="M173" i="4"/>
  <c r="S173" i="4"/>
  <c r="W173" i="4"/>
  <c r="X173" i="4"/>
  <c r="Y173" i="4"/>
  <c r="Z173" i="4"/>
  <c r="AA396" i="5"/>
  <c r="AA173" i="4"/>
  <c r="B395" i="5"/>
  <c r="E395" i="5"/>
  <c r="F395" i="5"/>
  <c r="I395" i="5"/>
  <c r="J395" i="5"/>
  <c r="K395" i="5" a="1"/>
  <c r="L395" i="5" a="1"/>
  <c r="O395" i="5"/>
  <c r="P395" i="5"/>
  <c r="Q395" i="5"/>
  <c r="R395" i="5"/>
  <c r="S395" i="5"/>
  <c r="T395" i="5"/>
  <c r="AB395" i="5"/>
  <c r="B394" i="5"/>
  <c r="E394" i="5"/>
  <c r="F394" i="5"/>
  <c r="I394" i="5"/>
  <c r="J394" i="5"/>
  <c r="K394" i="5" a="1"/>
  <c r="L394" i="5" a="1"/>
  <c r="O394" i="5"/>
  <c r="P394" i="5"/>
  <c r="Q394" i="5"/>
  <c r="R394" i="5"/>
  <c r="S394" i="5"/>
  <c r="T394" i="5"/>
  <c r="AB394" i="5"/>
  <c r="A174" i="4"/>
  <c r="E174" i="4"/>
  <c r="H174" i="4"/>
  <c r="M174" i="4"/>
  <c r="S174" i="4"/>
  <c r="W174" i="4"/>
  <c r="X174" i="4"/>
  <c r="Y174" i="4"/>
  <c r="Z174" i="4"/>
  <c r="AA394" i="5"/>
  <c r="AA174" i="4"/>
  <c r="B393" i="5"/>
  <c r="E393" i="5"/>
  <c r="F393" i="5"/>
  <c r="I393" i="5"/>
  <c r="J393" i="5"/>
  <c r="K393" i="5" a="1"/>
  <c r="L393" i="5" a="1"/>
  <c r="O393" i="5"/>
  <c r="P393" i="5"/>
  <c r="Q393" i="5"/>
  <c r="R393" i="5"/>
  <c r="S393" i="5"/>
  <c r="T393" i="5"/>
  <c r="AB393" i="5"/>
  <c r="B392" i="5"/>
  <c r="E392" i="5"/>
  <c r="F392" i="5"/>
  <c r="I392" i="5"/>
  <c r="J392" i="5"/>
  <c r="K392" i="5" a="1"/>
  <c r="L392" i="5" a="1"/>
  <c r="O392" i="5"/>
  <c r="P392" i="5"/>
  <c r="Q392" i="5"/>
  <c r="R392" i="5"/>
  <c r="S392" i="5"/>
  <c r="T392" i="5"/>
  <c r="AB392" i="5"/>
  <c r="A175" i="4"/>
  <c r="E175" i="4"/>
  <c r="H175" i="4"/>
  <c r="M175" i="4"/>
  <c r="S175" i="4"/>
  <c r="W175" i="4"/>
  <c r="X175" i="4"/>
  <c r="Y175" i="4"/>
  <c r="Z175" i="4"/>
  <c r="AA392" i="5"/>
  <c r="AA175" i="4"/>
  <c r="B391" i="5"/>
  <c r="E391" i="5"/>
  <c r="F391" i="5"/>
  <c r="I391" i="5"/>
  <c r="J391" i="5"/>
  <c r="K391" i="5" a="1"/>
  <c r="L391" i="5" a="1"/>
  <c r="O391" i="5"/>
  <c r="P391" i="5"/>
  <c r="Q391" i="5"/>
  <c r="R391" i="5"/>
  <c r="S391" i="5"/>
  <c r="T391" i="5"/>
  <c r="AB391" i="5"/>
  <c r="B390" i="5"/>
  <c r="E390" i="5"/>
  <c r="F390" i="5"/>
  <c r="I390" i="5"/>
  <c r="J390" i="5"/>
  <c r="K390" i="5" a="1"/>
  <c r="L390" i="5" a="1"/>
  <c r="O390" i="5"/>
  <c r="P390" i="5"/>
  <c r="Q390" i="5"/>
  <c r="R390" i="5"/>
  <c r="S390" i="5"/>
  <c r="T390" i="5"/>
  <c r="AB390" i="5"/>
  <c r="A176" i="4"/>
  <c r="E176" i="4"/>
  <c r="H176" i="4"/>
  <c r="M176" i="4"/>
  <c r="S176" i="4"/>
  <c r="W176" i="4"/>
  <c r="X176" i="4"/>
  <c r="Y176" i="4"/>
  <c r="Z176" i="4"/>
  <c r="AA390" i="5"/>
  <c r="AA176" i="4"/>
  <c r="B389" i="5"/>
  <c r="E389" i="5"/>
  <c r="F389" i="5"/>
  <c r="I389" i="5"/>
  <c r="J389" i="5"/>
  <c r="K389" i="5" a="1"/>
  <c r="L389" i="5" a="1"/>
  <c r="O389" i="5"/>
  <c r="P389" i="5"/>
  <c r="Q389" i="5"/>
  <c r="R389" i="5"/>
  <c r="S389" i="5"/>
  <c r="T389" i="5"/>
  <c r="AB389" i="5"/>
  <c r="B388" i="5"/>
  <c r="E388" i="5"/>
  <c r="F388" i="5"/>
  <c r="I388" i="5"/>
  <c r="J388" i="5"/>
  <c r="K388" i="5" a="1"/>
  <c r="L388" i="5" a="1"/>
  <c r="O388" i="5"/>
  <c r="P388" i="5"/>
  <c r="Q388" i="5"/>
  <c r="R388" i="5"/>
  <c r="S388" i="5"/>
  <c r="T388" i="5"/>
  <c r="AB388" i="5"/>
  <c r="A177" i="4"/>
  <c r="E177" i="4"/>
  <c r="H177" i="4"/>
  <c r="M177" i="4"/>
  <c r="S177" i="4"/>
  <c r="W177" i="4"/>
  <c r="X177" i="4"/>
  <c r="Y177" i="4"/>
  <c r="Z177" i="4"/>
  <c r="AA388" i="5"/>
  <c r="AA177" i="4"/>
  <c r="B387" i="5"/>
  <c r="E387" i="5"/>
  <c r="F387" i="5"/>
  <c r="I387" i="5"/>
  <c r="J387" i="5"/>
  <c r="K387" i="5" a="1"/>
  <c r="L387" i="5" a="1"/>
  <c r="O387" i="5"/>
  <c r="P387" i="5"/>
  <c r="Q387" i="5"/>
  <c r="R387" i="5"/>
  <c r="S387" i="5"/>
  <c r="T387" i="5"/>
  <c r="AB387" i="5"/>
  <c r="B386" i="5"/>
  <c r="E386" i="5"/>
  <c r="F386" i="5"/>
  <c r="I386" i="5"/>
  <c r="J386" i="5"/>
  <c r="K386" i="5" a="1"/>
  <c r="L386" i="5" a="1"/>
  <c r="O386" i="5"/>
  <c r="P386" i="5"/>
  <c r="Q386" i="5"/>
  <c r="R386" i="5"/>
  <c r="S386" i="5"/>
  <c r="T386" i="5"/>
  <c r="AB386" i="5"/>
  <c r="A178" i="4"/>
  <c r="E178" i="4"/>
  <c r="H178" i="4"/>
  <c r="M178" i="4"/>
  <c r="S178" i="4"/>
  <c r="W178" i="4"/>
  <c r="X178" i="4"/>
  <c r="Y178" i="4"/>
  <c r="Z178" i="4"/>
  <c r="AA386" i="5"/>
  <c r="AA178" i="4"/>
  <c r="B385" i="5"/>
  <c r="E385" i="5"/>
  <c r="F385" i="5"/>
  <c r="I385" i="5"/>
  <c r="J385" i="5"/>
  <c r="K385" i="5" a="1"/>
  <c r="L385" i="5" a="1"/>
  <c r="O385" i="5"/>
  <c r="P385" i="5"/>
  <c r="Q385" i="5"/>
  <c r="R385" i="5"/>
  <c r="S385" i="5"/>
  <c r="T385" i="5"/>
  <c r="AB385" i="5"/>
  <c r="B384" i="5"/>
  <c r="E384" i="5"/>
  <c r="F384" i="5"/>
  <c r="I384" i="5"/>
  <c r="J384" i="5"/>
  <c r="K384" i="5" a="1"/>
  <c r="L384" i="5" a="1"/>
  <c r="O384" i="5"/>
  <c r="P384" i="5"/>
  <c r="Q384" i="5"/>
  <c r="R384" i="5"/>
  <c r="S384" i="5"/>
  <c r="T384" i="5"/>
  <c r="AB384" i="5"/>
  <c r="A179" i="4"/>
  <c r="E179" i="4"/>
  <c r="H179" i="4"/>
  <c r="M179" i="4"/>
  <c r="S179" i="4"/>
  <c r="W179" i="4"/>
  <c r="X179" i="4"/>
  <c r="Y179" i="4"/>
  <c r="Z179" i="4"/>
  <c r="AA384" i="5"/>
  <c r="AA179" i="4"/>
  <c r="B383" i="5"/>
  <c r="E383" i="5"/>
  <c r="F383" i="5"/>
  <c r="I383" i="5"/>
  <c r="J383" i="5"/>
  <c r="K383" i="5" a="1"/>
  <c r="L383" i="5" a="1"/>
  <c r="O383" i="5"/>
  <c r="P383" i="5"/>
  <c r="Q383" i="5"/>
  <c r="R383" i="5"/>
  <c r="S383" i="5"/>
  <c r="T383" i="5"/>
  <c r="AB383" i="5"/>
  <c r="B382" i="5"/>
  <c r="E382" i="5"/>
  <c r="F382" i="5"/>
  <c r="I382" i="5"/>
  <c r="J382" i="5"/>
  <c r="K382" i="5" a="1"/>
  <c r="L382" i="5" a="1"/>
  <c r="O382" i="5"/>
  <c r="P382" i="5"/>
  <c r="Q382" i="5"/>
  <c r="R382" i="5"/>
  <c r="S382" i="5"/>
  <c r="T382" i="5"/>
  <c r="AB382" i="5"/>
  <c r="A180" i="4"/>
  <c r="E180" i="4"/>
  <c r="H180" i="4"/>
  <c r="M180" i="4"/>
  <c r="S180" i="4"/>
  <c r="W180" i="4"/>
  <c r="X180" i="4"/>
  <c r="Y180" i="4"/>
  <c r="Z180" i="4"/>
  <c r="AA382" i="5"/>
  <c r="AA180" i="4"/>
  <c r="B381" i="5"/>
  <c r="E381" i="5"/>
  <c r="F381" i="5"/>
  <c r="I381" i="5"/>
  <c r="J381" i="5"/>
  <c r="K381" i="5" a="1"/>
  <c r="L381" i="5" a="1"/>
  <c r="O381" i="5"/>
  <c r="P381" i="5"/>
  <c r="Q381" i="5"/>
  <c r="R381" i="5"/>
  <c r="S381" i="5"/>
  <c r="T381" i="5"/>
  <c r="AB381" i="5"/>
  <c r="B380" i="5"/>
  <c r="E380" i="5"/>
  <c r="F380" i="5"/>
  <c r="I380" i="5"/>
  <c r="J380" i="5"/>
  <c r="K380" i="5" a="1"/>
  <c r="L380" i="5" a="1"/>
  <c r="O380" i="5"/>
  <c r="P380" i="5"/>
  <c r="Q380" i="5"/>
  <c r="R380" i="5"/>
  <c r="S380" i="5"/>
  <c r="T380" i="5"/>
  <c r="AB380" i="5"/>
  <c r="A181" i="4"/>
  <c r="E181" i="4"/>
  <c r="H181" i="4"/>
  <c r="M181" i="4"/>
  <c r="S181" i="4"/>
  <c r="W181" i="4"/>
  <c r="X181" i="4"/>
  <c r="Y181" i="4"/>
  <c r="Z181" i="4"/>
  <c r="AA380" i="5"/>
  <c r="AA181" i="4"/>
  <c r="B379" i="5"/>
  <c r="E379" i="5"/>
  <c r="F379" i="5"/>
  <c r="I379" i="5"/>
  <c r="J379" i="5"/>
  <c r="K379" i="5" a="1"/>
  <c r="L379" i="5" a="1"/>
  <c r="O379" i="5"/>
  <c r="P379" i="5"/>
  <c r="Q379" i="5"/>
  <c r="R379" i="5"/>
  <c r="S379" i="5"/>
  <c r="T379" i="5"/>
  <c r="AB379" i="5"/>
  <c r="B378" i="5"/>
  <c r="E378" i="5"/>
  <c r="F378" i="5"/>
  <c r="I378" i="5"/>
  <c r="J378" i="5"/>
  <c r="K378" i="5" a="1"/>
  <c r="L378" i="5" a="1"/>
  <c r="O378" i="5"/>
  <c r="P378" i="5"/>
  <c r="Q378" i="5"/>
  <c r="R378" i="5"/>
  <c r="S378" i="5"/>
  <c r="T378" i="5"/>
  <c r="AB378" i="5"/>
  <c r="A182" i="4"/>
  <c r="E182" i="4"/>
  <c r="H182" i="4"/>
  <c r="M182" i="4"/>
  <c r="S182" i="4"/>
  <c r="W182" i="4"/>
  <c r="X182" i="4"/>
  <c r="Y182" i="4"/>
  <c r="Z182" i="4"/>
  <c r="AA378" i="5"/>
  <c r="AA182" i="4"/>
  <c r="B377" i="5"/>
  <c r="E377" i="5"/>
  <c r="F377" i="5"/>
  <c r="I377" i="5"/>
  <c r="J377" i="5"/>
  <c r="K377" i="5" a="1"/>
  <c r="L377" i="5" a="1"/>
  <c r="O377" i="5"/>
  <c r="P377" i="5"/>
  <c r="Q377" i="5"/>
  <c r="R377" i="5"/>
  <c r="S377" i="5"/>
  <c r="T377" i="5"/>
  <c r="AB377" i="5"/>
  <c r="B376" i="5"/>
  <c r="E376" i="5"/>
  <c r="F376" i="5"/>
  <c r="I376" i="5"/>
  <c r="J376" i="5"/>
  <c r="K376" i="5" a="1"/>
  <c r="L376" i="5" a="1"/>
  <c r="O376" i="5"/>
  <c r="P376" i="5"/>
  <c r="Q376" i="5"/>
  <c r="R376" i="5"/>
  <c r="S376" i="5"/>
  <c r="T376" i="5"/>
  <c r="AB376" i="5"/>
  <c r="A183" i="4"/>
  <c r="E183" i="4"/>
  <c r="H183" i="4"/>
  <c r="M183" i="4"/>
  <c r="S183" i="4"/>
  <c r="W183" i="4"/>
  <c r="X183" i="4"/>
  <c r="Y183" i="4"/>
  <c r="Z183" i="4"/>
  <c r="AA376" i="5"/>
  <c r="AA183" i="4"/>
  <c r="B375" i="5"/>
  <c r="E375" i="5"/>
  <c r="F375" i="5"/>
  <c r="I375" i="5"/>
  <c r="J375" i="5"/>
  <c r="K375" i="5" a="1"/>
  <c r="L375" i="5" a="1"/>
  <c r="O375" i="5"/>
  <c r="P375" i="5"/>
  <c r="Q375" i="5"/>
  <c r="R375" i="5"/>
  <c r="S375" i="5"/>
  <c r="T375" i="5"/>
  <c r="AB375" i="5"/>
  <c r="B374" i="5"/>
  <c r="E374" i="5"/>
  <c r="F374" i="5"/>
  <c r="I374" i="5"/>
  <c r="J374" i="5"/>
  <c r="K374" i="5" a="1"/>
  <c r="L374" i="5" a="1"/>
  <c r="O374" i="5"/>
  <c r="P374" i="5"/>
  <c r="Q374" i="5"/>
  <c r="R374" i="5"/>
  <c r="S374" i="5"/>
  <c r="T374" i="5"/>
  <c r="AB374" i="5"/>
  <c r="A184" i="4"/>
  <c r="E184" i="4"/>
  <c r="H184" i="4"/>
  <c r="M184" i="4"/>
  <c r="S184" i="4"/>
  <c r="W184" i="4"/>
  <c r="X184" i="4"/>
  <c r="Y184" i="4"/>
  <c r="Z184" i="4"/>
  <c r="AA374" i="5"/>
  <c r="AA184" i="4"/>
  <c r="B373" i="5"/>
  <c r="E373" i="5"/>
  <c r="F373" i="5"/>
  <c r="I373" i="5"/>
  <c r="J373" i="5"/>
  <c r="K373" i="5" a="1"/>
  <c r="L373" i="5" a="1"/>
  <c r="O373" i="5"/>
  <c r="P373" i="5"/>
  <c r="Q373" i="5"/>
  <c r="R373" i="5"/>
  <c r="S373" i="5"/>
  <c r="T373" i="5"/>
  <c r="AB373" i="5"/>
  <c r="B372" i="5"/>
  <c r="E372" i="5"/>
  <c r="F372" i="5"/>
  <c r="I372" i="5"/>
  <c r="J372" i="5"/>
  <c r="K372" i="5" a="1"/>
  <c r="L372" i="5" a="1"/>
  <c r="O372" i="5"/>
  <c r="P372" i="5"/>
  <c r="Q372" i="5"/>
  <c r="R372" i="5"/>
  <c r="S372" i="5"/>
  <c r="T372" i="5"/>
  <c r="AB372" i="5"/>
  <c r="A185" i="4"/>
  <c r="E185" i="4"/>
  <c r="H185" i="4"/>
  <c r="M185" i="4"/>
  <c r="S185" i="4"/>
  <c r="W185" i="4"/>
  <c r="X185" i="4"/>
  <c r="Y185" i="4"/>
  <c r="Z185" i="4"/>
  <c r="AA372" i="5"/>
  <c r="AA185" i="4"/>
  <c r="B371" i="5"/>
  <c r="E371" i="5"/>
  <c r="F371" i="5"/>
  <c r="I371" i="5"/>
  <c r="J371" i="5"/>
  <c r="K371" i="5" a="1"/>
  <c r="L371" i="5" a="1"/>
  <c r="O371" i="5"/>
  <c r="P371" i="5"/>
  <c r="Q371" i="5"/>
  <c r="R371" i="5"/>
  <c r="S371" i="5"/>
  <c r="T371" i="5"/>
  <c r="AB371" i="5"/>
  <c r="B370" i="5"/>
  <c r="E370" i="5"/>
  <c r="F370" i="5"/>
  <c r="I370" i="5"/>
  <c r="J370" i="5"/>
  <c r="K370" i="5" a="1"/>
  <c r="L370" i="5" a="1"/>
  <c r="O370" i="5"/>
  <c r="P370" i="5"/>
  <c r="Q370" i="5"/>
  <c r="R370" i="5"/>
  <c r="S370" i="5"/>
  <c r="T370" i="5"/>
  <c r="AB370" i="5"/>
  <c r="A186" i="4"/>
  <c r="E186" i="4"/>
  <c r="H186" i="4"/>
  <c r="M186" i="4"/>
  <c r="S186" i="4"/>
  <c r="W186" i="4"/>
  <c r="X186" i="4"/>
  <c r="Y186" i="4"/>
  <c r="Z186" i="4"/>
  <c r="AA370" i="5"/>
  <c r="AA186" i="4"/>
  <c r="B369" i="5"/>
  <c r="E369" i="5"/>
  <c r="F369" i="5"/>
  <c r="I369" i="5"/>
  <c r="J369" i="5"/>
  <c r="K369" i="5" a="1"/>
  <c r="L369" i="5" a="1"/>
  <c r="O369" i="5"/>
  <c r="P369" i="5"/>
  <c r="Q369" i="5"/>
  <c r="R369" i="5"/>
  <c r="S369" i="5"/>
  <c r="T369" i="5"/>
  <c r="AB369" i="5"/>
  <c r="B368" i="5"/>
  <c r="E368" i="5"/>
  <c r="F368" i="5"/>
  <c r="I368" i="5"/>
  <c r="J368" i="5"/>
  <c r="K368" i="5" a="1"/>
  <c r="L368" i="5" a="1"/>
  <c r="O368" i="5"/>
  <c r="P368" i="5"/>
  <c r="Q368" i="5"/>
  <c r="R368" i="5"/>
  <c r="S368" i="5"/>
  <c r="T368" i="5"/>
  <c r="AB368" i="5"/>
  <c r="A187" i="4"/>
  <c r="E187" i="4"/>
  <c r="H187" i="4"/>
  <c r="M187" i="4"/>
  <c r="S187" i="4"/>
  <c r="W187" i="4"/>
  <c r="X187" i="4"/>
  <c r="Y187" i="4"/>
  <c r="Z187" i="4"/>
  <c r="AA368" i="5"/>
  <c r="AA187" i="4"/>
  <c r="B367" i="5"/>
  <c r="E367" i="5"/>
  <c r="F367" i="5"/>
  <c r="I367" i="5"/>
  <c r="J367" i="5"/>
  <c r="K367" i="5" a="1"/>
  <c r="L367" i="5" a="1"/>
  <c r="O367" i="5"/>
  <c r="P367" i="5"/>
  <c r="Q367" i="5"/>
  <c r="R367" i="5"/>
  <c r="S367" i="5"/>
  <c r="T367" i="5"/>
  <c r="AB367" i="5"/>
  <c r="B366" i="5"/>
  <c r="E366" i="5"/>
  <c r="F366" i="5"/>
  <c r="I366" i="5"/>
  <c r="J366" i="5"/>
  <c r="K366" i="5" a="1"/>
  <c r="L366" i="5" a="1"/>
  <c r="O366" i="5"/>
  <c r="P366" i="5"/>
  <c r="Q366" i="5"/>
  <c r="R366" i="5"/>
  <c r="S366" i="5"/>
  <c r="T366" i="5"/>
  <c r="AB366" i="5"/>
  <c r="A188" i="4"/>
  <c r="E188" i="4"/>
  <c r="H188" i="4"/>
  <c r="M188" i="4"/>
  <c r="S188" i="4"/>
  <c r="W188" i="4"/>
  <c r="X188" i="4"/>
  <c r="Y188" i="4"/>
  <c r="Z188" i="4"/>
  <c r="AA366" i="5"/>
  <c r="AA188" i="4"/>
  <c r="B365" i="5"/>
  <c r="E365" i="5"/>
  <c r="F365" i="5"/>
  <c r="I365" i="5"/>
  <c r="J365" i="5"/>
  <c r="K365" i="5" a="1"/>
  <c r="L365" i="5" a="1"/>
  <c r="O365" i="5"/>
  <c r="P365" i="5"/>
  <c r="Q365" i="5"/>
  <c r="R365" i="5"/>
  <c r="S365" i="5"/>
  <c r="T365" i="5"/>
  <c r="AB365" i="5"/>
  <c r="B364" i="5"/>
  <c r="E364" i="5"/>
  <c r="F364" i="5"/>
  <c r="I364" i="5"/>
  <c r="J364" i="5"/>
  <c r="K364" i="5" a="1"/>
  <c r="L364" i="5" a="1"/>
  <c r="O364" i="5"/>
  <c r="P364" i="5"/>
  <c r="Q364" i="5"/>
  <c r="R364" i="5"/>
  <c r="S364" i="5"/>
  <c r="T364" i="5"/>
  <c r="AB364" i="5"/>
  <c r="A189" i="4"/>
  <c r="E189" i="4"/>
  <c r="H189" i="4"/>
  <c r="M189" i="4"/>
  <c r="S189" i="4"/>
  <c r="W189" i="4"/>
  <c r="X189" i="4"/>
  <c r="Y189" i="4"/>
  <c r="Z189" i="4"/>
  <c r="AA364" i="5"/>
  <c r="AA189" i="4"/>
  <c r="B363" i="5"/>
  <c r="E363" i="5"/>
  <c r="F363" i="5"/>
  <c r="I363" i="5"/>
  <c r="J363" i="5"/>
  <c r="K363" i="5" a="1"/>
  <c r="L363" i="5" a="1"/>
  <c r="O363" i="5"/>
  <c r="P363" i="5"/>
  <c r="Q363" i="5"/>
  <c r="R363" i="5"/>
  <c r="S363" i="5"/>
  <c r="T363" i="5"/>
  <c r="AB363" i="5"/>
  <c r="B362" i="5"/>
  <c r="E362" i="5"/>
  <c r="F362" i="5"/>
  <c r="I362" i="5"/>
  <c r="J362" i="5"/>
  <c r="K362" i="5" a="1"/>
  <c r="L362" i="5" a="1"/>
  <c r="O362" i="5"/>
  <c r="P362" i="5"/>
  <c r="Q362" i="5"/>
  <c r="R362" i="5"/>
  <c r="S362" i="5"/>
  <c r="T362" i="5"/>
  <c r="AB362" i="5"/>
  <c r="A190" i="4"/>
  <c r="E190" i="4"/>
  <c r="H190" i="4"/>
  <c r="M190" i="4"/>
  <c r="S190" i="4"/>
  <c r="W190" i="4"/>
  <c r="X190" i="4"/>
  <c r="Y190" i="4"/>
  <c r="Z190" i="4"/>
  <c r="AA362" i="5"/>
  <c r="AA190" i="4"/>
  <c r="B361" i="5"/>
  <c r="E361" i="5"/>
  <c r="F361" i="5"/>
  <c r="I361" i="5"/>
  <c r="J361" i="5"/>
  <c r="K361" i="5" a="1"/>
  <c r="L361" i="5" a="1"/>
  <c r="O361" i="5"/>
  <c r="P361" i="5"/>
  <c r="Q361" i="5"/>
  <c r="R361" i="5"/>
  <c r="S361" i="5"/>
  <c r="T361" i="5"/>
  <c r="AB361" i="5"/>
  <c r="B360" i="5"/>
  <c r="E360" i="5"/>
  <c r="F360" i="5"/>
  <c r="I360" i="5"/>
  <c r="J360" i="5"/>
  <c r="K360" i="5" a="1"/>
  <c r="L360" i="5" a="1"/>
  <c r="O360" i="5"/>
  <c r="P360" i="5"/>
  <c r="Q360" i="5"/>
  <c r="R360" i="5"/>
  <c r="S360" i="5"/>
  <c r="T360" i="5"/>
  <c r="AB360" i="5"/>
  <c r="A191" i="4"/>
  <c r="E191" i="4"/>
  <c r="H191" i="4"/>
  <c r="M191" i="4"/>
  <c r="S191" i="4"/>
  <c r="W191" i="4"/>
  <c r="X191" i="4"/>
  <c r="Y191" i="4"/>
  <c r="Z191" i="4"/>
  <c r="AA360" i="5"/>
  <c r="AA191" i="4"/>
  <c r="B359" i="5"/>
  <c r="E359" i="5"/>
  <c r="F359" i="5"/>
  <c r="I359" i="5"/>
  <c r="J359" i="5"/>
  <c r="K359" i="5" a="1"/>
  <c r="L359" i="5" a="1"/>
  <c r="O359" i="5"/>
  <c r="P359" i="5"/>
  <c r="Q359" i="5"/>
  <c r="R359" i="5"/>
  <c r="S359" i="5"/>
  <c r="T359" i="5"/>
  <c r="AB359" i="5"/>
  <c r="B358" i="5"/>
  <c r="E358" i="5"/>
  <c r="F358" i="5"/>
  <c r="I358" i="5"/>
  <c r="J358" i="5"/>
  <c r="K358" i="5" a="1"/>
  <c r="L358" i="5" a="1"/>
  <c r="O358" i="5"/>
  <c r="P358" i="5"/>
  <c r="Q358" i="5"/>
  <c r="R358" i="5"/>
  <c r="S358" i="5"/>
  <c r="T358" i="5"/>
  <c r="AB358" i="5"/>
  <c r="A192" i="4"/>
  <c r="E192" i="4"/>
  <c r="H192" i="4"/>
  <c r="M192" i="4"/>
  <c r="S192" i="4"/>
  <c r="W192" i="4"/>
  <c r="X192" i="4"/>
  <c r="Y192" i="4"/>
  <c r="Z192" i="4"/>
  <c r="AA358" i="5"/>
  <c r="AA192" i="4"/>
  <c r="B357" i="5"/>
  <c r="E357" i="5"/>
  <c r="F357" i="5"/>
  <c r="I357" i="5"/>
  <c r="J357" i="5"/>
  <c r="K357" i="5" a="1"/>
  <c r="L357" i="5" a="1"/>
  <c r="O357" i="5"/>
  <c r="P357" i="5"/>
  <c r="Q357" i="5"/>
  <c r="R357" i="5"/>
  <c r="S357" i="5"/>
  <c r="T357" i="5"/>
  <c r="AB357" i="5"/>
  <c r="B356" i="5"/>
  <c r="E356" i="5"/>
  <c r="F356" i="5"/>
  <c r="I356" i="5"/>
  <c r="J356" i="5"/>
  <c r="K356" i="5" a="1"/>
  <c r="L356" i="5" a="1"/>
  <c r="O356" i="5"/>
  <c r="P356" i="5"/>
  <c r="Q356" i="5"/>
  <c r="R356" i="5"/>
  <c r="S356" i="5"/>
  <c r="T356" i="5"/>
  <c r="AB356" i="5"/>
  <c r="A193" i="4"/>
  <c r="E193" i="4"/>
  <c r="H193" i="4"/>
  <c r="M193" i="4"/>
  <c r="S193" i="4"/>
  <c r="W193" i="4"/>
  <c r="X193" i="4"/>
  <c r="Y193" i="4"/>
  <c r="Z193" i="4"/>
  <c r="AA356" i="5"/>
  <c r="AA193" i="4"/>
  <c r="B355" i="5"/>
  <c r="E355" i="5"/>
  <c r="F355" i="5"/>
  <c r="I355" i="5"/>
  <c r="J355" i="5"/>
  <c r="K355" i="5" a="1"/>
  <c r="L355" i="5" a="1"/>
  <c r="O355" i="5"/>
  <c r="P355" i="5"/>
  <c r="Q355" i="5"/>
  <c r="R355" i="5"/>
  <c r="S355" i="5"/>
  <c r="T355" i="5"/>
  <c r="AB355" i="5"/>
  <c r="B354" i="5"/>
  <c r="E354" i="5"/>
  <c r="F354" i="5"/>
  <c r="I354" i="5"/>
  <c r="J354" i="5"/>
  <c r="K354" i="5" a="1"/>
  <c r="L354" i="5" a="1"/>
  <c r="O354" i="5"/>
  <c r="P354" i="5"/>
  <c r="Q354" i="5"/>
  <c r="R354" i="5"/>
  <c r="S354" i="5"/>
  <c r="T354" i="5"/>
  <c r="AB354" i="5"/>
  <c r="A194" i="4"/>
  <c r="E194" i="4"/>
  <c r="H194" i="4"/>
  <c r="M194" i="4"/>
  <c r="S194" i="4"/>
  <c r="W194" i="4"/>
  <c r="X194" i="4"/>
  <c r="Y194" i="4"/>
  <c r="Z194" i="4"/>
  <c r="AA354" i="5"/>
  <c r="AA194" i="4"/>
  <c r="B353" i="5"/>
  <c r="E353" i="5"/>
  <c r="F353" i="5"/>
  <c r="I353" i="5"/>
  <c r="J353" i="5"/>
  <c r="K353" i="5" a="1"/>
  <c r="L353" i="5" a="1"/>
  <c r="O353" i="5"/>
  <c r="P353" i="5"/>
  <c r="Q353" i="5"/>
  <c r="R353" i="5"/>
  <c r="S353" i="5"/>
  <c r="T353" i="5"/>
  <c r="AB353" i="5"/>
  <c r="B352" i="5"/>
  <c r="E352" i="5"/>
  <c r="F352" i="5"/>
  <c r="I352" i="5"/>
  <c r="J352" i="5"/>
  <c r="K352" i="5" a="1"/>
  <c r="L352" i="5" a="1"/>
  <c r="O352" i="5"/>
  <c r="P352" i="5"/>
  <c r="Q352" i="5"/>
  <c r="R352" i="5"/>
  <c r="S352" i="5"/>
  <c r="T352" i="5"/>
  <c r="AB352" i="5"/>
  <c r="A195" i="4"/>
  <c r="E195" i="4"/>
  <c r="H195" i="4"/>
  <c r="M195" i="4"/>
  <c r="S195" i="4"/>
  <c r="W195" i="4"/>
  <c r="X195" i="4"/>
  <c r="Y195" i="4"/>
  <c r="Z195" i="4"/>
  <c r="AA352" i="5"/>
  <c r="AA195" i="4"/>
  <c r="B351" i="5"/>
  <c r="E351" i="5"/>
  <c r="F351" i="5"/>
  <c r="I351" i="5"/>
  <c r="J351" i="5"/>
  <c r="K351" i="5" a="1"/>
  <c r="L351" i="5" a="1"/>
  <c r="O351" i="5"/>
  <c r="P351" i="5"/>
  <c r="Q351" i="5"/>
  <c r="R351" i="5"/>
  <c r="S351" i="5"/>
  <c r="T351" i="5"/>
  <c r="AB351" i="5"/>
  <c r="B350" i="5"/>
  <c r="E350" i="5"/>
  <c r="F350" i="5"/>
  <c r="I350" i="5"/>
  <c r="J350" i="5"/>
  <c r="K350" i="5" a="1"/>
  <c r="L350" i="5" a="1"/>
  <c r="O350" i="5"/>
  <c r="P350" i="5"/>
  <c r="Q350" i="5"/>
  <c r="R350" i="5"/>
  <c r="S350" i="5"/>
  <c r="T350" i="5"/>
  <c r="AB350" i="5"/>
  <c r="A196" i="4"/>
  <c r="E196" i="4"/>
  <c r="H196" i="4"/>
  <c r="M196" i="4"/>
  <c r="S196" i="4"/>
  <c r="W196" i="4"/>
  <c r="X196" i="4"/>
  <c r="Y196" i="4"/>
  <c r="Z196" i="4"/>
  <c r="AA350" i="5"/>
  <c r="AA196" i="4"/>
  <c r="B349" i="5"/>
  <c r="E349" i="5"/>
  <c r="F349" i="5"/>
  <c r="I349" i="5"/>
  <c r="J349" i="5"/>
  <c r="K349" i="5" a="1"/>
  <c r="L349" i="5" a="1"/>
  <c r="O349" i="5"/>
  <c r="P349" i="5"/>
  <c r="Q349" i="5"/>
  <c r="R349" i="5"/>
  <c r="S349" i="5"/>
  <c r="T349" i="5"/>
  <c r="AB349" i="5"/>
  <c r="B348" i="5"/>
  <c r="E348" i="5"/>
  <c r="F348" i="5"/>
  <c r="I348" i="5"/>
  <c r="J348" i="5"/>
  <c r="K348" i="5" a="1"/>
  <c r="L348" i="5" a="1"/>
  <c r="O348" i="5"/>
  <c r="P348" i="5"/>
  <c r="Q348" i="5"/>
  <c r="R348" i="5"/>
  <c r="S348" i="5"/>
  <c r="T348" i="5"/>
  <c r="AB348" i="5"/>
  <c r="A197" i="4"/>
  <c r="E197" i="4"/>
  <c r="H197" i="4"/>
  <c r="M197" i="4"/>
  <c r="S197" i="4"/>
  <c r="W197" i="4"/>
  <c r="X197" i="4"/>
  <c r="Y197" i="4"/>
  <c r="Z197" i="4"/>
  <c r="AA348" i="5"/>
  <c r="AA197" i="4"/>
  <c r="B347" i="5"/>
  <c r="E347" i="5"/>
  <c r="F347" i="5"/>
  <c r="I347" i="5"/>
  <c r="J347" i="5"/>
  <c r="K347" i="5" a="1"/>
  <c r="L347" i="5" a="1"/>
  <c r="O347" i="5"/>
  <c r="P347" i="5"/>
  <c r="Q347" i="5"/>
  <c r="R347" i="5"/>
  <c r="S347" i="5"/>
  <c r="T347" i="5"/>
  <c r="AB347" i="5"/>
  <c r="B346" i="5"/>
  <c r="E346" i="5"/>
  <c r="F346" i="5"/>
  <c r="I346" i="5"/>
  <c r="J346" i="5"/>
  <c r="K346" i="5" a="1"/>
  <c r="L346" i="5" a="1"/>
  <c r="O346" i="5"/>
  <c r="P346" i="5"/>
  <c r="Q346" i="5"/>
  <c r="R346" i="5"/>
  <c r="S346" i="5"/>
  <c r="T346" i="5"/>
  <c r="AB346" i="5"/>
  <c r="A198" i="4"/>
  <c r="E198" i="4"/>
  <c r="H198" i="4"/>
  <c r="M198" i="4"/>
  <c r="S198" i="4"/>
  <c r="W198" i="4"/>
  <c r="X198" i="4"/>
  <c r="Y198" i="4"/>
  <c r="Z198" i="4"/>
  <c r="AA346" i="5"/>
  <c r="AA198" i="4"/>
  <c r="B345" i="5"/>
  <c r="E345" i="5"/>
  <c r="F345" i="5"/>
  <c r="I345" i="5"/>
  <c r="J345" i="5"/>
  <c r="K345" i="5" a="1"/>
  <c r="L345" i="5" a="1"/>
  <c r="O345" i="5"/>
  <c r="P345" i="5"/>
  <c r="Q345" i="5"/>
  <c r="R345" i="5"/>
  <c r="S345" i="5"/>
  <c r="T345" i="5"/>
  <c r="AB345" i="5"/>
  <c r="B344" i="5"/>
  <c r="E344" i="5"/>
  <c r="F344" i="5"/>
  <c r="I344" i="5"/>
  <c r="J344" i="5"/>
  <c r="K344" i="5" a="1"/>
  <c r="L344" i="5" a="1"/>
  <c r="O344" i="5"/>
  <c r="P344" i="5"/>
  <c r="Q344" i="5"/>
  <c r="R344" i="5"/>
  <c r="S344" i="5"/>
  <c r="T344" i="5"/>
  <c r="AB344" i="5"/>
  <c r="A199" i="4"/>
  <c r="E199" i="4"/>
  <c r="H199" i="4"/>
  <c r="M199" i="4"/>
  <c r="S199" i="4"/>
  <c r="W199" i="4"/>
  <c r="X199" i="4"/>
  <c r="Y199" i="4"/>
  <c r="Z199" i="4"/>
  <c r="AA344" i="5"/>
  <c r="AA199" i="4"/>
  <c r="B343" i="5"/>
  <c r="E343" i="5"/>
  <c r="F343" i="5"/>
  <c r="I343" i="5"/>
  <c r="J343" i="5"/>
  <c r="K343" i="5" a="1"/>
  <c r="L343" i="5" a="1"/>
  <c r="O343" i="5"/>
  <c r="P343" i="5"/>
  <c r="Q343" i="5"/>
  <c r="R343" i="5"/>
  <c r="S343" i="5"/>
  <c r="T343" i="5"/>
  <c r="AB343" i="5"/>
  <c r="B342" i="5"/>
  <c r="E342" i="5"/>
  <c r="F342" i="5"/>
  <c r="I342" i="5"/>
  <c r="J342" i="5"/>
  <c r="K342" i="5" a="1"/>
  <c r="L342" i="5" a="1"/>
  <c r="O342" i="5"/>
  <c r="P342" i="5"/>
  <c r="Q342" i="5"/>
  <c r="R342" i="5"/>
  <c r="S342" i="5"/>
  <c r="T342" i="5"/>
  <c r="AB342" i="5"/>
  <c r="A200" i="4"/>
  <c r="E200" i="4"/>
  <c r="H200" i="4"/>
  <c r="M200" i="4"/>
  <c r="S200" i="4"/>
  <c r="W200" i="4"/>
  <c r="X200" i="4"/>
  <c r="Y200" i="4"/>
  <c r="Z200" i="4"/>
  <c r="AA342" i="5"/>
  <c r="AA200" i="4"/>
  <c r="B341" i="5"/>
  <c r="E341" i="5"/>
  <c r="F341" i="5"/>
  <c r="I341" i="5"/>
  <c r="J341" i="5"/>
  <c r="K341" i="5" a="1"/>
  <c r="L341" i="5" a="1"/>
  <c r="O341" i="5"/>
  <c r="P341" i="5"/>
  <c r="Q341" i="5"/>
  <c r="R341" i="5"/>
  <c r="S341" i="5"/>
  <c r="T341" i="5"/>
  <c r="AB341" i="5"/>
  <c r="B340" i="5"/>
  <c r="E340" i="5"/>
  <c r="F340" i="5"/>
  <c r="I340" i="5"/>
  <c r="J340" i="5"/>
  <c r="K340" i="5" a="1"/>
  <c r="L340" i="5" a="1"/>
  <c r="O340" i="5"/>
  <c r="P340" i="5"/>
  <c r="Q340" i="5"/>
  <c r="R340" i="5"/>
  <c r="S340" i="5"/>
  <c r="T340" i="5"/>
  <c r="AB340" i="5"/>
  <c r="A201" i="4"/>
  <c r="E201" i="4"/>
  <c r="H201" i="4"/>
  <c r="M201" i="4"/>
  <c r="S201" i="4"/>
  <c r="W201" i="4"/>
  <c r="X201" i="4"/>
  <c r="Y201" i="4"/>
  <c r="Z201" i="4"/>
  <c r="AA340" i="5"/>
  <c r="AA201" i="4"/>
  <c r="B339" i="5"/>
  <c r="E339" i="5"/>
  <c r="F339" i="5"/>
  <c r="I339" i="5"/>
  <c r="J339" i="5"/>
  <c r="K339" i="5" a="1"/>
  <c r="L339" i="5" a="1"/>
  <c r="O339" i="5"/>
  <c r="P339" i="5"/>
  <c r="Q339" i="5"/>
  <c r="R339" i="5"/>
  <c r="S339" i="5"/>
  <c r="T339" i="5"/>
  <c r="AB339" i="5"/>
  <c r="B338" i="5"/>
  <c r="E338" i="5"/>
  <c r="F338" i="5"/>
  <c r="I338" i="5"/>
  <c r="J338" i="5"/>
  <c r="K338" i="5" a="1"/>
  <c r="L338" i="5" a="1"/>
  <c r="O338" i="5"/>
  <c r="P338" i="5"/>
  <c r="Q338" i="5"/>
  <c r="R338" i="5"/>
  <c r="S338" i="5"/>
  <c r="T338" i="5"/>
  <c r="AB338" i="5"/>
  <c r="A202" i="4"/>
  <c r="E202" i="4"/>
  <c r="H202" i="4"/>
  <c r="M202" i="4"/>
  <c r="S202" i="4"/>
  <c r="W202" i="4"/>
  <c r="X202" i="4"/>
  <c r="Y202" i="4"/>
  <c r="Z202" i="4"/>
  <c r="AA338" i="5"/>
  <c r="AA202" i="4"/>
  <c r="B337" i="5"/>
  <c r="E337" i="5"/>
  <c r="F337" i="5"/>
  <c r="I337" i="5"/>
  <c r="J337" i="5"/>
  <c r="K337" i="5" a="1"/>
  <c r="L337" i="5" a="1"/>
  <c r="O337" i="5"/>
  <c r="P337" i="5"/>
  <c r="Q337" i="5"/>
  <c r="R337" i="5"/>
  <c r="S337" i="5"/>
  <c r="T337" i="5"/>
  <c r="AB337" i="5"/>
  <c r="B336" i="5"/>
  <c r="E336" i="5"/>
  <c r="F336" i="5"/>
  <c r="I336" i="5"/>
  <c r="J336" i="5"/>
  <c r="K336" i="5" a="1"/>
  <c r="L336" i="5" a="1"/>
  <c r="O336" i="5"/>
  <c r="P336" i="5"/>
  <c r="Q336" i="5"/>
  <c r="R336" i="5"/>
  <c r="S336" i="5"/>
  <c r="T336" i="5"/>
  <c r="AB336" i="5"/>
  <c r="A203" i="4"/>
  <c r="E203" i="4"/>
  <c r="H203" i="4"/>
  <c r="M203" i="4"/>
  <c r="S203" i="4"/>
  <c r="W203" i="4"/>
  <c r="X203" i="4"/>
  <c r="Y203" i="4"/>
  <c r="Z203" i="4"/>
  <c r="AA336" i="5"/>
  <c r="AA203" i="4"/>
  <c r="B335" i="5"/>
  <c r="E335" i="5"/>
  <c r="F335" i="5"/>
  <c r="I335" i="5"/>
  <c r="J335" i="5"/>
  <c r="K335" i="5" a="1"/>
  <c r="L335" i="5" a="1"/>
  <c r="O335" i="5"/>
  <c r="P335" i="5"/>
  <c r="Q335" i="5"/>
  <c r="R335" i="5"/>
  <c r="S335" i="5"/>
  <c r="T335" i="5"/>
  <c r="AB335" i="5"/>
  <c r="B334" i="5"/>
  <c r="E334" i="5"/>
  <c r="F334" i="5"/>
  <c r="I334" i="5"/>
  <c r="J334" i="5"/>
  <c r="K334" i="5" a="1"/>
  <c r="L334" i="5" a="1"/>
  <c r="O334" i="5"/>
  <c r="P334" i="5"/>
  <c r="Q334" i="5"/>
  <c r="R334" i="5"/>
  <c r="S334" i="5"/>
  <c r="T334" i="5"/>
  <c r="AB334" i="5"/>
  <c r="A204" i="4"/>
  <c r="E204" i="4"/>
  <c r="H204" i="4"/>
  <c r="M204" i="4"/>
  <c r="S204" i="4"/>
  <c r="W204" i="4"/>
  <c r="X204" i="4"/>
  <c r="Y204" i="4"/>
  <c r="Z204" i="4"/>
  <c r="AA334" i="5"/>
  <c r="AA204" i="4"/>
  <c r="B333" i="5"/>
  <c r="E333" i="5"/>
  <c r="F333" i="5"/>
  <c r="I333" i="5"/>
  <c r="J333" i="5"/>
  <c r="K333" i="5" a="1"/>
  <c r="L333" i="5" a="1"/>
  <c r="O333" i="5"/>
  <c r="P333" i="5"/>
  <c r="Q333" i="5"/>
  <c r="R333" i="5"/>
  <c r="S333" i="5"/>
  <c r="T333" i="5"/>
  <c r="AB333" i="5"/>
  <c r="B332" i="5"/>
  <c r="E332" i="5"/>
  <c r="F332" i="5"/>
  <c r="I332" i="5"/>
  <c r="J332" i="5"/>
  <c r="K332" i="5" a="1"/>
  <c r="L332" i="5" a="1"/>
  <c r="O332" i="5"/>
  <c r="P332" i="5"/>
  <c r="Q332" i="5"/>
  <c r="R332" i="5"/>
  <c r="S332" i="5"/>
  <c r="T332" i="5"/>
  <c r="AB332" i="5"/>
  <c r="A205" i="4"/>
  <c r="E205" i="4"/>
  <c r="H205" i="4"/>
  <c r="M205" i="4"/>
  <c r="S205" i="4"/>
  <c r="W205" i="4"/>
  <c r="X205" i="4"/>
  <c r="Y205" i="4"/>
  <c r="Z205" i="4"/>
  <c r="AA332" i="5"/>
  <c r="AA205" i="4"/>
  <c r="B331" i="5"/>
  <c r="E331" i="5"/>
  <c r="F331" i="5"/>
  <c r="I331" i="5"/>
  <c r="J331" i="5"/>
  <c r="K331" i="5" a="1"/>
  <c r="L331" i="5" a="1"/>
  <c r="O331" i="5"/>
  <c r="P331" i="5"/>
  <c r="Q331" i="5"/>
  <c r="R331" i="5"/>
  <c r="S331" i="5"/>
  <c r="T331" i="5"/>
  <c r="AB331" i="5"/>
  <c r="B330" i="5"/>
  <c r="E330" i="5"/>
  <c r="F330" i="5"/>
  <c r="I330" i="5"/>
  <c r="J330" i="5"/>
  <c r="K330" i="5" a="1"/>
  <c r="L330" i="5" a="1"/>
  <c r="O330" i="5"/>
  <c r="P330" i="5"/>
  <c r="Q330" i="5"/>
  <c r="R330" i="5"/>
  <c r="S330" i="5"/>
  <c r="T330" i="5"/>
  <c r="AB330" i="5"/>
  <c r="A206" i="4"/>
  <c r="E206" i="4"/>
  <c r="H206" i="4"/>
  <c r="M206" i="4"/>
  <c r="S206" i="4"/>
  <c r="W206" i="4"/>
  <c r="X206" i="4"/>
  <c r="Y206" i="4"/>
  <c r="Z206" i="4"/>
  <c r="AA330" i="5"/>
  <c r="AA206" i="4"/>
  <c r="B329" i="5"/>
  <c r="E329" i="5"/>
  <c r="F329" i="5"/>
  <c r="I329" i="5"/>
  <c r="J329" i="5"/>
  <c r="K329" i="5" a="1"/>
  <c r="L329" i="5" a="1"/>
  <c r="O329" i="5"/>
  <c r="P329" i="5"/>
  <c r="Q329" i="5"/>
  <c r="R329" i="5"/>
  <c r="S329" i="5"/>
  <c r="T329" i="5"/>
  <c r="AB329" i="5"/>
  <c r="B328" i="5"/>
  <c r="E328" i="5"/>
  <c r="F328" i="5"/>
  <c r="I328" i="5"/>
  <c r="J328" i="5"/>
  <c r="K328" i="5" a="1"/>
  <c r="L328" i="5" a="1"/>
  <c r="O328" i="5"/>
  <c r="P328" i="5"/>
  <c r="Q328" i="5"/>
  <c r="R328" i="5"/>
  <c r="S328" i="5"/>
  <c r="T328" i="5"/>
  <c r="AB328" i="5"/>
  <c r="A207" i="4"/>
  <c r="E207" i="4"/>
  <c r="H207" i="4"/>
  <c r="M207" i="4"/>
  <c r="S207" i="4"/>
  <c r="W207" i="4"/>
  <c r="X207" i="4"/>
  <c r="Y207" i="4"/>
  <c r="Z207" i="4"/>
  <c r="AA328" i="5"/>
  <c r="AA207" i="4"/>
  <c r="B327" i="5"/>
  <c r="E327" i="5"/>
  <c r="F327" i="5"/>
  <c r="I327" i="5"/>
  <c r="J327" i="5"/>
  <c r="K327" i="5" a="1"/>
  <c r="L327" i="5" a="1"/>
  <c r="O327" i="5"/>
  <c r="P327" i="5"/>
  <c r="Q327" i="5"/>
  <c r="R327" i="5"/>
  <c r="S327" i="5"/>
  <c r="T327" i="5"/>
  <c r="AB327" i="5"/>
  <c r="B326" i="5"/>
  <c r="E326" i="5"/>
  <c r="F326" i="5"/>
  <c r="I326" i="5"/>
  <c r="J326" i="5"/>
  <c r="K326" i="5" a="1"/>
  <c r="L326" i="5" a="1"/>
  <c r="O326" i="5"/>
  <c r="P326" i="5"/>
  <c r="Q326" i="5"/>
  <c r="R326" i="5"/>
  <c r="S326" i="5"/>
  <c r="T326" i="5"/>
  <c r="AB326" i="5"/>
  <c r="A208" i="4"/>
  <c r="E208" i="4"/>
  <c r="H208" i="4"/>
  <c r="M208" i="4"/>
  <c r="S208" i="4"/>
  <c r="W208" i="4"/>
  <c r="X208" i="4"/>
  <c r="Y208" i="4"/>
  <c r="Z208" i="4"/>
  <c r="AA326" i="5"/>
  <c r="AA208" i="4"/>
  <c r="B325" i="5"/>
  <c r="E325" i="5"/>
  <c r="F325" i="5"/>
  <c r="I325" i="5"/>
  <c r="J325" i="5"/>
  <c r="K325" i="5" a="1"/>
  <c r="L325" i="5" a="1"/>
  <c r="O325" i="5"/>
  <c r="P325" i="5"/>
  <c r="Q325" i="5"/>
  <c r="R325" i="5"/>
  <c r="S325" i="5"/>
  <c r="T325" i="5"/>
  <c r="AB325" i="5"/>
  <c r="B324" i="5"/>
  <c r="E324" i="5"/>
  <c r="F324" i="5"/>
  <c r="I324" i="5"/>
  <c r="J324" i="5"/>
  <c r="K324" i="5" a="1"/>
  <c r="L324" i="5" a="1"/>
  <c r="O324" i="5"/>
  <c r="P324" i="5"/>
  <c r="Q324" i="5"/>
  <c r="R324" i="5"/>
  <c r="S324" i="5"/>
  <c r="T324" i="5"/>
  <c r="AB324" i="5"/>
  <c r="A209" i="4"/>
  <c r="E209" i="4"/>
  <c r="H209" i="4"/>
  <c r="M209" i="4"/>
  <c r="S209" i="4"/>
  <c r="W209" i="4"/>
  <c r="X209" i="4"/>
  <c r="Y209" i="4"/>
  <c r="Z209" i="4"/>
  <c r="AA324" i="5"/>
  <c r="AA209" i="4"/>
  <c r="B323" i="5"/>
  <c r="E323" i="5"/>
  <c r="F323" i="5"/>
  <c r="I323" i="5"/>
  <c r="J323" i="5"/>
  <c r="K323" i="5" a="1"/>
  <c r="L323" i="5" a="1"/>
  <c r="O323" i="5"/>
  <c r="P323" i="5"/>
  <c r="Q323" i="5"/>
  <c r="R323" i="5"/>
  <c r="S323" i="5"/>
  <c r="T323" i="5"/>
  <c r="AB323" i="5"/>
  <c r="B322" i="5"/>
  <c r="E322" i="5"/>
  <c r="F322" i="5"/>
  <c r="I322" i="5"/>
  <c r="J322" i="5"/>
  <c r="K322" i="5" a="1"/>
  <c r="L322" i="5" a="1"/>
  <c r="O322" i="5"/>
  <c r="P322" i="5"/>
  <c r="Q322" i="5"/>
  <c r="R322" i="5"/>
  <c r="S322" i="5"/>
  <c r="T322" i="5"/>
  <c r="AB322" i="5"/>
  <c r="A210" i="4"/>
  <c r="E210" i="4"/>
  <c r="H210" i="4"/>
  <c r="M210" i="4"/>
  <c r="S210" i="4"/>
  <c r="W210" i="4"/>
  <c r="X210" i="4"/>
  <c r="Y210" i="4"/>
  <c r="Z210" i="4"/>
  <c r="AA322" i="5"/>
  <c r="AA210" i="4"/>
  <c r="B321" i="5"/>
  <c r="E321" i="5"/>
  <c r="F321" i="5"/>
  <c r="I321" i="5"/>
  <c r="J321" i="5"/>
  <c r="K321" i="5" a="1"/>
  <c r="L321" i="5" a="1"/>
  <c r="O321" i="5"/>
  <c r="P321" i="5"/>
  <c r="Q321" i="5"/>
  <c r="R321" i="5"/>
  <c r="S321" i="5"/>
  <c r="T321" i="5"/>
  <c r="AB321" i="5"/>
  <c r="B320" i="5"/>
  <c r="E320" i="5"/>
  <c r="F320" i="5"/>
  <c r="I320" i="5"/>
  <c r="J320" i="5"/>
  <c r="K320" i="5" a="1"/>
  <c r="L320" i="5" a="1"/>
  <c r="O320" i="5"/>
  <c r="P320" i="5"/>
  <c r="Q320" i="5"/>
  <c r="R320" i="5"/>
  <c r="S320" i="5"/>
  <c r="T320" i="5"/>
  <c r="AB320" i="5"/>
  <c r="A211" i="4"/>
  <c r="E211" i="4"/>
  <c r="H211" i="4"/>
  <c r="M211" i="4"/>
  <c r="S211" i="4"/>
  <c r="W211" i="4"/>
  <c r="X211" i="4"/>
  <c r="Y211" i="4"/>
  <c r="Z211" i="4"/>
  <c r="AA320" i="5"/>
  <c r="AA211" i="4"/>
  <c r="B319" i="5"/>
  <c r="E319" i="5"/>
  <c r="F319" i="5"/>
  <c r="I319" i="5"/>
  <c r="J319" i="5"/>
  <c r="K319" i="5" a="1"/>
  <c r="L319" i="5" a="1"/>
  <c r="O319" i="5"/>
  <c r="P319" i="5"/>
  <c r="Q319" i="5"/>
  <c r="R319" i="5"/>
  <c r="S319" i="5"/>
  <c r="T319" i="5"/>
  <c r="AB319" i="5"/>
  <c r="B318" i="5"/>
  <c r="E318" i="5"/>
  <c r="F318" i="5"/>
  <c r="I318" i="5"/>
  <c r="J318" i="5"/>
  <c r="K318" i="5" a="1"/>
  <c r="L318" i="5" a="1"/>
  <c r="O318" i="5"/>
  <c r="P318" i="5"/>
  <c r="Q318" i="5"/>
  <c r="R318" i="5"/>
  <c r="S318" i="5"/>
  <c r="T318" i="5"/>
  <c r="AB318" i="5"/>
  <c r="A212" i="4"/>
  <c r="E212" i="4"/>
  <c r="H212" i="4"/>
  <c r="M212" i="4"/>
  <c r="S212" i="4"/>
  <c r="W212" i="4"/>
  <c r="X212" i="4"/>
  <c r="Y212" i="4"/>
  <c r="Z212" i="4"/>
  <c r="AA318" i="5"/>
  <c r="AA212" i="4"/>
  <c r="B317" i="5"/>
  <c r="E317" i="5"/>
  <c r="F317" i="5"/>
  <c r="I317" i="5"/>
  <c r="J317" i="5"/>
  <c r="K317" i="5" a="1"/>
  <c r="L317" i="5" a="1"/>
  <c r="O317" i="5"/>
  <c r="P317" i="5"/>
  <c r="Q317" i="5"/>
  <c r="R317" i="5"/>
  <c r="S317" i="5"/>
  <c r="T317" i="5"/>
  <c r="AB317" i="5"/>
  <c r="B316" i="5"/>
  <c r="E316" i="5"/>
  <c r="F316" i="5"/>
  <c r="I316" i="5"/>
  <c r="J316" i="5"/>
  <c r="K316" i="5" a="1"/>
  <c r="L316" i="5" a="1"/>
  <c r="O316" i="5"/>
  <c r="P316" i="5"/>
  <c r="Q316" i="5"/>
  <c r="R316" i="5"/>
  <c r="S316" i="5"/>
  <c r="T316" i="5"/>
  <c r="AB316" i="5"/>
  <c r="A213" i="4"/>
  <c r="E213" i="4"/>
  <c r="H213" i="4"/>
  <c r="M213" i="4"/>
  <c r="S213" i="4"/>
  <c r="W213" i="4"/>
  <c r="X213" i="4"/>
  <c r="Y213" i="4"/>
  <c r="Z213" i="4"/>
  <c r="AA316" i="5"/>
  <c r="AA213" i="4"/>
  <c r="B315" i="5"/>
  <c r="E315" i="5"/>
  <c r="F315" i="5"/>
  <c r="I315" i="5"/>
  <c r="J315" i="5"/>
  <c r="K315" i="5" a="1"/>
  <c r="L315" i="5" a="1"/>
  <c r="O315" i="5"/>
  <c r="P315" i="5"/>
  <c r="Q315" i="5"/>
  <c r="R315" i="5"/>
  <c r="S315" i="5"/>
  <c r="T315" i="5"/>
  <c r="AB315" i="5"/>
  <c r="B314" i="5"/>
  <c r="E314" i="5"/>
  <c r="F314" i="5"/>
  <c r="I314" i="5"/>
  <c r="J314" i="5"/>
  <c r="K314" i="5" a="1"/>
  <c r="L314" i="5" a="1"/>
  <c r="O314" i="5"/>
  <c r="P314" i="5"/>
  <c r="Q314" i="5"/>
  <c r="R314" i="5"/>
  <c r="S314" i="5"/>
  <c r="T314" i="5"/>
  <c r="AB314" i="5"/>
  <c r="A214" i="4"/>
  <c r="E214" i="4"/>
  <c r="H214" i="4"/>
  <c r="M214" i="4"/>
  <c r="S214" i="4"/>
  <c r="W214" i="4"/>
  <c r="X214" i="4"/>
  <c r="Y214" i="4"/>
  <c r="Z214" i="4"/>
  <c r="AA314" i="5"/>
  <c r="AA214" i="4"/>
  <c r="B313" i="5"/>
  <c r="E313" i="5"/>
  <c r="F313" i="5"/>
  <c r="I313" i="5"/>
  <c r="J313" i="5"/>
  <c r="K313" i="5" a="1"/>
  <c r="L313" i="5" a="1"/>
  <c r="O313" i="5"/>
  <c r="P313" i="5"/>
  <c r="Q313" i="5"/>
  <c r="R313" i="5"/>
  <c r="S313" i="5"/>
  <c r="T313" i="5"/>
  <c r="AB313" i="5"/>
  <c r="B312" i="5"/>
  <c r="E312" i="5"/>
  <c r="F312" i="5"/>
  <c r="I312" i="5"/>
  <c r="J312" i="5"/>
  <c r="K312" i="5" a="1"/>
  <c r="L312" i="5" a="1"/>
  <c r="O312" i="5"/>
  <c r="P312" i="5"/>
  <c r="Q312" i="5"/>
  <c r="R312" i="5"/>
  <c r="S312" i="5"/>
  <c r="T312" i="5"/>
  <c r="AB312" i="5"/>
  <c r="A215" i="4"/>
  <c r="E215" i="4"/>
  <c r="H215" i="4"/>
  <c r="M215" i="4"/>
  <c r="S215" i="4"/>
  <c r="W215" i="4"/>
  <c r="X215" i="4"/>
  <c r="Y215" i="4"/>
  <c r="Z215" i="4"/>
  <c r="AA312" i="5"/>
  <c r="AA215" i="4"/>
  <c r="B311" i="5"/>
  <c r="E311" i="5"/>
  <c r="F311" i="5"/>
  <c r="I311" i="5"/>
  <c r="J311" i="5"/>
  <c r="K311" i="5" a="1"/>
  <c r="L311" i="5" a="1"/>
  <c r="O311" i="5"/>
  <c r="P311" i="5"/>
  <c r="Q311" i="5"/>
  <c r="R311" i="5"/>
  <c r="S311" i="5"/>
  <c r="T311" i="5"/>
  <c r="AB311" i="5"/>
  <c r="B310" i="5"/>
  <c r="E310" i="5"/>
  <c r="F310" i="5"/>
  <c r="I310" i="5"/>
  <c r="J310" i="5"/>
  <c r="K310" i="5" a="1"/>
  <c r="L310" i="5" a="1"/>
  <c r="O310" i="5"/>
  <c r="P310" i="5"/>
  <c r="Q310" i="5"/>
  <c r="R310" i="5"/>
  <c r="S310" i="5"/>
  <c r="T310" i="5"/>
  <c r="AB310" i="5"/>
  <c r="A216" i="4"/>
  <c r="E216" i="4"/>
  <c r="H216" i="4"/>
  <c r="M216" i="4"/>
  <c r="S216" i="4"/>
  <c r="W216" i="4"/>
  <c r="X216" i="4"/>
  <c r="Y216" i="4"/>
  <c r="Z216" i="4"/>
  <c r="AA310" i="5"/>
  <c r="AA216" i="4"/>
  <c r="B309" i="5"/>
  <c r="E309" i="5"/>
  <c r="F309" i="5"/>
  <c r="I309" i="5"/>
  <c r="J309" i="5"/>
  <c r="K309" i="5" a="1"/>
  <c r="L309" i="5" a="1"/>
  <c r="O309" i="5"/>
  <c r="P309" i="5"/>
  <c r="Q309" i="5"/>
  <c r="R309" i="5"/>
  <c r="S309" i="5"/>
  <c r="T309" i="5"/>
  <c r="AB309" i="5"/>
  <c r="B308" i="5"/>
  <c r="E308" i="5"/>
  <c r="F308" i="5"/>
  <c r="I308" i="5"/>
  <c r="J308" i="5"/>
  <c r="K308" i="5" a="1"/>
  <c r="L308" i="5" a="1"/>
  <c r="O308" i="5"/>
  <c r="P308" i="5"/>
  <c r="Q308" i="5"/>
  <c r="R308" i="5"/>
  <c r="S308" i="5"/>
  <c r="T308" i="5"/>
  <c r="AB308" i="5"/>
  <c r="A217" i="4"/>
  <c r="E217" i="4"/>
  <c r="H217" i="4"/>
  <c r="M217" i="4"/>
  <c r="S217" i="4"/>
  <c r="W217" i="4"/>
  <c r="X217" i="4"/>
  <c r="Y217" i="4"/>
  <c r="Z217" i="4"/>
  <c r="AA308" i="5"/>
  <c r="AA217" i="4"/>
  <c r="B307" i="5"/>
  <c r="E307" i="5"/>
  <c r="F307" i="5"/>
  <c r="I307" i="5"/>
  <c r="J307" i="5"/>
  <c r="K307" i="5" a="1"/>
  <c r="L307" i="5" a="1"/>
  <c r="O307" i="5"/>
  <c r="P307" i="5"/>
  <c r="Q307" i="5"/>
  <c r="R307" i="5"/>
  <c r="S307" i="5"/>
  <c r="T307" i="5"/>
  <c r="AB307" i="5"/>
  <c r="B306" i="5"/>
  <c r="E306" i="5"/>
  <c r="F306" i="5"/>
  <c r="I306" i="5"/>
  <c r="J306" i="5"/>
  <c r="K306" i="5" a="1"/>
  <c r="L306" i="5" a="1"/>
  <c r="O306" i="5"/>
  <c r="P306" i="5"/>
  <c r="Q306" i="5"/>
  <c r="R306" i="5"/>
  <c r="S306" i="5"/>
  <c r="T306" i="5"/>
  <c r="AB306" i="5"/>
  <c r="A218" i="4"/>
  <c r="E218" i="4"/>
  <c r="H218" i="4"/>
  <c r="M218" i="4"/>
  <c r="S218" i="4"/>
  <c r="W218" i="4"/>
  <c r="X218" i="4"/>
  <c r="Y218" i="4"/>
  <c r="Z218" i="4"/>
  <c r="AA306" i="5"/>
  <c r="AA218" i="4"/>
  <c r="B305" i="5"/>
  <c r="E305" i="5"/>
  <c r="F305" i="5"/>
  <c r="I305" i="5"/>
  <c r="J305" i="5"/>
  <c r="K305" i="5" a="1"/>
  <c r="L305" i="5" a="1"/>
  <c r="O305" i="5"/>
  <c r="P305" i="5"/>
  <c r="Q305" i="5"/>
  <c r="R305" i="5"/>
  <c r="S305" i="5"/>
  <c r="T305" i="5"/>
  <c r="AB305" i="5"/>
  <c r="B304" i="5"/>
  <c r="E304" i="5"/>
  <c r="F304" i="5"/>
  <c r="I304" i="5"/>
  <c r="J304" i="5"/>
  <c r="K304" i="5" a="1"/>
  <c r="L304" i="5" a="1"/>
  <c r="O304" i="5"/>
  <c r="P304" i="5"/>
  <c r="Q304" i="5"/>
  <c r="R304" i="5"/>
  <c r="S304" i="5"/>
  <c r="T304" i="5"/>
  <c r="AB304" i="5"/>
  <c r="A219" i="4"/>
  <c r="E219" i="4"/>
  <c r="H219" i="4"/>
  <c r="M219" i="4"/>
  <c r="S219" i="4"/>
  <c r="W219" i="4"/>
  <c r="X219" i="4"/>
  <c r="Y219" i="4"/>
  <c r="Z219" i="4"/>
  <c r="AA304" i="5"/>
  <c r="AA219" i="4"/>
  <c r="B303" i="5"/>
  <c r="E303" i="5"/>
  <c r="F303" i="5"/>
  <c r="I303" i="5"/>
  <c r="J303" i="5"/>
  <c r="K303" i="5" a="1"/>
  <c r="L303" i="5" a="1"/>
  <c r="O303" i="5"/>
  <c r="P303" i="5"/>
  <c r="Q303" i="5"/>
  <c r="R303" i="5"/>
  <c r="S303" i="5"/>
  <c r="T303" i="5"/>
  <c r="AB303" i="5"/>
  <c r="B302" i="5"/>
  <c r="E302" i="5"/>
  <c r="F302" i="5"/>
  <c r="I302" i="5"/>
  <c r="J302" i="5"/>
  <c r="K302" i="5" a="1"/>
  <c r="L302" i="5" a="1"/>
  <c r="O302" i="5"/>
  <c r="P302" i="5"/>
  <c r="Q302" i="5"/>
  <c r="R302" i="5"/>
  <c r="S302" i="5"/>
  <c r="T302" i="5"/>
  <c r="AB302" i="5"/>
  <c r="A220" i="4"/>
  <c r="E220" i="4"/>
  <c r="H220" i="4"/>
  <c r="M220" i="4"/>
  <c r="S220" i="4"/>
  <c r="W220" i="4"/>
  <c r="X220" i="4"/>
  <c r="Y220" i="4"/>
  <c r="Z220" i="4"/>
  <c r="AA302" i="5"/>
  <c r="AA220" i="4"/>
  <c r="B301" i="5"/>
  <c r="E301" i="5"/>
  <c r="F301" i="5"/>
  <c r="I301" i="5"/>
  <c r="J301" i="5"/>
  <c r="K301" i="5" a="1"/>
  <c r="L301" i="5" a="1"/>
  <c r="O301" i="5"/>
  <c r="P301" i="5"/>
  <c r="Q301" i="5"/>
  <c r="R301" i="5"/>
  <c r="S301" i="5"/>
  <c r="T301" i="5"/>
  <c r="AB301" i="5"/>
  <c r="B300" i="5"/>
  <c r="E300" i="5"/>
  <c r="F300" i="5"/>
  <c r="I300" i="5"/>
  <c r="J300" i="5"/>
  <c r="K300" i="5" a="1"/>
  <c r="L300" i="5" a="1"/>
  <c r="O300" i="5"/>
  <c r="P300" i="5"/>
  <c r="Q300" i="5"/>
  <c r="R300" i="5"/>
  <c r="S300" i="5"/>
  <c r="T300" i="5"/>
  <c r="AB300" i="5"/>
  <c r="A221" i="4"/>
  <c r="E221" i="4"/>
  <c r="H221" i="4"/>
  <c r="M221" i="4"/>
  <c r="S221" i="4"/>
  <c r="W221" i="4"/>
  <c r="X221" i="4"/>
  <c r="Y221" i="4"/>
  <c r="Z221" i="4"/>
  <c r="AA300" i="5"/>
  <c r="AA221" i="4"/>
  <c r="B299" i="5"/>
  <c r="E299" i="5"/>
  <c r="F299" i="5"/>
  <c r="I299" i="5"/>
  <c r="J299" i="5"/>
  <c r="K299" i="5" a="1"/>
  <c r="L299" i="5" a="1"/>
  <c r="O299" i="5"/>
  <c r="P299" i="5"/>
  <c r="Q299" i="5"/>
  <c r="R299" i="5"/>
  <c r="S299" i="5"/>
  <c r="T299" i="5"/>
  <c r="AB299" i="5"/>
  <c r="B298" i="5"/>
  <c r="E298" i="5"/>
  <c r="F298" i="5"/>
  <c r="I298" i="5"/>
  <c r="J298" i="5"/>
  <c r="K298" i="5" a="1"/>
  <c r="L298" i="5" a="1"/>
  <c r="N298" i="5"/>
  <c r="O298" i="5"/>
  <c r="P298" i="5"/>
  <c r="Q298" i="5"/>
  <c r="R298" i="5"/>
  <c r="S298" i="5"/>
  <c r="T298" i="5"/>
  <c r="AB298" i="5"/>
  <c r="A222" i="4"/>
  <c r="E222" i="4"/>
  <c r="H222" i="4"/>
  <c r="M222" i="4"/>
  <c r="S222" i="4"/>
  <c r="W222" i="4"/>
  <c r="X222" i="4"/>
  <c r="Y222" i="4"/>
  <c r="Z222" i="4"/>
  <c r="AA298" i="5"/>
  <c r="AA222" i="4"/>
  <c r="B297" i="5"/>
  <c r="E297" i="5"/>
  <c r="F297" i="5"/>
  <c r="I297" i="5"/>
  <c r="J297" i="5"/>
  <c r="K297" i="5" a="1"/>
  <c r="L297" i="5" a="1"/>
  <c r="O297" i="5"/>
  <c r="P297" i="5"/>
  <c r="Q297" i="5"/>
  <c r="R297" i="5"/>
  <c r="S297" i="5"/>
  <c r="T297" i="5"/>
  <c r="AB297" i="5"/>
  <c r="B296" i="5"/>
  <c r="E296" i="5"/>
  <c r="F296" i="5"/>
  <c r="I296" i="5"/>
  <c r="J296" i="5"/>
  <c r="K296" i="5" a="1"/>
  <c r="L296" i="5" a="1"/>
  <c r="O296" i="5"/>
  <c r="P296" i="5"/>
  <c r="Q296" i="5"/>
  <c r="R296" i="5"/>
  <c r="S296" i="5"/>
  <c r="T296" i="5"/>
  <c r="AB296" i="5"/>
  <c r="A223" i="4"/>
  <c r="E223" i="4"/>
  <c r="H223" i="4"/>
  <c r="M223" i="4"/>
  <c r="S223" i="4"/>
  <c r="W223" i="4"/>
  <c r="X223" i="4"/>
  <c r="Y223" i="4"/>
  <c r="Z223" i="4"/>
  <c r="AA296" i="5"/>
  <c r="AA223" i="4"/>
  <c r="B295" i="5"/>
  <c r="E295" i="5"/>
  <c r="F295" i="5"/>
  <c r="I295" i="5"/>
  <c r="J295" i="5"/>
  <c r="K295" i="5" a="1"/>
  <c r="L295" i="5" a="1"/>
  <c r="O295" i="5"/>
  <c r="P295" i="5"/>
  <c r="Q295" i="5"/>
  <c r="R295" i="5"/>
  <c r="S295" i="5"/>
  <c r="T295" i="5"/>
  <c r="AB295" i="5"/>
  <c r="B294" i="5"/>
  <c r="E294" i="5"/>
  <c r="F294" i="5"/>
  <c r="I294" i="5"/>
  <c r="J294" i="5"/>
  <c r="K294" i="5" a="1"/>
  <c r="L294" i="5" a="1"/>
  <c r="O294" i="5"/>
  <c r="P294" i="5"/>
  <c r="Q294" i="5"/>
  <c r="R294" i="5"/>
  <c r="S294" i="5"/>
  <c r="T294" i="5"/>
  <c r="AB294" i="5"/>
  <c r="A224" i="4"/>
  <c r="E224" i="4"/>
  <c r="H224" i="4"/>
  <c r="M224" i="4"/>
  <c r="S224" i="4"/>
  <c r="W224" i="4"/>
  <c r="X224" i="4"/>
  <c r="Y224" i="4"/>
  <c r="Z224" i="4"/>
  <c r="AA294" i="5"/>
  <c r="AA224" i="4"/>
  <c r="B293" i="5"/>
  <c r="E293" i="5"/>
  <c r="F293" i="5"/>
  <c r="I293" i="5"/>
  <c r="J293" i="5"/>
  <c r="K293" i="5" a="1"/>
  <c r="L293" i="5" a="1"/>
  <c r="O293" i="5"/>
  <c r="P293" i="5"/>
  <c r="Q293" i="5"/>
  <c r="R293" i="5"/>
  <c r="S293" i="5"/>
  <c r="T293" i="5"/>
  <c r="AB293" i="5"/>
  <c r="B292" i="5"/>
  <c r="E292" i="5"/>
  <c r="F292" i="5"/>
  <c r="I292" i="5"/>
  <c r="J292" i="5"/>
  <c r="K292" i="5" a="1"/>
  <c r="L292" i="5" a="1"/>
  <c r="O292" i="5"/>
  <c r="P292" i="5"/>
  <c r="Q292" i="5"/>
  <c r="R292" i="5"/>
  <c r="S292" i="5"/>
  <c r="T292" i="5"/>
  <c r="AB292" i="5"/>
  <c r="A225" i="4"/>
  <c r="E225" i="4"/>
  <c r="H225" i="4"/>
  <c r="M225" i="4"/>
  <c r="S225" i="4"/>
  <c r="W225" i="4"/>
  <c r="X225" i="4"/>
  <c r="Y225" i="4"/>
  <c r="Z225" i="4"/>
  <c r="AA292" i="5"/>
  <c r="AA225" i="4"/>
  <c r="B291" i="5"/>
  <c r="E291" i="5"/>
  <c r="F291" i="5"/>
  <c r="I291" i="5"/>
  <c r="J291" i="5"/>
  <c r="K291" i="5" a="1"/>
  <c r="L291" i="5" a="1"/>
  <c r="O291" i="5"/>
  <c r="P291" i="5"/>
  <c r="Q291" i="5"/>
  <c r="R291" i="5"/>
  <c r="S291" i="5"/>
  <c r="T291" i="5"/>
  <c r="AB291" i="5"/>
  <c r="B290" i="5"/>
  <c r="E290" i="5"/>
  <c r="F290" i="5"/>
  <c r="I290" i="5"/>
  <c r="J290" i="5"/>
  <c r="K290" i="5" a="1"/>
  <c r="L290" i="5" a="1"/>
  <c r="O290" i="5"/>
  <c r="P290" i="5"/>
  <c r="Q290" i="5"/>
  <c r="R290" i="5"/>
  <c r="S290" i="5"/>
  <c r="T290" i="5"/>
  <c r="AB290" i="5"/>
  <c r="A226" i="4"/>
  <c r="E226" i="4"/>
  <c r="H226" i="4"/>
  <c r="M226" i="4"/>
  <c r="S226" i="4"/>
  <c r="W226" i="4"/>
  <c r="X226" i="4"/>
  <c r="Y226" i="4"/>
  <c r="Z226" i="4"/>
  <c r="AA290" i="5"/>
  <c r="AA226" i="4"/>
  <c r="B289" i="5"/>
  <c r="E289" i="5"/>
  <c r="F289" i="5"/>
  <c r="I289" i="5"/>
  <c r="J289" i="5"/>
  <c r="K289" i="5" a="1"/>
  <c r="L289" i="5" a="1"/>
  <c r="O289" i="5"/>
  <c r="P289" i="5"/>
  <c r="Q289" i="5"/>
  <c r="R289" i="5"/>
  <c r="S289" i="5"/>
  <c r="T289" i="5"/>
  <c r="AB289" i="5"/>
  <c r="B288" i="5"/>
  <c r="E288" i="5"/>
  <c r="F288" i="5"/>
  <c r="I288" i="5"/>
  <c r="J288" i="5"/>
  <c r="K288" i="5" a="1"/>
  <c r="L288" i="5" a="1"/>
  <c r="O288" i="5"/>
  <c r="P288" i="5"/>
  <c r="Q288" i="5"/>
  <c r="R288" i="5"/>
  <c r="S288" i="5"/>
  <c r="T288" i="5"/>
  <c r="AB288" i="5"/>
  <c r="A227" i="4"/>
  <c r="E227" i="4"/>
  <c r="H227" i="4"/>
  <c r="M227" i="4"/>
  <c r="S227" i="4"/>
  <c r="W227" i="4"/>
  <c r="X227" i="4"/>
  <c r="Y227" i="4"/>
  <c r="Z227" i="4"/>
  <c r="AA288" i="5"/>
  <c r="AA227" i="4"/>
  <c r="B287" i="5"/>
  <c r="E287" i="5"/>
  <c r="F287" i="5"/>
  <c r="I287" i="5"/>
  <c r="J287" i="5"/>
  <c r="K287" i="5" a="1"/>
  <c r="L287" i="5" a="1"/>
  <c r="O287" i="5"/>
  <c r="P287" i="5"/>
  <c r="Q287" i="5"/>
  <c r="R287" i="5"/>
  <c r="S287" i="5"/>
  <c r="T287" i="5"/>
  <c r="AB287" i="5"/>
  <c r="B286" i="5"/>
  <c r="E286" i="5"/>
  <c r="F286" i="5"/>
  <c r="I286" i="5"/>
  <c r="J286" i="5"/>
  <c r="K286" i="5" a="1"/>
  <c r="L286" i="5" a="1"/>
  <c r="O286" i="5"/>
  <c r="P286" i="5"/>
  <c r="Q286" i="5"/>
  <c r="R286" i="5"/>
  <c r="S286" i="5"/>
  <c r="T286" i="5"/>
  <c r="AB286" i="5"/>
  <c r="A228" i="4"/>
  <c r="E228" i="4"/>
  <c r="H228" i="4"/>
  <c r="M228" i="4"/>
  <c r="S228" i="4"/>
  <c r="W228" i="4"/>
  <c r="X228" i="4"/>
  <c r="Y228" i="4"/>
  <c r="Z228" i="4"/>
  <c r="AA286" i="5"/>
  <c r="AA228" i="4"/>
  <c r="B285" i="5"/>
  <c r="E285" i="5"/>
  <c r="F285" i="5"/>
  <c r="I285" i="5"/>
  <c r="J285" i="5"/>
  <c r="K285" i="5" a="1"/>
  <c r="L285" i="5" a="1"/>
  <c r="O285" i="5"/>
  <c r="P285" i="5"/>
  <c r="Q285" i="5"/>
  <c r="R285" i="5"/>
  <c r="S285" i="5"/>
  <c r="T285" i="5"/>
  <c r="AB285" i="5"/>
  <c r="B284" i="5"/>
  <c r="E284" i="5"/>
  <c r="F284" i="5"/>
  <c r="I284" i="5"/>
  <c r="J284" i="5"/>
  <c r="K284" i="5" a="1"/>
  <c r="L284" i="5" a="1"/>
  <c r="O284" i="5"/>
  <c r="P284" i="5"/>
  <c r="Q284" i="5"/>
  <c r="R284" i="5"/>
  <c r="S284" i="5"/>
  <c r="T284" i="5"/>
  <c r="AB284" i="5"/>
  <c r="A229" i="4"/>
  <c r="E229" i="4"/>
  <c r="H229" i="4"/>
  <c r="M229" i="4"/>
  <c r="S229" i="4"/>
  <c r="W229" i="4"/>
  <c r="X229" i="4"/>
  <c r="Y229" i="4"/>
  <c r="Z229" i="4"/>
  <c r="AA284" i="5"/>
  <c r="AA229" i="4"/>
  <c r="B283" i="5"/>
  <c r="E283" i="5"/>
  <c r="F283" i="5"/>
  <c r="I283" i="5"/>
  <c r="J283" i="5"/>
  <c r="K283" i="5" a="1"/>
  <c r="L283" i="5" a="1"/>
  <c r="O283" i="5"/>
  <c r="P283" i="5"/>
  <c r="Q283" i="5"/>
  <c r="R283" i="5"/>
  <c r="S283" i="5"/>
  <c r="T283" i="5"/>
  <c r="AB283" i="5"/>
  <c r="B282" i="5"/>
  <c r="E282" i="5"/>
  <c r="F282" i="5"/>
  <c r="I282" i="5"/>
  <c r="J282" i="5"/>
  <c r="K282" i="5" a="1"/>
  <c r="L282" i="5" a="1"/>
  <c r="O282" i="5"/>
  <c r="P282" i="5"/>
  <c r="Q282" i="5"/>
  <c r="R282" i="5"/>
  <c r="S282" i="5"/>
  <c r="T282" i="5"/>
  <c r="AB282" i="5"/>
  <c r="A230" i="4"/>
  <c r="E230" i="4"/>
  <c r="H230" i="4"/>
  <c r="M230" i="4"/>
  <c r="S230" i="4"/>
  <c r="W230" i="4"/>
  <c r="X230" i="4"/>
  <c r="Y230" i="4"/>
  <c r="Z230" i="4"/>
  <c r="AA282" i="5"/>
  <c r="AA230" i="4"/>
  <c r="B281" i="5"/>
  <c r="E281" i="5"/>
  <c r="F281" i="5"/>
  <c r="I281" i="5"/>
  <c r="J281" i="5"/>
  <c r="K281" i="5" a="1"/>
  <c r="L281" i="5" a="1"/>
  <c r="O281" i="5"/>
  <c r="P281" i="5"/>
  <c r="Q281" i="5"/>
  <c r="R281" i="5"/>
  <c r="S281" i="5"/>
  <c r="T281" i="5"/>
  <c r="AB281" i="5"/>
  <c r="B280" i="5"/>
  <c r="E280" i="5"/>
  <c r="F280" i="5"/>
  <c r="I280" i="5"/>
  <c r="J280" i="5"/>
  <c r="K280" i="5" a="1"/>
  <c r="L280" i="5" a="1"/>
  <c r="O280" i="5"/>
  <c r="P280" i="5"/>
  <c r="Q280" i="5"/>
  <c r="R280" i="5"/>
  <c r="S280" i="5"/>
  <c r="T280" i="5"/>
  <c r="AB280" i="5"/>
  <c r="A231" i="4"/>
  <c r="E231" i="4"/>
  <c r="H231" i="4"/>
  <c r="M231" i="4"/>
  <c r="S231" i="4"/>
  <c r="W231" i="4"/>
  <c r="X231" i="4"/>
  <c r="Y231" i="4"/>
  <c r="Z231" i="4"/>
  <c r="H281" i="5"/>
  <c r="AA231" i="4"/>
  <c r="B279" i="5"/>
  <c r="E279" i="5"/>
  <c r="F279" i="5"/>
  <c r="I279" i="5"/>
  <c r="J279" i="5"/>
  <c r="K279" i="5" a="1"/>
  <c r="L279" i="5" a="1"/>
  <c r="O279" i="5"/>
  <c r="P279" i="5"/>
  <c r="Q279" i="5"/>
  <c r="R279" i="5"/>
  <c r="S279" i="5"/>
  <c r="T279" i="5"/>
  <c r="AB279" i="5"/>
  <c r="B278" i="5"/>
  <c r="E278" i="5"/>
  <c r="F278" i="5"/>
  <c r="I278" i="5"/>
  <c r="J278" i="5"/>
  <c r="K278" i="5" a="1"/>
  <c r="L278" i="5" a="1"/>
  <c r="O278" i="5"/>
  <c r="P278" i="5"/>
  <c r="Q278" i="5"/>
  <c r="R278" i="5"/>
  <c r="S278" i="5"/>
  <c r="T278" i="5"/>
  <c r="AB278" i="5"/>
  <c r="A232" i="4"/>
  <c r="E232" i="4"/>
  <c r="H232" i="4"/>
  <c r="M232" i="4"/>
  <c r="S232" i="4"/>
  <c r="W232" i="4"/>
  <c r="X232" i="4"/>
  <c r="Y232" i="4"/>
  <c r="Z232" i="4"/>
  <c r="AA278" i="5"/>
  <c r="AA232" i="4"/>
  <c r="B277" i="5"/>
  <c r="E277" i="5"/>
  <c r="F277" i="5"/>
  <c r="I277" i="5"/>
  <c r="J277" i="5"/>
  <c r="K277" i="5" a="1"/>
  <c r="L277" i="5" a="1"/>
  <c r="O277" i="5"/>
  <c r="P277" i="5"/>
  <c r="Q277" i="5"/>
  <c r="R277" i="5"/>
  <c r="S277" i="5"/>
  <c r="T277" i="5"/>
  <c r="AB277" i="5"/>
  <c r="B276" i="5"/>
  <c r="E276" i="5"/>
  <c r="F276" i="5"/>
  <c r="I276" i="5"/>
  <c r="J276" i="5"/>
  <c r="K276" i="5" a="1"/>
  <c r="L276" i="5" a="1"/>
  <c r="O276" i="5"/>
  <c r="P276" i="5"/>
  <c r="Q276" i="5"/>
  <c r="R276" i="5"/>
  <c r="S276" i="5"/>
  <c r="T276" i="5"/>
  <c r="AB276" i="5"/>
  <c r="A233" i="4"/>
  <c r="E233" i="4"/>
  <c r="H233" i="4"/>
  <c r="M233" i="4"/>
  <c r="S233" i="4"/>
  <c r="W233" i="4"/>
  <c r="X233" i="4"/>
  <c r="Y233" i="4"/>
  <c r="Z233" i="4"/>
  <c r="AA276" i="5"/>
  <c r="AA233" i="4"/>
  <c r="B275" i="5"/>
  <c r="E275" i="5"/>
  <c r="F275" i="5"/>
  <c r="I275" i="5"/>
  <c r="J275" i="5"/>
  <c r="K275" i="5" a="1"/>
  <c r="L275" i="5" a="1"/>
  <c r="O275" i="5"/>
  <c r="P275" i="5"/>
  <c r="Q275" i="5"/>
  <c r="R275" i="5"/>
  <c r="S275" i="5"/>
  <c r="T275" i="5"/>
  <c r="AB275" i="5"/>
  <c r="B274" i="5"/>
  <c r="E274" i="5"/>
  <c r="F274" i="5"/>
  <c r="I274" i="5"/>
  <c r="J274" i="5"/>
  <c r="K274" i="5" a="1"/>
  <c r="L274" i="5" a="1"/>
  <c r="O274" i="5"/>
  <c r="P274" i="5"/>
  <c r="Q274" i="5"/>
  <c r="R274" i="5"/>
  <c r="S274" i="5"/>
  <c r="T274" i="5"/>
  <c r="AB274" i="5"/>
  <c r="A234" i="4"/>
  <c r="E234" i="4"/>
  <c r="H234" i="4"/>
  <c r="M234" i="4"/>
  <c r="S234" i="4"/>
  <c r="W234" i="4"/>
  <c r="X234" i="4"/>
  <c r="Y234" i="4"/>
  <c r="Z234" i="4"/>
  <c r="AA274" i="5"/>
  <c r="AA234" i="4"/>
  <c r="B273" i="5"/>
  <c r="E273" i="5"/>
  <c r="F273" i="5"/>
  <c r="I273" i="5"/>
  <c r="J273" i="5"/>
  <c r="K273" i="5" a="1"/>
  <c r="L273" i="5" a="1"/>
  <c r="O273" i="5"/>
  <c r="P273" i="5"/>
  <c r="Q273" i="5"/>
  <c r="R273" i="5"/>
  <c r="S273" i="5"/>
  <c r="T273" i="5"/>
  <c r="AB273" i="5"/>
  <c r="B272" i="5"/>
  <c r="E272" i="5"/>
  <c r="F272" i="5"/>
  <c r="I272" i="5"/>
  <c r="J272" i="5"/>
  <c r="K272" i="5" a="1"/>
  <c r="L272" i="5" a="1"/>
  <c r="O272" i="5"/>
  <c r="P272" i="5"/>
  <c r="Q272" i="5"/>
  <c r="R272" i="5"/>
  <c r="S272" i="5"/>
  <c r="T272" i="5"/>
  <c r="AB272" i="5"/>
  <c r="A235" i="4"/>
  <c r="E235" i="4"/>
  <c r="H235" i="4"/>
  <c r="M235" i="4"/>
  <c r="S235" i="4"/>
  <c r="W235" i="4"/>
  <c r="X235" i="4"/>
  <c r="Y235" i="4"/>
  <c r="Z235" i="4"/>
  <c r="AA272" i="5"/>
  <c r="AA235" i="4"/>
  <c r="B271" i="5"/>
  <c r="E271" i="5"/>
  <c r="F271" i="5"/>
  <c r="I271" i="5"/>
  <c r="J271" i="5"/>
  <c r="K271" i="5" a="1"/>
  <c r="L271" i="5" a="1"/>
  <c r="O271" i="5"/>
  <c r="P271" i="5"/>
  <c r="Q271" i="5"/>
  <c r="R271" i="5"/>
  <c r="S271" i="5"/>
  <c r="T271" i="5"/>
  <c r="AB271" i="5"/>
  <c r="B270" i="5"/>
  <c r="E270" i="5"/>
  <c r="F270" i="5"/>
  <c r="I270" i="5"/>
  <c r="J270" i="5"/>
  <c r="K270" i="5" a="1"/>
  <c r="L270" i="5" a="1"/>
  <c r="O270" i="5"/>
  <c r="P270" i="5"/>
  <c r="Q270" i="5"/>
  <c r="R270" i="5"/>
  <c r="S270" i="5"/>
  <c r="T270" i="5"/>
  <c r="AB270" i="5"/>
  <c r="A236" i="4"/>
  <c r="E236" i="4"/>
  <c r="H236" i="4"/>
  <c r="M236" i="4"/>
  <c r="S236" i="4"/>
  <c r="W236" i="4"/>
  <c r="X236" i="4"/>
  <c r="Y236" i="4"/>
  <c r="Z236" i="4"/>
  <c r="AA270" i="5"/>
  <c r="AA236" i="4"/>
  <c r="B269" i="5"/>
  <c r="E269" i="5"/>
  <c r="F269" i="5"/>
  <c r="I269" i="5"/>
  <c r="J269" i="5"/>
  <c r="K269" i="5" a="1"/>
  <c r="L269" i="5" a="1"/>
  <c r="O269" i="5"/>
  <c r="P269" i="5"/>
  <c r="Q269" i="5"/>
  <c r="R269" i="5"/>
  <c r="S269" i="5"/>
  <c r="T269" i="5"/>
  <c r="AB269" i="5"/>
  <c r="B268" i="5"/>
  <c r="E268" i="5"/>
  <c r="F268" i="5"/>
  <c r="I268" i="5"/>
  <c r="J268" i="5"/>
  <c r="K268" i="5" a="1"/>
  <c r="L268" i="5" a="1"/>
  <c r="O268" i="5"/>
  <c r="P268" i="5"/>
  <c r="Q268" i="5"/>
  <c r="R268" i="5"/>
  <c r="S268" i="5"/>
  <c r="T268" i="5"/>
  <c r="AB268" i="5"/>
  <c r="A237" i="4"/>
  <c r="E237" i="4"/>
  <c r="H237" i="4"/>
  <c r="M237" i="4"/>
  <c r="S237" i="4"/>
  <c r="W237" i="4"/>
  <c r="X237" i="4"/>
  <c r="Y237" i="4"/>
  <c r="Z237" i="4"/>
  <c r="AA268" i="5"/>
  <c r="AA237" i="4"/>
  <c r="B267" i="5"/>
  <c r="E267" i="5"/>
  <c r="F267" i="5"/>
  <c r="I267" i="5"/>
  <c r="J267" i="5"/>
  <c r="K267" i="5" a="1"/>
  <c r="L267" i="5" a="1"/>
  <c r="O267" i="5"/>
  <c r="P267" i="5"/>
  <c r="Q267" i="5"/>
  <c r="R267" i="5"/>
  <c r="S267" i="5"/>
  <c r="T267" i="5"/>
  <c r="AB267" i="5"/>
  <c r="B266" i="5"/>
  <c r="E266" i="5"/>
  <c r="F266" i="5"/>
  <c r="I266" i="5"/>
  <c r="J266" i="5"/>
  <c r="K266" i="5" a="1"/>
  <c r="L266" i="5" a="1"/>
  <c r="O266" i="5"/>
  <c r="P266" i="5"/>
  <c r="Q266" i="5"/>
  <c r="R266" i="5"/>
  <c r="S266" i="5"/>
  <c r="T266" i="5"/>
  <c r="AB266" i="5"/>
  <c r="A238" i="4"/>
  <c r="E238" i="4"/>
  <c r="H238" i="4"/>
  <c r="M238" i="4"/>
  <c r="S238" i="4"/>
  <c r="W238" i="4"/>
  <c r="X238" i="4"/>
  <c r="Y238" i="4"/>
  <c r="Z238" i="4"/>
  <c r="AA266" i="5"/>
  <c r="AA238" i="4"/>
  <c r="B265" i="5"/>
  <c r="E265" i="5"/>
  <c r="F265" i="5"/>
  <c r="I265" i="5"/>
  <c r="J265" i="5"/>
  <c r="K265" i="5" a="1"/>
  <c r="L265" i="5" a="1"/>
  <c r="O265" i="5"/>
  <c r="P265" i="5"/>
  <c r="Q265" i="5"/>
  <c r="R265" i="5"/>
  <c r="S265" i="5"/>
  <c r="T265" i="5"/>
  <c r="AB265" i="5"/>
  <c r="B264" i="5"/>
  <c r="E264" i="5"/>
  <c r="F264" i="5"/>
  <c r="I264" i="5"/>
  <c r="J264" i="5"/>
  <c r="K264" i="5" a="1"/>
  <c r="L264" i="5" a="1"/>
  <c r="O264" i="5"/>
  <c r="P264" i="5"/>
  <c r="Q264" i="5"/>
  <c r="R264" i="5"/>
  <c r="S264" i="5"/>
  <c r="T264" i="5"/>
  <c r="AB264" i="5"/>
  <c r="A239" i="4"/>
  <c r="E239" i="4"/>
  <c r="H239" i="4"/>
  <c r="M239" i="4"/>
  <c r="S239" i="4"/>
  <c r="W239" i="4"/>
  <c r="X239" i="4"/>
  <c r="Y239" i="4"/>
  <c r="Z239" i="4"/>
  <c r="AA264" i="5"/>
  <c r="AA239" i="4"/>
  <c r="B263" i="5"/>
  <c r="E263" i="5"/>
  <c r="F263" i="5"/>
  <c r="I263" i="5"/>
  <c r="J263" i="5"/>
  <c r="K263" i="5" a="1"/>
  <c r="L263" i="5" a="1"/>
  <c r="O263" i="5"/>
  <c r="P263" i="5"/>
  <c r="Q263" i="5"/>
  <c r="R263" i="5"/>
  <c r="S263" i="5"/>
  <c r="T263" i="5"/>
  <c r="AB263" i="5"/>
  <c r="B262" i="5"/>
  <c r="E262" i="5"/>
  <c r="F262" i="5"/>
  <c r="I262" i="5"/>
  <c r="J262" i="5"/>
  <c r="K262" i="5" a="1"/>
  <c r="L262" i="5" a="1"/>
  <c r="O262" i="5"/>
  <c r="P262" i="5"/>
  <c r="Q262" i="5"/>
  <c r="R262" i="5"/>
  <c r="S262" i="5"/>
  <c r="T262" i="5"/>
  <c r="AB262" i="5"/>
  <c r="A240" i="4"/>
  <c r="E240" i="4"/>
  <c r="H240" i="4"/>
  <c r="M240" i="4"/>
  <c r="S240" i="4"/>
  <c r="W240" i="4"/>
  <c r="X240" i="4"/>
  <c r="Y240" i="4"/>
  <c r="Z240" i="4"/>
  <c r="AA262" i="5"/>
  <c r="AA240" i="4"/>
  <c r="B261" i="5"/>
  <c r="E261" i="5"/>
  <c r="F261" i="5"/>
  <c r="I261" i="5"/>
  <c r="J261" i="5"/>
  <c r="K261" i="5" a="1"/>
  <c r="L261" i="5" a="1"/>
  <c r="O261" i="5"/>
  <c r="P261" i="5"/>
  <c r="Q261" i="5"/>
  <c r="R261" i="5"/>
  <c r="S261" i="5"/>
  <c r="T261" i="5"/>
  <c r="AB261" i="5"/>
  <c r="B260" i="5"/>
  <c r="E260" i="5"/>
  <c r="F260" i="5"/>
  <c r="I260" i="5"/>
  <c r="J260" i="5"/>
  <c r="K260" i="5" a="1"/>
  <c r="L260" i="5" a="1"/>
  <c r="O260" i="5"/>
  <c r="P260" i="5"/>
  <c r="Q260" i="5"/>
  <c r="R260" i="5"/>
  <c r="S260" i="5"/>
  <c r="T260" i="5"/>
  <c r="AB260" i="5"/>
  <c r="A241" i="4"/>
  <c r="E241" i="4"/>
  <c r="H241" i="4"/>
  <c r="M241" i="4"/>
  <c r="S241" i="4"/>
  <c r="W241" i="4"/>
  <c r="X241" i="4"/>
  <c r="Y241" i="4"/>
  <c r="Z241" i="4"/>
  <c r="AA260" i="5"/>
  <c r="AA241" i="4"/>
  <c r="B259" i="5"/>
  <c r="E259" i="5"/>
  <c r="F259" i="5"/>
  <c r="I259" i="5"/>
  <c r="J259" i="5"/>
  <c r="K259" i="5" a="1"/>
  <c r="L259" i="5" a="1"/>
  <c r="O259" i="5"/>
  <c r="P259" i="5"/>
  <c r="Q259" i="5"/>
  <c r="R259" i="5"/>
  <c r="S259" i="5"/>
  <c r="T259" i="5"/>
  <c r="AB259" i="5"/>
  <c r="B258" i="5"/>
  <c r="E258" i="5"/>
  <c r="F258" i="5"/>
  <c r="I258" i="5"/>
  <c r="J258" i="5"/>
  <c r="K258" i="5" a="1"/>
  <c r="L258" i="5" a="1"/>
  <c r="O258" i="5"/>
  <c r="P258" i="5"/>
  <c r="Q258" i="5"/>
  <c r="R258" i="5"/>
  <c r="S258" i="5"/>
  <c r="T258" i="5"/>
  <c r="AB258" i="5"/>
  <c r="A242" i="4"/>
  <c r="E242" i="4"/>
  <c r="H242" i="4"/>
  <c r="M242" i="4"/>
  <c r="S242" i="4"/>
  <c r="W242" i="4"/>
  <c r="X242" i="4"/>
  <c r="Y242" i="4"/>
  <c r="Z242" i="4"/>
  <c r="AA258" i="5"/>
  <c r="AA242" i="4"/>
  <c r="B257" i="5"/>
  <c r="E257" i="5"/>
  <c r="F257" i="5"/>
  <c r="I257" i="5"/>
  <c r="J257" i="5"/>
  <c r="K257" i="5" a="1"/>
  <c r="L257" i="5" a="1"/>
  <c r="O257" i="5"/>
  <c r="P257" i="5"/>
  <c r="Q257" i="5"/>
  <c r="R257" i="5"/>
  <c r="S257" i="5"/>
  <c r="T257" i="5"/>
  <c r="AB257" i="5"/>
  <c r="B256" i="5"/>
  <c r="E256" i="5"/>
  <c r="F256" i="5"/>
  <c r="I256" i="5"/>
  <c r="J256" i="5"/>
  <c r="K256" i="5" a="1"/>
  <c r="L256" i="5" a="1"/>
  <c r="O256" i="5"/>
  <c r="P256" i="5"/>
  <c r="Q256" i="5"/>
  <c r="R256" i="5"/>
  <c r="S256" i="5"/>
  <c r="T256" i="5"/>
  <c r="AB256" i="5"/>
  <c r="A243" i="4"/>
  <c r="E243" i="4"/>
  <c r="H243" i="4"/>
  <c r="M243" i="4"/>
  <c r="S243" i="4"/>
  <c r="W243" i="4"/>
  <c r="X243" i="4"/>
  <c r="Y243" i="4"/>
  <c r="Z243" i="4"/>
  <c r="AA256" i="5"/>
  <c r="AA243" i="4"/>
  <c r="B255" i="5"/>
  <c r="E255" i="5"/>
  <c r="F255" i="5"/>
  <c r="I255" i="5"/>
  <c r="J255" i="5"/>
  <c r="K255" i="5" a="1"/>
  <c r="L255" i="5" a="1"/>
  <c r="O255" i="5"/>
  <c r="P255" i="5"/>
  <c r="Q255" i="5"/>
  <c r="R255" i="5"/>
  <c r="S255" i="5"/>
  <c r="T255" i="5"/>
  <c r="AB255" i="5"/>
  <c r="B254" i="5"/>
  <c r="E254" i="5"/>
  <c r="F254" i="5"/>
  <c r="I254" i="5"/>
  <c r="J254" i="5"/>
  <c r="K254" i="5" a="1"/>
  <c r="L254" i="5" a="1"/>
  <c r="O254" i="5"/>
  <c r="P254" i="5"/>
  <c r="Q254" i="5"/>
  <c r="R254" i="5"/>
  <c r="S254" i="5"/>
  <c r="T254" i="5"/>
  <c r="AB254" i="5"/>
  <c r="A244" i="4"/>
  <c r="E244" i="4"/>
  <c r="H244" i="4"/>
  <c r="M244" i="4"/>
  <c r="S244" i="4"/>
  <c r="W244" i="4"/>
  <c r="X244" i="4"/>
  <c r="Y244" i="4"/>
  <c r="Z244" i="4"/>
  <c r="AA254" i="5"/>
  <c r="AA244" i="4"/>
  <c r="B253" i="5"/>
  <c r="E253" i="5"/>
  <c r="F253" i="5"/>
  <c r="I253" i="5"/>
  <c r="J253" i="5"/>
  <c r="K253" i="5" a="1"/>
  <c r="L253" i="5" a="1"/>
  <c r="O253" i="5"/>
  <c r="P253" i="5"/>
  <c r="Q253" i="5"/>
  <c r="R253" i="5"/>
  <c r="S253" i="5"/>
  <c r="T253" i="5"/>
  <c r="AB253" i="5"/>
  <c r="B252" i="5"/>
  <c r="E252" i="5"/>
  <c r="F252" i="5"/>
  <c r="I252" i="5"/>
  <c r="J252" i="5"/>
  <c r="K252" i="5" a="1"/>
  <c r="L252" i="5" a="1"/>
  <c r="O252" i="5"/>
  <c r="P252" i="5"/>
  <c r="Q252" i="5"/>
  <c r="R252" i="5"/>
  <c r="S252" i="5"/>
  <c r="T252" i="5"/>
  <c r="AB252" i="5"/>
  <c r="A245" i="4"/>
  <c r="E245" i="4"/>
  <c r="H245" i="4"/>
  <c r="M245" i="4"/>
  <c r="S245" i="4"/>
  <c r="W245" i="4"/>
  <c r="X245" i="4"/>
  <c r="Y245" i="4"/>
  <c r="Z245" i="4"/>
  <c r="AA252" i="5"/>
  <c r="AA245" i="4"/>
  <c r="B251" i="5"/>
  <c r="E251" i="5"/>
  <c r="F251" i="5"/>
  <c r="I251" i="5"/>
  <c r="J251" i="5"/>
  <c r="K251" i="5" a="1"/>
  <c r="L251" i="5" a="1"/>
  <c r="O251" i="5"/>
  <c r="P251" i="5"/>
  <c r="Q251" i="5"/>
  <c r="R251" i="5"/>
  <c r="S251" i="5"/>
  <c r="T251" i="5"/>
  <c r="AB251" i="5"/>
  <c r="B250" i="5"/>
  <c r="E250" i="5"/>
  <c r="F250" i="5"/>
  <c r="I250" i="5"/>
  <c r="J250" i="5"/>
  <c r="K250" i="5" a="1"/>
  <c r="L250" i="5" a="1"/>
  <c r="O250" i="5"/>
  <c r="P250" i="5"/>
  <c r="Q250" i="5"/>
  <c r="R250" i="5"/>
  <c r="S250" i="5"/>
  <c r="T250" i="5"/>
  <c r="AB250" i="5"/>
  <c r="A246" i="4"/>
  <c r="E246" i="4"/>
  <c r="H246" i="4"/>
  <c r="M246" i="4"/>
  <c r="S246" i="4"/>
  <c r="W246" i="4"/>
  <c r="X246" i="4"/>
  <c r="Y246" i="4"/>
  <c r="Z246" i="4"/>
  <c r="AA250" i="5"/>
  <c r="AA246" i="4"/>
  <c r="A192" i="2"/>
  <c r="M192" i="2"/>
  <c r="N192" i="2"/>
  <c r="O192" i="2"/>
  <c r="P192" i="2"/>
  <c r="Q192" i="2"/>
  <c r="B249" i="5"/>
  <c r="E249" i="5"/>
  <c r="F249" i="5"/>
  <c r="I249" i="5"/>
  <c r="J249" i="5"/>
  <c r="K249" i="5" a="1"/>
  <c r="L249" i="5" a="1"/>
  <c r="O249" i="5"/>
  <c r="P249" i="5"/>
  <c r="Q249" i="5"/>
  <c r="R249" i="5"/>
  <c r="S249" i="5"/>
  <c r="T249" i="5"/>
  <c r="AB249" i="5"/>
  <c r="B248" i="5"/>
  <c r="E248" i="5"/>
  <c r="F248" i="5"/>
  <c r="I248" i="5"/>
  <c r="J248" i="5"/>
  <c r="K248" i="5" a="1"/>
  <c r="L248" i="5" a="1"/>
  <c r="O248" i="5"/>
  <c r="P248" i="5"/>
  <c r="Q248" i="5"/>
  <c r="R248" i="5"/>
  <c r="S248" i="5"/>
  <c r="T248" i="5"/>
  <c r="AB248" i="5"/>
  <c r="A247" i="4"/>
  <c r="E247" i="4"/>
  <c r="H247" i="4"/>
  <c r="M247" i="4"/>
  <c r="S247" i="4"/>
  <c r="W247" i="4"/>
  <c r="X247" i="4"/>
  <c r="Y247" i="4"/>
  <c r="Z247" i="4"/>
  <c r="AA248" i="5"/>
  <c r="AA247" i="4"/>
  <c r="B247" i="5"/>
  <c r="E247" i="5"/>
  <c r="F247" i="5"/>
  <c r="I247" i="5"/>
  <c r="J247" i="5"/>
  <c r="K247" i="5" a="1"/>
  <c r="L247" i="5" a="1"/>
  <c r="O247" i="5"/>
  <c r="P247" i="5"/>
  <c r="Q247" i="5"/>
  <c r="R247" i="5"/>
  <c r="S247" i="5"/>
  <c r="T247" i="5"/>
  <c r="AB247" i="5"/>
  <c r="B246" i="5"/>
  <c r="E246" i="5"/>
  <c r="F246" i="5"/>
  <c r="I246" i="5"/>
  <c r="J246" i="5"/>
  <c r="K246" i="5" a="1"/>
  <c r="L246" i="5" a="1"/>
  <c r="O246" i="5"/>
  <c r="P246" i="5"/>
  <c r="Q246" i="5"/>
  <c r="R246" i="5"/>
  <c r="S246" i="5"/>
  <c r="T246" i="5"/>
  <c r="AB246" i="5"/>
  <c r="A248" i="4"/>
  <c r="E248" i="4"/>
  <c r="H248" i="4"/>
  <c r="M248" i="4"/>
  <c r="S248" i="4"/>
  <c r="W248" i="4"/>
  <c r="X248" i="4"/>
  <c r="Y248" i="4"/>
  <c r="Z248" i="4"/>
  <c r="AA246" i="5"/>
  <c r="AA248" i="4"/>
  <c r="B245" i="5"/>
  <c r="E245" i="5"/>
  <c r="F245" i="5"/>
  <c r="I245" i="5"/>
  <c r="J245" i="5"/>
  <c r="K245" i="5" a="1"/>
  <c r="L245" i="5" a="1"/>
  <c r="O245" i="5"/>
  <c r="P245" i="5"/>
  <c r="Q245" i="5"/>
  <c r="R245" i="5"/>
  <c r="S245" i="5"/>
  <c r="T245" i="5"/>
  <c r="AB245" i="5"/>
  <c r="B244" i="5"/>
  <c r="E244" i="5"/>
  <c r="F244" i="5"/>
  <c r="I244" i="5"/>
  <c r="J244" i="5"/>
  <c r="K244" i="5" a="1"/>
  <c r="L244" i="5" a="1"/>
  <c r="O244" i="5"/>
  <c r="P244" i="5"/>
  <c r="Q244" i="5"/>
  <c r="R244" i="5"/>
  <c r="S244" i="5"/>
  <c r="T244" i="5"/>
  <c r="AB244" i="5"/>
  <c r="A249" i="4"/>
  <c r="E249" i="4"/>
  <c r="H249" i="4"/>
  <c r="M249" i="4"/>
  <c r="S249" i="4"/>
  <c r="W249" i="4"/>
  <c r="X249" i="4"/>
  <c r="Y249" i="4"/>
  <c r="Z249" i="4"/>
  <c r="AA244" i="5"/>
  <c r="AA249" i="4"/>
  <c r="B243" i="5"/>
  <c r="E243" i="5"/>
  <c r="F243" i="5"/>
  <c r="I243" i="5"/>
  <c r="J243" i="5"/>
  <c r="K243" i="5" a="1"/>
  <c r="L243" i="5" a="1"/>
  <c r="O243" i="5"/>
  <c r="P243" i="5"/>
  <c r="Q243" i="5"/>
  <c r="R243" i="5"/>
  <c r="S243" i="5"/>
  <c r="T243" i="5"/>
  <c r="AB243" i="5"/>
  <c r="B242" i="5"/>
  <c r="E242" i="5"/>
  <c r="F242" i="5"/>
  <c r="I242" i="5"/>
  <c r="J242" i="5"/>
  <c r="K242" i="5" a="1"/>
  <c r="L242" i="5" a="1"/>
  <c r="O242" i="5"/>
  <c r="P242" i="5"/>
  <c r="Q242" i="5"/>
  <c r="R242" i="5"/>
  <c r="S242" i="5"/>
  <c r="T242" i="5"/>
  <c r="AB242" i="5"/>
  <c r="A250" i="4"/>
  <c r="E250" i="4"/>
  <c r="H250" i="4"/>
  <c r="M250" i="4"/>
  <c r="S250" i="4"/>
  <c r="W250" i="4"/>
  <c r="X250" i="4"/>
  <c r="Y250" i="4"/>
  <c r="Z250" i="4"/>
  <c r="AA242" i="5"/>
  <c r="AA250" i="4"/>
  <c r="B241" i="5"/>
  <c r="E241" i="5"/>
  <c r="F241" i="5"/>
  <c r="I241" i="5"/>
  <c r="J241" i="5"/>
  <c r="K241" i="5" a="1"/>
  <c r="L241" i="5" a="1"/>
  <c r="O241" i="5"/>
  <c r="P241" i="5"/>
  <c r="Q241" i="5"/>
  <c r="R241" i="5"/>
  <c r="S241" i="5"/>
  <c r="T241" i="5"/>
  <c r="AB241" i="5"/>
  <c r="B240" i="5"/>
  <c r="E240" i="5"/>
  <c r="F240" i="5"/>
  <c r="I240" i="5"/>
  <c r="J240" i="5"/>
  <c r="K240" i="5" a="1"/>
  <c r="L240" i="5" a="1"/>
  <c r="O240" i="5"/>
  <c r="P240" i="5"/>
  <c r="Q240" i="5"/>
  <c r="R240" i="5"/>
  <c r="S240" i="5"/>
  <c r="T240" i="5"/>
  <c r="AB240" i="5"/>
  <c r="A251" i="4"/>
  <c r="E251" i="4"/>
  <c r="H251" i="4"/>
  <c r="M251" i="4"/>
  <c r="S251" i="4"/>
  <c r="W251" i="4"/>
  <c r="X251" i="4"/>
  <c r="Y251" i="4"/>
  <c r="Z251" i="4"/>
  <c r="AA240" i="5"/>
  <c r="AA251" i="4"/>
  <c r="B239" i="5"/>
  <c r="E239" i="5"/>
  <c r="F239" i="5"/>
  <c r="I239" i="5"/>
  <c r="J239" i="5"/>
  <c r="K239" i="5" a="1"/>
  <c r="L239" i="5" a="1"/>
  <c r="O239" i="5"/>
  <c r="P239" i="5"/>
  <c r="Q239" i="5"/>
  <c r="R239" i="5"/>
  <c r="S239" i="5"/>
  <c r="T239" i="5"/>
  <c r="AB239" i="5"/>
  <c r="B238" i="5"/>
  <c r="E238" i="5"/>
  <c r="F238" i="5"/>
  <c r="I238" i="5"/>
  <c r="J238" i="5"/>
  <c r="K238" i="5" a="1"/>
  <c r="L238" i="5" a="1"/>
  <c r="O238" i="5"/>
  <c r="P238" i="5"/>
  <c r="Q238" i="5"/>
  <c r="R238" i="5"/>
  <c r="S238" i="5"/>
  <c r="T238" i="5"/>
  <c r="AB238" i="5"/>
  <c r="A252" i="4"/>
  <c r="E252" i="4"/>
  <c r="H252" i="4"/>
  <c r="M252" i="4"/>
  <c r="S252" i="4"/>
  <c r="W252" i="4"/>
  <c r="X252" i="4"/>
  <c r="Y252" i="4"/>
  <c r="Z252" i="4"/>
  <c r="AA238" i="5"/>
  <c r="AA252" i="4"/>
  <c r="B237" i="5"/>
  <c r="E237" i="5"/>
  <c r="F237" i="5"/>
  <c r="I237" i="5"/>
  <c r="J237" i="5"/>
  <c r="K237" i="5" a="1"/>
  <c r="L237" i="5" a="1"/>
  <c r="O237" i="5"/>
  <c r="P237" i="5"/>
  <c r="Q237" i="5"/>
  <c r="R237" i="5"/>
  <c r="S237" i="5"/>
  <c r="T237" i="5"/>
  <c r="AB237" i="5"/>
  <c r="B236" i="5"/>
  <c r="E236" i="5"/>
  <c r="F236" i="5"/>
  <c r="I236" i="5"/>
  <c r="J236" i="5"/>
  <c r="K236" i="5" a="1"/>
  <c r="L236" i="5" a="1"/>
  <c r="O236" i="5"/>
  <c r="P236" i="5"/>
  <c r="Q236" i="5"/>
  <c r="R236" i="5"/>
  <c r="S236" i="5"/>
  <c r="T236" i="5"/>
  <c r="AB236" i="5"/>
  <c r="A253" i="4"/>
  <c r="E253" i="4"/>
  <c r="H253" i="4"/>
  <c r="M253" i="4"/>
  <c r="S253" i="4"/>
  <c r="W253" i="4"/>
  <c r="X253" i="4"/>
  <c r="Y253" i="4"/>
  <c r="Z253" i="4"/>
  <c r="AA236" i="5"/>
  <c r="AA253" i="4"/>
  <c r="B235" i="5"/>
  <c r="E235" i="5"/>
  <c r="F235" i="5"/>
  <c r="I235" i="5"/>
  <c r="J235" i="5"/>
  <c r="K235" i="5" a="1"/>
  <c r="L235" i="5" a="1"/>
  <c r="O235" i="5"/>
  <c r="P235" i="5"/>
  <c r="Q235" i="5"/>
  <c r="R235" i="5"/>
  <c r="S235" i="5"/>
  <c r="T235" i="5"/>
  <c r="AB235" i="5"/>
  <c r="B234" i="5"/>
  <c r="E234" i="5"/>
  <c r="F234" i="5"/>
  <c r="I234" i="5"/>
  <c r="J234" i="5"/>
  <c r="K234" i="5" a="1"/>
  <c r="L234" i="5" a="1"/>
  <c r="O234" i="5"/>
  <c r="P234" i="5"/>
  <c r="Q234" i="5"/>
  <c r="R234" i="5"/>
  <c r="S234" i="5"/>
  <c r="T234" i="5"/>
  <c r="AB234" i="5"/>
  <c r="A254" i="4"/>
  <c r="E254" i="4"/>
  <c r="H254" i="4"/>
  <c r="M254" i="4"/>
  <c r="S254" i="4"/>
  <c r="W254" i="4"/>
  <c r="X254" i="4"/>
  <c r="Y254" i="4"/>
  <c r="Z254" i="4"/>
  <c r="AA234" i="5"/>
  <c r="AA254" i="4"/>
  <c r="B233" i="5"/>
  <c r="E233" i="5"/>
  <c r="F233" i="5"/>
  <c r="I233" i="5"/>
  <c r="J233" i="5"/>
  <c r="K233" i="5" a="1"/>
  <c r="L233" i="5" a="1"/>
  <c r="O233" i="5"/>
  <c r="P233" i="5"/>
  <c r="Q233" i="5"/>
  <c r="R233" i="5"/>
  <c r="S233" i="5"/>
  <c r="T233" i="5"/>
  <c r="AB233" i="5"/>
  <c r="B232" i="5"/>
  <c r="E232" i="5"/>
  <c r="F232" i="5"/>
  <c r="I232" i="5"/>
  <c r="J232" i="5"/>
  <c r="K232" i="5" a="1"/>
  <c r="L232" i="5" a="1"/>
  <c r="O232" i="5"/>
  <c r="P232" i="5"/>
  <c r="Q232" i="5"/>
  <c r="R232" i="5"/>
  <c r="S232" i="5"/>
  <c r="T232" i="5"/>
  <c r="AB232" i="5"/>
  <c r="A255" i="4"/>
  <c r="E255" i="4"/>
  <c r="H255" i="4"/>
  <c r="M255" i="4"/>
  <c r="S255" i="4"/>
  <c r="W255" i="4"/>
  <c r="X255" i="4"/>
  <c r="Y255" i="4"/>
  <c r="Z255" i="4"/>
  <c r="AA232" i="5"/>
  <c r="AA255" i="4"/>
  <c r="B231" i="5"/>
  <c r="E231" i="5"/>
  <c r="F231" i="5"/>
  <c r="I231" i="5"/>
  <c r="J231" i="5"/>
  <c r="K231" i="5" a="1"/>
  <c r="L231" i="5" a="1"/>
  <c r="O231" i="5"/>
  <c r="P231" i="5"/>
  <c r="Q231" i="5"/>
  <c r="R231" i="5"/>
  <c r="S231" i="5"/>
  <c r="T231" i="5"/>
  <c r="AB231" i="5"/>
  <c r="B230" i="5"/>
  <c r="E230" i="5"/>
  <c r="F230" i="5"/>
  <c r="I230" i="5"/>
  <c r="J230" i="5"/>
  <c r="K230" i="5" a="1"/>
  <c r="L230" i="5" a="1"/>
  <c r="O230" i="5"/>
  <c r="P230" i="5"/>
  <c r="Q230" i="5"/>
  <c r="R230" i="5"/>
  <c r="S230" i="5"/>
  <c r="T230" i="5"/>
  <c r="AB230" i="5"/>
  <c r="A256" i="4"/>
  <c r="E256" i="4"/>
  <c r="H256" i="4"/>
  <c r="M256" i="4"/>
  <c r="S256" i="4"/>
  <c r="W256" i="4"/>
  <c r="X256" i="4"/>
  <c r="Y256" i="4"/>
  <c r="Z256" i="4"/>
  <c r="AA230" i="5"/>
  <c r="AA256" i="4"/>
  <c r="B229" i="5"/>
  <c r="E229" i="5"/>
  <c r="F229" i="5"/>
  <c r="I229" i="5"/>
  <c r="J229" i="5"/>
  <c r="K229" i="5" a="1"/>
  <c r="L229" i="5" a="1"/>
  <c r="O229" i="5"/>
  <c r="P229" i="5"/>
  <c r="Q229" i="5"/>
  <c r="R229" i="5"/>
  <c r="S229" i="5"/>
  <c r="T229" i="5"/>
  <c r="AB229" i="5"/>
  <c r="B228" i="5"/>
  <c r="E228" i="5"/>
  <c r="F228" i="5"/>
  <c r="I228" i="5"/>
  <c r="J228" i="5"/>
  <c r="K228" i="5" a="1"/>
  <c r="L228" i="5" a="1"/>
  <c r="O228" i="5"/>
  <c r="P228" i="5"/>
  <c r="Q228" i="5"/>
  <c r="R228" i="5"/>
  <c r="S228" i="5"/>
  <c r="T228" i="5"/>
  <c r="AB228" i="5"/>
  <c r="A257" i="4"/>
  <c r="E257" i="4"/>
  <c r="H257" i="4"/>
  <c r="M257" i="4"/>
  <c r="S257" i="4"/>
  <c r="W257" i="4"/>
  <c r="X257" i="4"/>
  <c r="Y257" i="4"/>
  <c r="Z257" i="4"/>
  <c r="AA228" i="5"/>
  <c r="AA257" i="4"/>
  <c r="B227" i="5"/>
  <c r="E227" i="5"/>
  <c r="F227" i="5"/>
  <c r="I227" i="5"/>
  <c r="J227" i="5"/>
  <c r="K227" i="5" a="1"/>
  <c r="L227" i="5" a="1"/>
  <c r="O227" i="5"/>
  <c r="P227" i="5"/>
  <c r="Q227" i="5"/>
  <c r="R227" i="5"/>
  <c r="S227" i="5"/>
  <c r="T227" i="5"/>
  <c r="AB227" i="5"/>
  <c r="B226" i="5"/>
  <c r="E226" i="5"/>
  <c r="F226" i="5"/>
  <c r="I226" i="5"/>
  <c r="J226" i="5"/>
  <c r="K226" i="5" a="1"/>
  <c r="L226" i="5" a="1"/>
  <c r="O226" i="5"/>
  <c r="P226" i="5"/>
  <c r="Q226" i="5"/>
  <c r="R226" i="5"/>
  <c r="S226" i="5"/>
  <c r="T226" i="5"/>
  <c r="AB226" i="5"/>
  <c r="A258" i="4"/>
  <c r="E258" i="4"/>
  <c r="H258" i="4"/>
  <c r="M258" i="4"/>
  <c r="S258" i="4"/>
  <c r="W258" i="4"/>
  <c r="X258" i="4"/>
  <c r="Y258" i="4"/>
  <c r="Z258" i="4"/>
  <c r="AA226" i="5"/>
  <c r="AA258" i="4"/>
  <c r="B225" i="5"/>
  <c r="E225" i="5"/>
  <c r="F225" i="5"/>
  <c r="I225" i="5"/>
  <c r="J225" i="5"/>
  <c r="K225" i="5" a="1"/>
  <c r="L225" i="5" a="1"/>
  <c r="O225" i="5"/>
  <c r="P225" i="5"/>
  <c r="Q225" i="5"/>
  <c r="R225" i="5"/>
  <c r="S225" i="5"/>
  <c r="T225" i="5"/>
  <c r="AB225" i="5"/>
  <c r="B224" i="5"/>
  <c r="E224" i="5"/>
  <c r="F224" i="5"/>
  <c r="I224" i="5"/>
  <c r="J224" i="5"/>
  <c r="K224" i="5" a="1"/>
  <c r="L224" i="5" a="1"/>
  <c r="O224" i="5"/>
  <c r="P224" i="5"/>
  <c r="Q224" i="5"/>
  <c r="R224" i="5"/>
  <c r="S224" i="5"/>
  <c r="T224" i="5"/>
  <c r="AB224" i="5"/>
  <c r="A259" i="4"/>
  <c r="E259" i="4"/>
  <c r="H259" i="4"/>
  <c r="M259" i="4"/>
  <c r="S259" i="4"/>
  <c r="W259" i="4"/>
  <c r="X259" i="4"/>
  <c r="Y259" i="4"/>
  <c r="Z259" i="4"/>
  <c r="AA224" i="5"/>
  <c r="AA259" i="4"/>
  <c r="B223" i="5"/>
  <c r="E223" i="5"/>
  <c r="F223" i="5"/>
  <c r="I223" i="5"/>
  <c r="J223" i="5"/>
  <c r="K223" i="5" a="1"/>
  <c r="L223" i="5" a="1"/>
  <c r="O223" i="5"/>
  <c r="P223" i="5"/>
  <c r="Q223" i="5"/>
  <c r="R223" i="5"/>
  <c r="S223" i="5"/>
  <c r="T223" i="5"/>
  <c r="AB223" i="5"/>
  <c r="B222" i="5"/>
  <c r="E222" i="5"/>
  <c r="F222" i="5"/>
  <c r="I222" i="5"/>
  <c r="J222" i="5"/>
  <c r="K222" i="5" a="1"/>
  <c r="L222" i="5" a="1"/>
  <c r="O222" i="5"/>
  <c r="P222" i="5"/>
  <c r="Q222" i="5"/>
  <c r="R222" i="5"/>
  <c r="S222" i="5"/>
  <c r="T222" i="5"/>
  <c r="AB222" i="5"/>
  <c r="A260" i="4"/>
  <c r="E260" i="4"/>
  <c r="H260" i="4"/>
  <c r="M260" i="4"/>
  <c r="S260" i="4"/>
  <c r="W260" i="4"/>
  <c r="X260" i="4"/>
  <c r="Y260" i="4"/>
  <c r="Z260" i="4"/>
  <c r="H223" i="5"/>
  <c r="AA260" i="4"/>
  <c r="M354" i="5"/>
  <c r="M322" i="5"/>
  <c r="M314" i="5"/>
  <c r="N313" i="5"/>
  <c r="M298" i="5"/>
  <c r="N368" i="5"/>
  <c r="N384" i="5"/>
  <c r="M431" i="5"/>
  <c r="M384" i="5"/>
  <c r="N437" i="5"/>
  <c r="M425" i="5"/>
  <c r="M422" i="5"/>
  <c r="M434" i="5"/>
  <c r="M430" i="5"/>
  <c r="M432" i="5"/>
  <c r="M424" i="5"/>
  <c r="N435" i="5"/>
  <c r="M435" i="5"/>
  <c r="M427" i="5"/>
  <c r="T157" i="4"/>
  <c r="D429" i="5"/>
  <c r="Y429" i="5"/>
  <c r="N434" i="5"/>
  <c r="T153" i="4"/>
  <c r="D437" i="5"/>
  <c r="N433" i="5"/>
  <c r="M433" i="5"/>
  <c r="T154" i="4"/>
  <c r="D435" i="5"/>
  <c r="Y435" i="5"/>
  <c r="AA437" i="5"/>
  <c r="N431" i="5"/>
  <c r="N432" i="5"/>
  <c r="H436" i="5"/>
  <c r="H437" i="5"/>
  <c r="AA435" i="5"/>
  <c r="N430" i="5"/>
  <c r="H434" i="5"/>
  <c r="M426" i="5"/>
  <c r="H435" i="5"/>
  <c r="D434" i="5"/>
  <c r="T155" i="4"/>
  <c r="D433" i="5"/>
  <c r="AA433" i="5"/>
  <c r="N428" i="5"/>
  <c r="T156" i="4"/>
  <c r="D431" i="5"/>
  <c r="M428" i="5"/>
  <c r="H432" i="5"/>
  <c r="N427" i="5"/>
  <c r="H433" i="5"/>
  <c r="N429" i="5"/>
  <c r="M429" i="5"/>
  <c r="AA431" i="5"/>
  <c r="N426" i="5"/>
  <c r="H430" i="5"/>
  <c r="H431" i="5"/>
  <c r="N423" i="5"/>
  <c r="N424" i="5"/>
  <c r="AA429" i="5"/>
  <c r="M423" i="5"/>
  <c r="T159" i="4"/>
  <c r="D425" i="5"/>
  <c r="H428" i="5"/>
  <c r="N422" i="5"/>
  <c r="H429" i="5"/>
  <c r="N425" i="5"/>
  <c r="T158" i="4"/>
  <c r="D427" i="5"/>
  <c r="AA427" i="5"/>
  <c r="N420" i="5"/>
  <c r="M420" i="5"/>
  <c r="H426" i="5"/>
  <c r="H427" i="5"/>
  <c r="N421" i="5"/>
  <c r="M421" i="5"/>
  <c r="T160" i="4"/>
  <c r="D423" i="5"/>
  <c r="AA425" i="5"/>
  <c r="N418" i="5"/>
  <c r="M418" i="5"/>
  <c r="H424" i="5"/>
  <c r="H425" i="5"/>
  <c r="M407" i="5"/>
  <c r="N419" i="5"/>
  <c r="M419" i="5"/>
  <c r="AA423" i="5"/>
  <c r="N416" i="5"/>
  <c r="M412" i="5"/>
  <c r="M416" i="5"/>
  <c r="H422" i="5"/>
  <c r="H423" i="5"/>
  <c r="N417" i="5"/>
  <c r="M417" i="5"/>
  <c r="T162" i="4"/>
  <c r="D418" i="5"/>
  <c r="T161" i="4"/>
  <c r="D421" i="5"/>
  <c r="AA421" i="5"/>
  <c r="M409" i="5"/>
  <c r="N413" i="5"/>
  <c r="H420" i="5"/>
  <c r="H421" i="5"/>
  <c r="N414" i="5"/>
  <c r="AA419" i="5"/>
  <c r="M413" i="5"/>
  <c r="T164" i="4"/>
  <c r="D415" i="5"/>
  <c r="M414" i="5"/>
  <c r="H418" i="5"/>
  <c r="M408" i="5"/>
  <c r="N412" i="5"/>
  <c r="H419" i="5"/>
  <c r="N415" i="5"/>
  <c r="M415" i="5"/>
  <c r="T163" i="4"/>
  <c r="D417" i="5"/>
  <c r="AA417" i="5"/>
  <c r="N405" i="5"/>
  <c r="N410" i="5"/>
  <c r="N409" i="5"/>
  <c r="H416" i="5"/>
  <c r="H417" i="5"/>
  <c r="N398" i="5"/>
  <c r="N411" i="5"/>
  <c r="M411" i="5"/>
  <c r="AA415" i="5"/>
  <c r="T166" i="4"/>
  <c r="D411" i="5"/>
  <c r="Y411" i="5"/>
  <c r="M404" i="5"/>
  <c r="H414" i="5"/>
  <c r="H415" i="5"/>
  <c r="M405" i="5"/>
  <c r="T165" i="4"/>
  <c r="D413" i="5"/>
  <c r="M410" i="5"/>
  <c r="AA413" i="5"/>
  <c r="N406" i="5"/>
  <c r="T167" i="4"/>
  <c r="D409" i="5"/>
  <c r="X409" i="5"/>
  <c r="H412" i="5"/>
  <c r="H413" i="5"/>
  <c r="N407" i="5"/>
  <c r="N408" i="5"/>
  <c r="AA411" i="5"/>
  <c r="N402" i="5"/>
  <c r="M399" i="5"/>
  <c r="T168" i="4"/>
  <c r="D407" i="5"/>
  <c r="X407" i="5"/>
  <c r="H410" i="5"/>
  <c r="H411" i="5"/>
  <c r="M406" i="5"/>
  <c r="AA409" i="5"/>
  <c r="M402" i="5"/>
  <c r="H408" i="5"/>
  <c r="H409" i="5"/>
  <c r="N403" i="5"/>
  <c r="N404" i="5"/>
  <c r="M403" i="5"/>
  <c r="AA407" i="5"/>
  <c r="N396" i="5"/>
  <c r="N400" i="5"/>
  <c r="T170" i="4"/>
  <c r="D403" i="5"/>
  <c r="Y403" i="5"/>
  <c r="H406" i="5"/>
  <c r="H407" i="5"/>
  <c r="T171" i="4"/>
  <c r="D401" i="5"/>
  <c r="Y401" i="5"/>
  <c r="N401" i="5"/>
  <c r="T169" i="4"/>
  <c r="D405" i="5"/>
  <c r="M401" i="5"/>
  <c r="AA405" i="5"/>
  <c r="M397" i="5"/>
  <c r="H404" i="5"/>
  <c r="H405" i="5"/>
  <c r="N399" i="5"/>
  <c r="M400" i="5"/>
  <c r="AA403" i="5"/>
  <c r="M396" i="5"/>
  <c r="H402" i="5"/>
  <c r="H403" i="5"/>
  <c r="N397" i="5"/>
  <c r="T172" i="4"/>
  <c r="D398" i="5"/>
  <c r="M398" i="5"/>
  <c r="AA401" i="5"/>
  <c r="N394" i="5"/>
  <c r="M394" i="5"/>
  <c r="H400" i="5"/>
  <c r="H401" i="5"/>
  <c r="N395" i="5"/>
  <c r="M395" i="5"/>
  <c r="T173" i="4"/>
  <c r="D397" i="5"/>
  <c r="AA399" i="5"/>
  <c r="H398" i="5"/>
  <c r="H399" i="5"/>
  <c r="AA397" i="5"/>
  <c r="N392" i="5"/>
  <c r="T174" i="4"/>
  <c r="D395" i="5"/>
  <c r="M392" i="5"/>
  <c r="H396" i="5"/>
  <c r="H397" i="5"/>
  <c r="N393" i="5"/>
  <c r="M393" i="5"/>
  <c r="AA395" i="5"/>
  <c r="N385" i="5"/>
  <c r="N390" i="5"/>
  <c r="T175" i="4"/>
  <c r="D393" i="5"/>
  <c r="M390" i="5"/>
  <c r="H394" i="5"/>
  <c r="H395" i="5"/>
  <c r="N391" i="5"/>
  <c r="M391" i="5"/>
  <c r="AA393" i="5"/>
  <c r="N388" i="5"/>
  <c r="T176" i="4"/>
  <c r="D390" i="5"/>
  <c r="M388" i="5"/>
  <c r="H392" i="5"/>
  <c r="H393" i="5"/>
  <c r="N389" i="5"/>
  <c r="M389" i="5"/>
  <c r="N386" i="5"/>
  <c r="AA391" i="5"/>
  <c r="M385" i="5"/>
  <c r="T178" i="4"/>
  <c r="D387" i="5"/>
  <c r="M386" i="5"/>
  <c r="H390" i="5"/>
  <c r="H391" i="5"/>
  <c r="N387" i="5"/>
  <c r="M387" i="5"/>
  <c r="T177" i="4"/>
  <c r="D389" i="5"/>
  <c r="AA389" i="5"/>
  <c r="N382" i="5"/>
  <c r="M382" i="5"/>
  <c r="H388" i="5"/>
  <c r="H389" i="5"/>
  <c r="N383" i="5"/>
  <c r="M383" i="5"/>
  <c r="AA387" i="5"/>
  <c r="N380" i="5"/>
  <c r="M380" i="5"/>
  <c r="H386" i="5"/>
  <c r="H387" i="5"/>
  <c r="N381" i="5"/>
  <c r="M381" i="5"/>
  <c r="T179" i="4"/>
  <c r="D384" i="5"/>
  <c r="AA385" i="5"/>
  <c r="N378" i="5"/>
  <c r="M378" i="5"/>
  <c r="H384" i="5"/>
  <c r="H385" i="5"/>
  <c r="N379" i="5"/>
  <c r="M379" i="5"/>
  <c r="T181" i="4"/>
  <c r="D380" i="5"/>
  <c r="T180" i="4"/>
  <c r="D383" i="5"/>
  <c r="AA383" i="5"/>
  <c r="N376" i="5"/>
  <c r="M376" i="5"/>
  <c r="H382" i="5"/>
  <c r="H383" i="5"/>
  <c r="N377" i="5"/>
  <c r="M377" i="5"/>
  <c r="AA381" i="5"/>
  <c r="N374" i="5"/>
  <c r="M374" i="5"/>
  <c r="H380" i="5"/>
  <c r="H381" i="5"/>
  <c r="N375" i="5"/>
  <c r="M375" i="5"/>
  <c r="T182" i="4"/>
  <c r="D378" i="5"/>
  <c r="AA379" i="5"/>
  <c r="N372" i="5"/>
  <c r="M372" i="5"/>
  <c r="H378" i="5"/>
  <c r="H379" i="5"/>
  <c r="N373" i="5"/>
  <c r="T183" i="4"/>
  <c r="D376" i="5"/>
  <c r="M373" i="5"/>
  <c r="AA377" i="5"/>
  <c r="N370" i="5"/>
  <c r="T185" i="4"/>
  <c r="D373" i="5"/>
  <c r="X373" i="5"/>
  <c r="H376" i="5"/>
  <c r="H377" i="5"/>
  <c r="N371" i="5"/>
  <c r="M371" i="5"/>
  <c r="T184" i="4"/>
  <c r="D375" i="5"/>
  <c r="AA375" i="5"/>
  <c r="M368" i="5"/>
  <c r="H374" i="5"/>
  <c r="H375" i="5"/>
  <c r="N369" i="5"/>
  <c r="M369" i="5"/>
  <c r="T186" i="4"/>
  <c r="D371" i="5"/>
  <c r="M370" i="5"/>
  <c r="AA373" i="5"/>
  <c r="N366" i="5"/>
  <c r="M362" i="5"/>
  <c r="M366" i="5"/>
  <c r="H372" i="5"/>
  <c r="H373" i="5"/>
  <c r="N367" i="5"/>
  <c r="M367" i="5"/>
  <c r="T187" i="4"/>
  <c r="D369" i="5"/>
  <c r="AA371" i="5"/>
  <c r="N363" i="5"/>
  <c r="H370" i="5"/>
  <c r="H371" i="5"/>
  <c r="N364" i="5"/>
  <c r="AA369" i="5"/>
  <c r="M363" i="5"/>
  <c r="T188" i="4"/>
  <c r="D366" i="5"/>
  <c r="N358" i="5"/>
  <c r="M364" i="5"/>
  <c r="H368" i="5"/>
  <c r="M358" i="5"/>
  <c r="N362" i="5"/>
  <c r="H369" i="5"/>
  <c r="N365" i="5"/>
  <c r="M365" i="5"/>
  <c r="AA367" i="5"/>
  <c r="N360" i="5"/>
  <c r="N359" i="5"/>
  <c r="M360" i="5"/>
  <c r="H366" i="5"/>
  <c r="H367" i="5"/>
  <c r="T191" i="4"/>
  <c r="D360" i="5"/>
  <c r="N361" i="5"/>
  <c r="M361" i="5"/>
  <c r="T190" i="4"/>
  <c r="D362" i="5"/>
  <c r="T189" i="4"/>
  <c r="D365" i="5"/>
  <c r="AA365" i="5"/>
  <c r="M359" i="5"/>
  <c r="H364" i="5"/>
  <c r="H365" i="5"/>
  <c r="AA363" i="5"/>
  <c r="N354" i="5"/>
  <c r="H362" i="5"/>
  <c r="H363" i="5"/>
  <c r="N352" i="5"/>
  <c r="M352" i="5"/>
  <c r="N356" i="5"/>
  <c r="AA361" i="5"/>
  <c r="M356" i="5"/>
  <c r="H360" i="5"/>
  <c r="H361" i="5"/>
  <c r="N357" i="5"/>
  <c r="M357" i="5"/>
  <c r="T192" i="4"/>
  <c r="D359" i="5"/>
  <c r="AA359" i="5"/>
  <c r="N351" i="5"/>
  <c r="H358" i="5"/>
  <c r="H359" i="5"/>
  <c r="T193" i="4"/>
  <c r="D357" i="5"/>
  <c r="AA357" i="5"/>
  <c r="N350" i="5"/>
  <c r="M350" i="5"/>
  <c r="H356" i="5"/>
  <c r="H357" i="5"/>
  <c r="N353" i="5"/>
  <c r="N355" i="5"/>
  <c r="M353" i="5"/>
  <c r="M355" i="5"/>
  <c r="M351" i="5"/>
  <c r="T194" i="4"/>
  <c r="D355" i="5"/>
  <c r="AA355" i="5"/>
  <c r="N348" i="5"/>
  <c r="M348" i="5"/>
  <c r="H354" i="5"/>
  <c r="H355" i="5"/>
  <c r="N349" i="5"/>
  <c r="M349" i="5"/>
  <c r="T195" i="4"/>
  <c r="D352" i="5"/>
  <c r="AA353" i="5"/>
  <c r="N346" i="5"/>
  <c r="M346" i="5"/>
  <c r="H352" i="5"/>
  <c r="H353" i="5"/>
  <c r="N347" i="5"/>
  <c r="M347" i="5"/>
  <c r="T196" i="4"/>
  <c r="D350" i="5"/>
  <c r="AA351" i="5"/>
  <c r="N344" i="5"/>
  <c r="M344" i="5"/>
  <c r="H350" i="5"/>
  <c r="H351" i="5"/>
  <c r="N345" i="5"/>
  <c r="M345" i="5"/>
  <c r="T197" i="4"/>
  <c r="D348" i="5"/>
  <c r="AA349" i="5"/>
  <c r="N342" i="5"/>
  <c r="M342" i="5"/>
  <c r="H348" i="5"/>
  <c r="H349" i="5"/>
  <c r="N343" i="5"/>
  <c r="T198" i="4"/>
  <c r="D347" i="5"/>
  <c r="M343" i="5"/>
  <c r="T199" i="4"/>
  <c r="D344" i="5"/>
  <c r="AA347" i="5"/>
  <c r="N340" i="5"/>
  <c r="M340" i="5"/>
  <c r="H346" i="5"/>
  <c r="H347" i="5"/>
  <c r="N341" i="5"/>
  <c r="M341" i="5"/>
  <c r="N338" i="5"/>
  <c r="AA345" i="5"/>
  <c r="M338" i="5"/>
  <c r="H344" i="5"/>
  <c r="H345" i="5"/>
  <c r="N339" i="5"/>
  <c r="T200" i="4"/>
  <c r="D343" i="5"/>
  <c r="M339" i="5"/>
  <c r="T201" i="4"/>
  <c r="D341" i="5"/>
  <c r="AA343" i="5"/>
  <c r="N336" i="5"/>
  <c r="M336" i="5"/>
  <c r="H342" i="5"/>
  <c r="H343" i="5"/>
  <c r="N337" i="5"/>
  <c r="M337" i="5"/>
  <c r="AA341" i="5"/>
  <c r="M330" i="5"/>
  <c r="N334" i="5"/>
  <c r="M334" i="5"/>
  <c r="H340" i="5"/>
  <c r="H341" i="5"/>
  <c r="M331" i="5"/>
  <c r="N335" i="5"/>
  <c r="M335" i="5"/>
  <c r="T203" i="4"/>
  <c r="D337" i="5"/>
  <c r="T202" i="4"/>
  <c r="D338" i="5"/>
  <c r="AA339" i="5"/>
  <c r="N332" i="5"/>
  <c r="N331" i="5"/>
  <c r="H338" i="5"/>
  <c r="H339" i="5"/>
  <c r="N333" i="5"/>
  <c r="M333" i="5"/>
  <c r="AA337" i="5"/>
  <c r="T205" i="4"/>
  <c r="D333" i="5"/>
  <c r="X333" i="5"/>
  <c r="H336" i="5"/>
  <c r="H337" i="5"/>
  <c r="T204" i="4"/>
  <c r="D334" i="5"/>
  <c r="M332" i="5"/>
  <c r="AA335" i="5"/>
  <c r="M328" i="5"/>
  <c r="H334" i="5"/>
  <c r="H335" i="5"/>
  <c r="N329" i="5"/>
  <c r="N330" i="5"/>
  <c r="M329" i="5"/>
  <c r="AA333" i="5"/>
  <c r="N328" i="5"/>
  <c r="T207" i="4"/>
  <c r="D329" i="5"/>
  <c r="X329" i="5"/>
  <c r="M326" i="5"/>
  <c r="H332" i="5"/>
  <c r="H333" i="5"/>
  <c r="N327" i="5"/>
  <c r="M327" i="5"/>
  <c r="T206" i="4"/>
  <c r="D331" i="5"/>
  <c r="AA331" i="5"/>
  <c r="N323" i="5"/>
  <c r="H330" i="5"/>
  <c r="H331" i="5"/>
  <c r="N326" i="5"/>
  <c r="N324" i="5"/>
  <c r="AA329" i="5"/>
  <c r="M323" i="5"/>
  <c r="T208" i="4"/>
  <c r="D326" i="5"/>
  <c r="M324" i="5"/>
  <c r="H328" i="5"/>
  <c r="N322" i="5"/>
  <c r="H329" i="5"/>
  <c r="N325" i="5"/>
  <c r="M325" i="5"/>
  <c r="AA327" i="5"/>
  <c r="H326" i="5"/>
  <c r="H327" i="5"/>
  <c r="T209" i="4"/>
  <c r="D324" i="5"/>
  <c r="AA325" i="5"/>
  <c r="N315" i="5"/>
  <c r="N320" i="5"/>
  <c r="T210" i="4"/>
  <c r="D322" i="5"/>
  <c r="M315" i="5"/>
  <c r="M320" i="5"/>
  <c r="H324" i="5"/>
  <c r="H325" i="5"/>
  <c r="M313" i="5"/>
  <c r="N321" i="5"/>
  <c r="M321" i="5"/>
  <c r="D323" i="5"/>
  <c r="AA323" i="5"/>
  <c r="N318" i="5"/>
  <c r="T211" i="4"/>
  <c r="D321" i="5"/>
  <c r="M318" i="5"/>
  <c r="H322" i="5"/>
  <c r="H323" i="5"/>
  <c r="N319" i="5"/>
  <c r="T213" i="4"/>
  <c r="D317" i="5"/>
  <c r="X317" i="5"/>
  <c r="M319" i="5"/>
  <c r="N316" i="5"/>
  <c r="AA321" i="5"/>
  <c r="T212" i="4"/>
  <c r="D318" i="5"/>
  <c r="M316" i="5"/>
  <c r="H320" i="5"/>
  <c r="H321" i="5"/>
  <c r="N317" i="5"/>
  <c r="M317" i="5"/>
  <c r="AA319" i="5"/>
  <c r="N312" i="5"/>
  <c r="M312" i="5"/>
  <c r="H318" i="5"/>
  <c r="H319" i="5"/>
  <c r="N314" i="5"/>
  <c r="AA317" i="5"/>
  <c r="N310" i="5"/>
  <c r="M310" i="5"/>
  <c r="H316" i="5"/>
  <c r="H317" i="5"/>
  <c r="N311" i="5"/>
  <c r="M311" i="5"/>
  <c r="T214" i="4"/>
  <c r="D315" i="5"/>
  <c r="AA315" i="5"/>
  <c r="N308" i="5"/>
  <c r="M308" i="5"/>
  <c r="H314" i="5"/>
  <c r="H315" i="5"/>
  <c r="N309" i="5"/>
  <c r="M309" i="5"/>
  <c r="T215" i="4"/>
  <c r="D312" i="5"/>
  <c r="AA313" i="5"/>
  <c r="N306" i="5"/>
  <c r="M306" i="5"/>
  <c r="H312" i="5"/>
  <c r="H313" i="5"/>
  <c r="N307" i="5"/>
  <c r="M307" i="5"/>
  <c r="T216" i="4"/>
  <c r="D310" i="5"/>
  <c r="AA311" i="5"/>
  <c r="M300" i="5"/>
  <c r="N304" i="5"/>
  <c r="M299" i="5"/>
  <c r="M304" i="5"/>
  <c r="H310" i="5"/>
  <c r="H311" i="5"/>
  <c r="M301" i="5"/>
  <c r="N305" i="5"/>
  <c r="M305" i="5"/>
  <c r="T217" i="4"/>
  <c r="D309" i="5"/>
  <c r="AA309" i="5"/>
  <c r="N302" i="5"/>
  <c r="N301" i="5"/>
  <c r="M302" i="5"/>
  <c r="H308" i="5"/>
  <c r="H309" i="5"/>
  <c r="N303" i="5"/>
  <c r="M303" i="5"/>
  <c r="T219" i="4"/>
  <c r="D305" i="5"/>
  <c r="T218" i="4"/>
  <c r="D307" i="5"/>
  <c r="AA307" i="5"/>
  <c r="H306" i="5"/>
  <c r="H307" i="5"/>
  <c r="AA305" i="5"/>
  <c r="N299" i="5"/>
  <c r="N300" i="5"/>
  <c r="T220" i="4"/>
  <c r="D302" i="5"/>
  <c r="H304" i="5"/>
  <c r="H305" i="5"/>
  <c r="AA303" i="5"/>
  <c r="N296" i="5"/>
  <c r="M296" i="5"/>
  <c r="H302" i="5"/>
  <c r="H303" i="5"/>
  <c r="N297" i="5"/>
  <c r="M297" i="5"/>
  <c r="T221" i="4"/>
  <c r="D301" i="5"/>
  <c r="AA301" i="5"/>
  <c r="H300" i="5"/>
  <c r="H301" i="5"/>
  <c r="M288" i="5"/>
  <c r="T222" i="4"/>
  <c r="D298" i="5"/>
  <c r="AA299" i="5"/>
  <c r="N294" i="5"/>
  <c r="T223" i="4"/>
  <c r="D297" i="5"/>
  <c r="M294" i="5"/>
  <c r="H298" i="5"/>
  <c r="H299" i="5"/>
  <c r="N295" i="5"/>
  <c r="M295" i="5"/>
  <c r="AA297" i="5"/>
  <c r="N291" i="5"/>
  <c r="N292" i="5"/>
  <c r="T224" i="4"/>
  <c r="D295" i="5"/>
  <c r="X295" i="5"/>
  <c r="M291" i="5"/>
  <c r="M292" i="5"/>
  <c r="H296" i="5"/>
  <c r="T225" i="4"/>
  <c r="D293" i="5"/>
  <c r="H297" i="5"/>
  <c r="M289" i="5"/>
  <c r="N293" i="5"/>
  <c r="M293" i="5"/>
  <c r="N278" i="5"/>
  <c r="N290" i="5"/>
  <c r="M278" i="5"/>
  <c r="N289" i="5"/>
  <c r="M290" i="5"/>
  <c r="AA295" i="5"/>
  <c r="N288" i="5"/>
  <c r="H294" i="5"/>
  <c r="H295" i="5"/>
  <c r="AA293" i="5"/>
  <c r="H292" i="5"/>
  <c r="H293" i="5"/>
  <c r="T226" i="4"/>
  <c r="D290" i="5"/>
  <c r="AA291" i="5"/>
  <c r="N286" i="5"/>
  <c r="T227" i="4"/>
  <c r="D289" i="5"/>
  <c r="Y289" i="5"/>
  <c r="N285" i="5"/>
  <c r="M286" i="5"/>
  <c r="H290" i="5"/>
  <c r="M285" i="5"/>
  <c r="H291" i="5"/>
  <c r="N287" i="5"/>
  <c r="M287" i="5"/>
  <c r="AA289" i="5"/>
  <c r="H288" i="5"/>
  <c r="H289" i="5"/>
  <c r="M275" i="5"/>
  <c r="M276" i="5"/>
  <c r="M284" i="5"/>
  <c r="T230" i="4"/>
  <c r="D283" i="5"/>
  <c r="Y283" i="5"/>
  <c r="N284" i="5"/>
  <c r="T228" i="4"/>
  <c r="D286" i="5"/>
  <c r="AA287" i="5"/>
  <c r="N281" i="5"/>
  <c r="N282" i="5"/>
  <c r="T229" i="4"/>
  <c r="D284" i="5"/>
  <c r="M281" i="5"/>
  <c r="M282" i="5"/>
  <c r="H286" i="5"/>
  <c r="H287" i="5"/>
  <c r="AA280" i="5"/>
  <c r="N283" i="5"/>
  <c r="M283" i="5"/>
  <c r="D285" i="5"/>
  <c r="AA285" i="5"/>
  <c r="H284" i="5"/>
  <c r="H285" i="5"/>
  <c r="N277" i="5"/>
  <c r="AA283" i="5"/>
  <c r="M277" i="5"/>
  <c r="T231" i="4"/>
  <c r="D281" i="5"/>
  <c r="H282" i="5"/>
  <c r="N276" i="5"/>
  <c r="T232" i="4"/>
  <c r="D279" i="5"/>
  <c r="H283" i="5"/>
  <c r="N279" i="5"/>
  <c r="N280" i="5"/>
  <c r="M279" i="5"/>
  <c r="M280" i="5"/>
  <c r="AA281" i="5"/>
  <c r="N274" i="5"/>
  <c r="M222" i="5"/>
  <c r="M274" i="5"/>
  <c r="H280" i="5"/>
  <c r="N275" i="5"/>
  <c r="AA279" i="5"/>
  <c r="M224" i="5"/>
  <c r="N272" i="5"/>
  <c r="M272" i="5"/>
  <c r="H278" i="5"/>
  <c r="H279" i="5"/>
  <c r="N273" i="5"/>
  <c r="M273" i="5"/>
  <c r="T233" i="4"/>
  <c r="D277" i="5"/>
  <c r="AA277" i="5"/>
  <c r="N270" i="5"/>
  <c r="M270" i="5"/>
  <c r="H276" i="5"/>
  <c r="H277" i="5"/>
  <c r="N271" i="5"/>
  <c r="M271" i="5"/>
  <c r="T234" i="4"/>
  <c r="D274" i="5"/>
  <c r="N268" i="5"/>
  <c r="AA275" i="5"/>
  <c r="M228" i="5"/>
  <c r="M268" i="5"/>
  <c r="H274" i="5"/>
  <c r="H275" i="5"/>
  <c r="N269" i="5"/>
  <c r="M269" i="5"/>
  <c r="T235" i="4"/>
  <c r="D272" i="5"/>
  <c r="AA273" i="5"/>
  <c r="N266" i="5"/>
  <c r="M266" i="5"/>
  <c r="H272" i="5"/>
  <c r="H273" i="5"/>
  <c r="N267" i="5"/>
  <c r="M267" i="5"/>
  <c r="T236" i="4"/>
  <c r="D271" i="5"/>
  <c r="AA271" i="5"/>
  <c r="N228" i="5"/>
  <c r="N232" i="5"/>
  <c r="N264" i="5"/>
  <c r="M264" i="5"/>
  <c r="H270" i="5"/>
  <c r="H271" i="5"/>
  <c r="N265" i="5"/>
  <c r="M265" i="5"/>
  <c r="T237" i="4"/>
  <c r="D269" i="5"/>
  <c r="AA269" i="5"/>
  <c r="N262" i="5"/>
  <c r="M262" i="5"/>
  <c r="H268" i="5"/>
  <c r="H269" i="5"/>
  <c r="N263" i="5"/>
  <c r="M263" i="5"/>
  <c r="T238" i="4"/>
  <c r="D266" i="5"/>
  <c r="AA267" i="5"/>
  <c r="N260" i="5"/>
  <c r="M260" i="5"/>
  <c r="H266" i="5"/>
  <c r="H267" i="5"/>
  <c r="N261" i="5"/>
  <c r="M261" i="5"/>
  <c r="T239" i="4"/>
  <c r="D264" i="5"/>
  <c r="AA265" i="5"/>
  <c r="M254" i="5"/>
  <c r="N258" i="5"/>
  <c r="M258" i="5"/>
  <c r="H264" i="5"/>
  <c r="H265" i="5"/>
  <c r="M255" i="5"/>
  <c r="N259" i="5"/>
  <c r="M259" i="5"/>
  <c r="T241" i="4"/>
  <c r="D260" i="5"/>
  <c r="T240" i="4"/>
  <c r="D262" i="5"/>
  <c r="AA263" i="5"/>
  <c r="N256" i="5"/>
  <c r="N255" i="5"/>
  <c r="M256" i="5"/>
  <c r="H262" i="5"/>
  <c r="H263" i="5"/>
  <c r="N257" i="5"/>
  <c r="M257" i="5"/>
  <c r="AA261" i="5"/>
  <c r="N254" i="5"/>
  <c r="H260" i="5"/>
  <c r="H261" i="5"/>
  <c r="T242" i="4"/>
  <c r="D258" i="5"/>
  <c r="AA259" i="5"/>
  <c r="N252" i="5"/>
  <c r="M252" i="5"/>
  <c r="H258" i="5"/>
  <c r="H259" i="5"/>
  <c r="N253" i="5"/>
  <c r="M253" i="5"/>
  <c r="T243" i="4"/>
  <c r="D257" i="5"/>
  <c r="AA257" i="5"/>
  <c r="N246" i="5"/>
  <c r="H256" i="5"/>
  <c r="H257" i="5"/>
  <c r="T244" i="4"/>
  <c r="D254" i="5"/>
  <c r="N250" i="5"/>
  <c r="AA255" i="5"/>
  <c r="N245" i="5"/>
  <c r="T246" i="4"/>
  <c r="D251" i="5"/>
  <c r="T245" i="4"/>
  <c r="D253" i="5"/>
  <c r="M250" i="5"/>
  <c r="H254" i="5"/>
  <c r="H255" i="5"/>
  <c r="N251" i="5"/>
  <c r="M251" i="5"/>
  <c r="AA253" i="5"/>
  <c r="N247" i="5"/>
  <c r="N248" i="5"/>
  <c r="M243" i="5"/>
  <c r="M247" i="5"/>
  <c r="M248" i="5"/>
  <c r="H252" i="5"/>
  <c r="H253" i="5"/>
  <c r="M245" i="5"/>
  <c r="N249" i="5"/>
  <c r="M249" i="5"/>
  <c r="AA251" i="5"/>
  <c r="M246" i="5"/>
  <c r="T247" i="4"/>
  <c r="D249" i="5"/>
  <c r="H250" i="5"/>
  <c r="M244" i="5"/>
  <c r="H251" i="5"/>
  <c r="AA249" i="5"/>
  <c r="H248" i="5"/>
  <c r="H249" i="5"/>
  <c r="N240" i="5"/>
  <c r="M240" i="5"/>
  <c r="N244" i="5"/>
  <c r="T248" i="4"/>
  <c r="D246" i="5"/>
  <c r="AA247" i="5"/>
  <c r="N241" i="5"/>
  <c r="N242" i="5"/>
  <c r="T249" i="4"/>
  <c r="D245" i="5"/>
  <c r="M241" i="5"/>
  <c r="M242" i="5"/>
  <c r="H246" i="5"/>
  <c r="H247" i="5"/>
  <c r="N234" i="5"/>
  <c r="N243" i="5"/>
  <c r="AA245" i="5"/>
  <c r="N238" i="5"/>
  <c r="M238" i="5"/>
  <c r="H244" i="5"/>
  <c r="H245" i="5"/>
  <c r="N239" i="5"/>
  <c r="M239" i="5"/>
  <c r="T250" i="4"/>
  <c r="D242" i="5"/>
  <c r="AA243" i="5"/>
  <c r="M232" i="5"/>
  <c r="N236" i="5"/>
  <c r="T252" i="4"/>
  <c r="D239" i="5"/>
  <c r="Y239" i="5"/>
  <c r="M236" i="5"/>
  <c r="H242" i="5"/>
  <c r="H243" i="5"/>
  <c r="N237" i="5"/>
  <c r="M237" i="5"/>
  <c r="T251" i="4"/>
  <c r="D240" i="5"/>
  <c r="AA241" i="5"/>
  <c r="M229" i="5"/>
  <c r="N233" i="5"/>
  <c r="M234" i="5"/>
  <c r="M233" i="5"/>
  <c r="H240" i="5"/>
  <c r="H241" i="5"/>
  <c r="N235" i="5"/>
  <c r="M235" i="5"/>
  <c r="AA239" i="5"/>
  <c r="H238" i="5"/>
  <c r="H239" i="5"/>
  <c r="T253" i="4"/>
  <c r="D237" i="5"/>
  <c r="AA237" i="5"/>
  <c r="N230" i="5"/>
  <c r="M225" i="5"/>
  <c r="N229" i="5"/>
  <c r="M230" i="5"/>
  <c r="H236" i="5"/>
  <c r="H237" i="5"/>
  <c r="T254" i="4"/>
  <c r="D235" i="5"/>
  <c r="N231" i="5"/>
  <c r="M231" i="5"/>
  <c r="AA235" i="5"/>
  <c r="H234" i="5"/>
  <c r="H235" i="5"/>
  <c r="T255" i="4"/>
  <c r="D232" i="5"/>
  <c r="AA233" i="5"/>
  <c r="N226" i="5"/>
  <c r="N225" i="5"/>
  <c r="M226" i="5"/>
  <c r="H232" i="5"/>
  <c r="H233" i="5"/>
  <c r="N227" i="5"/>
  <c r="N223" i="5"/>
  <c r="M223" i="5"/>
  <c r="M227" i="5"/>
  <c r="T256" i="4"/>
  <c r="D231" i="5"/>
  <c r="AA231" i="5"/>
  <c r="N224" i="5"/>
  <c r="H230" i="5"/>
  <c r="H231" i="5"/>
  <c r="T257" i="4"/>
  <c r="D229" i="5"/>
  <c r="AA229" i="5"/>
  <c r="N222" i="5"/>
  <c r="H228" i="5"/>
  <c r="H229" i="5"/>
  <c r="T258" i="4"/>
  <c r="D226" i="5"/>
  <c r="AA227" i="5"/>
  <c r="H226" i="5"/>
  <c r="H227" i="5"/>
  <c r="T259" i="4"/>
  <c r="D224" i="5"/>
  <c r="AA225" i="5"/>
  <c r="T260" i="4"/>
  <c r="D223" i="5"/>
  <c r="H224" i="5"/>
  <c r="H225" i="5"/>
  <c r="AA222" i="5"/>
  <c r="AA223" i="5"/>
  <c r="H222" i="5"/>
  <c r="D345" i="5"/>
  <c r="D430" i="5"/>
  <c r="X430" i="5"/>
  <c r="X429" i="5"/>
  <c r="D428" i="5"/>
  <c r="Y428" i="5"/>
  <c r="Z429" i="5"/>
  <c r="D436" i="5"/>
  <c r="Y436" i="5"/>
  <c r="D426" i="5"/>
  <c r="Z426" i="5"/>
  <c r="X435" i="5"/>
  <c r="Z435" i="5"/>
  <c r="D432" i="5"/>
  <c r="X432" i="5"/>
  <c r="X437" i="5"/>
  <c r="Y437" i="5"/>
  <c r="Z437" i="5"/>
  <c r="X434" i="5"/>
  <c r="Y434" i="5"/>
  <c r="Z434" i="5"/>
  <c r="X433" i="5"/>
  <c r="Y433" i="5"/>
  <c r="Z433" i="5"/>
  <c r="X431" i="5"/>
  <c r="Y431" i="5"/>
  <c r="Z431" i="5"/>
  <c r="X411" i="5"/>
  <c r="D424" i="5"/>
  <c r="X424" i="5"/>
  <c r="D385" i="5"/>
  <c r="X385" i="5"/>
  <c r="D422" i="5"/>
  <c r="Y422" i="5"/>
  <c r="X427" i="5"/>
  <c r="Y427" i="5"/>
  <c r="Z427" i="5"/>
  <c r="D414" i="5"/>
  <c r="X414" i="5"/>
  <c r="D419" i="5"/>
  <c r="Y419" i="5"/>
  <c r="D416" i="5"/>
  <c r="X416" i="5"/>
  <c r="X425" i="5"/>
  <c r="Y425" i="5"/>
  <c r="Z425" i="5"/>
  <c r="D410" i="5"/>
  <c r="Y410" i="5"/>
  <c r="D420" i="5"/>
  <c r="Y420" i="5"/>
  <c r="Z411" i="5"/>
  <c r="X423" i="5"/>
  <c r="Y423" i="5"/>
  <c r="Z423" i="5"/>
  <c r="X421" i="5"/>
  <c r="Y421" i="5"/>
  <c r="Z421" i="5"/>
  <c r="D402" i="5"/>
  <c r="Z402" i="5"/>
  <c r="X418" i="5"/>
  <c r="Y418" i="5"/>
  <c r="Z418" i="5"/>
  <c r="X417" i="5"/>
  <c r="Y417" i="5"/>
  <c r="Z417" i="5"/>
  <c r="D412" i="5"/>
  <c r="Y412" i="5"/>
  <c r="X415" i="5"/>
  <c r="Y415" i="5"/>
  <c r="Z415" i="5"/>
  <c r="D408" i="5"/>
  <c r="Y408" i="5"/>
  <c r="Z409" i="5"/>
  <c r="Y409" i="5"/>
  <c r="Z407" i="5"/>
  <c r="D406" i="5"/>
  <c r="X406" i="5"/>
  <c r="Y407" i="5"/>
  <c r="X413" i="5"/>
  <c r="Y413" i="5"/>
  <c r="Z413" i="5"/>
  <c r="D400" i="5"/>
  <c r="X400" i="5"/>
  <c r="Z401" i="5"/>
  <c r="X401" i="5"/>
  <c r="Z403" i="5"/>
  <c r="X403" i="5"/>
  <c r="D404" i="5"/>
  <c r="Y404" i="5"/>
  <c r="D353" i="5"/>
  <c r="X353" i="5"/>
  <c r="D372" i="5"/>
  <c r="Y372" i="5"/>
  <c r="X405" i="5"/>
  <c r="Y405" i="5"/>
  <c r="Z405" i="5"/>
  <c r="D399" i="5"/>
  <c r="Y399" i="5"/>
  <c r="D396" i="5"/>
  <c r="X396" i="5"/>
  <c r="D394" i="5"/>
  <c r="Y394" i="5"/>
  <c r="D392" i="5"/>
  <c r="Z392" i="5"/>
  <c r="X398" i="5"/>
  <c r="Y398" i="5"/>
  <c r="Z398" i="5"/>
  <c r="D391" i="5"/>
  <c r="X391" i="5"/>
  <c r="D370" i="5"/>
  <c r="X370" i="5"/>
  <c r="X397" i="5"/>
  <c r="Y397" i="5"/>
  <c r="Z397" i="5"/>
  <c r="D382" i="5"/>
  <c r="Z382" i="5"/>
  <c r="X395" i="5"/>
  <c r="Y395" i="5"/>
  <c r="Z395" i="5"/>
  <c r="D386" i="5"/>
  <c r="X386" i="5"/>
  <c r="X393" i="5"/>
  <c r="Y393" i="5"/>
  <c r="Z393" i="5"/>
  <c r="D388" i="5"/>
  <c r="Y388" i="5"/>
  <c r="D379" i="5"/>
  <c r="X379" i="5"/>
  <c r="X390" i="5"/>
  <c r="Y390" i="5"/>
  <c r="Z390" i="5"/>
  <c r="D381" i="5"/>
  <c r="X381" i="5"/>
  <c r="D368" i="5"/>
  <c r="X368" i="5"/>
  <c r="Z373" i="5"/>
  <c r="X389" i="5"/>
  <c r="Y389" i="5"/>
  <c r="Z389" i="5"/>
  <c r="X387" i="5"/>
  <c r="Y387" i="5"/>
  <c r="Z387" i="5"/>
  <c r="X384" i="5"/>
  <c r="Y384" i="5"/>
  <c r="Z384" i="5"/>
  <c r="X383" i="5"/>
  <c r="Y383" i="5"/>
  <c r="Z383" i="5"/>
  <c r="D377" i="5"/>
  <c r="Y377" i="5"/>
  <c r="X380" i="5"/>
  <c r="Y380" i="5"/>
  <c r="Z380" i="5"/>
  <c r="Y373" i="5"/>
  <c r="X378" i="5"/>
  <c r="Y378" i="5"/>
  <c r="Z378" i="5"/>
  <c r="D374" i="5"/>
  <c r="X374" i="5"/>
  <c r="X376" i="5"/>
  <c r="Y376" i="5"/>
  <c r="Z376" i="5"/>
  <c r="D363" i="5"/>
  <c r="X363" i="5"/>
  <c r="D367" i="5"/>
  <c r="Y367" i="5"/>
  <c r="X375" i="5"/>
  <c r="Y375" i="5"/>
  <c r="Z375" i="5"/>
  <c r="X371" i="5"/>
  <c r="Y371" i="5"/>
  <c r="Z371" i="5"/>
  <c r="D364" i="5"/>
  <c r="Z364" i="5"/>
  <c r="D361" i="5"/>
  <c r="X361" i="5"/>
  <c r="X369" i="5"/>
  <c r="Y369" i="5"/>
  <c r="Z369" i="5"/>
  <c r="D332" i="5"/>
  <c r="X332" i="5"/>
  <c r="X366" i="5"/>
  <c r="Y366" i="5"/>
  <c r="Z366" i="5"/>
  <c r="X365" i="5"/>
  <c r="Y365" i="5"/>
  <c r="Z365" i="5"/>
  <c r="D356" i="5"/>
  <c r="Y356" i="5"/>
  <c r="X362" i="5"/>
  <c r="Y362" i="5"/>
  <c r="Z362" i="5"/>
  <c r="D358" i="5"/>
  <c r="Z358" i="5"/>
  <c r="X360" i="5"/>
  <c r="Y360" i="5"/>
  <c r="Z360" i="5"/>
  <c r="D349" i="5"/>
  <c r="X349" i="5"/>
  <c r="D351" i="5"/>
  <c r="X351" i="5"/>
  <c r="X359" i="5"/>
  <c r="Y359" i="5"/>
  <c r="Z359" i="5"/>
  <c r="D354" i="5"/>
  <c r="Z354" i="5"/>
  <c r="X357" i="5"/>
  <c r="Y357" i="5"/>
  <c r="Z357" i="5"/>
  <c r="D339" i="5"/>
  <c r="Z339" i="5"/>
  <c r="X355" i="5"/>
  <c r="Y355" i="5"/>
  <c r="Z355" i="5"/>
  <c r="X352" i="5"/>
  <c r="Y352" i="5"/>
  <c r="Z352" i="5"/>
  <c r="D336" i="5"/>
  <c r="X336" i="5"/>
  <c r="X350" i="5"/>
  <c r="Y350" i="5"/>
  <c r="Z350" i="5"/>
  <c r="D346" i="5"/>
  <c r="X346" i="5"/>
  <c r="X348" i="5"/>
  <c r="Y348" i="5"/>
  <c r="Z348" i="5"/>
  <c r="X347" i="5"/>
  <c r="Y347" i="5"/>
  <c r="Z347" i="5"/>
  <c r="D340" i="5"/>
  <c r="Z340" i="5"/>
  <c r="D342" i="5"/>
  <c r="Z342" i="5"/>
  <c r="X344" i="5"/>
  <c r="Y344" i="5"/>
  <c r="Z344" i="5"/>
  <c r="X343" i="5"/>
  <c r="Y343" i="5"/>
  <c r="Z343" i="5"/>
  <c r="D327" i="5"/>
  <c r="Y327" i="5"/>
  <c r="Z333" i="5"/>
  <c r="X341" i="5"/>
  <c r="Y341" i="5"/>
  <c r="Z341" i="5"/>
  <c r="Y333" i="5"/>
  <c r="X338" i="5"/>
  <c r="Y338" i="5"/>
  <c r="Z338" i="5"/>
  <c r="D335" i="5"/>
  <c r="Y335" i="5"/>
  <c r="D328" i="5"/>
  <c r="X328" i="5"/>
  <c r="X337" i="5"/>
  <c r="Y337" i="5"/>
  <c r="Z337" i="5"/>
  <c r="Z329" i="5"/>
  <c r="Y329" i="5"/>
  <c r="D261" i="5"/>
  <c r="X261" i="5"/>
  <c r="X334" i="5"/>
  <c r="Y334" i="5"/>
  <c r="Z334" i="5"/>
  <c r="D330" i="5"/>
  <c r="X330" i="5"/>
  <c r="D325" i="5"/>
  <c r="X325" i="5"/>
  <c r="D320" i="5"/>
  <c r="X320" i="5"/>
  <c r="X331" i="5"/>
  <c r="Y331" i="5"/>
  <c r="Z331" i="5"/>
  <c r="D319" i="5"/>
  <c r="Y319" i="5"/>
  <c r="X326" i="5"/>
  <c r="Y326" i="5"/>
  <c r="Z326" i="5"/>
  <c r="X324" i="5"/>
  <c r="Y324" i="5"/>
  <c r="Z324" i="5"/>
  <c r="Z317" i="5"/>
  <c r="Y317" i="5"/>
  <c r="D316" i="5"/>
  <c r="X316" i="5"/>
  <c r="X322" i="5"/>
  <c r="Y322" i="5"/>
  <c r="Z322" i="5"/>
  <c r="D314" i="5"/>
  <c r="X314" i="5"/>
  <c r="X323" i="5"/>
  <c r="Y323" i="5"/>
  <c r="Z323" i="5"/>
  <c r="D313" i="5"/>
  <c r="Y313" i="5"/>
  <c r="X321" i="5"/>
  <c r="Y321" i="5"/>
  <c r="Z321" i="5"/>
  <c r="X318" i="5"/>
  <c r="Y318" i="5"/>
  <c r="Z318" i="5"/>
  <c r="D311" i="5"/>
  <c r="X311" i="5"/>
  <c r="D308" i="5"/>
  <c r="X308" i="5"/>
  <c r="X315" i="5"/>
  <c r="Y315" i="5"/>
  <c r="Z315" i="5"/>
  <c r="D306" i="5"/>
  <c r="Z306" i="5"/>
  <c r="X312" i="5"/>
  <c r="Y312" i="5"/>
  <c r="Z312" i="5"/>
  <c r="D304" i="5"/>
  <c r="Z304" i="5"/>
  <c r="X310" i="5"/>
  <c r="Y310" i="5"/>
  <c r="Z310" i="5"/>
  <c r="D294" i="5"/>
  <c r="Y294" i="5"/>
  <c r="X309" i="5"/>
  <c r="Y309" i="5"/>
  <c r="Z309" i="5"/>
  <c r="D303" i="5"/>
  <c r="Z303" i="5"/>
  <c r="D296" i="5"/>
  <c r="Y296" i="5"/>
  <c r="X307" i="5"/>
  <c r="Y307" i="5"/>
  <c r="Z307" i="5"/>
  <c r="X305" i="5"/>
  <c r="Y305" i="5"/>
  <c r="Z305" i="5"/>
  <c r="D300" i="5"/>
  <c r="Z300" i="5"/>
  <c r="X302" i="5"/>
  <c r="Y302" i="5"/>
  <c r="Z302" i="5"/>
  <c r="D299" i="5"/>
  <c r="Y299" i="5"/>
  <c r="Z295" i="5"/>
  <c r="X301" i="5"/>
  <c r="Y301" i="5"/>
  <c r="Z301" i="5"/>
  <c r="X298" i="5"/>
  <c r="Y298" i="5"/>
  <c r="Z298" i="5"/>
  <c r="D292" i="5"/>
  <c r="Z292" i="5"/>
  <c r="Y295" i="5"/>
  <c r="X297" i="5"/>
  <c r="Y297" i="5"/>
  <c r="Z297" i="5"/>
  <c r="X283" i="5"/>
  <c r="X289" i="5"/>
  <c r="D291" i="5"/>
  <c r="Z291" i="5"/>
  <c r="D287" i="5"/>
  <c r="X287" i="5"/>
  <c r="Z289" i="5"/>
  <c r="D288" i="5"/>
  <c r="Y288" i="5"/>
  <c r="X293" i="5"/>
  <c r="Y293" i="5"/>
  <c r="Z293" i="5"/>
  <c r="D280" i="5"/>
  <c r="X280" i="5"/>
  <c r="X290" i="5"/>
  <c r="Y290" i="5"/>
  <c r="Z290" i="5"/>
  <c r="Z283" i="5"/>
  <c r="D282" i="5"/>
  <c r="Y282" i="5"/>
  <c r="D278" i="5"/>
  <c r="Y278" i="5"/>
  <c r="X286" i="5"/>
  <c r="Y286" i="5"/>
  <c r="Z286" i="5"/>
  <c r="X284" i="5"/>
  <c r="Y284" i="5"/>
  <c r="Z284" i="5"/>
  <c r="X285" i="5"/>
  <c r="Y285" i="5"/>
  <c r="Z285" i="5"/>
  <c r="D273" i="5"/>
  <c r="X273" i="5"/>
  <c r="D275" i="5"/>
  <c r="X275" i="5"/>
  <c r="X281" i="5"/>
  <c r="Y281" i="5"/>
  <c r="Z281" i="5"/>
  <c r="D276" i="5"/>
  <c r="X276" i="5"/>
  <c r="X279" i="5"/>
  <c r="Y279" i="5"/>
  <c r="Z279" i="5"/>
  <c r="X277" i="5"/>
  <c r="Y277" i="5"/>
  <c r="Z277" i="5"/>
  <c r="X274" i="5"/>
  <c r="Y274" i="5"/>
  <c r="Z274" i="5"/>
  <c r="D267" i="5"/>
  <c r="Z267" i="5"/>
  <c r="D270" i="5"/>
  <c r="Y270" i="5"/>
  <c r="X272" i="5"/>
  <c r="Y272" i="5"/>
  <c r="Z272" i="5"/>
  <c r="D268" i="5"/>
  <c r="Y268" i="5"/>
  <c r="X271" i="5"/>
  <c r="Y271" i="5"/>
  <c r="Z271" i="5"/>
  <c r="D265" i="5"/>
  <c r="Y265" i="5"/>
  <c r="X269" i="5"/>
  <c r="Y269" i="5"/>
  <c r="Z269" i="5"/>
  <c r="D263" i="5"/>
  <c r="Z263" i="5"/>
  <c r="X266" i="5"/>
  <c r="Y266" i="5"/>
  <c r="Z266" i="5"/>
  <c r="X264" i="5"/>
  <c r="Y264" i="5"/>
  <c r="Z264" i="5"/>
  <c r="D250" i="5"/>
  <c r="X250" i="5"/>
  <c r="X262" i="5"/>
  <c r="Y262" i="5"/>
  <c r="Z262" i="5"/>
  <c r="D259" i="5"/>
  <c r="X259" i="5"/>
  <c r="D241" i="5"/>
  <c r="X241" i="5"/>
  <c r="X260" i="5"/>
  <c r="Y260" i="5"/>
  <c r="Z260" i="5"/>
  <c r="D244" i="5"/>
  <c r="X244" i="5"/>
  <c r="D256" i="5"/>
  <c r="X256" i="5"/>
  <c r="X258" i="5"/>
  <c r="Y258" i="5"/>
  <c r="Z258" i="5"/>
  <c r="D247" i="5"/>
  <c r="X247" i="5"/>
  <c r="D255" i="5"/>
  <c r="X255" i="5"/>
  <c r="D252" i="5"/>
  <c r="Y252" i="5"/>
  <c r="X257" i="5"/>
  <c r="Y257" i="5"/>
  <c r="Z257" i="5"/>
  <c r="X254" i="5"/>
  <c r="Y254" i="5"/>
  <c r="Z254" i="5"/>
  <c r="D248" i="5"/>
  <c r="X248" i="5"/>
  <c r="X253" i="5"/>
  <c r="Y253" i="5"/>
  <c r="Z253" i="5"/>
  <c r="X251" i="5"/>
  <c r="Y251" i="5"/>
  <c r="Z251" i="5"/>
  <c r="D243" i="5"/>
  <c r="X243" i="5"/>
  <c r="X249" i="5"/>
  <c r="Y249" i="5"/>
  <c r="Z249" i="5"/>
  <c r="D233" i="5"/>
  <c r="Z233" i="5"/>
  <c r="D238" i="5"/>
  <c r="Z238" i="5"/>
  <c r="D230" i="5"/>
  <c r="X230" i="5"/>
  <c r="Z239" i="5"/>
  <c r="X246" i="5"/>
  <c r="Y246" i="5"/>
  <c r="Z246" i="5"/>
  <c r="X245" i="5"/>
  <c r="Y245" i="5"/>
  <c r="Z245" i="5"/>
  <c r="X239" i="5"/>
  <c r="X242" i="5"/>
  <c r="Y242" i="5"/>
  <c r="Z242" i="5"/>
  <c r="D236" i="5"/>
  <c r="Y236" i="5"/>
  <c r="X240" i="5"/>
  <c r="Y240" i="5"/>
  <c r="Z240" i="5"/>
  <c r="D228" i="5"/>
  <c r="Z228" i="5"/>
  <c r="D222" i="5"/>
  <c r="Z222" i="5"/>
  <c r="D234" i="5"/>
  <c r="Y234" i="5"/>
  <c r="X237" i="5"/>
  <c r="Y237" i="5"/>
  <c r="Z237" i="5"/>
  <c r="X235" i="5"/>
  <c r="Y235" i="5"/>
  <c r="Z235" i="5"/>
  <c r="X232" i="5"/>
  <c r="Y232" i="5"/>
  <c r="Z232" i="5"/>
  <c r="D225" i="5"/>
  <c r="X225" i="5"/>
  <c r="X231" i="5"/>
  <c r="Y231" i="5"/>
  <c r="Z231" i="5"/>
  <c r="D227" i="5"/>
  <c r="Z227" i="5"/>
  <c r="X229" i="5"/>
  <c r="Y229" i="5"/>
  <c r="Z229" i="5"/>
  <c r="X226" i="5"/>
  <c r="Y226" i="5"/>
  <c r="Z226" i="5"/>
  <c r="X224" i="5"/>
  <c r="Y224" i="5"/>
  <c r="Z224" i="5"/>
  <c r="X223" i="5"/>
  <c r="Y223" i="5"/>
  <c r="Z223" i="5"/>
  <c r="X345" i="5"/>
  <c r="Y345" i="5"/>
  <c r="Z345" i="5"/>
  <c r="Z430" i="5"/>
  <c r="Y430" i="5"/>
  <c r="X428" i="5"/>
  <c r="U429" i="5"/>
  <c r="Z428" i="5"/>
  <c r="X436" i="5"/>
  <c r="Z436" i="5"/>
  <c r="X422" i="5"/>
  <c r="Y426" i="5"/>
  <c r="X426" i="5"/>
  <c r="U411" i="5"/>
  <c r="Z432" i="5"/>
  <c r="U434" i="5"/>
  <c r="U435" i="5"/>
  <c r="Y353" i="5"/>
  <c r="Y432" i="5"/>
  <c r="U437" i="5"/>
  <c r="Z410" i="5"/>
  <c r="U433" i="5"/>
  <c r="Y416" i="5"/>
  <c r="X419" i="5"/>
  <c r="X420" i="5"/>
  <c r="U431" i="5"/>
  <c r="U407" i="5"/>
  <c r="Z385" i="5"/>
  <c r="Y385" i="5"/>
  <c r="Z422" i="5"/>
  <c r="Z424" i="5"/>
  <c r="Y424" i="5"/>
  <c r="Z416" i="5"/>
  <c r="U427" i="5"/>
  <c r="Z414" i="5"/>
  <c r="Y414" i="5"/>
  <c r="U425" i="5"/>
  <c r="X410" i="5"/>
  <c r="Z419" i="5"/>
  <c r="Y402" i="5"/>
  <c r="U423" i="5"/>
  <c r="X402" i="5"/>
  <c r="Z420" i="5"/>
  <c r="U421" i="5"/>
  <c r="X372" i="5"/>
  <c r="U403" i="5"/>
  <c r="U418" i="5"/>
  <c r="Y400" i="5"/>
  <c r="U409" i="5"/>
  <c r="Z412" i="5"/>
  <c r="X412" i="5"/>
  <c r="U417" i="5"/>
  <c r="Z400" i="5"/>
  <c r="Z408" i="5"/>
  <c r="U415" i="5"/>
  <c r="X408" i="5"/>
  <c r="Z406" i="5"/>
  <c r="Y406" i="5"/>
  <c r="U401" i="5"/>
  <c r="U413" i="5"/>
  <c r="Z372" i="5"/>
  <c r="X404" i="5"/>
  <c r="Z353" i="5"/>
  <c r="U405" i="5"/>
  <c r="X394" i="5"/>
  <c r="Z404" i="5"/>
  <c r="Z399" i="5"/>
  <c r="X399" i="5"/>
  <c r="U397" i="5"/>
  <c r="Y370" i="5"/>
  <c r="X392" i="5"/>
  <c r="Z396" i="5"/>
  <c r="Y396" i="5"/>
  <c r="Y392" i="5"/>
  <c r="Z394" i="5"/>
  <c r="U390" i="5"/>
  <c r="Z370" i="5"/>
  <c r="Y382" i="5"/>
  <c r="U398" i="5"/>
  <c r="X382" i="5"/>
  <c r="Z391" i="5"/>
  <c r="Y391" i="5"/>
  <c r="U395" i="5"/>
  <c r="Z386" i="5"/>
  <c r="Y386" i="5"/>
  <c r="Z368" i="5"/>
  <c r="Y368" i="5"/>
  <c r="Z381" i="5"/>
  <c r="Y381" i="5"/>
  <c r="Z379" i="5"/>
  <c r="U393" i="5"/>
  <c r="Y379" i="5"/>
  <c r="X388" i="5"/>
  <c r="Z388" i="5"/>
  <c r="U389" i="5"/>
  <c r="U373" i="5"/>
  <c r="U387" i="5"/>
  <c r="U384" i="5"/>
  <c r="U380" i="5"/>
  <c r="U383" i="5"/>
  <c r="X377" i="5"/>
  <c r="Y363" i="5"/>
  <c r="X367" i="5"/>
  <c r="U375" i="5"/>
  <c r="U376" i="5"/>
  <c r="Z377" i="5"/>
  <c r="U378" i="5"/>
  <c r="Z363" i="5"/>
  <c r="Z374" i="5"/>
  <c r="Y374" i="5"/>
  <c r="Z367" i="5"/>
  <c r="X358" i="5"/>
  <c r="Z356" i="5"/>
  <c r="Z361" i="5"/>
  <c r="Y361" i="5"/>
  <c r="Y364" i="5"/>
  <c r="Y354" i="5"/>
  <c r="U369" i="5"/>
  <c r="U371" i="5"/>
  <c r="Y351" i="5"/>
  <c r="Z332" i="5"/>
  <c r="X354" i="5"/>
  <c r="X364" i="5"/>
  <c r="Y332" i="5"/>
  <c r="U366" i="5"/>
  <c r="U360" i="5"/>
  <c r="X356" i="5"/>
  <c r="Y358" i="5"/>
  <c r="U362" i="5"/>
  <c r="U365" i="5"/>
  <c r="Z349" i="5"/>
  <c r="Z351" i="5"/>
  <c r="Y339" i="5"/>
  <c r="U359" i="5"/>
  <c r="Y349" i="5"/>
  <c r="U357" i="5"/>
  <c r="X339" i="5"/>
  <c r="X340" i="5"/>
  <c r="U329" i="5"/>
  <c r="Y342" i="5"/>
  <c r="U352" i="5"/>
  <c r="U355" i="5"/>
  <c r="U337" i="5"/>
  <c r="Z346" i="5"/>
  <c r="Y336" i="5"/>
  <c r="U350" i="5"/>
  <c r="Z336" i="5"/>
  <c r="Y346" i="5"/>
  <c r="Z261" i="5"/>
  <c r="Y261" i="5"/>
  <c r="X342" i="5"/>
  <c r="U348" i="5"/>
  <c r="U344" i="5"/>
  <c r="Y340" i="5"/>
  <c r="U333" i="5"/>
  <c r="U347" i="5"/>
  <c r="X327" i="5"/>
  <c r="Z335" i="5"/>
  <c r="X335" i="5"/>
  <c r="U341" i="5"/>
  <c r="U343" i="5"/>
  <c r="Z327" i="5"/>
  <c r="U338" i="5"/>
  <c r="Z328" i="5"/>
  <c r="Y328" i="5"/>
  <c r="Z330" i="5"/>
  <c r="U334" i="5"/>
  <c r="Y330" i="5"/>
  <c r="Y320" i="5"/>
  <c r="Z325" i="5"/>
  <c r="Y325" i="5"/>
  <c r="Z320" i="5"/>
  <c r="U331" i="5"/>
  <c r="X319" i="5"/>
  <c r="U326" i="5"/>
  <c r="Y314" i="5"/>
  <c r="Z319" i="5"/>
  <c r="Y316" i="5"/>
  <c r="U317" i="5"/>
  <c r="Y308" i="5"/>
  <c r="U324" i="5"/>
  <c r="Z314" i="5"/>
  <c r="U323" i="5"/>
  <c r="Z316" i="5"/>
  <c r="U322" i="5"/>
  <c r="Z313" i="5"/>
  <c r="X313" i="5"/>
  <c r="Z311" i="5"/>
  <c r="U321" i="5"/>
  <c r="Y311" i="5"/>
  <c r="U318" i="5"/>
  <c r="Y304" i="5"/>
  <c r="Z308" i="5"/>
  <c r="Y306" i="5"/>
  <c r="U315" i="5"/>
  <c r="X304" i="5"/>
  <c r="X294" i="5"/>
  <c r="Y303" i="5"/>
  <c r="X306" i="5"/>
  <c r="X292" i="5"/>
  <c r="U312" i="5"/>
  <c r="U310" i="5"/>
  <c r="X303" i="5"/>
  <c r="Z296" i="5"/>
  <c r="Z294" i="5"/>
  <c r="U307" i="5"/>
  <c r="U309" i="5"/>
  <c r="X296" i="5"/>
  <c r="X299" i="5"/>
  <c r="X300" i="5"/>
  <c r="U302" i="5"/>
  <c r="U305" i="5"/>
  <c r="Y300" i="5"/>
  <c r="Z287" i="5"/>
  <c r="U297" i="5"/>
  <c r="U283" i="5"/>
  <c r="U295" i="5"/>
  <c r="Z299" i="5"/>
  <c r="U301" i="5"/>
  <c r="Y292" i="5"/>
  <c r="U298" i="5"/>
  <c r="X282" i="5"/>
  <c r="U289" i="5"/>
  <c r="X288" i="5"/>
  <c r="X291" i="5"/>
  <c r="Y291" i="5"/>
  <c r="Z280" i="5"/>
  <c r="U293" i="5"/>
  <c r="Z282" i="5"/>
  <c r="Y287" i="5"/>
  <c r="Z288" i="5"/>
  <c r="U290" i="5"/>
  <c r="Y280" i="5"/>
  <c r="X278" i="5"/>
  <c r="Z278" i="5"/>
  <c r="U285" i="5"/>
  <c r="U286" i="5"/>
  <c r="X270" i="5"/>
  <c r="U281" i="5"/>
  <c r="Y276" i="5"/>
  <c r="U284" i="5"/>
  <c r="Z273" i="5"/>
  <c r="Y273" i="5"/>
  <c r="Z275" i="5"/>
  <c r="Y275" i="5"/>
  <c r="Z276" i="5"/>
  <c r="U279" i="5"/>
  <c r="U277" i="5"/>
  <c r="Y267" i="5"/>
  <c r="X267" i="5"/>
  <c r="X268" i="5"/>
  <c r="X265" i="5"/>
  <c r="U272" i="5"/>
  <c r="U274" i="5"/>
  <c r="U271" i="5"/>
  <c r="Y263" i="5"/>
  <c r="Z270" i="5"/>
  <c r="X263" i="5"/>
  <c r="Z268" i="5"/>
  <c r="U269" i="5"/>
  <c r="Z265" i="5"/>
  <c r="U266" i="5"/>
  <c r="U258" i="5"/>
  <c r="U260" i="5"/>
  <c r="U262" i="5"/>
  <c r="U264" i="5"/>
  <c r="Z250" i="5"/>
  <c r="Y250" i="5"/>
  <c r="Y244" i="5"/>
  <c r="Z259" i="5"/>
  <c r="Y247" i="5"/>
  <c r="Y259" i="5"/>
  <c r="Z241" i="5"/>
  <c r="Y241" i="5"/>
  <c r="Z244" i="5"/>
  <c r="Z252" i="5"/>
  <c r="Z256" i="5"/>
  <c r="Y256" i="5"/>
  <c r="Z247" i="5"/>
  <c r="X252" i="5"/>
  <c r="Z255" i="5"/>
  <c r="U257" i="5"/>
  <c r="Y255" i="5"/>
  <c r="U254" i="5"/>
  <c r="Z248" i="5"/>
  <c r="Y248" i="5"/>
  <c r="U253" i="5"/>
  <c r="U239" i="5"/>
  <c r="X236" i="5"/>
  <c r="U251" i="5"/>
  <c r="Y243" i="5"/>
  <c r="Z243" i="5"/>
  <c r="U245" i="5"/>
  <c r="U249" i="5"/>
  <c r="X233" i="5"/>
  <c r="Y238" i="5"/>
  <c r="Y233" i="5"/>
  <c r="X238" i="5"/>
  <c r="Z230" i="5"/>
  <c r="Y230" i="5"/>
  <c r="U246" i="5"/>
  <c r="Z236" i="5"/>
  <c r="U242" i="5"/>
  <c r="U240" i="5"/>
  <c r="Y222" i="5"/>
  <c r="X228" i="5"/>
  <c r="X222" i="5"/>
  <c r="Y228" i="5"/>
  <c r="X234" i="5"/>
  <c r="Z234" i="5"/>
  <c r="U237" i="5"/>
  <c r="U235" i="5"/>
  <c r="U232" i="5"/>
  <c r="X227" i="5"/>
  <c r="Z225" i="5"/>
  <c r="Y227" i="5"/>
  <c r="Y225" i="5"/>
  <c r="U231" i="5"/>
  <c r="U229" i="5"/>
  <c r="U226" i="5"/>
  <c r="U224" i="5"/>
  <c r="U223" i="5"/>
  <c r="U345" i="5"/>
  <c r="U436" i="5"/>
  <c r="U430" i="5"/>
  <c r="U428" i="5"/>
  <c r="U426" i="5"/>
  <c r="U432" i="5"/>
  <c r="U422" i="5"/>
  <c r="U353" i="5"/>
  <c r="U419" i="5"/>
  <c r="U410" i="5"/>
  <c r="U420" i="5"/>
  <c r="U385" i="5"/>
  <c r="U416" i="5"/>
  <c r="U402" i="5"/>
  <c r="U424" i="5"/>
  <c r="U414" i="5"/>
  <c r="U412" i="5"/>
  <c r="U372" i="5"/>
  <c r="U408" i="5"/>
  <c r="U406" i="5"/>
  <c r="U400" i="5"/>
  <c r="U399" i="5"/>
  <c r="U404" i="5"/>
  <c r="U392" i="5"/>
  <c r="U394" i="5"/>
  <c r="U364" i="5"/>
  <c r="U370" i="5"/>
  <c r="U382" i="5"/>
  <c r="U396" i="5"/>
  <c r="U391" i="5"/>
  <c r="U368" i="5"/>
  <c r="U386" i="5"/>
  <c r="U379" i="5"/>
  <c r="U381" i="5"/>
  <c r="U363" i="5"/>
  <c r="U388" i="5"/>
  <c r="U374" i="5"/>
  <c r="U377" i="5"/>
  <c r="U351" i="5"/>
  <c r="U358" i="5"/>
  <c r="U268" i="5"/>
  <c r="U367" i="5"/>
  <c r="U332" i="5"/>
  <c r="U354" i="5"/>
  <c r="U356" i="5"/>
  <c r="U361" i="5"/>
  <c r="U340" i="5"/>
  <c r="U342" i="5"/>
  <c r="U349" i="5"/>
  <c r="U336" i="5"/>
  <c r="U339" i="5"/>
  <c r="U346" i="5"/>
  <c r="U335" i="5"/>
  <c r="U261" i="5"/>
  <c r="U328" i="5"/>
  <c r="U327" i="5"/>
  <c r="U330" i="5"/>
  <c r="U319" i="5"/>
  <c r="U325" i="5"/>
  <c r="U320" i="5"/>
  <c r="U314" i="5"/>
  <c r="U311" i="5"/>
  <c r="U316" i="5"/>
  <c r="U308" i="5"/>
  <c r="U313" i="5"/>
  <c r="U288" i="5"/>
  <c r="U303" i="5"/>
  <c r="U304" i="5"/>
  <c r="U292" i="5"/>
  <c r="U306" i="5"/>
  <c r="U282" i="5"/>
  <c r="U294" i="5"/>
  <c r="U296" i="5"/>
  <c r="U300" i="5"/>
  <c r="U287" i="5"/>
  <c r="U299" i="5"/>
  <c r="U291" i="5"/>
  <c r="U280" i="5"/>
  <c r="U275" i="5"/>
  <c r="U278" i="5"/>
  <c r="U273" i="5"/>
  <c r="U276" i="5"/>
  <c r="U270" i="5"/>
  <c r="U267" i="5"/>
  <c r="U265" i="5"/>
  <c r="U252" i="5"/>
  <c r="U263" i="5"/>
  <c r="U247" i="5"/>
  <c r="U259" i="5"/>
  <c r="U250" i="5"/>
  <c r="U256" i="5"/>
  <c r="U241" i="5"/>
  <c r="U244" i="5"/>
  <c r="U255" i="5"/>
  <c r="U248" i="5"/>
  <c r="U233" i="5"/>
  <c r="U236" i="5"/>
  <c r="U238" i="5"/>
  <c r="U243" i="5"/>
  <c r="U230" i="5"/>
  <c r="U222" i="5"/>
  <c r="U228" i="5"/>
  <c r="U234" i="5"/>
  <c r="U225" i="5"/>
  <c r="U227" i="5"/>
  <c r="B221" i="5"/>
  <c r="E221" i="5"/>
  <c r="F221" i="5"/>
  <c r="I221" i="5"/>
  <c r="J221" i="5"/>
  <c r="K221" i="5" a="1"/>
  <c r="L221" i="5" a="1"/>
  <c r="O221" i="5"/>
  <c r="P221" i="5"/>
  <c r="Q221" i="5"/>
  <c r="R221" i="5"/>
  <c r="S221" i="5"/>
  <c r="T221" i="5"/>
  <c r="AB221" i="5"/>
  <c r="B220" i="5"/>
  <c r="E220" i="5"/>
  <c r="F220" i="5"/>
  <c r="I220" i="5"/>
  <c r="J220" i="5"/>
  <c r="K220" i="5" a="1"/>
  <c r="L220" i="5" a="1"/>
  <c r="O220" i="5"/>
  <c r="P220" i="5"/>
  <c r="Q220" i="5"/>
  <c r="R220" i="5"/>
  <c r="S220" i="5"/>
  <c r="T220" i="5"/>
  <c r="AB220" i="5"/>
  <c r="A261" i="4"/>
  <c r="E261" i="4"/>
  <c r="H261" i="4"/>
  <c r="M261" i="4"/>
  <c r="S261" i="4"/>
  <c r="W261" i="4"/>
  <c r="X261" i="4"/>
  <c r="Y261" i="4"/>
  <c r="Z261" i="4"/>
  <c r="AA220" i="5"/>
  <c r="AA261" i="4"/>
  <c r="B219" i="5"/>
  <c r="E219" i="5"/>
  <c r="F219" i="5"/>
  <c r="I219" i="5"/>
  <c r="J219" i="5"/>
  <c r="K219" i="5" a="1"/>
  <c r="L219" i="5" a="1"/>
  <c r="O219" i="5"/>
  <c r="P219" i="5"/>
  <c r="Q219" i="5"/>
  <c r="R219" i="5"/>
  <c r="S219" i="5"/>
  <c r="T219" i="5"/>
  <c r="AB219" i="5"/>
  <c r="B218" i="5"/>
  <c r="E218" i="5"/>
  <c r="F218" i="5"/>
  <c r="I218" i="5"/>
  <c r="J218" i="5"/>
  <c r="K218" i="5" a="1"/>
  <c r="L218" i="5" a="1"/>
  <c r="O218" i="5"/>
  <c r="P218" i="5"/>
  <c r="Q218" i="5"/>
  <c r="R218" i="5"/>
  <c r="S218" i="5"/>
  <c r="T218" i="5"/>
  <c r="AB218" i="5"/>
  <c r="A262" i="4"/>
  <c r="E262" i="4"/>
  <c r="H262" i="4"/>
  <c r="M262" i="4"/>
  <c r="S262" i="4"/>
  <c r="W262" i="4"/>
  <c r="X262" i="4"/>
  <c r="Y262" i="4"/>
  <c r="Z262" i="4"/>
  <c r="AA218" i="5"/>
  <c r="AA262" i="4"/>
  <c r="B217" i="5"/>
  <c r="E217" i="5"/>
  <c r="F217" i="5"/>
  <c r="I217" i="5"/>
  <c r="J217" i="5"/>
  <c r="K217" i="5" a="1"/>
  <c r="L217" i="5" a="1"/>
  <c r="O217" i="5"/>
  <c r="P217" i="5"/>
  <c r="Q217" i="5"/>
  <c r="R217" i="5"/>
  <c r="S217" i="5"/>
  <c r="T217" i="5"/>
  <c r="AB217" i="5"/>
  <c r="B216" i="5"/>
  <c r="E216" i="5"/>
  <c r="F216" i="5"/>
  <c r="I216" i="5"/>
  <c r="J216" i="5"/>
  <c r="K216" i="5" a="1"/>
  <c r="L216" i="5" a="1"/>
  <c r="O216" i="5"/>
  <c r="P216" i="5"/>
  <c r="Q216" i="5"/>
  <c r="R216" i="5"/>
  <c r="S216" i="5"/>
  <c r="T216" i="5"/>
  <c r="AB216" i="5"/>
  <c r="A263" i="4"/>
  <c r="E263" i="4"/>
  <c r="H263" i="4"/>
  <c r="M263" i="4"/>
  <c r="S263" i="4"/>
  <c r="W263" i="4"/>
  <c r="X263" i="4"/>
  <c r="Y263" i="4"/>
  <c r="Z263" i="4"/>
  <c r="AA216" i="5"/>
  <c r="AA263" i="4"/>
  <c r="B215" i="5"/>
  <c r="E215" i="5"/>
  <c r="F215" i="5"/>
  <c r="I215" i="5"/>
  <c r="J215" i="5"/>
  <c r="K215" i="5" a="1"/>
  <c r="L215" i="5" a="1"/>
  <c r="O215" i="5"/>
  <c r="P215" i="5"/>
  <c r="Q215" i="5"/>
  <c r="R215" i="5"/>
  <c r="S215" i="5"/>
  <c r="T215" i="5"/>
  <c r="AB215" i="5"/>
  <c r="B214" i="5"/>
  <c r="E214" i="5"/>
  <c r="F214" i="5"/>
  <c r="I214" i="5"/>
  <c r="J214" i="5"/>
  <c r="K214" i="5" a="1"/>
  <c r="L214" i="5" a="1"/>
  <c r="O214" i="5"/>
  <c r="P214" i="5"/>
  <c r="Q214" i="5"/>
  <c r="R214" i="5"/>
  <c r="S214" i="5"/>
  <c r="T214" i="5"/>
  <c r="AB214" i="5"/>
  <c r="A264" i="4"/>
  <c r="E264" i="4"/>
  <c r="H264" i="4"/>
  <c r="M264" i="4"/>
  <c r="S264" i="4"/>
  <c r="W264" i="4"/>
  <c r="X264" i="4"/>
  <c r="Y264" i="4"/>
  <c r="Z264" i="4"/>
  <c r="AA214" i="5"/>
  <c r="AA264" i="4"/>
  <c r="B213" i="5"/>
  <c r="E213" i="5"/>
  <c r="F213" i="5"/>
  <c r="I213" i="5"/>
  <c r="J213" i="5"/>
  <c r="K213" i="5" a="1"/>
  <c r="L213" i="5" a="1"/>
  <c r="O213" i="5"/>
  <c r="P213" i="5"/>
  <c r="Q213" i="5"/>
  <c r="R213" i="5"/>
  <c r="S213" i="5"/>
  <c r="T213" i="5"/>
  <c r="AB213" i="5"/>
  <c r="B212" i="5"/>
  <c r="E212" i="5"/>
  <c r="F212" i="5"/>
  <c r="I212" i="5"/>
  <c r="J212" i="5"/>
  <c r="K212" i="5" a="1"/>
  <c r="L212" i="5" a="1"/>
  <c r="O212" i="5"/>
  <c r="P212" i="5"/>
  <c r="Q212" i="5"/>
  <c r="R212" i="5"/>
  <c r="S212" i="5"/>
  <c r="T212" i="5"/>
  <c r="AB212" i="5"/>
  <c r="A265" i="4"/>
  <c r="E265" i="4"/>
  <c r="H265" i="4"/>
  <c r="M265" i="4"/>
  <c r="S265" i="4"/>
  <c r="W265" i="4"/>
  <c r="X265" i="4"/>
  <c r="Y265" i="4"/>
  <c r="Z265" i="4"/>
  <c r="AA212" i="5"/>
  <c r="AA265" i="4"/>
  <c r="B211" i="5"/>
  <c r="E211" i="5"/>
  <c r="F211" i="5"/>
  <c r="I211" i="5"/>
  <c r="J211" i="5"/>
  <c r="K211" i="5" a="1"/>
  <c r="L211" i="5" a="1"/>
  <c r="O211" i="5"/>
  <c r="P211" i="5"/>
  <c r="Q211" i="5"/>
  <c r="R211" i="5"/>
  <c r="S211" i="5"/>
  <c r="T211" i="5"/>
  <c r="AB211" i="5"/>
  <c r="B210" i="5"/>
  <c r="E210" i="5"/>
  <c r="F210" i="5"/>
  <c r="I210" i="5"/>
  <c r="J210" i="5"/>
  <c r="K210" i="5" a="1"/>
  <c r="L210" i="5" a="1"/>
  <c r="O210" i="5"/>
  <c r="P210" i="5"/>
  <c r="Q210" i="5"/>
  <c r="R210" i="5"/>
  <c r="S210" i="5"/>
  <c r="T210" i="5"/>
  <c r="AB210" i="5"/>
  <c r="A266" i="4"/>
  <c r="E266" i="4"/>
  <c r="H266" i="4"/>
  <c r="M266" i="4"/>
  <c r="S266" i="4"/>
  <c r="W266" i="4"/>
  <c r="X266" i="4"/>
  <c r="Y266" i="4"/>
  <c r="Z266" i="4"/>
  <c r="AA210" i="5"/>
  <c r="AA266" i="4"/>
  <c r="B209" i="5"/>
  <c r="E209" i="5"/>
  <c r="F209" i="5"/>
  <c r="I209" i="5"/>
  <c r="J209" i="5"/>
  <c r="K209" i="5" a="1"/>
  <c r="L209" i="5" a="1"/>
  <c r="O209" i="5"/>
  <c r="P209" i="5"/>
  <c r="Q209" i="5"/>
  <c r="R209" i="5"/>
  <c r="S209" i="5"/>
  <c r="T209" i="5"/>
  <c r="AB209" i="5"/>
  <c r="B208" i="5"/>
  <c r="E208" i="5"/>
  <c r="F208" i="5"/>
  <c r="I208" i="5"/>
  <c r="J208" i="5"/>
  <c r="K208" i="5" a="1"/>
  <c r="L208" i="5" a="1"/>
  <c r="O208" i="5"/>
  <c r="P208" i="5"/>
  <c r="Q208" i="5"/>
  <c r="R208" i="5"/>
  <c r="S208" i="5"/>
  <c r="T208" i="5"/>
  <c r="AB208" i="5"/>
  <c r="A267" i="4"/>
  <c r="E267" i="4"/>
  <c r="H267" i="4"/>
  <c r="M267" i="4"/>
  <c r="S267" i="4"/>
  <c r="W267" i="4"/>
  <c r="X267" i="4"/>
  <c r="Y267" i="4"/>
  <c r="Z267" i="4"/>
  <c r="AA208" i="5"/>
  <c r="AA267" i="4"/>
  <c r="B207" i="5"/>
  <c r="E207" i="5"/>
  <c r="F207" i="5"/>
  <c r="I207" i="5"/>
  <c r="J207" i="5"/>
  <c r="K207" i="5" a="1"/>
  <c r="L207" i="5" a="1"/>
  <c r="O207" i="5"/>
  <c r="P207" i="5"/>
  <c r="Q207" i="5"/>
  <c r="R207" i="5"/>
  <c r="S207" i="5"/>
  <c r="T207" i="5"/>
  <c r="AB207" i="5"/>
  <c r="B206" i="5"/>
  <c r="E206" i="5"/>
  <c r="F206" i="5"/>
  <c r="I206" i="5"/>
  <c r="J206" i="5"/>
  <c r="K206" i="5" a="1"/>
  <c r="L206" i="5" a="1"/>
  <c r="O206" i="5"/>
  <c r="P206" i="5"/>
  <c r="Q206" i="5"/>
  <c r="R206" i="5"/>
  <c r="S206" i="5"/>
  <c r="T206" i="5"/>
  <c r="AB206" i="5"/>
  <c r="A268" i="4"/>
  <c r="E268" i="4"/>
  <c r="H268" i="4"/>
  <c r="M268" i="4"/>
  <c r="S268" i="4"/>
  <c r="W268" i="4"/>
  <c r="X268" i="4"/>
  <c r="Y268" i="4"/>
  <c r="Z268" i="4"/>
  <c r="AA206" i="5"/>
  <c r="AA268" i="4"/>
  <c r="B205" i="5"/>
  <c r="E205" i="5"/>
  <c r="F205" i="5"/>
  <c r="I205" i="5"/>
  <c r="J205" i="5"/>
  <c r="K205" i="5" a="1"/>
  <c r="L205" i="5" a="1"/>
  <c r="O205" i="5"/>
  <c r="P205" i="5"/>
  <c r="Q205" i="5"/>
  <c r="R205" i="5"/>
  <c r="S205" i="5"/>
  <c r="T205" i="5"/>
  <c r="AB205" i="5"/>
  <c r="B204" i="5"/>
  <c r="E204" i="5"/>
  <c r="F204" i="5"/>
  <c r="I204" i="5"/>
  <c r="J204" i="5"/>
  <c r="K204" i="5" a="1"/>
  <c r="L204" i="5" a="1"/>
  <c r="O204" i="5"/>
  <c r="P204" i="5"/>
  <c r="Q204" i="5"/>
  <c r="R204" i="5"/>
  <c r="S204" i="5"/>
  <c r="T204" i="5"/>
  <c r="AB204" i="5"/>
  <c r="A269" i="4"/>
  <c r="E269" i="4"/>
  <c r="H269" i="4"/>
  <c r="M269" i="4"/>
  <c r="S269" i="4"/>
  <c r="W269" i="4"/>
  <c r="X269" i="4"/>
  <c r="Y269" i="4"/>
  <c r="Z269" i="4"/>
  <c r="AA204" i="5"/>
  <c r="AA269" i="4"/>
  <c r="B203" i="5"/>
  <c r="E203" i="5"/>
  <c r="F203" i="5"/>
  <c r="I203" i="5"/>
  <c r="J203" i="5"/>
  <c r="K203" i="5" a="1"/>
  <c r="L203" i="5" a="1"/>
  <c r="O203" i="5"/>
  <c r="P203" i="5"/>
  <c r="Q203" i="5"/>
  <c r="R203" i="5"/>
  <c r="S203" i="5"/>
  <c r="T203" i="5"/>
  <c r="AB203" i="5"/>
  <c r="B202" i="5"/>
  <c r="E202" i="5"/>
  <c r="F202" i="5"/>
  <c r="I202" i="5"/>
  <c r="J202" i="5"/>
  <c r="K202" i="5" a="1"/>
  <c r="L202" i="5" a="1"/>
  <c r="O202" i="5"/>
  <c r="P202" i="5"/>
  <c r="Q202" i="5"/>
  <c r="R202" i="5"/>
  <c r="S202" i="5"/>
  <c r="T202" i="5"/>
  <c r="AB202" i="5"/>
  <c r="A270" i="4"/>
  <c r="E270" i="4"/>
  <c r="H270" i="4"/>
  <c r="M270" i="4"/>
  <c r="S270" i="4"/>
  <c r="W270" i="4"/>
  <c r="X270" i="4"/>
  <c r="Y270" i="4"/>
  <c r="Z270" i="4"/>
  <c r="AA202" i="5"/>
  <c r="AA270" i="4"/>
  <c r="B201" i="5"/>
  <c r="E201" i="5"/>
  <c r="F201" i="5"/>
  <c r="I201" i="5"/>
  <c r="J201" i="5"/>
  <c r="K201" i="5" a="1"/>
  <c r="L201" i="5" a="1"/>
  <c r="O201" i="5"/>
  <c r="P201" i="5"/>
  <c r="Q201" i="5"/>
  <c r="R201" i="5"/>
  <c r="S201" i="5"/>
  <c r="T201" i="5"/>
  <c r="AB201" i="5"/>
  <c r="B200" i="5"/>
  <c r="E200" i="5"/>
  <c r="F200" i="5"/>
  <c r="I200" i="5"/>
  <c r="J200" i="5"/>
  <c r="K200" i="5" a="1"/>
  <c r="L200" i="5" a="1"/>
  <c r="O200" i="5"/>
  <c r="P200" i="5"/>
  <c r="Q200" i="5"/>
  <c r="R200" i="5"/>
  <c r="S200" i="5"/>
  <c r="T200" i="5"/>
  <c r="AB200" i="5"/>
  <c r="A271" i="4"/>
  <c r="E271" i="4"/>
  <c r="H271" i="4"/>
  <c r="M271" i="4"/>
  <c r="S271" i="4"/>
  <c r="W271" i="4"/>
  <c r="X271" i="4"/>
  <c r="Y271" i="4"/>
  <c r="Z271" i="4"/>
  <c r="AA200" i="5"/>
  <c r="AA271" i="4"/>
  <c r="B199" i="5"/>
  <c r="E199" i="5"/>
  <c r="F199" i="5"/>
  <c r="I199" i="5"/>
  <c r="J199" i="5"/>
  <c r="K199" i="5" a="1"/>
  <c r="L199" i="5" a="1"/>
  <c r="O199" i="5"/>
  <c r="P199" i="5"/>
  <c r="Q199" i="5"/>
  <c r="R199" i="5"/>
  <c r="S199" i="5"/>
  <c r="T199" i="5"/>
  <c r="AB199" i="5"/>
  <c r="B198" i="5"/>
  <c r="E198" i="5"/>
  <c r="F198" i="5"/>
  <c r="I198" i="5"/>
  <c r="J198" i="5"/>
  <c r="K198" i="5" a="1"/>
  <c r="L198" i="5" a="1"/>
  <c r="O198" i="5"/>
  <c r="P198" i="5"/>
  <c r="Q198" i="5"/>
  <c r="R198" i="5"/>
  <c r="S198" i="5"/>
  <c r="T198" i="5"/>
  <c r="AB198" i="5"/>
  <c r="A272" i="4"/>
  <c r="E272" i="4"/>
  <c r="H272" i="4"/>
  <c r="M272" i="4"/>
  <c r="S272" i="4"/>
  <c r="W272" i="4"/>
  <c r="X272" i="4"/>
  <c r="Y272" i="4"/>
  <c r="Z272" i="4"/>
  <c r="AA198" i="5"/>
  <c r="AA272" i="4"/>
  <c r="B197" i="5"/>
  <c r="E197" i="5"/>
  <c r="F197" i="5"/>
  <c r="I197" i="5"/>
  <c r="J197" i="5"/>
  <c r="K197" i="5" a="1"/>
  <c r="L197" i="5" a="1"/>
  <c r="O197" i="5"/>
  <c r="P197" i="5"/>
  <c r="Q197" i="5"/>
  <c r="R197" i="5"/>
  <c r="S197" i="5"/>
  <c r="T197" i="5"/>
  <c r="AB197" i="5"/>
  <c r="B196" i="5"/>
  <c r="E196" i="5"/>
  <c r="F196" i="5"/>
  <c r="I196" i="5"/>
  <c r="J196" i="5"/>
  <c r="K196" i="5" a="1"/>
  <c r="L196" i="5" a="1"/>
  <c r="O196" i="5"/>
  <c r="P196" i="5"/>
  <c r="Q196" i="5"/>
  <c r="R196" i="5"/>
  <c r="S196" i="5"/>
  <c r="T196" i="5"/>
  <c r="AB196" i="5"/>
  <c r="A273" i="4"/>
  <c r="E273" i="4"/>
  <c r="H273" i="4"/>
  <c r="M273" i="4"/>
  <c r="S273" i="4"/>
  <c r="W273" i="4"/>
  <c r="X273" i="4"/>
  <c r="Y273" i="4"/>
  <c r="Z273" i="4"/>
  <c r="AA196" i="5"/>
  <c r="AA273" i="4"/>
  <c r="B195" i="5"/>
  <c r="E195" i="5"/>
  <c r="F195" i="5"/>
  <c r="I195" i="5"/>
  <c r="J195" i="5"/>
  <c r="K195" i="5" a="1"/>
  <c r="L195" i="5" a="1"/>
  <c r="O195" i="5"/>
  <c r="P195" i="5"/>
  <c r="Q195" i="5"/>
  <c r="R195" i="5"/>
  <c r="S195" i="5"/>
  <c r="T195" i="5"/>
  <c r="AB195" i="5"/>
  <c r="B194" i="5"/>
  <c r="E194" i="5"/>
  <c r="F194" i="5"/>
  <c r="I194" i="5"/>
  <c r="J194" i="5"/>
  <c r="K194" i="5" a="1"/>
  <c r="L194" i="5" a="1"/>
  <c r="O194" i="5"/>
  <c r="P194" i="5"/>
  <c r="Q194" i="5"/>
  <c r="R194" i="5"/>
  <c r="S194" i="5"/>
  <c r="T194" i="5"/>
  <c r="AB194" i="5"/>
  <c r="A274" i="4"/>
  <c r="E274" i="4"/>
  <c r="H274" i="4"/>
  <c r="M274" i="4"/>
  <c r="S274" i="4"/>
  <c r="W274" i="4"/>
  <c r="X274" i="4"/>
  <c r="Y274" i="4"/>
  <c r="Z274" i="4"/>
  <c r="AA194" i="5"/>
  <c r="AA274" i="4"/>
  <c r="B193" i="5"/>
  <c r="E193" i="5"/>
  <c r="F193" i="5"/>
  <c r="I193" i="5"/>
  <c r="J193" i="5"/>
  <c r="K193" i="5" a="1"/>
  <c r="L193" i="5" a="1"/>
  <c r="O193" i="5"/>
  <c r="P193" i="5"/>
  <c r="Q193" i="5"/>
  <c r="R193" i="5"/>
  <c r="S193" i="5"/>
  <c r="T193" i="5"/>
  <c r="AB193" i="5"/>
  <c r="B192" i="5"/>
  <c r="E192" i="5"/>
  <c r="F192" i="5"/>
  <c r="I192" i="5"/>
  <c r="J192" i="5"/>
  <c r="K192" i="5" a="1"/>
  <c r="L192" i="5" a="1"/>
  <c r="O192" i="5"/>
  <c r="P192" i="5"/>
  <c r="Q192" i="5"/>
  <c r="R192" i="5"/>
  <c r="S192" i="5"/>
  <c r="T192" i="5"/>
  <c r="AB192" i="5"/>
  <c r="A275" i="4"/>
  <c r="E275" i="4"/>
  <c r="H275" i="4"/>
  <c r="M275" i="4"/>
  <c r="S275" i="4"/>
  <c r="W275" i="4"/>
  <c r="X275" i="4"/>
  <c r="Y275" i="4"/>
  <c r="Z275" i="4"/>
  <c r="AA192" i="5"/>
  <c r="AA275" i="4"/>
  <c r="B191" i="5"/>
  <c r="E191" i="5"/>
  <c r="F191" i="5"/>
  <c r="I191" i="5"/>
  <c r="J191" i="5"/>
  <c r="K191" i="5" a="1"/>
  <c r="L191" i="5" a="1"/>
  <c r="O191" i="5"/>
  <c r="P191" i="5"/>
  <c r="Q191" i="5"/>
  <c r="R191" i="5"/>
  <c r="S191" i="5"/>
  <c r="T191" i="5"/>
  <c r="AB191" i="5"/>
  <c r="B190" i="5"/>
  <c r="E190" i="5"/>
  <c r="F190" i="5"/>
  <c r="I190" i="5"/>
  <c r="J190" i="5"/>
  <c r="K190" i="5" a="1"/>
  <c r="L190" i="5" a="1"/>
  <c r="O190" i="5"/>
  <c r="P190" i="5"/>
  <c r="Q190" i="5"/>
  <c r="R190" i="5"/>
  <c r="S190" i="5"/>
  <c r="T190" i="5"/>
  <c r="AB190" i="5"/>
  <c r="A276" i="4"/>
  <c r="E276" i="4"/>
  <c r="H276" i="4"/>
  <c r="M276" i="4"/>
  <c r="S276" i="4"/>
  <c r="W276" i="4"/>
  <c r="X276" i="4"/>
  <c r="Y276" i="4"/>
  <c r="Z276" i="4"/>
  <c r="AA190" i="5"/>
  <c r="AA276" i="4"/>
  <c r="B189" i="5"/>
  <c r="E189" i="5"/>
  <c r="F189" i="5"/>
  <c r="I189" i="5"/>
  <c r="J189" i="5"/>
  <c r="K189" i="5" a="1"/>
  <c r="L189" i="5" a="1"/>
  <c r="O189" i="5"/>
  <c r="P189" i="5"/>
  <c r="Q189" i="5"/>
  <c r="R189" i="5"/>
  <c r="S189" i="5"/>
  <c r="T189" i="5"/>
  <c r="AB189" i="5"/>
  <c r="B188" i="5"/>
  <c r="E188" i="5"/>
  <c r="F188" i="5"/>
  <c r="I188" i="5"/>
  <c r="J188" i="5"/>
  <c r="K188" i="5" a="1"/>
  <c r="L188" i="5" a="1"/>
  <c r="O188" i="5"/>
  <c r="P188" i="5"/>
  <c r="Q188" i="5"/>
  <c r="R188" i="5"/>
  <c r="S188" i="5"/>
  <c r="T188" i="5"/>
  <c r="AB188" i="5"/>
  <c r="A277" i="4"/>
  <c r="E277" i="4"/>
  <c r="H277" i="4"/>
  <c r="M277" i="4"/>
  <c r="S277" i="4"/>
  <c r="W277" i="4"/>
  <c r="X277" i="4"/>
  <c r="Y277" i="4"/>
  <c r="Z277" i="4"/>
  <c r="AA188" i="5"/>
  <c r="AA277" i="4"/>
  <c r="A4" i="3"/>
  <c r="B187" i="5"/>
  <c r="E187" i="5"/>
  <c r="F187" i="5"/>
  <c r="I187" i="5"/>
  <c r="J187" i="5"/>
  <c r="K187" i="5" a="1"/>
  <c r="L187" i="5" a="1"/>
  <c r="O187" i="5"/>
  <c r="P187" i="5"/>
  <c r="Q187" i="5"/>
  <c r="R187" i="5"/>
  <c r="S187" i="5"/>
  <c r="T187" i="5"/>
  <c r="AB187" i="5"/>
  <c r="B186" i="5"/>
  <c r="E186" i="5"/>
  <c r="F186" i="5"/>
  <c r="I186" i="5"/>
  <c r="J186" i="5"/>
  <c r="K186" i="5" a="1"/>
  <c r="L186" i="5" a="1"/>
  <c r="O186" i="5"/>
  <c r="P186" i="5"/>
  <c r="Q186" i="5"/>
  <c r="R186" i="5"/>
  <c r="S186" i="5"/>
  <c r="T186" i="5"/>
  <c r="AB186" i="5"/>
  <c r="A278" i="4"/>
  <c r="E278" i="4"/>
  <c r="H278" i="4"/>
  <c r="M278" i="4"/>
  <c r="S278" i="4"/>
  <c r="W278" i="4"/>
  <c r="X278" i="4"/>
  <c r="Y278" i="4"/>
  <c r="Z278" i="4"/>
  <c r="AA186" i="5"/>
  <c r="AA278" i="4"/>
  <c r="B185" i="5"/>
  <c r="E185" i="5"/>
  <c r="F185" i="5"/>
  <c r="I185" i="5"/>
  <c r="J185" i="5"/>
  <c r="K185" i="5" a="1"/>
  <c r="L185" i="5" a="1"/>
  <c r="O185" i="5"/>
  <c r="P185" i="5"/>
  <c r="Q185" i="5"/>
  <c r="R185" i="5"/>
  <c r="S185" i="5"/>
  <c r="T185" i="5"/>
  <c r="AB185" i="5"/>
  <c r="B184" i="5"/>
  <c r="E184" i="5"/>
  <c r="F184" i="5"/>
  <c r="I184" i="5"/>
  <c r="J184" i="5"/>
  <c r="K184" i="5" a="1"/>
  <c r="L184" i="5" a="1"/>
  <c r="O184" i="5"/>
  <c r="P184" i="5"/>
  <c r="Q184" i="5"/>
  <c r="R184" i="5"/>
  <c r="S184" i="5"/>
  <c r="T184" i="5"/>
  <c r="AB184" i="5"/>
  <c r="A279" i="4"/>
  <c r="E279" i="4"/>
  <c r="H279" i="4"/>
  <c r="M279" i="4"/>
  <c r="S279" i="4"/>
  <c r="W279" i="4"/>
  <c r="X279" i="4"/>
  <c r="Y279" i="4"/>
  <c r="Z279" i="4"/>
  <c r="AA184" i="5"/>
  <c r="AA279" i="4"/>
  <c r="B183" i="5"/>
  <c r="E183" i="5"/>
  <c r="F183" i="5"/>
  <c r="I183" i="5"/>
  <c r="J183" i="5"/>
  <c r="K183" i="5" a="1"/>
  <c r="L183" i="5" a="1"/>
  <c r="O183" i="5"/>
  <c r="P183" i="5"/>
  <c r="Q183" i="5"/>
  <c r="R183" i="5"/>
  <c r="S183" i="5"/>
  <c r="T183" i="5"/>
  <c r="AB183" i="5"/>
  <c r="B182" i="5"/>
  <c r="E182" i="5"/>
  <c r="F182" i="5"/>
  <c r="I182" i="5"/>
  <c r="J182" i="5"/>
  <c r="K182" i="5" a="1"/>
  <c r="L182" i="5" a="1"/>
  <c r="O182" i="5"/>
  <c r="P182" i="5"/>
  <c r="Q182" i="5"/>
  <c r="R182" i="5"/>
  <c r="S182" i="5"/>
  <c r="T182" i="5"/>
  <c r="AB182" i="5"/>
  <c r="A280" i="4"/>
  <c r="E280" i="4"/>
  <c r="H280" i="4"/>
  <c r="M280" i="4"/>
  <c r="S280" i="4"/>
  <c r="W280" i="4"/>
  <c r="X280" i="4"/>
  <c r="Y280" i="4"/>
  <c r="Z280" i="4"/>
  <c r="AA182" i="5"/>
  <c r="AA280" i="4"/>
  <c r="B181" i="5"/>
  <c r="E181" i="5"/>
  <c r="F181" i="5"/>
  <c r="I181" i="5"/>
  <c r="J181" i="5"/>
  <c r="K181" i="5" a="1"/>
  <c r="L181" i="5" a="1"/>
  <c r="O181" i="5"/>
  <c r="P181" i="5"/>
  <c r="Q181" i="5"/>
  <c r="R181" i="5"/>
  <c r="S181" i="5"/>
  <c r="T181" i="5"/>
  <c r="AB181" i="5"/>
  <c r="B180" i="5"/>
  <c r="E180" i="5"/>
  <c r="F180" i="5"/>
  <c r="I180" i="5"/>
  <c r="J180" i="5"/>
  <c r="K180" i="5" a="1"/>
  <c r="L180" i="5" a="1"/>
  <c r="O180" i="5"/>
  <c r="P180" i="5"/>
  <c r="Q180" i="5"/>
  <c r="R180" i="5"/>
  <c r="S180" i="5"/>
  <c r="T180" i="5"/>
  <c r="AB180" i="5"/>
  <c r="A281" i="4"/>
  <c r="E281" i="4"/>
  <c r="H281" i="4"/>
  <c r="M281" i="4"/>
  <c r="S281" i="4"/>
  <c r="W281" i="4"/>
  <c r="X281" i="4"/>
  <c r="Y281" i="4"/>
  <c r="Z281" i="4"/>
  <c r="AA180" i="5"/>
  <c r="AA281" i="4"/>
  <c r="B179" i="5"/>
  <c r="E179" i="5"/>
  <c r="F179" i="5"/>
  <c r="I179" i="5"/>
  <c r="J179" i="5"/>
  <c r="K179" i="5" a="1"/>
  <c r="L179" i="5" a="1"/>
  <c r="O179" i="5"/>
  <c r="P179" i="5"/>
  <c r="Q179" i="5"/>
  <c r="R179" i="5"/>
  <c r="S179" i="5"/>
  <c r="T179" i="5"/>
  <c r="B178" i="5"/>
  <c r="E178" i="5"/>
  <c r="F178" i="5"/>
  <c r="I178" i="5"/>
  <c r="J178" i="5"/>
  <c r="K178" i="5" a="1"/>
  <c r="L178" i="5" a="1"/>
  <c r="O178" i="5"/>
  <c r="P178" i="5"/>
  <c r="Q178" i="5"/>
  <c r="R178" i="5"/>
  <c r="S178" i="5"/>
  <c r="T178" i="5"/>
  <c r="AB178" i="5"/>
  <c r="A282" i="4"/>
  <c r="E282" i="4"/>
  <c r="H282" i="4"/>
  <c r="M282" i="4"/>
  <c r="S282" i="4"/>
  <c r="W282" i="4"/>
  <c r="X282" i="4"/>
  <c r="Y282" i="4"/>
  <c r="Z282" i="4"/>
  <c r="AA178" i="5"/>
  <c r="AA282" i="4"/>
  <c r="B177" i="5"/>
  <c r="E177" i="5"/>
  <c r="F177" i="5"/>
  <c r="I177" i="5"/>
  <c r="J177" i="5"/>
  <c r="K177" i="5" a="1"/>
  <c r="L177" i="5" a="1"/>
  <c r="O177" i="5"/>
  <c r="P177" i="5"/>
  <c r="Q177" i="5"/>
  <c r="R177" i="5"/>
  <c r="S177" i="5"/>
  <c r="T177" i="5"/>
  <c r="AB177" i="5"/>
  <c r="B176" i="5"/>
  <c r="E176" i="5"/>
  <c r="F176" i="5"/>
  <c r="I176" i="5"/>
  <c r="J176" i="5"/>
  <c r="K176" i="5" a="1"/>
  <c r="L176" i="5" a="1"/>
  <c r="O176" i="5"/>
  <c r="P176" i="5"/>
  <c r="Q176" i="5"/>
  <c r="R176" i="5"/>
  <c r="S176" i="5"/>
  <c r="T176" i="5"/>
  <c r="AB176" i="5"/>
  <c r="A283" i="4"/>
  <c r="E283" i="4"/>
  <c r="H283" i="4"/>
  <c r="M283" i="4"/>
  <c r="S283" i="4"/>
  <c r="W283" i="4"/>
  <c r="X283" i="4"/>
  <c r="Y283" i="4"/>
  <c r="Z283" i="4"/>
  <c r="AA176" i="5"/>
  <c r="AA283" i="4"/>
  <c r="B175" i="5"/>
  <c r="E175" i="5"/>
  <c r="F175" i="5"/>
  <c r="I175" i="5"/>
  <c r="J175" i="5"/>
  <c r="K175" i="5" a="1"/>
  <c r="L175" i="5" a="1"/>
  <c r="O175" i="5"/>
  <c r="P175" i="5"/>
  <c r="Q175" i="5"/>
  <c r="R175" i="5"/>
  <c r="S175" i="5"/>
  <c r="T175" i="5"/>
  <c r="AB175" i="5"/>
  <c r="B174" i="5"/>
  <c r="E174" i="5"/>
  <c r="F174" i="5"/>
  <c r="I174" i="5"/>
  <c r="J174" i="5"/>
  <c r="K174" i="5" a="1"/>
  <c r="L174" i="5" a="1"/>
  <c r="O174" i="5"/>
  <c r="P174" i="5"/>
  <c r="Q174" i="5"/>
  <c r="R174" i="5"/>
  <c r="S174" i="5"/>
  <c r="T174" i="5"/>
  <c r="AB174" i="5"/>
  <c r="A284" i="4"/>
  <c r="E284" i="4"/>
  <c r="H284" i="4"/>
  <c r="M284" i="4"/>
  <c r="S284" i="4"/>
  <c r="W284" i="4"/>
  <c r="X284" i="4"/>
  <c r="Y284" i="4"/>
  <c r="Z284" i="4"/>
  <c r="AA174" i="5"/>
  <c r="AA284" i="4"/>
  <c r="B173" i="5"/>
  <c r="E173" i="5"/>
  <c r="F173" i="5"/>
  <c r="I173" i="5"/>
  <c r="J173" i="5"/>
  <c r="K173" i="5" a="1"/>
  <c r="L173" i="5" a="1"/>
  <c r="O173" i="5"/>
  <c r="P173" i="5"/>
  <c r="Q173" i="5"/>
  <c r="R173" i="5"/>
  <c r="S173" i="5"/>
  <c r="T173" i="5"/>
  <c r="AB173" i="5"/>
  <c r="B172" i="5"/>
  <c r="E172" i="5"/>
  <c r="F172" i="5"/>
  <c r="I172" i="5"/>
  <c r="J172" i="5"/>
  <c r="K172" i="5" a="1"/>
  <c r="L172" i="5" a="1"/>
  <c r="O172" i="5"/>
  <c r="P172" i="5"/>
  <c r="Q172" i="5"/>
  <c r="R172" i="5"/>
  <c r="S172" i="5"/>
  <c r="T172" i="5"/>
  <c r="AB172" i="5"/>
  <c r="A285" i="4"/>
  <c r="E285" i="4"/>
  <c r="H285" i="4"/>
  <c r="M285" i="4"/>
  <c r="S285" i="4"/>
  <c r="W285" i="4"/>
  <c r="X285" i="4"/>
  <c r="Y285" i="4"/>
  <c r="Z285" i="4"/>
  <c r="AA172" i="5"/>
  <c r="AA285" i="4"/>
  <c r="B171" i="5"/>
  <c r="E171" i="5"/>
  <c r="F171" i="5"/>
  <c r="I171" i="5"/>
  <c r="J171" i="5"/>
  <c r="K171" i="5" a="1"/>
  <c r="L171" i="5" a="1"/>
  <c r="O171" i="5"/>
  <c r="P171" i="5"/>
  <c r="Q171" i="5"/>
  <c r="R171" i="5"/>
  <c r="S171" i="5"/>
  <c r="T171" i="5"/>
  <c r="AB171" i="5"/>
  <c r="B170" i="5"/>
  <c r="E170" i="5"/>
  <c r="F170" i="5"/>
  <c r="I170" i="5"/>
  <c r="J170" i="5"/>
  <c r="K170" i="5" a="1"/>
  <c r="L170" i="5" a="1"/>
  <c r="O170" i="5"/>
  <c r="P170" i="5"/>
  <c r="Q170" i="5"/>
  <c r="R170" i="5"/>
  <c r="S170" i="5"/>
  <c r="T170" i="5"/>
  <c r="AB170" i="5"/>
  <c r="A286" i="4"/>
  <c r="E286" i="4"/>
  <c r="H286" i="4"/>
  <c r="M286" i="4"/>
  <c r="S286" i="4"/>
  <c r="W286" i="4"/>
  <c r="X286" i="4"/>
  <c r="Y286" i="4"/>
  <c r="Z286" i="4"/>
  <c r="AA170" i="5"/>
  <c r="AA286" i="4"/>
  <c r="B169" i="5"/>
  <c r="E169" i="5"/>
  <c r="F169" i="5"/>
  <c r="I169" i="5"/>
  <c r="J169" i="5"/>
  <c r="K169" i="5" a="1"/>
  <c r="L169" i="5" a="1"/>
  <c r="O169" i="5"/>
  <c r="P169" i="5"/>
  <c r="Q169" i="5"/>
  <c r="R169" i="5"/>
  <c r="S169" i="5"/>
  <c r="T169" i="5"/>
  <c r="AB169" i="5"/>
  <c r="B168" i="5"/>
  <c r="E168" i="5"/>
  <c r="F168" i="5"/>
  <c r="I168" i="5"/>
  <c r="J168" i="5"/>
  <c r="K168" i="5" a="1"/>
  <c r="L168" i="5" a="1"/>
  <c r="O168" i="5"/>
  <c r="P168" i="5"/>
  <c r="Q168" i="5"/>
  <c r="R168" i="5"/>
  <c r="S168" i="5"/>
  <c r="T168" i="5"/>
  <c r="AB168" i="5"/>
  <c r="A287" i="4"/>
  <c r="E287" i="4"/>
  <c r="H287" i="4"/>
  <c r="M287" i="4"/>
  <c r="S287" i="4"/>
  <c r="W287" i="4"/>
  <c r="X287" i="4"/>
  <c r="Y287" i="4"/>
  <c r="Z287" i="4"/>
  <c r="AA168" i="5"/>
  <c r="AA287" i="4"/>
  <c r="B167" i="5"/>
  <c r="E167" i="5"/>
  <c r="F167" i="5"/>
  <c r="I167" i="5"/>
  <c r="J167" i="5"/>
  <c r="K167" i="5" a="1"/>
  <c r="L167" i="5" a="1"/>
  <c r="O167" i="5"/>
  <c r="P167" i="5"/>
  <c r="Q167" i="5"/>
  <c r="R167" i="5"/>
  <c r="S167" i="5"/>
  <c r="T167" i="5"/>
  <c r="AB167" i="5"/>
  <c r="B166" i="5"/>
  <c r="E166" i="5"/>
  <c r="F166" i="5"/>
  <c r="I166" i="5"/>
  <c r="J166" i="5"/>
  <c r="K166" i="5" a="1"/>
  <c r="L166" i="5" a="1"/>
  <c r="O166" i="5"/>
  <c r="P166" i="5"/>
  <c r="Q166" i="5"/>
  <c r="R166" i="5"/>
  <c r="S166" i="5"/>
  <c r="T166" i="5"/>
  <c r="AB166" i="5"/>
  <c r="A288" i="4"/>
  <c r="E288" i="4"/>
  <c r="H288" i="4"/>
  <c r="M288" i="4"/>
  <c r="S288" i="4"/>
  <c r="W288" i="4"/>
  <c r="X288" i="4"/>
  <c r="Y288" i="4"/>
  <c r="Z288" i="4"/>
  <c r="AA166" i="5"/>
  <c r="AA288" i="4"/>
  <c r="B165" i="5"/>
  <c r="E165" i="5"/>
  <c r="F165" i="5"/>
  <c r="I165" i="5"/>
  <c r="J165" i="5"/>
  <c r="K165" i="5" a="1"/>
  <c r="L165" i="5" a="1"/>
  <c r="O165" i="5"/>
  <c r="P165" i="5"/>
  <c r="Q165" i="5"/>
  <c r="R165" i="5"/>
  <c r="S165" i="5"/>
  <c r="T165" i="5"/>
  <c r="AB165" i="5"/>
  <c r="B164" i="5"/>
  <c r="E164" i="5"/>
  <c r="F164" i="5"/>
  <c r="I164" i="5"/>
  <c r="J164" i="5"/>
  <c r="K164" i="5" a="1"/>
  <c r="L164" i="5" a="1"/>
  <c r="O164" i="5"/>
  <c r="P164" i="5"/>
  <c r="Q164" i="5"/>
  <c r="R164" i="5"/>
  <c r="S164" i="5"/>
  <c r="T164" i="5"/>
  <c r="AB164" i="5"/>
  <c r="A289" i="4"/>
  <c r="E289" i="4"/>
  <c r="H289" i="4"/>
  <c r="M289" i="4"/>
  <c r="S289" i="4"/>
  <c r="W289" i="4"/>
  <c r="X289" i="4"/>
  <c r="Y289" i="4"/>
  <c r="Z289" i="4"/>
  <c r="AA164" i="5"/>
  <c r="AA289" i="4"/>
  <c r="B163" i="5"/>
  <c r="E163" i="5"/>
  <c r="F163" i="5"/>
  <c r="I163" i="5"/>
  <c r="J163" i="5"/>
  <c r="K163" i="5" a="1"/>
  <c r="L163" i="5" a="1"/>
  <c r="O163" i="5"/>
  <c r="P163" i="5"/>
  <c r="Q163" i="5"/>
  <c r="R163" i="5"/>
  <c r="S163" i="5"/>
  <c r="T163" i="5"/>
  <c r="AB163" i="5"/>
  <c r="B162" i="5"/>
  <c r="E162" i="5"/>
  <c r="F162" i="5"/>
  <c r="I162" i="5"/>
  <c r="J162" i="5"/>
  <c r="K162" i="5" a="1"/>
  <c r="L162" i="5" a="1"/>
  <c r="O162" i="5"/>
  <c r="P162" i="5"/>
  <c r="Q162" i="5"/>
  <c r="R162" i="5"/>
  <c r="S162" i="5"/>
  <c r="T162" i="5"/>
  <c r="AB162" i="5"/>
  <c r="A290" i="4"/>
  <c r="E290" i="4"/>
  <c r="H290" i="4"/>
  <c r="M290" i="4"/>
  <c r="S290" i="4"/>
  <c r="W290" i="4"/>
  <c r="X290" i="4"/>
  <c r="Y290" i="4"/>
  <c r="Z290" i="4"/>
  <c r="AA162" i="5"/>
  <c r="AA290" i="4"/>
  <c r="B161" i="5"/>
  <c r="E161" i="5"/>
  <c r="F161" i="5"/>
  <c r="I161" i="5"/>
  <c r="J161" i="5"/>
  <c r="K161" i="5" a="1"/>
  <c r="L161" i="5" a="1"/>
  <c r="O161" i="5"/>
  <c r="P161" i="5"/>
  <c r="Q161" i="5"/>
  <c r="R161" i="5"/>
  <c r="S161" i="5"/>
  <c r="T161" i="5"/>
  <c r="AB161" i="5"/>
  <c r="B160" i="5"/>
  <c r="E160" i="5"/>
  <c r="F160" i="5"/>
  <c r="I160" i="5"/>
  <c r="J160" i="5"/>
  <c r="K160" i="5" a="1"/>
  <c r="L160" i="5" a="1"/>
  <c r="O160" i="5"/>
  <c r="P160" i="5"/>
  <c r="Q160" i="5"/>
  <c r="R160" i="5"/>
  <c r="S160" i="5"/>
  <c r="T160" i="5"/>
  <c r="AB160" i="5"/>
  <c r="A291" i="4"/>
  <c r="E291" i="4"/>
  <c r="H291" i="4"/>
  <c r="M291" i="4"/>
  <c r="S291" i="4"/>
  <c r="W291" i="4"/>
  <c r="X291" i="4"/>
  <c r="Y291" i="4"/>
  <c r="Z291" i="4"/>
  <c r="AA160" i="5"/>
  <c r="AA291" i="4"/>
  <c r="B159" i="5"/>
  <c r="E159" i="5"/>
  <c r="F159" i="5"/>
  <c r="I159" i="5"/>
  <c r="J159" i="5"/>
  <c r="K159" i="5" a="1"/>
  <c r="L159" i="5" a="1"/>
  <c r="O159" i="5"/>
  <c r="P159" i="5"/>
  <c r="Q159" i="5"/>
  <c r="R159" i="5"/>
  <c r="S159" i="5"/>
  <c r="T159" i="5"/>
  <c r="AB159" i="5"/>
  <c r="B158" i="5"/>
  <c r="E158" i="5"/>
  <c r="F158" i="5"/>
  <c r="I158" i="5"/>
  <c r="J158" i="5"/>
  <c r="K158" i="5" a="1"/>
  <c r="L158" i="5" a="1"/>
  <c r="O158" i="5"/>
  <c r="P158" i="5"/>
  <c r="Q158" i="5"/>
  <c r="R158" i="5"/>
  <c r="S158" i="5"/>
  <c r="T158" i="5"/>
  <c r="AB158" i="5"/>
  <c r="A292" i="4"/>
  <c r="E292" i="4"/>
  <c r="H292" i="4"/>
  <c r="M292" i="4"/>
  <c r="S292" i="4"/>
  <c r="W292" i="4"/>
  <c r="X292" i="4"/>
  <c r="Y292" i="4"/>
  <c r="Z292" i="4"/>
  <c r="AA158" i="5"/>
  <c r="AA292" i="4"/>
  <c r="B157" i="5"/>
  <c r="E157" i="5"/>
  <c r="F157" i="5"/>
  <c r="I157" i="5"/>
  <c r="J157" i="5"/>
  <c r="K157" i="5" a="1"/>
  <c r="L157" i="5" a="1"/>
  <c r="O157" i="5"/>
  <c r="P157" i="5"/>
  <c r="Q157" i="5"/>
  <c r="R157" i="5"/>
  <c r="S157" i="5"/>
  <c r="T157" i="5"/>
  <c r="AB157" i="5"/>
  <c r="B156" i="5"/>
  <c r="E156" i="5"/>
  <c r="F156" i="5"/>
  <c r="I156" i="5"/>
  <c r="J156" i="5"/>
  <c r="K156" i="5" a="1"/>
  <c r="L156" i="5" a="1"/>
  <c r="O156" i="5"/>
  <c r="P156" i="5"/>
  <c r="Q156" i="5"/>
  <c r="R156" i="5"/>
  <c r="S156" i="5"/>
  <c r="T156" i="5"/>
  <c r="AB156" i="5"/>
  <c r="A293" i="4"/>
  <c r="E293" i="4"/>
  <c r="H293" i="4"/>
  <c r="M293" i="4"/>
  <c r="S293" i="4"/>
  <c r="W293" i="4"/>
  <c r="X293" i="4"/>
  <c r="Y293" i="4"/>
  <c r="Z293" i="4"/>
  <c r="AA156" i="5"/>
  <c r="AA293" i="4"/>
  <c r="B155" i="5"/>
  <c r="E155" i="5"/>
  <c r="F155" i="5"/>
  <c r="I155" i="5"/>
  <c r="J155" i="5"/>
  <c r="K155" i="5" a="1"/>
  <c r="L155" i="5" a="1"/>
  <c r="O155" i="5"/>
  <c r="P155" i="5"/>
  <c r="Q155" i="5"/>
  <c r="R155" i="5"/>
  <c r="S155" i="5"/>
  <c r="T155" i="5"/>
  <c r="AB155" i="5"/>
  <c r="B154" i="5"/>
  <c r="E154" i="5"/>
  <c r="F154" i="5"/>
  <c r="I154" i="5"/>
  <c r="J154" i="5"/>
  <c r="K154" i="5" a="1"/>
  <c r="L154" i="5" a="1"/>
  <c r="O154" i="5"/>
  <c r="P154" i="5"/>
  <c r="Q154" i="5"/>
  <c r="R154" i="5"/>
  <c r="S154" i="5"/>
  <c r="T154" i="5"/>
  <c r="AB154" i="5"/>
  <c r="A294" i="4"/>
  <c r="E294" i="4"/>
  <c r="H294" i="4"/>
  <c r="M294" i="4"/>
  <c r="S294" i="4"/>
  <c r="W294" i="4"/>
  <c r="X294" i="4"/>
  <c r="Y294" i="4"/>
  <c r="Z294" i="4"/>
  <c r="AA154" i="5"/>
  <c r="AA294" i="4"/>
  <c r="B153" i="5"/>
  <c r="E153" i="5"/>
  <c r="F153" i="5"/>
  <c r="I153" i="5"/>
  <c r="J153" i="5"/>
  <c r="K153" i="5" a="1"/>
  <c r="L153" i="5" a="1"/>
  <c r="O153" i="5"/>
  <c r="P153" i="5"/>
  <c r="Q153" i="5"/>
  <c r="R153" i="5"/>
  <c r="S153" i="5"/>
  <c r="T153" i="5"/>
  <c r="AB153" i="5"/>
  <c r="B152" i="5"/>
  <c r="E152" i="5"/>
  <c r="F152" i="5"/>
  <c r="I152" i="5"/>
  <c r="J152" i="5"/>
  <c r="K152" i="5" a="1"/>
  <c r="L152" i="5" a="1"/>
  <c r="O152" i="5"/>
  <c r="P152" i="5"/>
  <c r="Q152" i="5"/>
  <c r="R152" i="5"/>
  <c r="S152" i="5"/>
  <c r="T152" i="5"/>
  <c r="AB152" i="5"/>
  <c r="A295" i="4"/>
  <c r="E295" i="4"/>
  <c r="H295" i="4"/>
  <c r="M295" i="4"/>
  <c r="S295" i="4"/>
  <c r="W295" i="4"/>
  <c r="X295" i="4"/>
  <c r="Y295" i="4"/>
  <c r="Z295" i="4"/>
  <c r="AA152" i="5"/>
  <c r="AA295" i="4"/>
  <c r="B151" i="5"/>
  <c r="E151" i="5"/>
  <c r="F151" i="5"/>
  <c r="I151" i="5"/>
  <c r="J151" i="5"/>
  <c r="K151" i="5" a="1"/>
  <c r="L151" i="5" a="1"/>
  <c r="O151" i="5"/>
  <c r="P151" i="5"/>
  <c r="Q151" i="5"/>
  <c r="R151" i="5"/>
  <c r="S151" i="5"/>
  <c r="T151" i="5"/>
  <c r="AB151" i="5"/>
  <c r="B150" i="5"/>
  <c r="E150" i="5"/>
  <c r="F150" i="5"/>
  <c r="I150" i="5"/>
  <c r="J150" i="5"/>
  <c r="K150" i="5" a="1"/>
  <c r="L150" i="5" a="1"/>
  <c r="O150" i="5"/>
  <c r="P150" i="5"/>
  <c r="Q150" i="5"/>
  <c r="R150" i="5"/>
  <c r="S150" i="5"/>
  <c r="T150" i="5"/>
  <c r="AB150" i="5"/>
  <c r="A296" i="4"/>
  <c r="E296" i="4"/>
  <c r="H296" i="4"/>
  <c r="M296" i="4"/>
  <c r="S296" i="4"/>
  <c r="W296" i="4"/>
  <c r="X296" i="4"/>
  <c r="Y296" i="4"/>
  <c r="Z296" i="4"/>
  <c r="H151" i="5"/>
  <c r="AA296" i="4"/>
  <c r="B149" i="5"/>
  <c r="E149" i="5"/>
  <c r="F149" i="5"/>
  <c r="I149" i="5"/>
  <c r="J149" i="5"/>
  <c r="K149" i="5" a="1"/>
  <c r="L149" i="5" a="1"/>
  <c r="O149" i="5"/>
  <c r="P149" i="5"/>
  <c r="Q149" i="5"/>
  <c r="R149" i="5"/>
  <c r="S149" i="5"/>
  <c r="T149" i="5"/>
  <c r="AB149" i="5"/>
  <c r="B148" i="5"/>
  <c r="E148" i="5"/>
  <c r="F148" i="5"/>
  <c r="I148" i="5"/>
  <c r="J148" i="5"/>
  <c r="K148" i="5" a="1"/>
  <c r="L148" i="5" a="1"/>
  <c r="O148" i="5"/>
  <c r="P148" i="5"/>
  <c r="Q148" i="5"/>
  <c r="R148" i="5"/>
  <c r="S148" i="5"/>
  <c r="T148" i="5"/>
  <c r="AB148" i="5"/>
  <c r="A297" i="4"/>
  <c r="E297" i="4"/>
  <c r="H297" i="4"/>
  <c r="M297" i="4"/>
  <c r="S297" i="4"/>
  <c r="W297" i="4"/>
  <c r="X297" i="4"/>
  <c r="Y297" i="4"/>
  <c r="Z297" i="4"/>
  <c r="H149" i="5"/>
  <c r="AA297" i="4"/>
  <c r="N216" i="5"/>
  <c r="M208" i="5"/>
  <c r="M216" i="5"/>
  <c r="M220" i="5"/>
  <c r="N220" i="5"/>
  <c r="M221" i="5"/>
  <c r="N217" i="5"/>
  <c r="N221" i="5"/>
  <c r="M180" i="5"/>
  <c r="M218" i="5"/>
  <c r="M217" i="5"/>
  <c r="N219" i="5"/>
  <c r="M219" i="5"/>
  <c r="N218" i="5"/>
  <c r="N210" i="5"/>
  <c r="M202" i="5"/>
  <c r="T261" i="4"/>
  <c r="D220" i="5"/>
  <c r="AA221" i="5"/>
  <c r="H220" i="5"/>
  <c r="H221" i="5"/>
  <c r="T262" i="4"/>
  <c r="D219" i="5"/>
  <c r="AA219" i="5"/>
  <c r="N209" i="5"/>
  <c r="N214" i="5"/>
  <c r="T263" i="4"/>
  <c r="D216" i="5"/>
  <c r="M214" i="5"/>
  <c r="H218" i="5"/>
  <c r="H219" i="5"/>
  <c r="N215" i="5"/>
  <c r="M215" i="5"/>
  <c r="AA217" i="5"/>
  <c r="N211" i="5"/>
  <c r="N212" i="5"/>
  <c r="T264" i="4"/>
  <c r="D214" i="5"/>
  <c r="M211" i="5"/>
  <c r="M212" i="5"/>
  <c r="H216" i="5"/>
  <c r="H217" i="5"/>
  <c r="M209" i="5"/>
  <c r="N213" i="5"/>
  <c r="M213" i="5"/>
  <c r="AA215" i="5"/>
  <c r="N204" i="5"/>
  <c r="T266" i="4"/>
  <c r="D211" i="5"/>
  <c r="Y211" i="5"/>
  <c r="N203" i="5"/>
  <c r="M204" i="5"/>
  <c r="H214" i="5"/>
  <c r="H215" i="5"/>
  <c r="T265" i="4"/>
  <c r="D213" i="5"/>
  <c r="M210" i="5"/>
  <c r="AA213" i="5"/>
  <c r="H212" i="5"/>
  <c r="H213" i="5"/>
  <c r="N208" i="5"/>
  <c r="AA211" i="5"/>
  <c r="N201" i="5"/>
  <c r="N205" i="5"/>
  <c r="N206" i="5"/>
  <c r="T267" i="4"/>
  <c r="D209" i="5"/>
  <c r="M201" i="5"/>
  <c r="M205" i="5"/>
  <c r="M206" i="5"/>
  <c r="H210" i="5"/>
  <c r="T268" i="4"/>
  <c r="D207" i="5"/>
  <c r="H211" i="5"/>
  <c r="M203" i="5"/>
  <c r="N207" i="5"/>
  <c r="M207" i="5"/>
  <c r="AA209" i="5"/>
  <c r="N189" i="5"/>
  <c r="N202" i="5"/>
  <c r="H208" i="5"/>
  <c r="H209" i="5"/>
  <c r="N200" i="5"/>
  <c r="M200" i="5"/>
  <c r="AA207" i="5"/>
  <c r="H206" i="5"/>
  <c r="H207" i="5"/>
  <c r="T269" i="4"/>
  <c r="D204" i="5"/>
  <c r="AA205" i="5"/>
  <c r="N198" i="5"/>
  <c r="M198" i="5"/>
  <c r="H204" i="5"/>
  <c r="H205" i="5"/>
  <c r="M195" i="5"/>
  <c r="N199" i="5"/>
  <c r="M199" i="5"/>
  <c r="T271" i="4"/>
  <c r="D201" i="5"/>
  <c r="T270" i="4"/>
  <c r="D202" i="5"/>
  <c r="AA203" i="5"/>
  <c r="N196" i="5"/>
  <c r="N195" i="5"/>
  <c r="M196" i="5"/>
  <c r="H202" i="5"/>
  <c r="H203" i="5"/>
  <c r="N193" i="5"/>
  <c r="N197" i="5"/>
  <c r="M193" i="5"/>
  <c r="M197" i="5"/>
  <c r="AA201" i="5"/>
  <c r="N194" i="5"/>
  <c r="H200" i="5"/>
  <c r="H201" i="5"/>
  <c r="M191" i="5"/>
  <c r="M192" i="5"/>
  <c r="T272" i="4"/>
  <c r="D199" i="5"/>
  <c r="AA199" i="5"/>
  <c r="T274" i="4"/>
  <c r="D195" i="5"/>
  <c r="Y195" i="5"/>
  <c r="M188" i="5"/>
  <c r="H198" i="5"/>
  <c r="H199" i="5"/>
  <c r="T273" i="4"/>
  <c r="D197" i="5"/>
  <c r="M194" i="5"/>
  <c r="AA197" i="5"/>
  <c r="N190" i="5"/>
  <c r="H196" i="5"/>
  <c r="M189" i="5"/>
  <c r="H197" i="5"/>
  <c r="N191" i="5"/>
  <c r="N192" i="5"/>
  <c r="AA195" i="5"/>
  <c r="T276" i="4"/>
  <c r="D191" i="5"/>
  <c r="X191" i="5"/>
  <c r="H194" i="5"/>
  <c r="H195" i="5"/>
  <c r="T275" i="4"/>
  <c r="D193" i="5"/>
  <c r="N186" i="5"/>
  <c r="M190" i="5"/>
  <c r="AA193" i="5"/>
  <c r="H192" i="5"/>
  <c r="H193" i="5"/>
  <c r="M187" i="5"/>
  <c r="N188" i="5"/>
  <c r="AA191" i="5"/>
  <c r="H190" i="5"/>
  <c r="H191" i="5"/>
  <c r="M182" i="5"/>
  <c r="M185" i="5"/>
  <c r="T277" i="4"/>
  <c r="D188" i="5"/>
  <c r="M186" i="5"/>
  <c r="AA189" i="5"/>
  <c r="T279" i="4"/>
  <c r="D185" i="5"/>
  <c r="Z185" i="5"/>
  <c r="H188" i="5"/>
  <c r="H189" i="5"/>
  <c r="T278" i="4"/>
  <c r="D187" i="5"/>
  <c r="N185" i="5"/>
  <c r="N187" i="5"/>
  <c r="M172" i="5"/>
  <c r="N184" i="5"/>
  <c r="M183" i="5"/>
  <c r="M174" i="5"/>
  <c r="M184" i="5"/>
  <c r="AA187" i="5"/>
  <c r="N183" i="5"/>
  <c r="H186" i="5"/>
  <c r="H187" i="5"/>
  <c r="AA185" i="5"/>
  <c r="N180" i="5"/>
  <c r="T280" i="4"/>
  <c r="D183" i="5"/>
  <c r="N179" i="5"/>
  <c r="H184" i="5"/>
  <c r="H185" i="5"/>
  <c r="N182" i="5"/>
  <c r="N173" i="5"/>
  <c r="N181" i="5"/>
  <c r="M181" i="5"/>
  <c r="M179" i="5"/>
  <c r="AA183" i="5"/>
  <c r="H182" i="5"/>
  <c r="H183" i="5"/>
  <c r="M178" i="5"/>
  <c r="N174" i="5"/>
  <c r="N178" i="5"/>
  <c r="N161" i="5"/>
  <c r="N165" i="5"/>
  <c r="N169" i="5"/>
  <c r="T281" i="4"/>
  <c r="D180" i="5"/>
  <c r="AA181" i="5"/>
  <c r="N159" i="5"/>
  <c r="N167" i="5"/>
  <c r="N171" i="5"/>
  <c r="N175" i="5"/>
  <c r="N176" i="5"/>
  <c r="T282" i="4"/>
  <c r="D178" i="5"/>
  <c r="N163" i="5"/>
  <c r="M159" i="5"/>
  <c r="M163" i="5"/>
  <c r="M167" i="5"/>
  <c r="M171" i="5"/>
  <c r="M175" i="5"/>
  <c r="M176" i="5"/>
  <c r="H180" i="5"/>
  <c r="H181" i="5"/>
  <c r="M161" i="5"/>
  <c r="M165" i="5"/>
  <c r="M169" i="5"/>
  <c r="M173" i="5"/>
  <c r="N177" i="5"/>
  <c r="M177" i="5"/>
  <c r="AA179" i="5"/>
  <c r="N172" i="5"/>
  <c r="H178" i="5"/>
  <c r="H179" i="5"/>
  <c r="M170" i="5"/>
  <c r="T283" i="4"/>
  <c r="D176" i="5"/>
  <c r="AA177" i="5"/>
  <c r="T285" i="4"/>
  <c r="D173" i="5"/>
  <c r="N170" i="5"/>
  <c r="H176" i="5"/>
  <c r="H177" i="5"/>
  <c r="M168" i="5"/>
  <c r="T284" i="4"/>
  <c r="D174" i="5"/>
  <c r="AA175" i="5"/>
  <c r="N168" i="5"/>
  <c r="H174" i="5"/>
  <c r="H175" i="5"/>
  <c r="M166" i="5"/>
  <c r="AA173" i="5"/>
  <c r="N166" i="5"/>
  <c r="H172" i="5"/>
  <c r="H173" i="5"/>
  <c r="M164" i="5"/>
  <c r="T286" i="4"/>
  <c r="D171" i="5"/>
  <c r="AA171" i="5"/>
  <c r="N164" i="5"/>
  <c r="H170" i="5"/>
  <c r="H171" i="5"/>
  <c r="M162" i="5"/>
  <c r="T287" i="4"/>
  <c r="D169" i="5"/>
  <c r="AA169" i="5"/>
  <c r="N162" i="5"/>
  <c r="H168" i="5"/>
  <c r="H169" i="5"/>
  <c r="M160" i="5"/>
  <c r="T288" i="4"/>
  <c r="D167" i="5"/>
  <c r="AA167" i="5"/>
  <c r="M148" i="5"/>
  <c r="N160" i="5"/>
  <c r="H166" i="5"/>
  <c r="H167" i="5"/>
  <c r="N158" i="5"/>
  <c r="M158" i="5"/>
  <c r="T289" i="4"/>
  <c r="D165" i="5"/>
  <c r="AA165" i="5"/>
  <c r="H164" i="5"/>
  <c r="H165" i="5"/>
  <c r="T290" i="4"/>
  <c r="D162" i="5"/>
  <c r="AA163" i="5"/>
  <c r="M152" i="5"/>
  <c r="N156" i="5"/>
  <c r="M156" i="5"/>
  <c r="H162" i="5"/>
  <c r="H163" i="5"/>
  <c r="M153" i="5"/>
  <c r="N157" i="5"/>
  <c r="M157" i="5"/>
  <c r="T291" i="4"/>
  <c r="D160" i="5"/>
  <c r="AA161" i="5"/>
  <c r="N154" i="5"/>
  <c r="N153" i="5"/>
  <c r="M154" i="5"/>
  <c r="H160" i="5"/>
  <c r="H161" i="5"/>
  <c r="N151" i="5"/>
  <c r="N155" i="5"/>
  <c r="M151" i="5"/>
  <c r="M155" i="5"/>
  <c r="T292" i="4"/>
  <c r="D158" i="5"/>
  <c r="AA159" i="5"/>
  <c r="N152" i="5"/>
  <c r="H158" i="5"/>
  <c r="H159" i="5"/>
  <c r="M149" i="5"/>
  <c r="M150" i="5"/>
  <c r="T293" i="4"/>
  <c r="D157" i="5"/>
  <c r="AA157" i="5"/>
  <c r="T295" i="4"/>
  <c r="D153" i="5"/>
  <c r="Y153" i="5"/>
  <c r="H156" i="5"/>
  <c r="H157" i="5"/>
  <c r="T294" i="4"/>
  <c r="D155" i="5"/>
  <c r="AA155" i="5"/>
  <c r="N148" i="5"/>
  <c r="H154" i="5"/>
  <c r="H155" i="5"/>
  <c r="N149" i="5"/>
  <c r="N150" i="5"/>
  <c r="AA153" i="5"/>
  <c r="H152" i="5"/>
  <c r="H153" i="5"/>
  <c r="T296" i="4"/>
  <c r="D151" i="5"/>
  <c r="AA151" i="5"/>
  <c r="AA150" i="5"/>
  <c r="T297" i="4"/>
  <c r="D148" i="5"/>
  <c r="H150" i="5"/>
  <c r="AA148" i="5"/>
  <c r="AA149" i="5"/>
  <c r="H148" i="5"/>
  <c r="D215" i="5"/>
  <c r="D179" i="5"/>
  <c r="D221" i="5"/>
  <c r="Y221" i="5"/>
  <c r="D218" i="5"/>
  <c r="Y218" i="5"/>
  <c r="D217" i="5"/>
  <c r="X217" i="5"/>
  <c r="X195" i="5"/>
  <c r="D196" i="5"/>
  <c r="Y196" i="5"/>
  <c r="X220" i="5"/>
  <c r="Y220" i="5"/>
  <c r="Z220" i="5"/>
  <c r="X211" i="5"/>
  <c r="X219" i="5"/>
  <c r="Y219" i="5"/>
  <c r="Z219" i="5"/>
  <c r="Z211" i="5"/>
  <c r="D198" i="5"/>
  <c r="X198" i="5"/>
  <c r="X216" i="5"/>
  <c r="Y216" i="5"/>
  <c r="Z216" i="5"/>
  <c r="D210" i="5"/>
  <c r="Y210" i="5"/>
  <c r="D206" i="5"/>
  <c r="X206" i="5"/>
  <c r="D212" i="5"/>
  <c r="Z212" i="5"/>
  <c r="X214" i="5"/>
  <c r="Y214" i="5"/>
  <c r="Z214" i="5"/>
  <c r="X213" i="5"/>
  <c r="Y213" i="5"/>
  <c r="Z213" i="5"/>
  <c r="D190" i="5"/>
  <c r="Z190" i="5"/>
  <c r="D194" i="5"/>
  <c r="X194" i="5"/>
  <c r="D208" i="5"/>
  <c r="Y208" i="5"/>
  <c r="D205" i="5"/>
  <c r="X205" i="5"/>
  <c r="D203" i="5"/>
  <c r="X203" i="5"/>
  <c r="X209" i="5"/>
  <c r="Y209" i="5"/>
  <c r="Z209" i="5"/>
  <c r="X207" i="5"/>
  <c r="Y207" i="5"/>
  <c r="Z207" i="5"/>
  <c r="D200" i="5"/>
  <c r="Y200" i="5"/>
  <c r="X204" i="5"/>
  <c r="Y204" i="5"/>
  <c r="Z204" i="5"/>
  <c r="X202" i="5"/>
  <c r="Y202" i="5"/>
  <c r="Z202" i="5"/>
  <c r="Z195" i="5"/>
  <c r="X201" i="5"/>
  <c r="Y201" i="5"/>
  <c r="Z201" i="5"/>
  <c r="Z191" i="5"/>
  <c r="X199" i="5"/>
  <c r="Y199" i="5"/>
  <c r="Z199" i="5"/>
  <c r="Y191" i="5"/>
  <c r="D192" i="5"/>
  <c r="X192" i="5"/>
  <c r="X197" i="5"/>
  <c r="Y197" i="5"/>
  <c r="Z197" i="5"/>
  <c r="D184" i="5"/>
  <c r="Y184" i="5"/>
  <c r="Y185" i="5"/>
  <c r="D182" i="5"/>
  <c r="Z182" i="5"/>
  <c r="D189" i="5"/>
  <c r="X189" i="5"/>
  <c r="D186" i="5"/>
  <c r="Z186" i="5"/>
  <c r="X193" i="5"/>
  <c r="Y193" i="5"/>
  <c r="Z193" i="5"/>
  <c r="X185" i="5"/>
  <c r="X188" i="5"/>
  <c r="Y188" i="5"/>
  <c r="Z188" i="5"/>
  <c r="D181" i="5"/>
  <c r="Y181" i="5"/>
  <c r="X187" i="5"/>
  <c r="Y187" i="5"/>
  <c r="Z187" i="5"/>
  <c r="D177" i="5"/>
  <c r="X177" i="5"/>
  <c r="X183" i="5"/>
  <c r="Y183" i="5"/>
  <c r="Z183" i="5"/>
  <c r="D175" i="5"/>
  <c r="Y175" i="5"/>
  <c r="D172" i="5"/>
  <c r="X172" i="5"/>
  <c r="D166" i="5"/>
  <c r="X166" i="5"/>
  <c r="X180" i="5"/>
  <c r="Y180" i="5"/>
  <c r="Z180" i="5"/>
  <c r="D170" i="5"/>
  <c r="X170" i="5"/>
  <c r="X178" i="5"/>
  <c r="Y178" i="5"/>
  <c r="Z178" i="5"/>
  <c r="D168" i="5"/>
  <c r="Z168" i="5"/>
  <c r="X176" i="5"/>
  <c r="Y176" i="5"/>
  <c r="Z176" i="5"/>
  <c r="X174" i="5"/>
  <c r="Y174" i="5"/>
  <c r="Z174" i="5"/>
  <c r="D154" i="5"/>
  <c r="Y154" i="5"/>
  <c r="X173" i="5"/>
  <c r="Y173" i="5"/>
  <c r="Z173" i="5"/>
  <c r="D163" i="5"/>
  <c r="Y163" i="5"/>
  <c r="X171" i="5"/>
  <c r="Y171" i="5"/>
  <c r="Z171" i="5"/>
  <c r="D156" i="5"/>
  <c r="Y156" i="5"/>
  <c r="X169" i="5"/>
  <c r="Y169" i="5"/>
  <c r="Z169" i="5"/>
  <c r="D161" i="5"/>
  <c r="Y161" i="5"/>
  <c r="D164" i="5"/>
  <c r="Z164" i="5"/>
  <c r="X167" i="5"/>
  <c r="Y167" i="5"/>
  <c r="Z167" i="5"/>
  <c r="D159" i="5"/>
  <c r="X159" i="5"/>
  <c r="X165" i="5"/>
  <c r="Y165" i="5"/>
  <c r="Z165" i="5"/>
  <c r="X162" i="5"/>
  <c r="Y162" i="5"/>
  <c r="Z162" i="5"/>
  <c r="X160" i="5"/>
  <c r="Y160" i="5"/>
  <c r="Z160" i="5"/>
  <c r="D150" i="5"/>
  <c r="X150" i="5"/>
  <c r="X158" i="5"/>
  <c r="Y158" i="5"/>
  <c r="Z158" i="5"/>
  <c r="X153" i="5"/>
  <c r="D149" i="5"/>
  <c r="X149" i="5"/>
  <c r="D152" i="5"/>
  <c r="Y152" i="5"/>
  <c r="Z153" i="5"/>
  <c r="X157" i="5"/>
  <c r="Y157" i="5"/>
  <c r="Z157" i="5"/>
  <c r="X155" i="5"/>
  <c r="Y155" i="5"/>
  <c r="Z155" i="5"/>
  <c r="X151" i="5"/>
  <c r="Y151" i="5"/>
  <c r="Z151" i="5"/>
  <c r="X148" i="5"/>
  <c r="Y148" i="5"/>
  <c r="Z148" i="5"/>
  <c r="X215" i="5"/>
  <c r="Y215" i="5"/>
  <c r="Z215" i="5"/>
  <c r="X179" i="5"/>
  <c r="Y179" i="5"/>
  <c r="Z179" i="5"/>
  <c r="X221" i="5"/>
  <c r="U195" i="5"/>
  <c r="Z221" i="5"/>
  <c r="X218" i="5"/>
  <c r="U216" i="5"/>
  <c r="X196" i="5"/>
  <c r="Z218" i="5"/>
  <c r="Z217" i="5"/>
  <c r="Y217" i="5"/>
  <c r="X210" i="5"/>
  <c r="Z210" i="5"/>
  <c r="U220" i="5"/>
  <c r="Y212" i="5"/>
  <c r="X212" i="5"/>
  <c r="Z196" i="5"/>
  <c r="Y206" i="5"/>
  <c r="U211" i="5"/>
  <c r="U219" i="5"/>
  <c r="Z194" i="5"/>
  <c r="Y194" i="5"/>
  <c r="Z198" i="5"/>
  <c r="Y198" i="5"/>
  <c r="Z206" i="5"/>
  <c r="X190" i="5"/>
  <c r="Z208" i="5"/>
  <c r="U214" i="5"/>
  <c r="X208" i="5"/>
  <c r="U213" i="5"/>
  <c r="Y190" i="5"/>
  <c r="Y203" i="5"/>
  <c r="U209" i="5"/>
  <c r="Z205" i="5"/>
  <c r="Y205" i="5"/>
  <c r="Z203" i="5"/>
  <c r="U204" i="5"/>
  <c r="Z200" i="5"/>
  <c r="X200" i="5"/>
  <c r="U207" i="5"/>
  <c r="Z192" i="5"/>
  <c r="U202" i="5"/>
  <c r="X184" i="5"/>
  <c r="Z184" i="5"/>
  <c r="U201" i="5"/>
  <c r="Y192" i="5"/>
  <c r="U191" i="5"/>
  <c r="X186" i="5"/>
  <c r="U199" i="5"/>
  <c r="U197" i="5"/>
  <c r="U185" i="5"/>
  <c r="Y182" i="5"/>
  <c r="X182" i="5"/>
  <c r="Y186" i="5"/>
  <c r="U193" i="5"/>
  <c r="Z189" i="5"/>
  <c r="Y189" i="5"/>
  <c r="Z181" i="5"/>
  <c r="X181" i="5"/>
  <c r="U188" i="5"/>
  <c r="Z177" i="5"/>
  <c r="Y177" i="5"/>
  <c r="U187" i="5"/>
  <c r="X175" i="5"/>
  <c r="Z175" i="5"/>
  <c r="Z172" i="5"/>
  <c r="Z166" i="5"/>
  <c r="Y166" i="5"/>
  <c r="Y172" i="5"/>
  <c r="U183" i="5"/>
  <c r="U180" i="5"/>
  <c r="X164" i="5"/>
  <c r="Y168" i="5"/>
  <c r="X168" i="5"/>
  <c r="Z170" i="5"/>
  <c r="Y170" i="5"/>
  <c r="U178" i="5"/>
  <c r="U176" i="5"/>
  <c r="Z154" i="5"/>
  <c r="X154" i="5"/>
  <c r="Z163" i="5"/>
  <c r="X163" i="5"/>
  <c r="U174" i="5"/>
  <c r="U173" i="5"/>
  <c r="U171" i="5"/>
  <c r="X156" i="5"/>
  <c r="Z161" i="5"/>
  <c r="X161" i="5"/>
  <c r="U169" i="5"/>
  <c r="Z156" i="5"/>
  <c r="Y164" i="5"/>
  <c r="U167" i="5"/>
  <c r="Z159" i="5"/>
  <c r="Y159" i="5"/>
  <c r="U165" i="5"/>
  <c r="Z150" i="5"/>
  <c r="U162" i="5"/>
  <c r="Y150" i="5"/>
  <c r="U153" i="5"/>
  <c r="U160" i="5"/>
  <c r="Z152" i="5"/>
  <c r="U158" i="5"/>
  <c r="X152" i="5"/>
  <c r="U157" i="5"/>
  <c r="Z149" i="5"/>
  <c r="Y149" i="5"/>
  <c r="U155" i="5"/>
  <c r="U151" i="5"/>
  <c r="U148" i="5"/>
  <c r="U221" i="5"/>
  <c r="U215" i="5"/>
  <c r="U179" i="5"/>
  <c r="U217" i="5"/>
  <c r="U218" i="5"/>
  <c r="U212" i="5"/>
  <c r="U196" i="5"/>
  <c r="U208" i="5"/>
  <c r="U210" i="5"/>
  <c r="U206" i="5"/>
  <c r="U194" i="5"/>
  <c r="U203" i="5"/>
  <c r="U198" i="5"/>
  <c r="U190" i="5"/>
  <c r="U205" i="5"/>
  <c r="U192" i="5"/>
  <c r="U200" i="5"/>
  <c r="U184" i="5"/>
  <c r="U186" i="5"/>
  <c r="U189" i="5"/>
  <c r="U182" i="5"/>
  <c r="U181" i="5"/>
  <c r="U177" i="5"/>
  <c r="U175" i="5"/>
  <c r="U172" i="5"/>
  <c r="U168" i="5"/>
  <c r="U166" i="5"/>
  <c r="U164" i="5"/>
  <c r="U154" i="5"/>
  <c r="U170" i="5"/>
  <c r="U163" i="5"/>
  <c r="U156" i="5"/>
  <c r="U161" i="5"/>
  <c r="U159" i="5"/>
  <c r="U150" i="5"/>
  <c r="U149" i="5"/>
  <c r="U152" i="5"/>
  <c r="B147" i="5"/>
  <c r="E147" i="5"/>
  <c r="F147" i="5"/>
  <c r="I147" i="5"/>
  <c r="J147" i="5"/>
  <c r="K147" i="5" a="1"/>
  <c r="L147" i="5" a="1"/>
  <c r="O147" i="5"/>
  <c r="P147" i="5"/>
  <c r="Q147" i="5"/>
  <c r="R147" i="5"/>
  <c r="S147" i="5"/>
  <c r="T147" i="5"/>
  <c r="AB147" i="5"/>
  <c r="B146" i="5"/>
  <c r="E146" i="5"/>
  <c r="F146" i="5"/>
  <c r="I146" i="5"/>
  <c r="J146" i="5"/>
  <c r="K146" i="5" a="1"/>
  <c r="L146" i="5" a="1"/>
  <c r="O146" i="5"/>
  <c r="P146" i="5"/>
  <c r="Q146" i="5"/>
  <c r="R146" i="5"/>
  <c r="S146" i="5"/>
  <c r="T146" i="5"/>
  <c r="AB146" i="5"/>
  <c r="A298" i="4"/>
  <c r="E298" i="4"/>
  <c r="H298" i="4"/>
  <c r="M298" i="4"/>
  <c r="S298" i="4"/>
  <c r="W298" i="4"/>
  <c r="X298" i="4"/>
  <c r="Y298" i="4"/>
  <c r="Z298" i="4"/>
  <c r="H147" i="5"/>
  <c r="AA298" i="4"/>
  <c r="A191" i="2"/>
  <c r="M191" i="2"/>
  <c r="N191" i="2"/>
  <c r="O191" i="2"/>
  <c r="P191" i="2"/>
  <c r="Q191" i="2"/>
  <c r="N146" i="5"/>
  <c r="N147" i="5"/>
  <c r="M147" i="5"/>
  <c r="M146" i="5"/>
  <c r="T298" i="4"/>
  <c r="D147" i="5"/>
  <c r="D146" i="5"/>
  <c r="AA146" i="5"/>
  <c r="AA147" i="5"/>
  <c r="H146" i="5"/>
  <c r="B7" i="11"/>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S299" i="4"/>
  <c r="S300" i="4"/>
  <c r="S301" i="4"/>
  <c r="S302" i="4"/>
  <c r="S303" i="4"/>
  <c r="S304"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B145" i="5"/>
  <c r="E145" i="5"/>
  <c r="F145" i="5"/>
  <c r="I145" i="5"/>
  <c r="K145" i="5" a="1"/>
  <c r="L145" i="5" a="1"/>
  <c r="O145" i="5"/>
  <c r="P145" i="5"/>
  <c r="Q145" i="5"/>
  <c r="R145" i="5"/>
  <c r="S145" i="5"/>
  <c r="T145" i="5"/>
  <c r="AB145" i="5"/>
  <c r="B144" i="5"/>
  <c r="E144" i="5"/>
  <c r="F144" i="5"/>
  <c r="I144" i="5"/>
  <c r="K144" i="5" a="1"/>
  <c r="L144" i="5" a="1"/>
  <c r="O144" i="5"/>
  <c r="P144" i="5"/>
  <c r="Q144" i="5"/>
  <c r="R144" i="5"/>
  <c r="S144" i="5"/>
  <c r="T144" i="5"/>
  <c r="AB144" i="5"/>
  <c r="A299" i="4"/>
  <c r="E299" i="4"/>
  <c r="H299" i="4"/>
  <c r="M299" i="4"/>
  <c r="W299" i="4"/>
  <c r="X299" i="4"/>
  <c r="Y299" i="4"/>
  <c r="Z299" i="4"/>
  <c r="AA144" i="5"/>
  <c r="AA299" i="4"/>
  <c r="B143" i="5"/>
  <c r="E143" i="5"/>
  <c r="F143" i="5"/>
  <c r="I143" i="5"/>
  <c r="K143" i="5" a="1"/>
  <c r="L143" i="5" a="1"/>
  <c r="O143" i="5"/>
  <c r="P143" i="5"/>
  <c r="Q143" i="5"/>
  <c r="R143" i="5"/>
  <c r="S143" i="5"/>
  <c r="T143" i="5"/>
  <c r="AB143" i="5"/>
  <c r="B142" i="5"/>
  <c r="E142" i="5"/>
  <c r="F142" i="5"/>
  <c r="I142" i="5"/>
  <c r="K142" i="5" a="1"/>
  <c r="L142" i="5" a="1"/>
  <c r="O142" i="5"/>
  <c r="P142" i="5"/>
  <c r="Q142" i="5"/>
  <c r="R142" i="5"/>
  <c r="S142" i="5"/>
  <c r="T142" i="5"/>
  <c r="AB142" i="5"/>
  <c r="A300" i="4"/>
  <c r="E300" i="4"/>
  <c r="H300" i="4"/>
  <c r="M300" i="4"/>
  <c r="W300" i="4"/>
  <c r="X300" i="4"/>
  <c r="Y300" i="4"/>
  <c r="Z300" i="4"/>
  <c r="AA142" i="5"/>
  <c r="AA300" i="4"/>
  <c r="B141" i="5"/>
  <c r="E141" i="5"/>
  <c r="F141" i="5"/>
  <c r="I141" i="5"/>
  <c r="K141" i="5" a="1"/>
  <c r="L141" i="5" a="1"/>
  <c r="O141" i="5"/>
  <c r="P141" i="5"/>
  <c r="Q141" i="5"/>
  <c r="R141" i="5"/>
  <c r="S141" i="5"/>
  <c r="T141" i="5"/>
  <c r="AB141" i="5"/>
  <c r="B140" i="5"/>
  <c r="E140" i="5"/>
  <c r="F140" i="5"/>
  <c r="I140" i="5"/>
  <c r="K140" i="5" a="1"/>
  <c r="L140" i="5" a="1"/>
  <c r="O140" i="5"/>
  <c r="P140" i="5"/>
  <c r="Q140" i="5"/>
  <c r="R140" i="5"/>
  <c r="S140" i="5"/>
  <c r="T140" i="5"/>
  <c r="AB140" i="5"/>
  <c r="A301" i="4"/>
  <c r="E301" i="4"/>
  <c r="H301" i="4"/>
  <c r="M301" i="4"/>
  <c r="W301" i="4"/>
  <c r="X301" i="4"/>
  <c r="Y301" i="4"/>
  <c r="Z301" i="4"/>
  <c r="AA140" i="5"/>
  <c r="AA301" i="4"/>
  <c r="B139" i="5"/>
  <c r="E139" i="5"/>
  <c r="F139" i="5"/>
  <c r="I139" i="5"/>
  <c r="K139" i="5" a="1"/>
  <c r="L139" i="5" a="1"/>
  <c r="O139" i="5"/>
  <c r="P139" i="5"/>
  <c r="Q139" i="5"/>
  <c r="R139" i="5"/>
  <c r="S139" i="5"/>
  <c r="T139" i="5"/>
  <c r="AB139" i="5"/>
  <c r="B138" i="5"/>
  <c r="E138" i="5"/>
  <c r="F138" i="5"/>
  <c r="I138" i="5"/>
  <c r="K138" i="5" a="1"/>
  <c r="L138" i="5" a="1"/>
  <c r="O138" i="5"/>
  <c r="P138" i="5"/>
  <c r="Q138" i="5"/>
  <c r="R138" i="5"/>
  <c r="S138" i="5"/>
  <c r="T138" i="5"/>
  <c r="AB138" i="5"/>
  <c r="A302" i="4"/>
  <c r="E302" i="4"/>
  <c r="H302" i="4"/>
  <c r="M302" i="4"/>
  <c r="W302" i="4"/>
  <c r="X302" i="4"/>
  <c r="Y302" i="4"/>
  <c r="Z302" i="4"/>
  <c r="AA138" i="5"/>
  <c r="AA302" i="4"/>
  <c r="B137" i="5"/>
  <c r="E137" i="5"/>
  <c r="F137" i="5"/>
  <c r="I137" i="5"/>
  <c r="K137" i="5" a="1"/>
  <c r="L137" i="5" a="1"/>
  <c r="O137" i="5"/>
  <c r="P137" i="5"/>
  <c r="Q137" i="5"/>
  <c r="R137" i="5"/>
  <c r="S137" i="5"/>
  <c r="T137" i="5"/>
  <c r="AB137" i="5"/>
  <c r="B136" i="5"/>
  <c r="E136" i="5"/>
  <c r="F136" i="5"/>
  <c r="I136" i="5"/>
  <c r="K136" i="5" a="1"/>
  <c r="L136" i="5" a="1"/>
  <c r="O136" i="5"/>
  <c r="P136" i="5"/>
  <c r="Q136" i="5"/>
  <c r="R136" i="5"/>
  <c r="S136" i="5"/>
  <c r="T136" i="5"/>
  <c r="AB136" i="5"/>
  <c r="A303" i="4"/>
  <c r="E303" i="4"/>
  <c r="H303" i="4"/>
  <c r="M303" i="4"/>
  <c r="W303" i="4"/>
  <c r="X303" i="4"/>
  <c r="Y303" i="4"/>
  <c r="Z303" i="4"/>
  <c r="AA136" i="5"/>
  <c r="AA303" i="4"/>
  <c r="B135" i="5"/>
  <c r="E135" i="5"/>
  <c r="F135" i="5"/>
  <c r="I135" i="5"/>
  <c r="K135" i="5" a="1"/>
  <c r="L135" i="5" a="1"/>
  <c r="O135" i="5"/>
  <c r="P135" i="5"/>
  <c r="Q135" i="5"/>
  <c r="R135" i="5"/>
  <c r="S135" i="5"/>
  <c r="T135" i="5"/>
  <c r="AB135" i="5"/>
  <c r="B134" i="5"/>
  <c r="E134" i="5"/>
  <c r="F134" i="5"/>
  <c r="I134" i="5"/>
  <c r="K134" i="5" a="1"/>
  <c r="L134" i="5" a="1"/>
  <c r="O134" i="5"/>
  <c r="P134" i="5"/>
  <c r="Q134" i="5"/>
  <c r="R134" i="5"/>
  <c r="S134" i="5"/>
  <c r="T134" i="5"/>
  <c r="AB134" i="5"/>
  <c r="A304" i="4"/>
  <c r="E304" i="4"/>
  <c r="H304" i="4"/>
  <c r="M304" i="4"/>
  <c r="W304" i="4"/>
  <c r="X304" i="4"/>
  <c r="Y304" i="4"/>
  <c r="Z304" i="4"/>
  <c r="AA134" i="5"/>
  <c r="AA304" i="4"/>
  <c r="B133" i="5"/>
  <c r="E133" i="5"/>
  <c r="F133" i="5"/>
  <c r="I133" i="5"/>
  <c r="K133" i="5" a="1"/>
  <c r="L133" i="5" a="1"/>
  <c r="O133" i="5"/>
  <c r="P133" i="5"/>
  <c r="Q133" i="5"/>
  <c r="R133" i="5"/>
  <c r="S133" i="5"/>
  <c r="T133" i="5"/>
  <c r="AB133" i="5"/>
  <c r="B132" i="5"/>
  <c r="E132" i="5"/>
  <c r="F132" i="5"/>
  <c r="I132" i="5"/>
  <c r="K132" i="5" a="1"/>
  <c r="L132" i="5" a="1"/>
  <c r="O132" i="5"/>
  <c r="P132" i="5"/>
  <c r="Q132" i="5"/>
  <c r="R132" i="5"/>
  <c r="S132" i="5"/>
  <c r="T132" i="5"/>
  <c r="AB132" i="5"/>
  <c r="A305" i="4"/>
  <c r="E305" i="4"/>
  <c r="H305" i="4"/>
  <c r="M305" i="4"/>
  <c r="W305" i="4"/>
  <c r="X305" i="4"/>
  <c r="Y305" i="4"/>
  <c r="Z305" i="4"/>
  <c r="AA132" i="5"/>
  <c r="AA305" i="4"/>
  <c r="E308" i="4"/>
  <c r="E307" i="4"/>
  <c r="E306"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H320" i="4"/>
  <c r="H306" i="4"/>
  <c r="H307" i="4"/>
  <c r="H308" i="4"/>
  <c r="H309" i="4"/>
  <c r="H310" i="4"/>
  <c r="H311" i="4"/>
  <c r="H312" i="4"/>
  <c r="H313" i="4"/>
  <c r="H314" i="4"/>
  <c r="H315" i="4"/>
  <c r="H316" i="4"/>
  <c r="H317" i="4"/>
  <c r="H318" i="4"/>
  <c r="H319"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M306" i="4"/>
  <c r="X306" i="4"/>
  <c r="Y306" i="4"/>
  <c r="AA306" i="4"/>
  <c r="AA307" i="4"/>
  <c r="AA308" i="4"/>
  <c r="AA309" i="4"/>
  <c r="AA310" i="4"/>
  <c r="AA311" i="4"/>
  <c r="AA312" i="4"/>
  <c r="AA313" i="4"/>
  <c r="AA314" i="4"/>
  <c r="AA315" i="4"/>
  <c r="AA316" i="4"/>
  <c r="AA317" i="4"/>
  <c r="AA318" i="4"/>
  <c r="AA319" i="4"/>
  <c r="AA320" i="4"/>
  <c r="AA321" i="4"/>
  <c r="AA322" i="4"/>
  <c r="AA323" i="4"/>
  <c r="AA324" i="4"/>
  <c r="AA325" i="4"/>
  <c r="AA326" i="4"/>
  <c r="AA327" i="4"/>
  <c r="AA328" i="4"/>
  <c r="AA329" i="4"/>
  <c r="AA330" i="4"/>
  <c r="AA331" i="4"/>
  <c r="AA332" i="4"/>
  <c r="AA333" i="4"/>
  <c r="AA334" i="4"/>
  <c r="AA335" i="4"/>
  <c r="AA336" i="4"/>
  <c r="AA337" i="4"/>
  <c r="AA338" i="4"/>
  <c r="AA339" i="4"/>
  <c r="AA340" i="4"/>
  <c r="AA341" i="4"/>
  <c r="AA342" i="4"/>
  <c r="AA343" i="4"/>
  <c r="AA344" i="4"/>
  <c r="AA345" i="4"/>
  <c r="AA346" i="4"/>
  <c r="AA347" i="4"/>
  <c r="AA348" i="4"/>
  <c r="AA349" i="4"/>
  <c r="AA350" i="4"/>
  <c r="AA351" i="4"/>
  <c r="AA352" i="4"/>
  <c r="AA353" i="4"/>
  <c r="AA354" i="4"/>
  <c r="AA355" i="4"/>
  <c r="AA356" i="4"/>
  <c r="AA357" i="4"/>
  <c r="AA358" i="4"/>
  <c r="AA359" i="4"/>
  <c r="AA360" i="4"/>
  <c r="AA361" i="4"/>
  <c r="AA362" i="4"/>
  <c r="AA363" i="4"/>
  <c r="AA364" i="4"/>
  <c r="AA365" i="4"/>
  <c r="AA366" i="4"/>
  <c r="AA367" i="4"/>
  <c r="AA368" i="4"/>
  <c r="AA369" i="4"/>
  <c r="AA370" i="4"/>
  <c r="AA371" i="4"/>
  <c r="Z308" i="4"/>
  <c r="AB104"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130" i="5"/>
  <c r="AB131" i="5"/>
  <c r="AB4" i="5"/>
  <c r="AB5" i="5"/>
  <c r="AB6" i="5"/>
  <c r="AB7" i="5"/>
  <c r="AB8" i="5"/>
  <c r="AB9" i="5"/>
  <c r="AB10" i="5"/>
  <c r="AB11" i="5"/>
  <c r="AB12" i="5"/>
  <c r="AB13" i="5"/>
  <c r="AB14" i="5"/>
  <c r="AB15" i="5"/>
  <c r="AB16" i="5"/>
  <c r="AB17" i="5"/>
  <c r="AB18" i="5"/>
  <c r="AB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V107" i="5"/>
  <c r="V104" i="5"/>
  <c r="V105" i="5"/>
  <c r="V106" i="5"/>
  <c r="V108" i="5"/>
  <c r="V109" i="5"/>
  <c r="V110" i="5"/>
  <c r="V111" i="5"/>
  <c r="V112" i="5"/>
  <c r="V113" i="5"/>
  <c r="V114" i="5"/>
  <c r="V115" i="5"/>
  <c r="V116" i="5"/>
  <c r="V117" i="5"/>
  <c r="V118" i="5"/>
  <c r="V119" i="5"/>
  <c r="V120" i="5"/>
  <c r="V121" i="5"/>
  <c r="V122" i="5"/>
  <c r="V123" i="5"/>
  <c r="V124" i="5"/>
  <c r="V125" i="5"/>
  <c r="V126" i="5"/>
  <c r="V127" i="5"/>
  <c r="V128" i="5"/>
  <c r="V129" i="5"/>
  <c r="V130" i="5"/>
  <c r="V131"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S4" i="5"/>
  <c r="T4" i="5"/>
  <c r="S5" i="5"/>
  <c r="T5" i="5"/>
  <c r="S6" i="5"/>
  <c r="T6" i="5"/>
  <c r="S7" i="5"/>
  <c r="T7" i="5"/>
  <c r="S8" i="5"/>
  <c r="T8" i="5"/>
  <c r="S9" i="5"/>
  <c r="T9" i="5"/>
  <c r="S10" i="5"/>
  <c r="T10" i="5"/>
  <c r="S11" i="5"/>
  <c r="T11" i="5"/>
  <c r="S12" i="5"/>
  <c r="T12" i="5"/>
  <c r="S13" i="5"/>
  <c r="T13" i="5"/>
  <c r="S14" i="5"/>
  <c r="T14" i="5"/>
  <c r="S15" i="5"/>
  <c r="T15" i="5"/>
  <c r="S16" i="5"/>
  <c r="T16" i="5"/>
  <c r="S17" i="5"/>
  <c r="T17" i="5"/>
  <c r="S18" i="5"/>
  <c r="T18" i="5"/>
  <c r="S19" i="5"/>
  <c r="T19" i="5"/>
  <c r="S20" i="5"/>
  <c r="T20" i="5"/>
  <c r="S21" i="5"/>
  <c r="T21" i="5"/>
  <c r="S22" i="5"/>
  <c r="T22" i="5"/>
  <c r="S23" i="5"/>
  <c r="T23" i="5"/>
  <c r="S24" i="5"/>
  <c r="T24" i="5"/>
  <c r="S25" i="5"/>
  <c r="T25" i="5"/>
  <c r="S26" i="5"/>
  <c r="T26" i="5"/>
  <c r="S27" i="5"/>
  <c r="T27" i="5"/>
  <c r="S28" i="5"/>
  <c r="T28" i="5"/>
  <c r="S29" i="5"/>
  <c r="T29" i="5"/>
  <c r="S30" i="5"/>
  <c r="T30" i="5"/>
  <c r="S31" i="5"/>
  <c r="T31" i="5"/>
  <c r="S32" i="5"/>
  <c r="T32" i="5"/>
  <c r="S33" i="5"/>
  <c r="T33" i="5"/>
  <c r="S34" i="5"/>
  <c r="T34" i="5"/>
  <c r="S35" i="5"/>
  <c r="T35" i="5"/>
  <c r="S36" i="5"/>
  <c r="T36" i="5"/>
  <c r="S37" i="5"/>
  <c r="T37" i="5"/>
  <c r="S38" i="5"/>
  <c r="T38" i="5"/>
  <c r="S39" i="5"/>
  <c r="T39" i="5"/>
  <c r="S40" i="5"/>
  <c r="T40" i="5"/>
  <c r="S41" i="5"/>
  <c r="T41" i="5"/>
  <c r="S42" i="5"/>
  <c r="T42" i="5"/>
  <c r="S43" i="5"/>
  <c r="T43" i="5"/>
  <c r="S44" i="5"/>
  <c r="T44" i="5"/>
  <c r="S45" i="5"/>
  <c r="T45" i="5"/>
  <c r="S46" i="5"/>
  <c r="T46" i="5"/>
  <c r="S47" i="5"/>
  <c r="T47" i="5"/>
  <c r="S48" i="5"/>
  <c r="T48" i="5"/>
  <c r="S49" i="5"/>
  <c r="T49" i="5"/>
  <c r="S50" i="5"/>
  <c r="T50" i="5"/>
  <c r="S51" i="5"/>
  <c r="T51" i="5"/>
  <c r="S52" i="5"/>
  <c r="T52" i="5"/>
  <c r="S53" i="5"/>
  <c r="T53" i="5"/>
  <c r="S54" i="5"/>
  <c r="T54" i="5"/>
  <c r="S55" i="5"/>
  <c r="T55" i="5"/>
  <c r="S56" i="5"/>
  <c r="T56" i="5"/>
  <c r="S57" i="5"/>
  <c r="T57" i="5"/>
  <c r="S58" i="5"/>
  <c r="T58" i="5"/>
  <c r="S59" i="5"/>
  <c r="T59" i="5"/>
  <c r="S60" i="5"/>
  <c r="T60" i="5"/>
  <c r="S61" i="5"/>
  <c r="T61" i="5"/>
  <c r="S62" i="5"/>
  <c r="T62" i="5"/>
  <c r="S63" i="5"/>
  <c r="T63" i="5"/>
  <c r="S64" i="5"/>
  <c r="T64" i="5"/>
  <c r="S65" i="5"/>
  <c r="T65" i="5"/>
  <c r="S66" i="5"/>
  <c r="T66" i="5"/>
  <c r="S67" i="5"/>
  <c r="T67" i="5"/>
  <c r="S68" i="5"/>
  <c r="T68" i="5"/>
  <c r="S69" i="5"/>
  <c r="T69" i="5"/>
  <c r="S70" i="5"/>
  <c r="T70" i="5"/>
  <c r="S71" i="5"/>
  <c r="T71" i="5"/>
  <c r="S72" i="5"/>
  <c r="T72" i="5"/>
  <c r="S73" i="5"/>
  <c r="T73" i="5"/>
  <c r="S74" i="5"/>
  <c r="T74" i="5"/>
  <c r="S75" i="5"/>
  <c r="T75" i="5"/>
  <c r="S76" i="5"/>
  <c r="T76" i="5"/>
  <c r="S77" i="5"/>
  <c r="T77" i="5"/>
  <c r="S78" i="5"/>
  <c r="T78" i="5"/>
  <c r="S79" i="5"/>
  <c r="T79" i="5"/>
  <c r="S80" i="5"/>
  <c r="T80" i="5"/>
  <c r="S81" i="5"/>
  <c r="T81" i="5"/>
  <c r="S82" i="5"/>
  <c r="T82" i="5"/>
  <c r="S83" i="5"/>
  <c r="T83" i="5"/>
  <c r="S84" i="5"/>
  <c r="T84" i="5"/>
  <c r="S85" i="5"/>
  <c r="T85" i="5"/>
  <c r="S86" i="5"/>
  <c r="T86" i="5"/>
  <c r="S87" i="5"/>
  <c r="T87" i="5"/>
  <c r="S88" i="5"/>
  <c r="T88" i="5"/>
  <c r="S89" i="5"/>
  <c r="T89" i="5"/>
  <c r="S90" i="5"/>
  <c r="T90" i="5"/>
  <c r="S91" i="5"/>
  <c r="T91" i="5"/>
  <c r="S92" i="5"/>
  <c r="T92" i="5"/>
  <c r="S93" i="5"/>
  <c r="T93" i="5"/>
  <c r="S94" i="5"/>
  <c r="T94" i="5"/>
  <c r="S95" i="5"/>
  <c r="T95" i="5"/>
  <c r="S96" i="5"/>
  <c r="T96" i="5"/>
  <c r="S97" i="5"/>
  <c r="T97" i="5"/>
  <c r="S98" i="5"/>
  <c r="T98" i="5"/>
  <c r="S99" i="5"/>
  <c r="T99" i="5"/>
  <c r="S100" i="5"/>
  <c r="T100" i="5"/>
  <c r="S101" i="5"/>
  <c r="T101" i="5"/>
  <c r="S102" i="5"/>
  <c r="T102" i="5"/>
  <c r="S103" i="5"/>
  <c r="T103" i="5"/>
  <c r="S104" i="5"/>
  <c r="T104" i="5"/>
  <c r="S105" i="5"/>
  <c r="T105" i="5"/>
  <c r="S106" i="5"/>
  <c r="T106" i="5"/>
  <c r="S107" i="5"/>
  <c r="T107" i="5"/>
  <c r="S108" i="5"/>
  <c r="T108" i="5"/>
  <c r="S109" i="5"/>
  <c r="T109" i="5"/>
  <c r="S110" i="5"/>
  <c r="T110" i="5"/>
  <c r="S111" i="5"/>
  <c r="T111" i="5"/>
  <c r="S112" i="5"/>
  <c r="T112" i="5"/>
  <c r="S113" i="5"/>
  <c r="T113" i="5"/>
  <c r="S114" i="5"/>
  <c r="T114" i="5"/>
  <c r="S115" i="5"/>
  <c r="T115" i="5"/>
  <c r="S116" i="5"/>
  <c r="T116" i="5"/>
  <c r="S117" i="5"/>
  <c r="T117" i="5"/>
  <c r="S118" i="5"/>
  <c r="T118" i="5"/>
  <c r="S119" i="5"/>
  <c r="T119" i="5"/>
  <c r="S120" i="5"/>
  <c r="T120" i="5"/>
  <c r="S121" i="5"/>
  <c r="T121" i="5"/>
  <c r="S122" i="5"/>
  <c r="T122" i="5"/>
  <c r="S123" i="5"/>
  <c r="T123" i="5"/>
  <c r="S124" i="5"/>
  <c r="T124" i="5"/>
  <c r="S125" i="5"/>
  <c r="T125" i="5"/>
  <c r="S126" i="5"/>
  <c r="T126" i="5"/>
  <c r="S127" i="5"/>
  <c r="T127" i="5"/>
  <c r="S128" i="5"/>
  <c r="T128" i="5"/>
  <c r="S129" i="5"/>
  <c r="T129" i="5"/>
  <c r="S130" i="5"/>
  <c r="T130" i="5"/>
  <c r="S131" i="5"/>
  <c r="T131"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L4" i="5" a="1"/>
  <c r="L5" i="5" a="1"/>
  <c r="L6" i="5" a="1"/>
  <c r="L7" i="5" a="1"/>
  <c r="L8" i="5" a="1"/>
  <c r="L9" i="5" a="1"/>
  <c r="L10" i="5" a="1"/>
  <c r="L11" i="5" a="1"/>
  <c r="L12" i="5" a="1"/>
  <c r="L13" i="5" a="1"/>
  <c r="L14" i="5" a="1"/>
  <c r="L15" i="5" a="1"/>
  <c r="L16" i="5" a="1"/>
  <c r="L17" i="5" a="1"/>
  <c r="L18" i="5" a="1"/>
  <c r="L19" i="5" a="1"/>
  <c r="L20" i="5" a="1"/>
  <c r="L21" i="5" a="1"/>
  <c r="L22" i="5" a="1"/>
  <c r="L23" i="5" a="1"/>
  <c r="L24" i="5" a="1"/>
  <c r="L25" i="5" a="1"/>
  <c r="L26" i="5" a="1"/>
  <c r="L27" i="5" a="1"/>
  <c r="L28" i="5" a="1"/>
  <c r="L29" i="5" a="1"/>
  <c r="L30" i="5" a="1"/>
  <c r="L31" i="5" a="1"/>
  <c r="L32" i="5" a="1"/>
  <c r="L33" i="5" a="1"/>
  <c r="L34" i="5" a="1"/>
  <c r="L35" i="5" a="1"/>
  <c r="L36" i="5" a="1"/>
  <c r="L37" i="5" a="1"/>
  <c r="L38" i="5" a="1"/>
  <c r="L39" i="5" a="1"/>
  <c r="L40" i="5" a="1"/>
  <c r="L41" i="5" a="1"/>
  <c r="L42" i="5" a="1"/>
  <c r="L43" i="5" a="1"/>
  <c r="L44" i="5" a="1"/>
  <c r="L45" i="5" a="1"/>
  <c r="L46" i="5" a="1"/>
  <c r="L47" i="5" a="1"/>
  <c r="L48" i="5" a="1"/>
  <c r="L49" i="5" a="1"/>
  <c r="L50" i="5" a="1"/>
  <c r="L51" i="5" a="1"/>
  <c r="L52" i="5" a="1"/>
  <c r="L53" i="5" a="1"/>
  <c r="L54" i="5" a="1"/>
  <c r="L55" i="5" a="1"/>
  <c r="L56" i="5" a="1"/>
  <c r="L57" i="5" a="1"/>
  <c r="L58" i="5" a="1"/>
  <c r="L59" i="5" a="1"/>
  <c r="L60" i="5" a="1"/>
  <c r="L61" i="5" a="1"/>
  <c r="L62" i="5" a="1"/>
  <c r="L63" i="5" a="1"/>
  <c r="L64" i="5" a="1"/>
  <c r="L65" i="5" a="1"/>
  <c r="L66" i="5" a="1"/>
  <c r="L67" i="5" a="1"/>
  <c r="L68" i="5" a="1"/>
  <c r="L69" i="5" a="1"/>
  <c r="L70" i="5" a="1"/>
  <c r="L71" i="5" a="1"/>
  <c r="L72" i="5" a="1"/>
  <c r="L73" i="5" a="1"/>
  <c r="L74" i="5" a="1"/>
  <c r="L75" i="5" a="1"/>
  <c r="L76" i="5" a="1"/>
  <c r="L77" i="5" a="1"/>
  <c r="L78" i="5" a="1"/>
  <c r="L79" i="5" a="1"/>
  <c r="L80" i="5" a="1"/>
  <c r="L81" i="5" a="1"/>
  <c r="L82" i="5" a="1"/>
  <c r="L83" i="5" a="1"/>
  <c r="L84" i="5" a="1"/>
  <c r="L85" i="5" a="1"/>
  <c r="L86" i="5" a="1"/>
  <c r="L87" i="5" a="1"/>
  <c r="L88" i="5" a="1"/>
  <c r="L89" i="5" a="1"/>
  <c r="L90" i="5" a="1"/>
  <c r="L91" i="5" a="1"/>
  <c r="L92" i="5" a="1"/>
  <c r="L93" i="5" a="1"/>
  <c r="L94" i="5" a="1"/>
  <c r="L95" i="5" a="1"/>
  <c r="L96" i="5" a="1"/>
  <c r="L97" i="5" a="1"/>
  <c r="L98" i="5" a="1"/>
  <c r="L99" i="5" a="1"/>
  <c r="L100" i="5" a="1"/>
  <c r="L101" i="5" a="1"/>
  <c r="L102" i="5" a="1"/>
  <c r="L103" i="5" a="1"/>
  <c r="L104" i="5" a="1"/>
  <c r="L105" i="5" a="1"/>
  <c r="L106" i="5" a="1"/>
  <c r="L107" i="5" a="1"/>
  <c r="L108" i="5" a="1"/>
  <c r="L109" i="5" a="1"/>
  <c r="L110" i="5" a="1"/>
  <c r="L111" i="5" a="1"/>
  <c r="L112" i="5" a="1"/>
  <c r="L113" i="5" a="1"/>
  <c r="L114" i="5" a="1"/>
  <c r="L115" i="5" a="1"/>
  <c r="L116" i="5" a="1"/>
  <c r="L117" i="5" a="1"/>
  <c r="L118" i="5" a="1"/>
  <c r="L119" i="5" a="1"/>
  <c r="L120" i="5" a="1"/>
  <c r="L121" i="5" a="1"/>
  <c r="L122" i="5" a="1"/>
  <c r="L123" i="5" a="1"/>
  <c r="L124" i="5" a="1"/>
  <c r="L125" i="5" a="1"/>
  <c r="L126" i="5" a="1"/>
  <c r="L127" i="5" a="1"/>
  <c r="L128" i="5" a="1"/>
  <c r="L129" i="5" a="1"/>
  <c r="L130" i="5" a="1"/>
  <c r="L131" i="5" a="1"/>
  <c r="K4" i="5" a="1"/>
  <c r="K5" i="5" a="1"/>
  <c r="K6" i="5" a="1"/>
  <c r="M6" i="5"/>
  <c r="K7" i="5" a="1"/>
  <c r="K8" i="5" a="1"/>
  <c r="K9" i="5" a="1"/>
  <c r="K10" i="5" a="1"/>
  <c r="K11" i="5" a="1"/>
  <c r="K12" i="5" a="1"/>
  <c r="K13" i="5" a="1"/>
  <c r="K14" i="5" a="1"/>
  <c r="K15" i="5" a="1"/>
  <c r="K16" i="5" a="1"/>
  <c r="K17" i="5" a="1"/>
  <c r="K18" i="5" a="1"/>
  <c r="K19" i="5" a="1"/>
  <c r="K20" i="5" a="1"/>
  <c r="K21" i="5" a="1"/>
  <c r="K22" i="5" a="1"/>
  <c r="K23" i="5" a="1"/>
  <c r="K24" i="5" a="1"/>
  <c r="K25" i="5" a="1"/>
  <c r="K26" i="5" a="1"/>
  <c r="K27" i="5" a="1"/>
  <c r="K28" i="5" a="1"/>
  <c r="K29" i="5" a="1"/>
  <c r="K30" i="5" a="1"/>
  <c r="K31" i="5" a="1"/>
  <c r="K32" i="5" a="1"/>
  <c r="K33" i="5" a="1"/>
  <c r="K34" i="5" a="1"/>
  <c r="K35" i="5" a="1"/>
  <c r="K36" i="5" a="1"/>
  <c r="K37" i="5" a="1"/>
  <c r="K38" i="5" a="1"/>
  <c r="K39" i="5" a="1"/>
  <c r="K40" i="5" a="1"/>
  <c r="K41" i="5" a="1"/>
  <c r="K42" i="5" a="1"/>
  <c r="K43" i="5" a="1"/>
  <c r="K44" i="5" a="1"/>
  <c r="K45" i="5" a="1"/>
  <c r="K46" i="5" a="1"/>
  <c r="K47" i="5" a="1"/>
  <c r="K48" i="5" a="1"/>
  <c r="K49" i="5" a="1"/>
  <c r="K50" i="5" a="1"/>
  <c r="K51" i="5" a="1"/>
  <c r="K52" i="5" a="1"/>
  <c r="K53" i="5" a="1"/>
  <c r="K54" i="5" a="1"/>
  <c r="K55" i="5" a="1"/>
  <c r="K56" i="5" a="1"/>
  <c r="K57" i="5" a="1"/>
  <c r="K58" i="5" a="1"/>
  <c r="K59" i="5" a="1"/>
  <c r="K60" i="5" a="1"/>
  <c r="K61" i="5" a="1"/>
  <c r="K62" i="5" a="1"/>
  <c r="K63" i="5" a="1"/>
  <c r="K64" i="5" a="1"/>
  <c r="K65" i="5" a="1"/>
  <c r="K66" i="5" a="1"/>
  <c r="K67" i="5" a="1"/>
  <c r="K68" i="5" a="1"/>
  <c r="K69" i="5" a="1"/>
  <c r="K70" i="5" a="1"/>
  <c r="K71" i="5" a="1"/>
  <c r="K72" i="5" a="1"/>
  <c r="K73" i="5" a="1"/>
  <c r="K74" i="5" a="1"/>
  <c r="K75" i="5" a="1"/>
  <c r="K76" i="5" a="1"/>
  <c r="K77" i="5" a="1"/>
  <c r="K78" i="5" a="1"/>
  <c r="K79" i="5" a="1"/>
  <c r="K80" i="5" a="1"/>
  <c r="K81" i="5" a="1"/>
  <c r="K82" i="5" a="1"/>
  <c r="K83" i="5" a="1"/>
  <c r="K84" i="5" a="1"/>
  <c r="K85" i="5" a="1"/>
  <c r="K86" i="5" a="1"/>
  <c r="K87" i="5" a="1"/>
  <c r="K88" i="5" a="1"/>
  <c r="K89" i="5" a="1"/>
  <c r="K90" i="5" a="1"/>
  <c r="K91" i="5" a="1"/>
  <c r="K92" i="5" a="1"/>
  <c r="K93" i="5" a="1"/>
  <c r="K94" i="5" a="1"/>
  <c r="K95" i="5" a="1"/>
  <c r="K96" i="5" a="1"/>
  <c r="K97" i="5" a="1"/>
  <c r="K98" i="5" a="1"/>
  <c r="K99" i="5" a="1"/>
  <c r="K100" i="5" a="1"/>
  <c r="K101" i="5" a="1"/>
  <c r="K102" i="5" a="1"/>
  <c r="K103" i="5" a="1"/>
  <c r="K104" i="5" a="1"/>
  <c r="K105" i="5" a="1"/>
  <c r="K106" i="5" a="1"/>
  <c r="K107" i="5" a="1"/>
  <c r="K108" i="5" a="1"/>
  <c r="K109" i="5" a="1"/>
  <c r="K110" i="5" a="1"/>
  <c r="K111" i="5" a="1"/>
  <c r="K112" i="5" a="1"/>
  <c r="K113" i="5" a="1"/>
  <c r="K114" i="5" a="1"/>
  <c r="K115" i="5" a="1"/>
  <c r="K116" i="5" a="1"/>
  <c r="K117" i="5" a="1"/>
  <c r="K118" i="5" a="1"/>
  <c r="K119" i="5" a="1"/>
  <c r="K120" i="5" a="1"/>
  <c r="K121" i="5" a="1"/>
  <c r="K122" i="5" a="1"/>
  <c r="K123" i="5" a="1"/>
  <c r="K124" i="5" a="1"/>
  <c r="K125" i="5" a="1"/>
  <c r="K126" i="5" a="1"/>
  <c r="K127" i="5" a="1"/>
  <c r="K128" i="5" a="1"/>
  <c r="K129" i="5" a="1"/>
  <c r="K130" i="5" a="1"/>
  <c r="K131" i="5" a="1"/>
  <c r="I4" i="5"/>
  <c r="A190" i="2"/>
  <c r="M190" i="2"/>
  <c r="N190" i="2"/>
  <c r="O190" i="2"/>
  <c r="P190" i="2"/>
  <c r="Q190" i="2"/>
  <c r="A108" i="2"/>
  <c r="M108" i="2"/>
  <c r="N108" i="2"/>
  <c r="O108" i="2"/>
  <c r="P108" i="2"/>
  <c r="Q108" i="2"/>
  <c r="A112" i="2"/>
  <c r="M112" i="2"/>
  <c r="N112" i="2"/>
  <c r="O112" i="2"/>
  <c r="P112" i="2"/>
  <c r="Q112" i="2"/>
  <c r="A111" i="2"/>
  <c r="M111" i="2"/>
  <c r="N111" i="2"/>
  <c r="O111" i="2"/>
  <c r="P111" i="2"/>
  <c r="Q111" i="2"/>
  <c r="A189" i="2"/>
  <c r="M189" i="2"/>
  <c r="N189" i="2"/>
  <c r="O189" i="2"/>
  <c r="P189" i="2"/>
  <c r="Q189" i="2"/>
  <c r="B131" i="5"/>
  <c r="E131" i="5"/>
  <c r="F131" i="5"/>
  <c r="I131" i="5"/>
  <c r="B130" i="5"/>
  <c r="E130" i="5"/>
  <c r="F130" i="5"/>
  <c r="I130" i="5"/>
  <c r="A306" i="4"/>
  <c r="W306" i="4"/>
  <c r="T306" i="4"/>
  <c r="D131" i="5"/>
  <c r="Z306" i="4"/>
  <c r="B129" i="5"/>
  <c r="E129" i="5"/>
  <c r="F129" i="5"/>
  <c r="I129" i="5"/>
  <c r="B128" i="5"/>
  <c r="E128" i="5"/>
  <c r="F128" i="5"/>
  <c r="I128" i="5"/>
  <c r="A307" i="4"/>
  <c r="M307" i="4"/>
  <c r="W307" i="4"/>
  <c r="X307" i="4"/>
  <c r="Y307" i="4"/>
  <c r="Z307" i="4"/>
  <c r="B127" i="5"/>
  <c r="E127" i="5"/>
  <c r="F127" i="5"/>
  <c r="I127" i="5"/>
  <c r="B126" i="5"/>
  <c r="E126" i="5"/>
  <c r="F126" i="5"/>
  <c r="I126" i="5"/>
  <c r="A308" i="4"/>
  <c r="M308" i="4"/>
  <c r="W308" i="4"/>
  <c r="X308" i="4"/>
  <c r="Y308" i="4"/>
  <c r="B125" i="5"/>
  <c r="E125" i="5"/>
  <c r="F125" i="5"/>
  <c r="I125" i="5"/>
  <c r="B124" i="5"/>
  <c r="E124" i="5"/>
  <c r="F124" i="5"/>
  <c r="I124" i="5"/>
  <c r="A309" i="4"/>
  <c r="M309" i="4"/>
  <c r="W309" i="4"/>
  <c r="X309" i="4"/>
  <c r="Y309" i="4"/>
  <c r="Z309" i="4"/>
  <c r="A188" i="2"/>
  <c r="M188" i="2"/>
  <c r="N188" i="2"/>
  <c r="O188" i="2"/>
  <c r="P188" i="2"/>
  <c r="Q188" i="2"/>
  <c r="B123" i="5"/>
  <c r="E123" i="5"/>
  <c r="F123" i="5"/>
  <c r="I123" i="5"/>
  <c r="B122" i="5"/>
  <c r="E122" i="5"/>
  <c r="F122" i="5"/>
  <c r="I122" i="5"/>
  <c r="A310" i="4"/>
  <c r="M310" i="4"/>
  <c r="W310" i="4"/>
  <c r="X310" i="4"/>
  <c r="Y310" i="4"/>
  <c r="Z310" i="4"/>
  <c r="B121" i="5"/>
  <c r="E121" i="5"/>
  <c r="F121" i="5"/>
  <c r="I121" i="5"/>
  <c r="B120" i="5"/>
  <c r="E120" i="5"/>
  <c r="F120" i="5"/>
  <c r="I120" i="5"/>
  <c r="A311" i="4"/>
  <c r="M311" i="4"/>
  <c r="W311" i="4"/>
  <c r="X311" i="4"/>
  <c r="Y311" i="4"/>
  <c r="Z311" i="4"/>
  <c r="AA121" i="5"/>
  <c r="B119" i="5"/>
  <c r="E119" i="5"/>
  <c r="F119" i="5"/>
  <c r="I119" i="5"/>
  <c r="B118" i="5"/>
  <c r="E118" i="5"/>
  <c r="F118" i="5"/>
  <c r="I118" i="5"/>
  <c r="A312" i="4"/>
  <c r="M312" i="4"/>
  <c r="W312" i="4"/>
  <c r="X312" i="4"/>
  <c r="Y312" i="4"/>
  <c r="Z312" i="4"/>
  <c r="H119" i="5"/>
  <c r="B117" i="5"/>
  <c r="E117" i="5"/>
  <c r="F117" i="5"/>
  <c r="I117" i="5"/>
  <c r="B116" i="5"/>
  <c r="E116" i="5"/>
  <c r="F116" i="5"/>
  <c r="I116" i="5"/>
  <c r="A313" i="4"/>
  <c r="M313" i="4"/>
  <c r="W313" i="4"/>
  <c r="X313" i="4"/>
  <c r="Y313" i="4"/>
  <c r="Z313" i="4"/>
  <c r="B115" i="5"/>
  <c r="E115" i="5"/>
  <c r="F115" i="5"/>
  <c r="I115" i="5"/>
  <c r="B114" i="5"/>
  <c r="E114" i="5"/>
  <c r="F114" i="5"/>
  <c r="I114" i="5"/>
  <c r="A314" i="4"/>
  <c r="M314" i="4"/>
  <c r="W314" i="4"/>
  <c r="X314" i="4"/>
  <c r="Y314" i="4"/>
  <c r="Z314" i="4"/>
  <c r="B113" i="5"/>
  <c r="E113" i="5"/>
  <c r="F113" i="5"/>
  <c r="I113" i="5"/>
  <c r="B112" i="5"/>
  <c r="E112" i="5"/>
  <c r="F112" i="5"/>
  <c r="I112" i="5"/>
  <c r="A315" i="4"/>
  <c r="M315" i="4"/>
  <c r="W315" i="4"/>
  <c r="X315" i="4"/>
  <c r="Y315" i="4"/>
  <c r="Z315" i="4"/>
  <c r="AA113" i="5"/>
  <c r="B111" i="5"/>
  <c r="E111" i="5"/>
  <c r="F111" i="5"/>
  <c r="I111" i="5"/>
  <c r="B110" i="5"/>
  <c r="E110" i="5"/>
  <c r="F110" i="5"/>
  <c r="I110" i="5"/>
  <c r="A316" i="4"/>
  <c r="M316" i="4"/>
  <c r="W316" i="4"/>
  <c r="X316" i="4"/>
  <c r="Y316" i="4"/>
  <c r="Z316" i="4"/>
  <c r="H111" i="5"/>
  <c r="B109" i="5"/>
  <c r="E109" i="5"/>
  <c r="F109" i="5"/>
  <c r="I109" i="5"/>
  <c r="B108" i="5"/>
  <c r="E108" i="5"/>
  <c r="F108" i="5"/>
  <c r="I108" i="5"/>
  <c r="A317" i="4"/>
  <c r="M317" i="4"/>
  <c r="W317" i="4"/>
  <c r="X317" i="4"/>
  <c r="Y317" i="4"/>
  <c r="Z317" i="4"/>
  <c r="B107" i="5"/>
  <c r="E107" i="5"/>
  <c r="F107" i="5"/>
  <c r="I107" i="5"/>
  <c r="B106" i="5"/>
  <c r="E106" i="5"/>
  <c r="F106" i="5"/>
  <c r="I106" i="5"/>
  <c r="A318" i="4"/>
  <c r="M318" i="4"/>
  <c r="W318" i="4"/>
  <c r="X318" i="4"/>
  <c r="Y318" i="4"/>
  <c r="Z318" i="4"/>
  <c r="B105" i="5"/>
  <c r="E105" i="5"/>
  <c r="F105" i="5"/>
  <c r="I105" i="5"/>
  <c r="B104" i="5"/>
  <c r="E104" i="5"/>
  <c r="F104" i="5"/>
  <c r="I104" i="5"/>
  <c r="A319" i="4"/>
  <c r="M319" i="4"/>
  <c r="W319" i="4"/>
  <c r="X319" i="4"/>
  <c r="Y319" i="4"/>
  <c r="Z319" i="4"/>
  <c r="AA105" i="5"/>
  <c r="Z320" i="4"/>
  <c r="Z321" i="4"/>
  <c r="Z322" i="4"/>
  <c r="Z323" i="4"/>
  <c r="Z324" i="4"/>
  <c r="Z325" i="4"/>
  <c r="Z326" i="4"/>
  <c r="Z327" i="4"/>
  <c r="Z328" i="4"/>
  <c r="Z329" i="4"/>
  <c r="Z330" i="4"/>
  <c r="H83" i="5"/>
  <c r="Z331" i="4"/>
  <c r="Z332" i="4"/>
  <c r="Z333" i="4"/>
  <c r="Z334" i="4"/>
  <c r="Z335" i="4"/>
  <c r="AA73" i="5"/>
  <c r="Z336" i="4"/>
  <c r="H71" i="5"/>
  <c r="Z337" i="4"/>
  <c r="Z338" i="4"/>
  <c r="Z339" i="4"/>
  <c r="Z340" i="4"/>
  <c r="AA63" i="5"/>
  <c r="Z341" i="4"/>
  <c r="Z342" i="4"/>
  <c r="Z343" i="4"/>
  <c r="AA57" i="5"/>
  <c r="Z344" i="4"/>
  <c r="Z345" i="4"/>
  <c r="Z346" i="4"/>
  <c r="Z347" i="4"/>
  <c r="Z348" i="4"/>
  <c r="Z349" i="4"/>
  <c r="Z350" i="4"/>
  <c r="Z351" i="4"/>
  <c r="Z352" i="4"/>
  <c r="Z353" i="4"/>
  <c r="Z354" i="4"/>
  <c r="H35" i="5"/>
  <c r="Z355" i="4"/>
  <c r="Z356" i="4"/>
  <c r="Z357" i="4"/>
  <c r="Z358" i="4"/>
  <c r="Z359" i="4"/>
  <c r="Z360" i="4"/>
  <c r="H23" i="5"/>
  <c r="Z361" i="4"/>
  <c r="Z362" i="4"/>
  <c r="Z363" i="4"/>
  <c r="Z364" i="4"/>
  <c r="Z365" i="4"/>
  <c r="Z366" i="4"/>
  <c r="H10" i="5"/>
  <c r="Z367" i="4"/>
  <c r="Z368" i="4"/>
  <c r="Z369" i="4"/>
  <c r="Z370" i="4"/>
  <c r="Z371" i="4"/>
  <c r="H79" i="5"/>
  <c r="Y320" i="4"/>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E5" i="5"/>
  <c r="E4"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S3" i="6"/>
  <c r="R2" i="6"/>
  <c r="P1" i="6"/>
  <c r="Q1" i="6"/>
  <c r="R1" i="6"/>
  <c r="P2" i="6"/>
  <c r="Q2" i="6"/>
  <c r="L1" i="6"/>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Y371" i="4"/>
  <c r="X371" i="4"/>
  <c r="W371" i="4"/>
  <c r="M371" i="4"/>
  <c r="A371" i="4"/>
  <c r="Y370" i="4"/>
  <c r="X370" i="4"/>
  <c r="W370" i="4"/>
  <c r="M370" i="4"/>
  <c r="A370" i="4"/>
  <c r="Y369" i="4"/>
  <c r="X369" i="4"/>
  <c r="W369" i="4"/>
  <c r="M369" i="4"/>
  <c r="A369" i="4"/>
  <c r="Y368" i="4"/>
  <c r="X368" i="4"/>
  <c r="W368" i="4"/>
  <c r="M368" i="4"/>
  <c r="A368" i="4"/>
  <c r="Y367" i="4"/>
  <c r="X367" i="4"/>
  <c r="W367" i="4"/>
  <c r="M367" i="4"/>
  <c r="A367" i="4"/>
  <c r="Y366" i="4"/>
  <c r="X366" i="4"/>
  <c r="W366" i="4"/>
  <c r="M366" i="4"/>
  <c r="A366" i="4"/>
  <c r="Y365" i="4"/>
  <c r="X365" i="4"/>
  <c r="W365" i="4"/>
  <c r="M365" i="4"/>
  <c r="A365" i="4"/>
  <c r="Y364" i="4"/>
  <c r="X364" i="4"/>
  <c r="W364" i="4"/>
  <c r="M364" i="4"/>
  <c r="A364" i="4"/>
  <c r="Y363" i="4"/>
  <c r="X363" i="4"/>
  <c r="W363" i="4"/>
  <c r="M363" i="4"/>
  <c r="A363" i="4"/>
  <c r="Y362" i="4"/>
  <c r="X362" i="4"/>
  <c r="W362" i="4"/>
  <c r="M362" i="4"/>
  <c r="A362" i="4"/>
  <c r="Y361" i="4"/>
  <c r="X361" i="4"/>
  <c r="W361" i="4"/>
  <c r="M361" i="4"/>
  <c r="A361" i="4"/>
  <c r="Y360" i="4"/>
  <c r="X360" i="4"/>
  <c r="W360" i="4"/>
  <c r="M360" i="4"/>
  <c r="A360" i="4"/>
  <c r="Y359" i="4"/>
  <c r="X359" i="4"/>
  <c r="W359" i="4"/>
  <c r="M359" i="4"/>
  <c r="A359" i="4"/>
  <c r="Y358" i="4"/>
  <c r="X358" i="4"/>
  <c r="W358" i="4"/>
  <c r="M358" i="4"/>
  <c r="A358" i="4"/>
  <c r="Y357" i="4"/>
  <c r="X357" i="4"/>
  <c r="W357" i="4"/>
  <c r="M357" i="4"/>
  <c r="A357" i="4"/>
  <c r="Y356" i="4"/>
  <c r="X356" i="4"/>
  <c r="W356" i="4"/>
  <c r="M356" i="4"/>
  <c r="A356" i="4"/>
  <c r="Y355" i="4"/>
  <c r="X355" i="4"/>
  <c r="W355" i="4"/>
  <c r="M355" i="4"/>
  <c r="A355" i="4"/>
  <c r="Y354" i="4"/>
  <c r="X354" i="4"/>
  <c r="W354" i="4"/>
  <c r="M354" i="4"/>
  <c r="A354" i="4"/>
  <c r="Y353" i="4"/>
  <c r="X353" i="4"/>
  <c r="W353" i="4"/>
  <c r="M353" i="4"/>
  <c r="A353" i="4"/>
  <c r="Y352" i="4"/>
  <c r="X352" i="4"/>
  <c r="W352" i="4"/>
  <c r="M352" i="4"/>
  <c r="A352" i="4"/>
  <c r="Y351" i="4"/>
  <c r="X351" i="4"/>
  <c r="W351" i="4"/>
  <c r="M351" i="4"/>
  <c r="A351" i="4"/>
  <c r="Y350" i="4"/>
  <c r="X350" i="4"/>
  <c r="W350" i="4"/>
  <c r="M350" i="4"/>
  <c r="A350" i="4"/>
  <c r="Y349" i="4"/>
  <c r="X349" i="4"/>
  <c r="W349" i="4"/>
  <c r="M349" i="4"/>
  <c r="A349" i="4"/>
  <c r="Y348" i="4"/>
  <c r="X348" i="4"/>
  <c r="W348" i="4"/>
  <c r="M348" i="4"/>
  <c r="A348" i="4"/>
  <c r="Y347" i="4"/>
  <c r="X347" i="4"/>
  <c r="W347" i="4"/>
  <c r="M347" i="4"/>
  <c r="A347" i="4"/>
  <c r="Y346" i="4"/>
  <c r="X346" i="4"/>
  <c r="W346" i="4"/>
  <c r="M346" i="4"/>
  <c r="A346" i="4"/>
  <c r="Y345" i="4"/>
  <c r="X345" i="4"/>
  <c r="W345" i="4"/>
  <c r="M345" i="4"/>
  <c r="A345" i="4"/>
  <c r="Y344" i="4"/>
  <c r="X344" i="4"/>
  <c r="W344" i="4"/>
  <c r="M344" i="4"/>
  <c r="A344" i="4"/>
  <c r="Y343" i="4"/>
  <c r="X343" i="4"/>
  <c r="W343" i="4"/>
  <c r="M343" i="4"/>
  <c r="A343" i="4"/>
  <c r="Y342" i="4"/>
  <c r="X342" i="4"/>
  <c r="W342" i="4"/>
  <c r="M342" i="4"/>
  <c r="A342" i="4"/>
  <c r="Y341" i="4"/>
  <c r="X341" i="4"/>
  <c r="W341" i="4"/>
  <c r="M341" i="4"/>
  <c r="A341" i="4"/>
  <c r="Y340" i="4"/>
  <c r="X340" i="4"/>
  <c r="W340" i="4"/>
  <c r="M340" i="4"/>
  <c r="A340" i="4"/>
  <c r="Y339" i="4"/>
  <c r="X339" i="4"/>
  <c r="W339" i="4"/>
  <c r="M339" i="4"/>
  <c r="A339" i="4"/>
  <c r="Y338" i="4"/>
  <c r="X338" i="4"/>
  <c r="W338" i="4"/>
  <c r="M338" i="4"/>
  <c r="A338" i="4"/>
  <c r="Y337" i="4"/>
  <c r="X337" i="4"/>
  <c r="W337" i="4"/>
  <c r="M337" i="4"/>
  <c r="A337" i="4"/>
  <c r="Y336" i="4"/>
  <c r="X336" i="4"/>
  <c r="W336" i="4"/>
  <c r="M336" i="4"/>
  <c r="A336" i="4"/>
  <c r="Y335" i="4"/>
  <c r="X335" i="4"/>
  <c r="W335" i="4"/>
  <c r="M335" i="4"/>
  <c r="A335" i="4"/>
  <c r="Y334" i="4"/>
  <c r="X334" i="4"/>
  <c r="W334" i="4"/>
  <c r="M334" i="4"/>
  <c r="A334" i="4"/>
  <c r="Y333" i="4"/>
  <c r="X333" i="4"/>
  <c r="W333" i="4"/>
  <c r="M333" i="4"/>
  <c r="A333" i="4"/>
  <c r="Y332" i="4"/>
  <c r="X332" i="4"/>
  <c r="W332" i="4"/>
  <c r="M332" i="4"/>
  <c r="A332" i="4"/>
  <c r="Y331" i="4"/>
  <c r="X331" i="4"/>
  <c r="W331" i="4"/>
  <c r="M331" i="4"/>
  <c r="A331" i="4"/>
  <c r="Y330" i="4"/>
  <c r="X330" i="4"/>
  <c r="W330" i="4"/>
  <c r="M330" i="4"/>
  <c r="A330" i="4"/>
  <c r="Y329" i="4"/>
  <c r="X329" i="4"/>
  <c r="W329" i="4"/>
  <c r="M329" i="4"/>
  <c r="A329" i="4"/>
  <c r="Y328" i="4"/>
  <c r="X328" i="4"/>
  <c r="W328" i="4"/>
  <c r="M328" i="4"/>
  <c r="A328" i="4"/>
  <c r="Y327" i="4"/>
  <c r="X327" i="4"/>
  <c r="W327" i="4"/>
  <c r="M327" i="4"/>
  <c r="A327" i="4"/>
  <c r="Y326" i="4"/>
  <c r="X326" i="4"/>
  <c r="W326" i="4"/>
  <c r="M326" i="4"/>
  <c r="A326" i="4"/>
  <c r="Y325" i="4"/>
  <c r="X325" i="4"/>
  <c r="W325" i="4"/>
  <c r="M325" i="4"/>
  <c r="A325" i="4"/>
  <c r="Y324" i="4"/>
  <c r="X324" i="4"/>
  <c r="W324" i="4"/>
  <c r="M324" i="4"/>
  <c r="A324" i="4"/>
  <c r="Y323" i="4"/>
  <c r="X323" i="4"/>
  <c r="W323" i="4"/>
  <c r="M323" i="4"/>
  <c r="A323" i="4"/>
  <c r="Y322" i="4"/>
  <c r="X322" i="4"/>
  <c r="W322" i="4"/>
  <c r="M322" i="4"/>
  <c r="A322" i="4"/>
  <c r="Y321" i="4"/>
  <c r="X321" i="4"/>
  <c r="W321" i="4"/>
  <c r="M321" i="4"/>
  <c r="A321" i="4"/>
  <c r="X320" i="4"/>
  <c r="W320" i="4"/>
  <c r="M320" i="4"/>
  <c r="A320" i="4"/>
  <c r="A5" i="3"/>
  <c r="L3" i="3"/>
  <c r="A3" i="3"/>
  <c r="P168"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Q168" i="2"/>
  <c r="O168" i="2"/>
  <c r="N168" i="2"/>
  <c r="M168" i="2"/>
  <c r="A168" i="2"/>
  <c r="Q167" i="2"/>
  <c r="P167" i="2"/>
  <c r="O167" i="2"/>
  <c r="N167" i="2"/>
  <c r="M167" i="2"/>
  <c r="A167" i="2"/>
  <c r="Q166" i="2"/>
  <c r="P166" i="2"/>
  <c r="O166" i="2"/>
  <c r="N166" i="2"/>
  <c r="M166" i="2"/>
  <c r="A166" i="2"/>
  <c r="Q128" i="2"/>
  <c r="P128" i="2"/>
  <c r="O128" i="2"/>
  <c r="N128" i="2"/>
  <c r="M128" i="2"/>
  <c r="A128" i="2"/>
  <c r="Q103" i="2"/>
  <c r="P103" i="2"/>
  <c r="O103" i="2"/>
  <c r="N103" i="2"/>
  <c r="M103" i="2"/>
  <c r="A103" i="2"/>
  <c r="Q102" i="2"/>
  <c r="P102" i="2"/>
  <c r="O102" i="2"/>
  <c r="N102" i="2"/>
  <c r="M102" i="2"/>
  <c r="A102" i="2"/>
  <c r="Q187" i="2"/>
  <c r="P187" i="2"/>
  <c r="O187" i="2"/>
  <c r="N187" i="2"/>
  <c r="M187" i="2"/>
  <c r="A187" i="2"/>
  <c r="Q186" i="2"/>
  <c r="P186" i="2"/>
  <c r="O186" i="2"/>
  <c r="N186" i="2"/>
  <c r="M186" i="2"/>
  <c r="A186" i="2"/>
  <c r="Q185" i="2"/>
  <c r="P185" i="2"/>
  <c r="O185" i="2"/>
  <c r="N185" i="2"/>
  <c r="M185" i="2"/>
  <c r="A185" i="2"/>
  <c r="Q76" i="2"/>
  <c r="P76" i="2"/>
  <c r="O76" i="2"/>
  <c r="N76" i="2"/>
  <c r="M76" i="2"/>
  <c r="A76" i="2"/>
  <c r="Q184" i="2"/>
  <c r="P184" i="2"/>
  <c r="O184" i="2"/>
  <c r="N184" i="2"/>
  <c r="M184" i="2"/>
  <c r="A184" i="2"/>
  <c r="Q183" i="2"/>
  <c r="P183" i="2"/>
  <c r="O183" i="2"/>
  <c r="N183" i="2"/>
  <c r="M183" i="2"/>
  <c r="A183" i="2"/>
  <c r="Q182" i="2"/>
  <c r="P182" i="2"/>
  <c r="O182" i="2"/>
  <c r="N182" i="2"/>
  <c r="M182" i="2"/>
  <c r="A182" i="2"/>
  <c r="Q181" i="2"/>
  <c r="P181" i="2"/>
  <c r="O181" i="2"/>
  <c r="N181" i="2"/>
  <c r="M181" i="2"/>
  <c r="A181" i="2"/>
  <c r="Q180" i="2"/>
  <c r="P180" i="2"/>
  <c r="O180" i="2"/>
  <c r="N180" i="2"/>
  <c r="M180" i="2"/>
  <c r="A180" i="2"/>
  <c r="Q75" i="2"/>
  <c r="P75" i="2"/>
  <c r="O75" i="2"/>
  <c r="N75" i="2"/>
  <c r="M75" i="2"/>
  <c r="A75" i="2"/>
  <c r="Q179" i="2"/>
  <c r="P179" i="2"/>
  <c r="O179" i="2"/>
  <c r="N179" i="2"/>
  <c r="M179" i="2"/>
  <c r="A179" i="2"/>
  <c r="Q178" i="2"/>
  <c r="P178" i="2"/>
  <c r="O178" i="2"/>
  <c r="N178" i="2"/>
  <c r="M178" i="2"/>
  <c r="A178" i="2"/>
  <c r="Q177" i="2"/>
  <c r="P177" i="2"/>
  <c r="O177" i="2"/>
  <c r="N177" i="2"/>
  <c r="M177" i="2"/>
  <c r="A177" i="2"/>
  <c r="Q176" i="2"/>
  <c r="P176" i="2"/>
  <c r="O176" i="2"/>
  <c r="N176" i="2"/>
  <c r="M176" i="2"/>
  <c r="A176" i="2"/>
  <c r="Q175" i="2"/>
  <c r="P175" i="2"/>
  <c r="O175" i="2"/>
  <c r="N175" i="2"/>
  <c r="M175" i="2"/>
  <c r="A175" i="2"/>
  <c r="Q174" i="2"/>
  <c r="P174" i="2"/>
  <c r="O174" i="2"/>
  <c r="N174" i="2"/>
  <c r="M174" i="2"/>
  <c r="A174" i="2"/>
  <c r="Q173" i="2"/>
  <c r="P173" i="2"/>
  <c r="O173" i="2"/>
  <c r="N173" i="2"/>
  <c r="M173" i="2"/>
  <c r="A173" i="2"/>
  <c r="Q172" i="2"/>
  <c r="P172" i="2"/>
  <c r="O172" i="2"/>
  <c r="N172" i="2"/>
  <c r="M172" i="2"/>
  <c r="A172" i="2"/>
  <c r="Q171" i="2"/>
  <c r="P171" i="2"/>
  <c r="O171" i="2"/>
  <c r="N171" i="2"/>
  <c r="M171" i="2"/>
  <c r="A171" i="2"/>
  <c r="Q170" i="2"/>
  <c r="P170" i="2"/>
  <c r="O170" i="2"/>
  <c r="N170" i="2"/>
  <c r="M170" i="2"/>
  <c r="A170" i="2"/>
  <c r="Q169" i="2"/>
  <c r="P169" i="2"/>
  <c r="O169" i="2"/>
  <c r="N169" i="2"/>
  <c r="M169" i="2"/>
  <c r="A169" i="2"/>
  <c r="Q74" i="2"/>
  <c r="P74" i="2"/>
  <c r="O74" i="2"/>
  <c r="N74" i="2"/>
  <c r="M74" i="2"/>
  <c r="A74" i="2"/>
  <c r="Q165" i="2"/>
  <c r="P165" i="2"/>
  <c r="O165" i="2"/>
  <c r="N165" i="2"/>
  <c r="M165" i="2"/>
  <c r="A165" i="2"/>
  <c r="Q164" i="2"/>
  <c r="P164" i="2"/>
  <c r="O164" i="2"/>
  <c r="N164" i="2"/>
  <c r="M164" i="2"/>
  <c r="A164" i="2"/>
  <c r="Q163" i="2"/>
  <c r="P163" i="2"/>
  <c r="O163" i="2"/>
  <c r="N163" i="2"/>
  <c r="M163" i="2"/>
  <c r="A163" i="2"/>
  <c r="Q162" i="2"/>
  <c r="P162" i="2"/>
  <c r="O162" i="2"/>
  <c r="N162" i="2"/>
  <c r="M162" i="2"/>
  <c r="A162" i="2"/>
  <c r="Q161" i="2"/>
  <c r="P161" i="2"/>
  <c r="O161" i="2"/>
  <c r="N161" i="2"/>
  <c r="M161" i="2"/>
  <c r="A161" i="2"/>
  <c r="Q160" i="2"/>
  <c r="P160" i="2"/>
  <c r="O160" i="2"/>
  <c r="N160" i="2"/>
  <c r="M160" i="2"/>
  <c r="A160" i="2"/>
  <c r="Q159" i="2"/>
  <c r="P159" i="2"/>
  <c r="O159" i="2"/>
  <c r="N159" i="2"/>
  <c r="M159" i="2"/>
  <c r="A159" i="2"/>
  <c r="Q158" i="2"/>
  <c r="P158" i="2"/>
  <c r="O158" i="2"/>
  <c r="N158" i="2"/>
  <c r="M158" i="2"/>
  <c r="A158" i="2"/>
  <c r="Q157" i="2"/>
  <c r="P157" i="2"/>
  <c r="O157" i="2"/>
  <c r="N157" i="2"/>
  <c r="M157" i="2"/>
  <c r="A157" i="2"/>
  <c r="Q156" i="2"/>
  <c r="P156" i="2"/>
  <c r="O156" i="2"/>
  <c r="N156" i="2"/>
  <c r="M156" i="2"/>
  <c r="A156" i="2"/>
  <c r="Q155" i="2"/>
  <c r="P155" i="2"/>
  <c r="O155" i="2"/>
  <c r="N155" i="2"/>
  <c r="M155" i="2"/>
  <c r="A155" i="2"/>
  <c r="Q154" i="2"/>
  <c r="P154" i="2"/>
  <c r="O154" i="2"/>
  <c r="N154" i="2"/>
  <c r="M154" i="2"/>
  <c r="A154" i="2"/>
  <c r="Q153" i="2"/>
  <c r="P153" i="2"/>
  <c r="O153" i="2"/>
  <c r="N153" i="2"/>
  <c r="M153" i="2"/>
  <c r="A153" i="2"/>
  <c r="Q152" i="2"/>
  <c r="P152" i="2"/>
  <c r="O152" i="2"/>
  <c r="N152" i="2"/>
  <c r="M152" i="2"/>
  <c r="A152" i="2"/>
  <c r="Q151" i="2"/>
  <c r="P151" i="2"/>
  <c r="O151" i="2"/>
  <c r="N151" i="2"/>
  <c r="M151" i="2"/>
  <c r="A151" i="2"/>
  <c r="Q150" i="2"/>
  <c r="P150" i="2"/>
  <c r="O150" i="2"/>
  <c r="N150" i="2"/>
  <c r="M150" i="2"/>
  <c r="A150" i="2"/>
  <c r="Q149" i="2"/>
  <c r="P149" i="2"/>
  <c r="O149" i="2"/>
  <c r="N149" i="2"/>
  <c r="M149" i="2"/>
  <c r="A149" i="2"/>
  <c r="Q148" i="2"/>
  <c r="P148" i="2"/>
  <c r="O148" i="2"/>
  <c r="N148" i="2"/>
  <c r="M148" i="2"/>
  <c r="A148" i="2"/>
  <c r="Q147" i="2"/>
  <c r="P147" i="2"/>
  <c r="O147" i="2"/>
  <c r="N147" i="2"/>
  <c r="M147" i="2"/>
  <c r="A147" i="2"/>
  <c r="Q146" i="2"/>
  <c r="P146" i="2"/>
  <c r="O146" i="2"/>
  <c r="N146" i="2"/>
  <c r="M146" i="2"/>
  <c r="A146" i="2"/>
  <c r="Q145" i="2"/>
  <c r="P145" i="2"/>
  <c r="O145" i="2"/>
  <c r="N145" i="2"/>
  <c r="M145" i="2"/>
  <c r="A145" i="2"/>
  <c r="Q144" i="2"/>
  <c r="P144" i="2"/>
  <c r="O144" i="2"/>
  <c r="N144" i="2"/>
  <c r="M144" i="2"/>
  <c r="A144" i="2"/>
  <c r="Q143" i="2"/>
  <c r="P143" i="2"/>
  <c r="O143" i="2"/>
  <c r="N143" i="2"/>
  <c r="M143" i="2"/>
  <c r="A143" i="2"/>
  <c r="Q142" i="2"/>
  <c r="P142" i="2"/>
  <c r="O142" i="2"/>
  <c r="N142" i="2"/>
  <c r="M142" i="2"/>
  <c r="A142" i="2"/>
  <c r="Q141" i="2"/>
  <c r="P141" i="2"/>
  <c r="O141" i="2"/>
  <c r="N141" i="2"/>
  <c r="M141" i="2"/>
  <c r="A141" i="2"/>
  <c r="Q140" i="2"/>
  <c r="P140" i="2"/>
  <c r="O140" i="2"/>
  <c r="N140" i="2"/>
  <c r="M140" i="2"/>
  <c r="A140" i="2"/>
  <c r="Q139" i="2"/>
  <c r="P139" i="2"/>
  <c r="O139" i="2"/>
  <c r="N139" i="2"/>
  <c r="M139" i="2"/>
  <c r="A139" i="2"/>
  <c r="Q138" i="2"/>
  <c r="P138" i="2"/>
  <c r="O138" i="2"/>
  <c r="N138" i="2"/>
  <c r="M138" i="2"/>
  <c r="A138" i="2"/>
  <c r="Q137" i="2"/>
  <c r="P137" i="2"/>
  <c r="O137" i="2"/>
  <c r="N137" i="2"/>
  <c r="M137" i="2"/>
  <c r="A137" i="2"/>
  <c r="Q136" i="2"/>
  <c r="P136" i="2"/>
  <c r="O136" i="2"/>
  <c r="N136" i="2"/>
  <c r="M136" i="2"/>
  <c r="A136" i="2"/>
  <c r="Q135" i="2"/>
  <c r="P135" i="2"/>
  <c r="O135" i="2"/>
  <c r="N135" i="2"/>
  <c r="M135" i="2"/>
  <c r="A135" i="2"/>
  <c r="Q73" i="2"/>
  <c r="P73" i="2"/>
  <c r="O73" i="2"/>
  <c r="N73" i="2"/>
  <c r="M73" i="2"/>
  <c r="A73" i="2"/>
  <c r="Q134" i="2"/>
  <c r="P134" i="2"/>
  <c r="O134" i="2"/>
  <c r="N134" i="2"/>
  <c r="M134" i="2"/>
  <c r="A134" i="2"/>
  <c r="Q133" i="2"/>
  <c r="P133" i="2"/>
  <c r="O133" i="2"/>
  <c r="N133" i="2"/>
  <c r="M133" i="2"/>
  <c r="A133" i="2"/>
  <c r="Q132" i="2"/>
  <c r="P132" i="2"/>
  <c r="O132" i="2"/>
  <c r="N132" i="2"/>
  <c r="M132" i="2"/>
  <c r="A132" i="2"/>
  <c r="Q72" i="2"/>
  <c r="P72" i="2"/>
  <c r="O72" i="2"/>
  <c r="N72" i="2"/>
  <c r="M72" i="2"/>
  <c r="A72" i="2"/>
  <c r="Q131" i="2"/>
  <c r="P131" i="2"/>
  <c r="O131" i="2"/>
  <c r="N131" i="2"/>
  <c r="M131" i="2"/>
  <c r="A131" i="2"/>
  <c r="Q71" i="2"/>
  <c r="P71" i="2"/>
  <c r="O71" i="2"/>
  <c r="N71" i="2"/>
  <c r="M71" i="2"/>
  <c r="A71" i="2"/>
  <c r="Q130" i="2"/>
  <c r="P130" i="2"/>
  <c r="O130" i="2"/>
  <c r="N130" i="2"/>
  <c r="M130" i="2"/>
  <c r="A130" i="2"/>
  <c r="Q129" i="2"/>
  <c r="P129" i="2"/>
  <c r="O129" i="2"/>
  <c r="N129" i="2"/>
  <c r="M129" i="2"/>
  <c r="A129" i="2"/>
  <c r="Q70" i="2"/>
  <c r="P70" i="2"/>
  <c r="O70" i="2"/>
  <c r="N70" i="2"/>
  <c r="M70" i="2"/>
  <c r="A70" i="2"/>
  <c r="Q127" i="2"/>
  <c r="P127" i="2"/>
  <c r="O127" i="2"/>
  <c r="N127" i="2"/>
  <c r="M127" i="2"/>
  <c r="A127" i="2"/>
  <c r="Q69" i="2"/>
  <c r="P69" i="2"/>
  <c r="O69" i="2"/>
  <c r="N69" i="2"/>
  <c r="M69" i="2"/>
  <c r="A69" i="2"/>
  <c r="Q126" i="2"/>
  <c r="P126" i="2"/>
  <c r="O126" i="2"/>
  <c r="N126" i="2"/>
  <c r="M126" i="2"/>
  <c r="A126" i="2"/>
  <c r="Q125" i="2"/>
  <c r="P125" i="2"/>
  <c r="O125" i="2"/>
  <c r="N125" i="2"/>
  <c r="M125" i="2"/>
  <c r="A125" i="2"/>
  <c r="Q124" i="2"/>
  <c r="P124" i="2"/>
  <c r="O124" i="2"/>
  <c r="N124" i="2"/>
  <c r="M124" i="2"/>
  <c r="A124" i="2"/>
  <c r="Q68" i="2"/>
  <c r="P68" i="2"/>
  <c r="O68" i="2"/>
  <c r="N68" i="2"/>
  <c r="M68" i="2"/>
  <c r="A68" i="2"/>
  <c r="Q123" i="2"/>
  <c r="P123" i="2"/>
  <c r="O123" i="2"/>
  <c r="N123" i="2"/>
  <c r="M123" i="2"/>
  <c r="A123" i="2"/>
  <c r="Q122" i="2"/>
  <c r="P122" i="2"/>
  <c r="O122" i="2"/>
  <c r="N122" i="2"/>
  <c r="M122" i="2"/>
  <c r="A122" i="2"/>
  <c r="Q121" i="2"/>
  <c r="P121" i="2"/>
  <c r="O121" i="2"/>
  <c r="N121" i="2"/>
  <c r="M121" i="2"/>
  <c r="A121" i="2"/>
  <c r="Q67" i="2"/>
  <c r="P67" i="2"/>
  <c r="O67" i="2"/>
  <c r="N67" i="2"/>
  <c r="M67" i="2"/>
  <c r="A67" i="2"/>
  <c r="Q120" i="2"/>
  <c r="P120" i="2"/>
  <c r="O120" i="2"/>
  <c r="N120" i="2"/>
  <c r="M120" i="2"/>
  <c r="A120" i="2"/>
  <c r="Q66" i="2"/>
  <c r="P66" i="2"/>
  <c r="O66" i="2"/>
  <c r="N66" i="2"/>
  <c r="M66" i="2"/>
  <c r="A66" i="2"/>
  <c r="Q65" i="2"/>
  <c r="P65" i="2"/>
  <c r="O65" i="2"/>
  <c r="N65" i="2"/>
  <c r="M65" i="2"/>
  <c r="A65" i="2"/>
  <c r="Q119" i="2"/>
  <c r="P119" i="2"/>
  <c r="O119" i="2"/>
  <c r="N119" i="2"/>
  <c r="M119" i="2"/>
  <c r="A119" i="2"/>
  <c r="Q64" i="2"/>
  <c r="P64" i="2"/>
  <c r="O64" i="2"/>
  <c r="N64" i="2"/>
  <c r="M64" i="2"/>
  <c r="A64" i="2"/>
  <c r="Q118" i="2"/>
  <c r="P118" i="2"/>
  <c r="O118" i="2"/>
  <c r="N118" i="2"/>
  <c r="M118" i="2"/>
  <c r="A118" i="2"/>
  <c r="Q63" i="2"/>
  <c r="P63" i="2"/>
  <c r="O63" i="2"/>
  <c r="N63" i="2"/>
  <c r="M63" i="2"/>
  <c r="A63" i="2"/>
  <c r="Q117" i="2"/>
  <c r="P117" i="2"/>
  <c r="O117" i="2"/>
  <c r="N117" i="2"/>
  <c r="M117" i="2"/>
  <c r="A117" i="2"/>
  <c r="Q62" i="2"/>
  <c r="P62" i="2"/>
  <c r="O62" i="2"/>
  <c r="N62" i="2"/>
  <c r="M62" i="2"/>
  <c r="A62" i="2"/>
  <c r="Q116" i="2"/>
  <c r="P116" i="2"/>
  <c r="O116" i="2"/>
  <c r="N116" i="2"/>
  <c r="M116" i="2"/>
  <c r="A116" i="2"/>
  <c r="Q61" i="2"/>
  <c r="P61" i="2"/>
  <c r="O61" i="2"/>
  <c r="N61" i="2"/>
  <c r="M61" i="2"/>
  <c r="A61" i="2"/>
  <c r="Q115" i="2"/>
  <c r="P115" i="2"/>
  <c r="O115" i="2"/>
  <c r="N115" i="2"/>
  <c r="M115" i="2"/>
  <c r="A115" i="2"/>
  <c r="Q60" i="2"/>
  <c r="P60" i="2"/>
  <c r="O60" i="2"/>
  <c r="N60" i="2"/>
  <c r="M60" i="2"/>
  <c r="A60" i="2"/>
  <c r="Q114" i="2"/>
  <c r="P114" i="2"/>
  <c r="O114" i="2"/>
  <c r="N114" i="2"/>
  <c r="M114" i="2"/>
  <c r="A114" i="2"/>
  <c r="Q59" i="2"/>
  <c r="P59" i="2"/>
  <c r="O59" i="2"/>
  <c r="N59" i="2"/>
  <c r="M59" i="2"/>
  <c r="A59" i="2"/>
  <c r="Q113" i="2"/>
  <c r="P113" i="2"/>
  <c r="O113" i="2"/>
  <c r="N113" i="2"/>
  <c r="M113" i="2"/>
  <c r="A113" i="2"/>
  <c r="Q110" i="2"/>
  <c r="P110" i="2"/>
  <c r="O110" i="2"/>
  <c r="N110" i="2"/>
  <c r="M110" i="2"/>
  <c r="A110" i="2"/>
  <c r="Q58" i="2"/>
  <c r="P58" i="2"/>
  <c r="O58" i="2"/>
  <c r="N58" i="2"/>
  <c r="M58" i="2"/>
  <c r="A58" i="2"/>
  <c r="Q57" i="2"/>
  <c r="P57" i="2"/>
  <c r="O57" i="2"/>
  <c r="N57" i="2"/>
  <c r="M57" i="2"/>
  <c r="A57" i="2"/>
  <c r="Q109" i="2"/>
  <c r="P109" i="2"/>
  <c r="O109" i="2"/>
  <c r="N109" i="2"/>
  <c r="M109" i="2"/>
  <c r="A109" i="2"/>
  <c r="Q56" i="2"/>
  <c r="P56" i="2"/>
  <c r="O56" i="2"/>
  <c r="N56" i="2"/>
  <c r="M56" i="2"/>
  <c r="A56" i="2"/>
  <c r="Q107" i="2"/>
  <c r="P107" i="2"/>
  <c r="O107" i="2"/>
  <c r="N107" i="2"/>
  <c r="M107" i="2"/>
  <c r="A107" i="2"/>
  <c r="Q55" i="2"/>
  <c r="P55" i="2"/>
  <c r="O55" i="2"/>
  <c r="N55" i="2"/>
  <c r="M55" i="2"/>
  <c r="A55" i="2"/>
  <c r="Q54" i="2"/>
  <c r="P54" i="2"/>
  <c r="O54" i="2"/>
  <c r="N54" i="2"/>
  <c r="M54" i="2"/>
  <c r="A54" i="2"/>
  <c r="Q106" i="2"/>
  <c r="P106" i="2"/>
  <c r="O106" i="2"/>
  <c r="N106" i="2"/>
  <c r="M106" i="2"/>
  <c r="A106" i="2"/>
  <c r="Q53" i="2"/>
  <c r="P53" i="2"/>
  <c r="O53" i="2"/>
  <c r="N53" i="2"/>
  <c r="M53" i="2"/>
  <c r="A53" i="2"/>
  <c r="Q52" i="2"/>
  <c r="P52" i="2"/>
  <c r="O52" i="2"/>
  <c r="N52" i="2"/>
  <c r="M52" i="2"/>
  <c r="A52" i="2"/>
  <c r="Q105" i="2"/>
  <c r="P105" i="2"/>
  <c r="O105" i="2"/>
  <c r="N105" i="2"/>
  <c r="M105" i="2"/>
  <c r="A105" i="2"/>
  <c r="Q51" i="2"/>
  <c r="P51" i="2"/>
  <c r="O51" i="2"/>
  <c r="N51" i="2"/>
  <c r="M51" i="2"/>
  <c r="A51" i="2"/>
  <c r="Q104" i="2"/>
  <c r="P104" i="2"/>
  <c r="O104" i="2"/>
  <c r="N104" i="2"/>
  <c r="M104" i="2"/>
  <c r="A104" i="2"/>
  <c r="Q50" i="2"/>
  <c r="P50" i="2"/>
  <c r="O50" i="2"/>
  <c r="N50" i="2"/>
  <c r="M50" i="2"/>
  <c r="A50" i="2"/>
  <c r="Q95" i="2"/>
  <c r="P95" i="2"/>
  <c r="O95" i="2"/>
  <c r="N95" i="2"/>
  <c r="M95" i="2"/>
  <c r="A95" i="2"/>
  <c r="Q94" i="2"/>
  <c r="P94" i="2"/>
  <c r="O94" i="2"/>
  <c r="N94" i="2"/>
  <c r="M94" i="2"/>
  <c r="A94" i="2"/>
  <c r="Q93" i="2"/>
  <c r="P93" i="2"/>
  <c r="O93" i="2"/>
  <c r="N93" i="2"/>
  <c r="M93" i="2"/>
  <c r="A93" i="2"/>
  <c r="Q92" i="2"/>
  <c r="P92" i="2"/>
  <c r="O92" i="2"/>
  <c r="N92" i="2"/>
  <c r="M92" i="2"/>
  <c r="A92" i="2"/>
  <c r="Q101" i="2"/>
  <c r="P101" i="2"/>
  <c r="O101" i="2"/>
  <c r="N101" i="2"/>
  <c r="M101" i="2"/>
  <c r="A101" i="2"/>
  <c r="Q49" i="2"/>
  <c r="P49" i="2"/>
  <c r="O49" i="2"/>
  <c r="N49" i="2"/>
  <c r="M49" i="2"/>
  <c r="A49" i="2"/>
  <c r="Q48" i="2"/>
  <c r="P48" i="2"/>
  <c r="O48" i="2"/>
  <c r="N48" i="2"/>
  <c r="M48" i="2"/>
  <c r="A48" i="2"/>
  <c r="Q91" i="2"/>
  <c r="P91" i="2"/>
  <c r="O91" i="2"/>
  <c r="N91" i="2"/>
  <c r="M91" i="2"/>
  <c r="A91" i="2"/>
  <c r="Q90" i="2"/>
  <c r="P90" i="2"/>
  <c r="O90" i="2"/>
  <c r="N90" i="2"/>
  <c r="M90" i="2"/>
  <c r="A90" i="2"/>
  <c r="Q46" i="2"/>
  <c r="P46" i="2"/>
  <c r="O46" i="2"/>
  <c r="N46" i="2"/>
  <c r="M46" i="2"/>
  <c r="A46" i="2"/>
  <c r="Q100" i="2"/>
  <c r="P100" i="2"/>
  <c r="O100" i="2"/>
  <c r="N100" i="2"/>
  <c r="M100" i="2"/>
  <c r="A100" i="2"/>
  <c r="Q99" i="2"/>
  <c r="P99" i="2"/>
  <c r="O99" i="2"/>
  <c r="N99" i="2"/>
  <c r="M99" i="2"/>
  <c r="A99" i="2"/>
  <c r="Q98" i="2"/>
  <c r="P98" i="2"/>
  <c r="O98" i="2"/>
  <c r="N98" i="2"/>
  <c r="M98" i="2"/>
  <c r="A98" i="2"/>
  <c r="Q97" i="2"/>
  <c r="P97" i="2"/>
  <c r="O97" i="2"/>
  <c r="N97" i="2"/>
  <c r="M97" i="2"/>
  <c r="A97" i="2"/>
  <c r="Q96" i="2"/>
  <c r="P96" i="2"/>
  <c r="O96" i="2"/>
  <c r="N96" i="2"/>
  <c r="M96" i="2"/>
  <c r="A96" i="2"/>
  <c r="Q47" i="2"/>
  <c r="P47" i="2"/>
  <c r="O47" i="2"/>
  <c r="N47" i="2"/>
  <c r="M47" i="2"/>
  <c r="A47" i="2"/>
  <c r="Q89" i="2"/>
  <c r="P89" i="2"/>
  <c r="O89" i="2"/>
  <c r="N89" i="2"/>
  <c r="M89" i="2"/>
  <c r="A89" i="2"/>
  <c r="Q45" i="2"/>
  <c r="P45" i="2"/>
  <c r="O45" i="2"/>
  <c r="N45" i="2"/>
  <c r="M45" i="2"/>
  <c r="A45" i="2"/>
  <c r="Q88" i="2"/>
  <c r="P88" i="2"/>
  <c r="O88" i="2"/>
  <c r="N88" i="2"/>
  <c r="M88" i="2"/>
  <c r="A88" i="2"/>
  <c r="Q44" i="2"/>
  <c r="P44" i="2"/>
  <c r="O44" i="2"/>
  <c r="N44" i="2"/>
  <c r="M44" i="2"/>
  <c r="A44" i="2"/>
  <c r="Q87" i="2"/>
  <c r="P87" i="2"/>
  <c r="O87" i="2"/>
  <c r="N87" i="2"/>
  <c r="M87" i="2"/>
  <c r="A87" i="2"/>
  <c r="Q43" i="2"/>
  <c r="P43" i="2"/>
  <c r="O43" i="2"/>
  <c r="N43" i="2"/>
  <c r="M43" i="2"/>
  <c r="A43" i="2"/>
  <c r="Q86" i="2"/>
  <c r="P86" i="2"/>
  <c r="O86" i="2"/>
  <c r="N86" i="2"/>
  <c r="M86" i="2"/>
  <c r="A86" i="2"/>
  <c r="Q85" i="2"/>
  <c r="P85" i="2"/>
  <c r="O85" i="2"/>
  <c r="N85" i="2"/>
  <c r="M85" i="2"/>
  <c r="A85" i="2"/>
  <c r="Q84" i="2"/>
  <c r="P84" i="2"/>
  <c r="O84" i="2"/>
  <c r="N84" i="2"/>
  <c r="M84" i="2"/>
  <c r="A84" i="2"/>
  <c r="Q83" i="2"/>
  <c r="P83" i="2"/>
  <c r="O83" i="2"/>
  <c r="N83" i="2"/>
  <c r="M83" i="2"/>
  <c r="A83" i="2"/>
  <c r="Q42" i="2"/>
  <c r="P42" i="2"/>
  <c r="O42" i="2"/>
  <c r="N42" i="2"/>
  <c r="M42" i="2"/>
  <c r="A42" i="2"/>
  <c r="Q80" i="2"/>
  <c r="P80" i="2"/>
  <c r="O80" i="2"/>
  <c r="N80" i="2"/>
  <c r="M80" i="2"/>
  <c r="A80" i="2"/>
  <c r="Q79" i="2"/>
  <c r="P79" i="2"/>
  <c r="O79" i="2"/>
  <c r="N79" i="2"/>
  <c r="M79" i="2"/>
  <c r="A79" i="2"/>
  <c r="Q78" i="2"/>
  <c r="P78" i="2"/>
  <c r="O78" i="2"/>
  <c r="N78" i="2"/>
  <c r="M78" i="2"/>
  <c r="A78" i="2"/>
  <c r="Q82" i="2"/>
  <c r="P82" i="2"/>
  <c r="O82" i="2"/>
  <c r="N82" i="2"/>
  <c r="M82" i="2"/>
  <c r="A82" i="2"/>
  <c r="Q81" i="2"/>
  <c r="P81" i="2"/>
  <c r="O81" i="2"/>
  <c r="N81" i="2"/>
  <c r="M81" i="2"/>
  <c r="A81" i="2"/>
  <c r="Q77" i="2"/>
  <c r="P77" i="2"/>
  <c r="O77" i="2"/>
  <c r="N77" i="2"/>
  <c r="M77" i="2"/>
  <c r="A77" i="2"/>
  <c r="Q41" i="2"/>
  <c r="P41" i="2"/>
  <c r="O41" i="2"/>
  <c r="N41" i="2"/>
  <c r="M41" i="2"/>
  <c r="A41" i="2"/>
  <c r="Q40" i="2"/>
  <c r="P40" i="2"/>
  <c r="O40" i="2"/>
  <c r="N40" i="2"/>
  <c r="M40" i="2"/>
  <c r="A40" i="2"/>
  <c r="X146" i="5"/>
  <c r="Y146" i="5"/>
  <c r="Z146" i="5"/>
  <c r="X147" i="5"/>
  <c r="Y147" i="5"/>
  <c r="Z147" i="5"/>
  <c r="D130" i="5"/>
  <c r="Z130" i="5"/>
  <c r="T299" i="4"/>
  <c r="N142" i="5"/>
  <c r="M142" i="5"/>
  <c r="N144" i="5"/>
  <c r="M144" i="5"/>
  <c r="T300" i="4"/>
  <c r="AA145" i="5"/>
  <c r="N145" i="5"/>
  <c r="H144" i="5"/>
  <c r="H145" i="5"/>
  <c r="N143" i="5"/>
  <c r="M143" i="5"/>
  <c r="AA143" i="5"/>
  <c r="T304" i="4"/>
  <c r="H142" i="5"/>
  <c r="H143" i="5"/>
  <c r="T301" i="4"/>
  <c r="T302" i="4"/>
  <c r="N140" i="5"/>
  <c r="AA141" i="5"/>
  <c r="M136" i="5"/>
  <c r="N141" i="5"/>
  <c r="H140" i="5"/>
  <c r="H141" i="5"/>
  <c r="N138" i="5"/>
  <c r="M138" i="5"/>
  <c r="N136" i="5"/>
  <c r="AA139" i="5"/>
  <c r="N139" i="5"/>
  <c r="T303" i="4"/>
  <c r="H138" i="5"/>
  <c r="H139" i="5"/>
  <c r="H62" i="5"/>
  <c r="N134" i="5"/>
  <c r="AA137" i="5"/>
  <c r="N137" i="5"/>
  <c r="H136" i="5"/>
  <c r="H137" i="5"/>
  <c r="T305" i="4"/>
  <c r="AA135" i="5"/>
  <c r="N135" i="5"/>
  <c r="H134" i="5"/>
  <c r="H135" i="5"/>
  <c r="N132" i="5"/>
  <c r="M132" i="5"/>
  <c r="AA133" i="5"/>
  <c r="N133" i="5"/>
  <c r="H132" i="5"/>
  <c r="H133" i="5"/>
  <c r="M118" i="5"/>
  <c r="H19" i="5"/>
  <c r="AA18" i="5"/>
  <c r="AA19" i="5"/>
  <c r="AA34" i="5"/>
  <c r="AA35" i="5"/>
  <c r="H50" i="5"/>
  <c r="AA50" i="5"/>
  <c r="AA51" i="5"/>
  <c r="H67" i="5"/>
  <c r="AA66" i="5"/>
  <c r="AA67" i="5"/>
  <c r="AA82" i="5"/>
  <c r="AA83" i="5"/>
  <c r="AA98" i="5"/>
  <c r="AA99" i="5"/>
  <c r="N58" i="5"/>
  <c r="M10" i="5"/>
  <c r="H82" i="5"/>
  <c r="H34" i="5"/>
  <c r="H4" i="5"/>
  <c r="AA4" i="5"/>
  <c r="AA5" i="5"/>
  <c r="H20" i="5"/>
  <c r="AA20" i="5"/>
  <c r="AA21" i="5"/>
  <c r="H36" i="5"/>
  <c r="AA36" i="5"/>
  <c r="AA37" i="5"/>
  <c r="H53" i="5"/>
  <c r="AA52" i="5"/>
  <c r="AA53" i="5"/>
  <c r="H68" i="5"/>
  <c r="AA68" i="5"/>
  <c r="AA69" i="5"/>
  <c r="H84" i="5"/>
  <c r="AA84" i="5"/>
  <c r="AA85" i="5"/>
  <c r="H100" i="5"/>
  <c r="AA100" i="5"/>
  <c r="AA101" i="5"/>
  <c r="N111" i="5"/>
  <c r="N119" i="5"/>
  <c r="N121" i="5"/>
  <c r="M123" i="5"/>
  <c r="H125" i="5"/>
  <c r="AA124" i="5"/>
  <c r="AA125" i="5"/>
  <c r="H127" i="5"/>
  <c r="AA126" i="5"/>
  <c r="H129" i="5"/>
  <c r="AA128" i="5"/>
  <c r="AA129" i="5"/>
  <c r="H131" i="5"/>
  <c r="AA130" i="5"/>
  <c r="AA131" i="5"/>
  <c r="AA127" i="5"/>
  <c r="N17" i="5"/>
  <c r="M126" i="5"/>
  <c r="M51" i="5"/>
  <c r="H7" i="5"/>
  <c r="AA6" i="5"/>
  <c r="AA7" i="5"/>
  <c r="H22" i="5"/>
  <c r="AA23" i="5"/>
  <c r="H38" i="5"/>
  <c r="AA38" i="5"/>
  <c r="AA39" i="5"/>
  <c r="H54" i="5"/>
  <c r="AA54" i="5"/>
  <c r="AA55" i="5"/>
  <c r="H70" i="5"/>
  <c r="AA70" i="5"/>
  <c r="AA71" i="5"/>
  <c r="H86" i="5"/>
  <c r="AA87" i="5"/>
  <c r="AA102" i="5"/>
  <c r="AA103" i="5"/>
  <c r="H103" i="5"/>
  <c r="H66" i="5"/>
  <c r="H18" i="5"/>
  <c r="H8" i="5"/>
  <c r="AA8" i="5"/>
  <c r="AA9" i="5"/>
  <c r="H24" i="5"/>
  <c r="AA24" i="5"/>
  <c r="AA25" i="5"/>
  <c r="H40" i="5"/>
  <c r="AA40" i="5"/>
  <c r="M88" i="5"/>
  <c r="M24" i="5"/>
  <c r="AA86" i="5"/>
  <c r="N11" i="5"/>
  <c r="N89" i="5"/>
  <c r="M87" i="5"/>
  <c r="M55" i="5"/>
  <c r="N31" i="5"/>
  <c r="N15" i="5"/>
  <c r="H102" i="5"/>
  <c r="AA10" i="5"/>
  <c r="AA11" i="5"/>
  <c r="H26" i="5"/>
  <c r="AA26" i="5"/>
  <c r="AA27" i="5"/>
  <c r="H43" i="5"/>
  <c r="AA42" i="5"/>
  <c r="AA43" i="5"/>
  <c r="N103" i="5"/>
  <c r="M95" i="5"/>
  <c r="N71" i="5"/>
  <c r="M63" i="5"/>
  <c r="N47" i="5"/>
  <c r="M23" i="5"/>
  <c r="N7" i="5"/>
  <c r="H99" i="5"/>
  <c r="H55" i="5"/>
  <c r="H6" i="5"/>
  <c r="H12" i="5"/>
  <c r="AA12" i="5"/>
  <c r="AA13" i="5"/>
  <c r="H29" i="5"/>
  <c r="AA28" i="5"/>
  <c r="AA29" i="5"/>
  <c r="H45" i="5"/>
  <c r="AA44" i="5"/>
  <c r="AA45" i="5"/>
  <c r="H60" i="5"/>
  <c r="AA60" i="5"/>
  <c r="AA61" i="5"/>
  <c r="H76" i="5"/>
  <c r="AA76" i="5"/>
  <c r="AA77" i="5"/>
  <c r="H92" i="5"/>
  <c r="AA92" i="5"/>
  <c r="AA93" i="5"/>
  <c r="M48" i="5"/>
  <c r="M16" i="5"/>
  <c r="AA41" i="5"/>
  <c r="N75" i="5"/>
  <c r="N101" i="5"/>
  <c r="M45" i="5"/>
  <c r="M37" i="5"/>
  <c r="N13" i="5"/>
  <c r="H98" i="5"/>
  <c r="H51" i="5"/>
  <c r="H14" i="5"/>
  <c r="AA14" i="5"/>
  <c r="AA15" i="5"/>
  <c r="H30" i="5"/>
  <c r="AA30" i="5"/>
  <c r="AA31" i="5"/>
  <c r="H46" i="5"/>
  <c r="AA46" i="5"/>
  <c r="AA47" i="5"/>
  <c r="H63" i="5"/>
  <c r="AA62" i="5"/>
  <c r="AA78" i="5"/>
  <c r="AA79" i="5"/>
  <c r="H94" i="5"/>
  <c r="AA94" i="5"/>
  <c r="AA95" i="5"/>
  <c r="M78" i="5"/>
  <c r="M46" i="5"/>
  <c r="M14" i="5"/>
  <c r="AA22" i="5"/>
  <c r="N43" i="5"/>
  <c r="M92" i="5"/>
  <c r="N76" i="5"/>
  <c r="M60" i="5"/>
  <c r="N52" i="5"/>
  <c r="M44" i="5"/>
  <c r="M36" i="5"/>
  <c r="M28" i="5"/>
  <c r="M20" i="5"/>
  <c r="N4" i="5"/>
  <c r="H87" i="5"/>
  <c r="H39" i="5"/>
  <c r="H17" i="5"/>
  <c r="AA16" i="5"/>
  <c r="AA17" i="5"/>
  <c r="H32" i="5"/>
  <c r="AA32" i="5"/>
  <c r="AA33" i="5"/>
  <c r="H49" i="5"/>
  <c r="AA48" i="5"/>
  <c r="AA49" i="5"/>
  <c r="H65" i="5"/>
  <c r="AA64" i="5"/>
  <c r="AA65" i="5"/>
  <c r="H81" i="5"/>
  <c r="AA80" i="5"/>
  <c r="AA81" i="5"/>
  <c r="H97" i="5"/>
  <c r="AA96" i="5"/>
  <c r="AA97" i="5"/>
  <c r="M125" i="5"/>
  <c r="N127" i="5"/>
  <c r="M131" i="5"/>
  <c r="Z131" i="5"/>
  <c r="Y131" i="5"/>
  <c r="X131" i="5"/>
  <c r="N72" i="5"/>
  <c r="N8" i="5"/>
  <c r="AA119" i="5"/>
  <c r="M116" i="5"/>
  <c r="AA118" i="5"/>
  <c r="H56" i="5"/>
  <c r="AA56" i="5"/>
  <c r="H72" i="5"/>
  <c r="AA72" i="5"/>
  <c r="H88" i="5"/>
  <c r="AA88" i="5"/>
  <c r="H105" i="5"/>
  <c r="AA104" i="5"/>
  <c r="H107" i="5"/>
  <c r="AA106" i="5"/>
  <c r="AA107" i="5"/>
  <c r="H109" i="5"/>
  <c r="AA108" i="5"/>
  <c r="AA109" i="5"/>
  <c r="H113" i="5"/>
  <c r="AA112" i="5"/>
  <c r="H115" i="5"/>
  <c r="AA114" i="5"/>
  <c r="AA115" i="5"/>
  <c r="H117" i="5"/>
  <c r="AA116" i="5"/>
  <c r="AA117" i="5"/>
  <c r="H121" i="5"/>
  <c r="AA120" i="5"/>
  <c r="H123" i="5"/>
  <c r="AA122" i="5"/>
  <c r="AA123" i="5"/>
  <c r="N114" i="5"/>
  <c r="AA111" i="5"/>
  <c r="AA89" i="5"/>
  <c r="H58" i="5"/>
  <c r="AA58" i="5"/>
  <c r="AA59" i="5"/>
  <c r="H75" i="5"/>
  <c r="AA74" i="5"/>
  <c r="AA75" i="5"/>
  <c r="H90" i="5"/>
  <c r="AA90" i="5"/>
  <c r="AA91" i="5"/>
  <c r="T307" i="4"/>
  <c r="AA110" i="5"/>
  <c r="N106" i="5"/>
  <c r="N128" i="5"/>
  <c r="N129" i="5"/>
  <c r="N104" i="5"/>
  <c r="N105" i="5"/>
  <c r="N112" i="5"/>
  <c r="N120" i="5"/>
  <c r="N110" i="5"/>
  <c r="N124" i="5"/>
  <c r="N109" i="5"/>
  <c r="N117" i="5"/>
  <c r="N130" i="5"/>
  <c r="N118" i="5"/>
  <c r="M124" i="5"/>
  <c r="N95" i="5"/>
  <c r="N79" i="5"/>
  <c r="N63" i="5"/>
  <c r="M117" i="5"/>
  <c r="M110" i="5"/>
  <c r="M104" i="5"/>
  <c r="N102" i="5"/>
  <c r="N94" i="5"/>
  <c r="N86" i="5"/>
  <c r="N78" i="5"/>
  <c r="N54" i="5"/>
  <c r="M129" i="5"/>
  <c r="N77" i="5"/>
  <c r="N69" i="5"/>
  <c r="N29" i="5"/>
  <c r="N21" i="5"/>
  <c r="M128" i="5"/>
  <c r="M109" i="5"/>
  <c r="N12" i="5"/>
  <c r="N83" i="5"/>
  <c r="M120" i="5"/>
  <c r="N33" i="5"/>
  <c r="N25" i="5"/>
  <c r="N9" i="5"/>
  <c r="M112" i="5"/>
  <c r="M62" i="5"/>
  <c r="M22" i="5"/>
  <c r="M61" i="5"/>
  <c r="M108" i="5"/>
  <c r="M115" i="5"/>
  <c r="M107" i="5"/>
  <c r="M67" i="5"/>
  <c r="M122" i="5"/>
  <c r="M64" i="5"/>
  <c r="M113" i="5"/>
  <c r="M105" i="5"/>
  <c r="M130" i="5"/>
  <c r="N113" i="5"/>
  <c r="N122" i="5"/>
  <c r="M106" i="5"/>
  <c r="N108" i="5"/>
  <c r="N123" i="5"/>
  <c r="N125" i="5"/>
  <c r="N107" i="5"/>
  <c r="N115" i="5"/>
  <c r="N98" i="5"/>
  <c r="N90" i="5"/>
  <c r="N82" i="5"/>
  <c r="N50" i="5"/>
  <c r="M42" i="5"/>
  <c r="N34" i="5"/>
  <c r="N26" i="5"/>
  <c r="N18" i="5"/>
  <c r="H91" i="5"/>
  <c r="H130" i="5"/>
  <c r="T308" i="4"/>
  <c r="H128" i="5"/>
  <c r="T309" i="4"/>
  <c r="H126" i="5"/>
  <c r="H124" i="5"/>
  <c r="H42" i="5"/>
  <c r="T311" i="4"/>
  <c r="T310" i="4"/>
  <c r="H122" i="5"/>
  <c r="T312" i="4"/>
  <c r="H120" i="5"/>
  <c r="T313" i="4"/>
  <c r="H118" i="5"/>
  <c r="T314" i="4"/>
  <c r="H116" i="5"/>
  <c r="T315" i="4"/>
  <c r="H114" i="5"/>
  <c r="H96" i="5"/>
  <c r="T316" i="4"/>
  <c r="H16" i="5"/>
  <c r="H112" i="5"/>
  <c r="T317" i="4"/>
  <c r="H110" i="5"/>
  <c r="T318" i="4"/>
  <c r="H80" i="5"/>
  <c r="T331" i="4"/>
  <c r="H64" i="5"/>
  <c r="H108" i="5"/>
  <c r="T319" i="4"/>
  <c r="H37" i="5"/>
  <c r="H48" i="5"/>
  <c r="H33" i="5"/>
  <c r="M74" i="5"/>
  <c r="N74" i="5"/>
  <c r="T369" i="4"/>
  <c r="H15" i="5"/>
  <c r="H106" i="5"/>
  <c r="H5" i="5"/>
  <c r="H21" i="5"/>
  <c r="T347" i="4"/>
  <c r="T338" i="4"/>
  <c r="N5" i="5"/>
  <c r="M5" i="5"/>
  <c r="M85" i="5"/>
  <c r="N85" i="5"/>
  <c r="N53" i="5"/>
  <c r="M53" i="5"/>
  <c r="M66" i="5"/>
  <c r="N66" i="5"/>
  <c r="N93" i="5"/>
  <c r="M93" i="5"/>
  <c r="H52" i="5"/>
  <c r="H104" i="5"/>
  <c r="T324" i="4"/>
  <c r="H101" i="5"/>
  <c r="T326" i="4"/>
  <c r="T361" i="4"/>
  <c r="T353" i="4"/>
  <c r="T323" i="4"/>
  <c r="T334" i="4"/>
  <c r="T342" i="4"/>
  <c r="T350" i="4"/>
  <c r="N42" i="5"/>
  <c r="H85" i="5"/>
  <c r="H69" i="5"/>
  <c r="T333" i="4"/>
  <c r="T341" i="4"/>
  <c r="T339" i="4"/>
  <c r="T320" i="4"/>
  <c r="M43" i="5"/>
  <c r="N35" i="5"/>
  <c r="M35" i="5"/>
  <c r="N65" i="5"/>
  <c r="M65" i="5"/>
  <c r="M41" i="5"/>
  <c r="N41" i="5"/>
  <c r="N80" i="5"/>
  <c r="M80" i="5"/>
  <c r="N40" i="5"/>
  <c r="M40" i="5"/>
  <c r="M32" i="5"/>
  <c r="N32" i="5"/>
  <c r="N24" i="5"/>
  <c r="M8" i="5"/>
  <c r="N27" i="5"/>
  <c r="M27" i="5"/>
  <c r="N97" i="5"/>
  <c r="M97" i="5"/>
  <c r="N73" i="5"/>
  <c r="M73" i="5"/>
  <c r="M49" i="5"/>
  <c r="N49" i="5"/>
  <c r="N96" i="5"/>
  <c r="M96" i="5"/>
  <c r="N48" i="5"/>
  <c r="N70" i="5"/>
  <c r="M70" i="5"/>
  <c r="N30" i="5"/>
  <c r="M30" i="5"/>
  <c r="N6" i="5"/>
  <c r="N19" i="5"/>
  <c r="M19" i="5"/>
  <c r="M81" i="5"/>
  <c r="N81" i="5"/>
  <c r="M57" i="5"/>
  <c r="N57" i="5"/>
  <c r="N56" i="5"/>
  <c r="M56" i="5"/>
  <c r="M82" i="5"/>
  <c r="M50" i="5"/>
  <c r="M90" i="5"/>
  <c r="T337" i="4"/>
  <c r="T325" i="4"/>
  <c r="T336" i="4"/>
  <c r="T355" i="4"/>
  <c r="T358" i="4"/>
  <c r="M34" i="5"/>
  <c r="M98" i="5"/>
  <c r="N61" i="5"/>
  <c r="T352" i="4"/>
  <c r="T363" i="4"/>
  <c r="T366" i="4"/>
  <c r="T371" i="4"/>
  <c r="T365" i="4"/>
  <c r="M101" i="5"/>
  <c r="T340" i="4"/>
  <c r="H27" i="5"/>
  <c r="H74" i="5"/>
  <c r="H59" i="5"/>
  <c r="H44" i="5"/>
  <c r="H78" i="5"/>
  <c r="H93" i="5"/>
  <c r="H47" i="5"/>
  <c r="H28" i="5"/>
  <c r="H61" i="5"/>
  <c r="H13" i="5"/>
  <c r="H95" i="5"/>
  <c r="H77" i="5"/>
  <c r="H31" i="5"/>
  <c r="H11" i="5"/>
  <c r="H89" i="5"/>
  <c r="H73" i="5"/>
  <c r="H57" i="5"/>
  <c r="H41" i="5"/>
  <c r="H25" i="5"/>
  <c r="H9" i="5"/>
  <c r="N62" i="5"/>
  <c r="N64" i="5"/>
  <c r="M12" i="5"/>
  <c r="M86" i="5"/>
  <c r="N22" i="5"/>
  <c r="T327" i="4"/>
  <c r="T370" i="4"/>
  <c r="T321" i="4"/>
  <c r="T330" i="4"/>
  <c r="T344" i="4"/>
  <c r="T345" i="4"/>
  <c r="T349" i="4"/>
  <c r="T359" i="4"/>
  <c r="T368" i="4"/>
  <c r="T335" i="4"/>
  <c r="T348" i="4"/>
  <c r="T354" i="4"/>
  <c r="T364" i="4"/>
  <c r="T329" i="4"/>
  <c r="T343" i="4"/>
  <c r="T357" i="4"/>
  <c r="T367" i="4"/>
  <c r="T328" i="4"/>
  <c r="T346" i="4"/>
  <c r="T356" i="4"/>
  <c r="T362" i="4"/>
  <c r="T322" i="4"/>
  <c r="T332" i="4"/>
  <c r="T351" i="4"/>
  <c r="T360" i="4"/>
  <c r="N84" i="5"/>
  <c r="M84" i="5"/>
  <c r="M91" i="5"/>
  <c r="M99" i="5"/>
  <c r="N91" i="5"/>
  <c r="N99" i="5"/>
  <c r="N100" i="5"/>
  <c r="M100" i="5"/>
  <c r="N68" i="5"/>
  <c r="M68" i="5"/>
  <c r="M15" i="5"/>
  <c r="M59" i="5"/>
  <c r="M18" i="5"/>
  <c r="M26" i="5"/>
  <c r="N36" i="5"/>
  <c r="N39" i="5"/>
  <c r="M39" i="5"/>
  <c r="N51" i="5"/>
  <c r="N59" i="5"/>
  <c r="M52" i="5"/>
  <c r="N38" i="5"/>
  <c r="M38" i="5"/>
  <c r="N67" i="5"/>
  <c r="M54" i="5"/>
  <c r="M94" i="5"/>
  <c r="M102" i="5"/>
  <c r="M79" i="5"/>
  <c r="X130" i="5"/>
  <c r="Y130" i="5"/>
  <c r="U147" i="5"/>
  <c r="U146" i="5"/>
  <c r="D38" i="5"/>
  <c r="D39" i="5"/>
  <c r="D128" i="5"/>
  <c r="D129" i="5"/>
  <c r="D136" i="5"/>
  <c r="D137" i="5"/>
  <c r="D120" i="5"/>
  <c r="D121" i="5"/>
  <c r="D40" i="5"/>
  <c r="D41" i="5"/>
  <c r="D28" i="5"/>
  <c r="D29" i="5"/>
  <c r="D24" i="5"/>
  <c r="D25" i="5"/>
  <c r="D91" i="5"/>
  <c r="D90" i="5"/>
  <c r="D48" i="5"/>
  <c r="D49" i="5"/>
  <c r="D107" i="5"/>
  <c r="D106" i="5"/>
  <c r="D123" i="5"/>
  <c r="D122" i="5"/>
  <c r="D112" i="5"/>
  <c r="D113" i="5"/>
  <c r="D62" i="5"/>
  <c r="D63" i="5"/>
  <c r="D43" i="5"/>
  <c r="D42" i="5"/>
  <c r="D94" i="5"/>
  <c r="D95" i="5"/>
  <c r="D102" i="5"/>
  <c r="D103" i="5"/>
  <c r="D59" i="5"/>
  <c r="D58" i="5"/>
  <c r="D30" i="5"/>
  <c r="D31" i="5"/>
  <c r="D35" i="5"/>
  <c r="D34" i="5"/>
  <c r="D83" i="5"/>
  <c r="D82" i="5"/>
  <c r="D12" i="5"/>
  <c r="D13" i="5"/>
  <c r="D27" i="5"/>
  <c r="D26" i="5"/>
  <c r="D64" i="5"/>
  <c r="D65" i="5"/>
  <c r="D75" i="5"/>
  <c r="D74" i="5"/>
  <c r="D116" i="5"/>
  <c r="D117" i="5"/>
  <c r="D134" i="5"/>
  <c r="D135" i="5"/>
  <c r="D144" i="5"/>
  <c r="D145" i="5"/>
  <c r="D51" i="5"/>
  <c r="D50" i="5"/>
  <c r="D46" i="5"/>
  <c r="D47" i="5"/>
  <c r="D100" i="5"/>
  <c r="D101" i="5"/>
  <c r="D32" i="5"/>
  <c r="D33" i="5"/>
  <c r="D60" i="5"/>
  <c r="D61" i="5"/>
  <c r="D96" i="5"/>
  <c r="D97" i="5"/>
  <c r="D4" i="5"/>
  <c r="D5" i="5"/>
  <c r="D110" i="5"/>
  <c r="D111" i="5"/>
  <c r="D124" i="5"/>
  <c r="D125" i="5"/>
  <c r="D139" i="5"/>
  <c r="D138" i="5"/>
  <c r="D142" i="5"/>
  <c r="D143" i="5"/>
  <c r="D68" i="5"/>
  <c r="D69" i="5"/>
  <c r="D99" i="5"/>
  <c r="D98" i="5"/>
  <c r="D84" i="5"/>
  <c r="D85" i="5"/>
  <c r="D52" i="5"/>
  <c r="D53" i="5"/>
  <c r="D108" i="5"/>
  <c r="D109" i="5"/>
  <c r="D115" i="5"/>
  <c r="D114" i="5"/>
  <c r="D86" i="5"/>
  <c r="D87" i="5"/>
  <c r="D72" i="5"/>
  <c r="D73" i="5"/>
  <c r="D11" i="5"/>
  <c r="D10" i="5"/>
  <c r="D70" i="5"/>
  <c r="D71" i="5"/>
  <c r="D76" i="5"/>
  <c r="D77" i="5"/>
  <c r="D36" i="5"/>
  <c r="D37" i="5"/>
  <c r="D80" i="5"/>
  <c r="D81" i="5"/>
  <c r="D118" i="5"/>
  <c r="D119" i="5"/>
  <c r="D132" i="5"/>
  <c r="D133" i="5"/>
  <c r="D78" i="5"/>
  <c r="D79" i="5"/>
  <c r="D56" i="5"/>
  <c r="D57" i="5"/>
  <c r="D44" i="5"/>
  <c r="D45" i="5"/>
  <c r="D19" i="5"/>
  <c r="D18" i="5"/>
  <c r="D14" i="5"/>
  <c r="D15" i="5"/>
  <c r="D54" i="5"/>
  <c r="D55" i="5"/>
  <c r="D104" i="5"/>
  <c r="D105" i="5"/>
  <c r="D22" i="5"/>
  <c r="D23" i="5"/>
  <c r="D8" i="5"/>
  <c r="D9" i="5"/>
  <c r="D6" i="5"/>
  <c r="D7" i="5"/>
  <c r="D88" i="5"/>
  <c r="D89" i="5"/>
  <c r="D16" i="5"/>
  <c r="D17" i="5"/>
  <c r="D92" i="5"/>
  <c r="D93" i="5"/>
  <c r="D20" i="5"/>
  <c r="D21" i="5"/>
  <c r="D67" i="5"/>
  <c r="D66" i="5"/>
  <c r="D126" i="5"/>
  <c r="D127" i="5"/>
  <c r="D140" i="5"/>
  <c r="D141" i="5"/>
  <c r="M4" i="5"/>
  <c r="N55" i="5"/>
  <c r="N126" i="5"/>
  <c r="U131" i="5"/>
  <c r="M11" i="5"/>
  <c r="M119" i="5"/>
  <c r="N87" i="5"/>
  <c r="M31" i="5"/>
  <c r="M111" i="5"/>
  <c r="M121" i="5"/>
  <c r="M145" i="5"/>
  <c r="M140" i="5"/>
  <c r="N116" i="5"/>
  <c r="M141" i="5"/>
  <c r="M137" i="5"/>
  <c r="M134" i="5"/>
  <c r="M139" i="5"/>
  <c r="M58" i="5"/>
  <c r="M103" i="5"/>
  <c r="M7" i="5"/>
  <c r="M89" i="5"/>
  <c r="M135" i="5"/>
  <c r="N10" i="5"/>
  <c r="M71" i="5"/>
  <c r="M76" i="5"/>
  <c r="M47" i="5"/>
  <c r="M114" i="5"/>
  <c r="M133" i="5"/>
  <c r="N60" i="5"/>
  <c r="N37" i="5"/>
  <c r="N46" i="5"/>
  <c r="N92" i="5"/>
  <c r="N45" i="5"/>
  <c r="N88" i="5"/>
  <c r="N16" i="5"/>
  <c r="M13" i="5"/>
  <c r="N44" i="5"/>
  <c r="M127" i="5"/>
  <c r="N14" i="5"/>
  <c r="M72" i="5"/>
  <c r="N131" i="5"/>
  <c r="M77" i="5"/>
  <c r="M83" i="5"/>
  <c r="M21" i="5"/>
  <c r="M17" i="5"/>
  <c r="M9" i="5"/>
  <c r="M29" i="5"/>
  <c r="N23" i="5"/>
  <c r="M33" i="5"/>
  <c r="M25" i="5"/>
  <c r="M75" i="5"/>
  <c r="N20" i="5"/>
  <c r="N28" i="5"/>
  <c r="M69" i="5"/>
  <c r="U130" i="5"/>
  <c r="Y20" i="5"/>
  <c r="X20" i="5"/>
  <c r="Z20" i="5"/>
  <c r="Y6" i="5"/>
  <c r="X6" i="5"/>
  <c r="Z6" i="5"/>
  <c r="Y54" i="5"/>
  <c r="X54" i="5"/>
  <c r="Z54" i="5"/>
  <c r="Y56" i="5"/>
  <c r="X56" i="5"/>
  <c r="Z56" i="5"/>
  <c r="Y80" i="5"/>
  <c r="X80" i="5"/>
  <c r="Z80" i="5"/>
  <c r="Z11" i="5"/>
  <c r="Y11" i="5"/>
  <c r="X11" i="5"/>
  <c r="Y108" i="5"/>
  <c r="Z108" i="5"/>
  <c r="X108" i="5"/>
  <c r="Y68" i="5"/>
  <c r="X68" i="5"/>
  <c r="Z68" i="5"/>
  <c r="Z110" i="5"/>
  <c r="X110" i="5"/>
  <c r="Y110" i="5"/>
  <c r="Z32" i="5"/>
  <c r="Y32" i="5"/>
  <c r="X32" i="5"/>
  <c r="Y145" i="5"/>
  <c r="X145" i="5"/>
  <c r="Z145" i="5"/>
  <c r="Z65" i="5"/>
  <c r="Y65" i="5"/>
  <c r="X65" i="5"/>
  <c r="Y34" i="5"/>
  <c r="X34" i="5"/>
  <c r="Z34" i="5"/>
  <c r="X95" i="5"/>
  <c r="Z95" i="5"/>
  <c r="Y95" i="5"/>
  <c r="Z90" i="5"/>
  <c r="Y90" i="5"/>
  <c r="X90" i="5"/>
  <c r="Y121" i="5"/>
  <c r="X121" i="5"/>
  <c r="Z121" i="5"/>
  <c r="Z7" i="5"/>
  <c r="Y7" i="5"/>
  <c r="X7" i="5"/>
  <c r="X141" i="5"/>
  <c r="Z141" i="5"/>
  <c r="Y141" i="5"/>
  <c r="X93" i="5"/>
  <c r="Z93" i="5"/>
  <c r="Y93" i="5"/>
  <c r="Y9" i="5"/>
  <c r="Z9" i="5"/>
  <c r="X9" i="5"/>
  <c r="X15" i="5"/>
  <c r="Z15" i="5"/>
  <c r="Y15" i="5"/>
  <c r="Z79" i="5"/>
  <c r="Y79" i="5"/>
  <c r="X79" i="5"/>
  <c r="X37" i="5"/>
  <c r="Y37" i="5"/>
  <c r="Z37" i="5"/>
  <c r="X73" i="5"/>
  <c r="Y73" i="5"/>
  <c r="Z73" i="5"/>
  <c r="Z53" i="5"/>
  <c r="Y53" i="5"/>
  <c r="X53" i="5"/>
  <c r="X143" i="5"/>
  <c r="Y143" i="5"/>
  <c r="Z143" i="5"/>
  <c r="X5" i="5"/>
  <c r="Z5" i="5"/>
  <c r="Y5" i="5"/>
  <c r="X144" i="5"/>
  <c r="Y144" i="5"/>
  <c r="Z144" i="5"/>
  <c r="Z64" i="5"/>
  <c r="Y64" i="5"/>
  <c r="X64" i="5"/>
  <c r="Z35" i="5"/>
  <c r="X35" i="5"/>
  <c r="Y35" i="5"/>
  <c r="Y94" i="5"/>
  <c r="X94" i="5"/>
  <c r="Z94" i="5"/>
  <c r="Z91" i="5"/>
  <c r="Y91" i="5"/>
  <c r="X91" i="5"/>
  <c r="X120" i="5"/>
  <c r="Z120" i="5"/>
  <c r="Y120" i="5"/>
  <c r="X8" i="5"/>
  <c r="Z8" i="5"/>
  <c r="Y8" i="5"/>
  <c r="Z14" i="5"/>
  <c r="X14" i="5"/>
  <c r="Y14" i="5"/>
  <c r="X78" i="5"/>
  <c r="Z78" i="5"/>
  <c r="Y78" i="5"/>
  <c r="Z36" i="5"/>
  <c r="Y36" i="5"/>
  <c r="X36" i="5"/>
  <c r="Z72" i="5"/>
  <c r="Y72" i="5"/>
  <c r="X72" i="5"/>
  <c r="X52" i="5"/>
  <c r="Z52" i="5"/>
  <c r="Y52" i="5"/>
  <c r="Y142" i="5"/>
  <c r="Z142" i="5"/>
  <c r="X142" i="5"/>
  <c r="Z4" i="5"/>
  <c r="Y4" i="5"/>
  <c r="X4" i="5"/>
  <c r="X101" i="5"/>
  <c r="Y101" i="5"/>
  <c r="Z101" i="5"/>
  <c r="X135" i="5"/>
  <c r="Y135" i="5"/>
  <c r="Z135" i="5"/>
  <c r="X26" i="5"/>
  <c r="Z26" i="5"/>
  <c r="Y26" i="5"/>
  <c r="Z31" i="5"/>
  <c r="Y31" i="5"/>
  <c r="X31" i="5"/>
  <c r="Z42" i="5"/>
  <c r="Y42" i="5"/>
  <c r="X42" i="5"/>
  <c r="Y122" i="5"/>
  <c r="X122" i="5"/>
  <c r="Z122" i="5"/>
  <c r="Z25" i="5"/>
  <c r="Y25" i="5"/>
  <c r="X25" i="5"/>
  <c r="Z137" i="5"/>
  <c r="X137" i="5"/>
  <c r="Y137" i="5"/>
  <c r="Z21" i="5"/>
  <c r="X21" i="5"/>
  <c r="Y21" i="5"/>
  <c r="X140" i="5"/>
  <c r="Y140" i="5"/>
  <c r="Z140" i="5"/>
  <c r="Z127" i="5"/>
  <c r="Y127" i="5"/>
  <c r="X127" i="5"/>
  <c r="Z17" i="5"/>
  <c r="Y17" i="5"/>
  <c r="X17" i="5"/>
  <c r="X23" i="5"/>
  <c r="Y23" i="5"/>
  <c r="Z23" i="5"/>
  <c r="Z18" i="5"/>
  <c r="Y18" i="5"/>
  <c r="X18" i="5"/>
  <c r="X133" i="5"/>
  <c r="Y133" i="5"/>
  <c r="Z133" i="5"/>
  <c r="Y77" i="5"/>
  <c r="Z77" i="5"/>
  <c r="X77" i="5"/>
  <c r="Z87" i="5"/>
  <c r="Y87" i="5"/>
  <c r="X87" i="5"/>
  <c r="X85" i="5"/>
  <c r="Y85" i="5"/>
  <c r="Z85" i="5"/>
  <c r="Z138" i="5"/>
  <c r="X138" i="5"/>
  <c r="Y138" i="5"/>
  <c r="X97" i="5"/>
  <c r="Z97" i="5"/>
  <c r="Y97" i="5"/>
  <c r="Z100" i="5"/>
  <c r="Y100" i="5"/>
  <c r="X100" i="5"/>
  <c r="X134" i="5"/>
  <c r="Y134" i="5"/>
  <c r="Z134" i="5"/>
  <c r="Y27" i="5"/>
  <c r="X27" i="5"/>
  <c r="Z27" i="5"/>
  <c r="Y30" i="5"/>
  <c r="X30" i="5"/>
  <c r="Z30" i="5"/>
  <c r="Y43" i="5"/>
  <c r="X43" i="5"/>
  <c r="Z43" i="5"/>
  <c r="Y123" i="5"/>
  <c r="X123" i="5"/>
  <c r="Z123" i="5"/>
  <c r="Z24" i="5"/>
  <c r="Y24" i="5"/>
  <c r="X24" i="5"/>
  <c r="Y136" i="5"/>
  <c r="Z136" i="5"/>
  <c r="X136" i="5"/>
  <c r="X126" i="5"/>
  <c r="Z126" i="5"/>
  <c r="Y126" i="5"/>
  <c r="Y22" i="5"/>
  <c r="X22" i="5"/>
  <c r="Z22" i="5"/>
  <c r="Z19" i="5"/>
  <c r="Y19" i="5"/>
  <c r="X19" i="5"/>
  <c r="Y132" i="5"/>
  <c r="X132" i="5"/>
  <c r="Z132" i="5"/>
  <c r="Z76" i="5"/>
  <c r="Y76" i="5"/>
  <c r="X76" i="5"/>
  <c r="Y86" i="5"/>
  <c r="X86" i="5"/>
  <c r="Z86" i="5"/>
  <c r="Y84" i="5"/>
  <c r="X84" i="5"/>
  <c r="Z84" i="5"/>
  <c r="X139" i="5"/>
  <c r="Z139" i="5"/>
  <c r="Y139" i="5"/>
  <c r="Z96" i="5"/>
  <c r="Y96" i="5"/>
  <c r="X96" i="5"/>
  <c r="Z47" i="5"/>
  <c r="Y47" i="5"/>
  <c r="X47" i="5"/>
  <c r="X117" i="5"/>
  <c r="Z117" i="5"/>
  <c r="Y117" i="5"/>
  <c r="Y13" i="5"/>
  <c r="Z13" i="5"/>
  <c r="X13" i="5"/>
  <c r="X58" i="5"/>
  <c r="Z58" i="5"/>
  <c r="Y58" i="5"/>
  <c r="X63" i="5"/>
  <c r="Z63" i="5"/>
  <c r="Y63" i="5"/>
  <c r="Y106" i="5"/>
  <c r="X106" i="5"/>
  <c r="Z106" i="5"/>
  <c r="X29" i="5"/>
  <c r="Z29" i="5"/>
  <c r="Y29" i="5"/>
  <c r="X129" i="5"/>
  <c r="Z129" i="5"/>
  <c r="Y129" i="5"/>
  <c r="X16" i="5"/>
  <c r="Y16" i="5"/>
  <c r="Z16" i="5"/>
  <c r="Z66" i="5"/>
  <c r="Y66" i="5"/>
  <c r="X66" i="5"/>
  <c r="Z89" i="5"/>
  <c r="Y89" i="5"/>
  <c r="X89" i="5"/>
  <c r="X105" i="5"/>
  <c r="Z105" i="5"/>
  <c r="Y105" i="5"/>
  <c r="Y45" i="5"/>
  <c r="X45" i="5"/>
  <c r="Z45" i="5"/>
  <c r="Z119" i="5"/>
  <c r="Y119" i="5"/>
  <c r="X119" i="5"/>
  <c r="Z71" i="5"/>
  <c r="Y71" i="5"/>
  <c r="X71" i="5"/>
  <c r="Z114" i="5"/>
  <c r="Y114" i="5"/>
  <c r="X114" i="5"/>
  <c r="Y98" i="5"/>
  <c r="X98" i="5"/>
  <c r="Z98" i="5"/>
  <c r="Y125" i="5"/>
  <c r="X125" i="5"/>
  <c r="Z125" i="5"/>
  <c r="X61" i="5"/>
  <c r="Z61" i="5"/>
  <c r="Y61" i="5"/>
  <c r="Z46" i="5"/>
  <c r="Y46" i="5"/>
  <c r="X46" i="5"/>
  <c r="Z116" i="5"/>
  <c r="Y116" i="5"/>
  <c r="X116" i="5"/>
  <c r="Y12" i="5"/>
  <c r="X12" i="5"/>
  <c r="Z12" i="5"/>
  <c r="Y59" i="5"/>
  <c r="X59" i="5"/>
  <c r="Z59" i="5"/>
  <c r="Z62" i="5"/>
  <c r="Y62" i="5"/>
  <c r="X62" i="5"/>
  <c r="Z107" i="5"/>
  <c r="Y107" i="5"/>
  <c r="X107" i="5"/>
  <c r="Z28" i="5"/>
  <c r="Y28" i="5"/>
  <c r="X28" i="5"/>
  <c r="Z128" i="5"/>
  <c r="Y128" i="5"/>
  <c r="X128" i="5"/>
  <c r="X92" i="5"/>
  <c r="Z92" i="5"/>
  <c r="Y92" i="5"/>
  <c r="Z67" i="5"/>
  <c r="Y67" i="5"/>
  <c r="X67" i="5"/>
  <c r="Z88" i="5"/>
  <c r="Y88" i="5"/>
  <c r="X88" i="5"/>
  <c r="X104" i="5"/>
  <c r="Z104" i="5"/>
  <c r="Y104" i="5"/>
  <c r="X44" i="5"/>
  <c r="Z44" i="5"/>
  <c r="Y44" i="5"/>
  <c r="Z118" i="5"/>
  <c r="X118" i="5"/>
  <c r="Y118" i="5"/>
  <c r="Y70" i="5"/>
  <c r="X70" i="5"/>
  <c r="Z70" i="5"/>
  <c r="Z115" i="5"/>
  <c r="Y115" i="5"/>
  <c r="X115" i="5"/>
  <c r="Z99" i="5"/>
  <c r="Y99" i="5"/>
  <c r="X99" i="5"/>
  <c r="Y124" i="5"/>
  <c r="Z124" i="5"/>
  <c r="X124" i="5"/>
  <c r="Z60" i="5"/>
  <c r="Y60" i="5"/>
  <c r="X60" i="5"/>
  <c r="X50" i="5"/>
  <c r="Z50" i="5"/>
  <c r="Y50" i="5"/>
  <c r="Z74" i="5"/>
  <c r="Y74" i="5"/>
  <c r="X74" i="5"/>
  <c r="Z82" i="5"/>
  <c r="Y82" i="5"/>
  <c r="X82" i="5"/>
  <c r="Z103" i="5"/>
  <c r="Y103" i="5"/>
  <c r="X103" i="5"/>
  <c r="Z113" i="5"/>
  <c r="Y113" i="5"/>
  <c r="X113" i="5"/>
  <c r="Y49" i="5"/>
  <c r="X49" i="5"/>
  <c r="Z49" i="5"/>
  <c r="Z41" i="5"/>
  <c r="Y41" i="5"/>
  <c r="X41" i="5"/>
  <c r="Y39" i="5"/>
  <c r="X39" i="5"/>
  <c r="Z39" i="5"/>
  <c r="Z55" i="5"/>
  <c r="Y55" i="5"/>
  <c r="X55" i="5"/>
  <c r="Z57" i="5"/>
  <c r="Y57" i="5"/>
  <c r="X57" i="5"/>
  <c r="Z81" i="5"/>
  <c r="Y81" i="5"/>
  <c r="X81" i="5"/>
  <c r="Y10" i="5"/>
  <c r="Z10" i="5"/>
  <c r="X10" i="5"/>
  <c r="Y109" i="5"/>
  <c r="X109" i="5"/>
  <c r="Z109" i="5"/>
  <c r="X69" i="5"/>
  <c r="Z69" i="5"/>
  <c r="Y69" i="5"/>
  <c r="X111" i="5"/>
  <c r="Y111" i="5"/>
  <c r="Z111" i="5"/>
  <c r="Y33" i="5"/>
  <c r="X33" i="5"/>
  <c r="Z33" i="5"/>
  <c r="X51" i="5"/>
  <c r="Z51" i="5"/>
  <c r="Y51" i="5"/>
  <c r="X75" i="5"/>
  <c r="Y75" i="5"/>
  <c r="Z75" i="5"/>
  <c r="X83" i="5"/>
  <c r="Z83" i="5"/>
  <c r="Y83" i="5"/>
  <c r="Z102" i="5"/>
  <c r="X102" i="5"/>
  <c r="Y102" i="5"/>
  <c r="X112" i="5"/>
  <c r="Z112" i="5"/>
  <c r="Y112" i="5"/>
  <c r="Z48" i="5"/>
  <c r="Y48" i="5"/>
  <c r="X48" i="5"/>
  <c r="X40" i="5"/>
  <c r="Z40" i="5"/>
  <c r="Y40" i="5"/>
  <c r="Y38" i="5"/>
  <c r="X38" i="5"/>
  <c r="Z38" i="5"/>
  <c r="U55" i="5"/>
  <c r="U104" i="5"/>
  <c r="U71" i="5"/>
  <c r="U136" i="5"/>
  <c r="U125" i="5"/>
  <c r="U27" i="5"/>
  <c r="U95" i="5"/>
  <c r="U63" i="5"/>
  <c r="U85" i="5"/>
  <c r="U135" i="5"/>
  <c r="U140" i="5"/>
  <c r="U60" i="5"/>
  <c r="U88" i="5"/>
  <c r="U119" i="5"/>
  <c r="U24" i="5"/>
  <c r="U127" i="5"/>
  <c r="U141" i="5"/>
  <c r="U32" i="5"/>
  <c r="U75" i="5"/>
  <c r="U129" i="5"/>
  <c r="U126" i="5"/>
  <c r="U23" i="5"/>
  <c r="U17" i="5"/>
  <c r="U31" i="5"/>
  <c r="U92" i="5"/>
  <c r="U73" i="5"/>
  <c r="U34" i="5"/>
  <c r="U80" i="5"/>
  <c r="U113" i="5"/>
  <c r="U115" i="5"/>
  <c r="U128" i="5"/>
  <c r="U89" i="5"/>
  <c r="U13" i="5"/>
  <c r="U77" i="5"/>
  <c r="U4" i="5"/>
  <c r="U90" i="5"/>
  <c r="U105" i="5"/>
  <c r="U122" i="5"/>
  <c r="U69" i="5"/>
  <c r="U118" i="5"/>
  <c r="U98" i="5"/>
  <c r="U58" i="5"/>
  <c r="U22" i="5"/>
  <c r="U101" i="5"/>
  <c r="U120" i="5"/>
  <c r="U53" i="5"/>
  <c r="U7" i="5"/>
  <c r="U10" i="5"/>
  <c r="U103" i="5"/>
  <c r="U28" i="5"/>
  <c r="U45" i="5"/>
  <c r="U14" i="5"/>
  <c r="U145" i="5"/>
  <c r="U54" i="5"/>
  <c r="U111" i="5"/>
  <c r="U48" i="5"/>
  <c r="U99" i="5"/>
  <c r="U59" i="5"/>
  <c r="U46" i="5"/>
  <c r="U117" i="5"/>
  <c r="U76" i="5"/>
  <c r="U87" i="5"/>
  <c r="U133" i="5"/>
  <c r="U142" i="5"/>
  <c r="U91" i="5"/>
  <c r="U102" i="5"/>
  <c r="U70" i="5"/>
  <c r="U51" i="5"/>
  <c r="U81" i="5"/>
  <c r="U49" i="5"/>
  <c r="U82" i="5"/>
  <c r="U50" i="5"/>
  <c r="U107" i="5"/>
  <c r="U29" i="5"/>
  <c r="U47" i="5"/>
  <c r="U139" i="5"/>
  <c r="U43" i="5"/>
  <c r="U97" i="5"/>
  <c r="U18" i="5"/>
  <c r="U21" i="5"/>
  <c r="U36" i="5"/>
  <c r="U64" i="5"/>
  <c r="U5" i="5"/>
  <c r="U93" i="5"/>
  <c r="U121" i="5"/>
  <c r="U68" i="5"/>
  <c r="U83" i="5"/>
  <c r="U39" i="5"/>
  <c r="U12" i="5"/>
  <c r="U16" i="5"/>
  <c r="U106" i="5"/>
  <c r="U84" i="5"/>
  <c r="U134" i="5"/>
  <c r="U138" i="5"/>
  <c r="U15" i="5"/>
  <c r="U6" i="5"/>
  <c r="U38" i="5"/>
  <c r="U109" i="5"/>
  <c r="U57" i="5"/>
  <c r="U74" i="5"/>
  <c r="U44" i="5"/>
  <c r="U62" i="5"/>
  <c r="U114" i="5"/>
  <c r="U96" i="5"/>
  <c r="U132" i="5"/>
  <c r="U30" i="5"/>
  <c r="U100" i="5"/>
  <c r="U137" i="5"/>
  <c r="U42" i="5"/>
  <c r="U26" i="5"/>
  <c r="U8" i="5"/>
  <c r="U94" i="5"/>
  <c r="U144" i="5"/>
  <c r="U143" i="5"/>
  <c r="U9" i="5"/>
  <c r="U65" i="5"/>
  <c r="U33" i="5"/>
  <c r="U112" i="5"/>
  <c r="U41" i="5"/>
  <c r="U124" i="5"/>
  <c r="U67" i="5"/>
  <c r="U116" i="5"/>
  <c r="U61" i="5"/>
  <c r="U52" i="5"/>
  <c r="U37" i="5"/>
  <c r="U108" i="5"/>
  <c r="U56" i="5"/>
  <c r="U66" i="5"/>
  <c r="U86" i="5"/>
  <c r="U19" i="5"/>
  <c r="U123" i="5"/>
  <c r="U25" i="5"/>
  <c r="U72" i="5"/>
  <c r="U78" i="5"/>
  <c r="U79" i="5"/>
  <c r="U110" i="5"/>
  <c r="U11" i="5"/>
  <c r="U20" i="5"/>
  <c r="U40" i="5"/>
  <c r="U35" i="5"/>
  <c r="F3" i="6"/>
  <c r="C4" i="6"/>
  <c r="K7" i="6"/>
  <c r="M7" i="6"/>
  <c r="M8" i="6"/>
  <c r="C7" i="6"/>
  <c r="C8" i="6" a="1"/>
  <c r="L7"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<sst xmlns="http://schemas.openxmlformats.org/spreadsheetml/2006/main" count="7460" uniqueCount="1265">
  <si>
    <t>م</t>
  </si>
  <si>
    <t>رقم الحساب</t>
  </si>
  <si>
    <t>اسم الحساب</t>
  </si>
  <si>
    <t>الحساب الرئيسي</t>
  </si>
  <si>
    <t>المستوى</t>
  </si>
  <si>
    <t>النوع</t>
  </si>
  <si>
    <t>نوع التقرير</t>
  </si>
  <si>
    <t>مجموعة الحساب</t>
  </si>
  <si>
    <t>طبيعة الحساب</t>
  </si>
  <si>
    <t>نوع الحساب التحليلي</t>
  </si>
  <si>
    <t>حالة الحساب</t>
  </si>
  <si>
    <t>تصنيف الحساب</t>
  </si>
  <si>
    <t>اسم الحساب الرئيسي</t>
  </si>
  <si>
    <t>الحساب العام</t>
  </si>
  <si>
    <t>الحساب المساعد</t>
  </si>
  <si>
    <t>الفرعي</t>
  </si>
  <si>
    <t>الإجمالي</t>
  </si>
  <si>
    <t>صناديق قيادة الفرقة</t>
  </si>
  <si>
    <t>فرعي</t>
  </si>
  <si>
    <t>الميزانيه العموميه</t>
  </si>
  <si>
    <t>مدين</t>
  </si>
  <si>
    <t>نشط</t>
  </si>
  <si>
    <t xml:space="preserve">صناديق الوية الفرقة </t>
  </si>
  <si>
    <t>الصندوق العام</t>
  </si>
  <si>
    <t>تحليلي</t>
  </si>
  <si>
    <t>صندوق</t>
  </si>
  <si>
    <t xml:space="preserve">صندوق اللواء الاول </t>
  </si>
  <si>
    <t>صندوق اللواء الثاني</t>
  </si>
  <si>
    <t>موقف</t>
  </si>
  <si>
    <t>صندوق المرتبات</t>
  </si>
  <si>
    <t xml:space="preserve">صندوق التغذية </t>
  </si>
  <si>
    <t xml:space="preserve">صندوق  الخصميات والمرتجعات </t>
  </si>
  <si>
    <t>البنوك المحلية</t>
  </si>
  <si>
    <t>بنك</t>
  </si>
  <si>
    <t>حساب بنكي......... بالريال اليمني ( نفقات )</t>
  </si>
  <si>
    <t>حساب بنكي........... بالريال بالسعودي ( نفقات )</t>
  </si>
  <si>
    <t>حساب  المرتبات والأجور - بنك</t>
  </si>
  <si>
    <t>حساب الخصميات والمرتجعات</t>
  </si>
  <si>
    <t>العملاء المحليون</t>
  </si>
  <si>
    <t>العميل......</t>
  </si>
  <si>
    <t>عميل</t>
  </si>
  <si>
    <t>مدينون متنوعون</t>
  </si>
  <si>
    <t xml:space="preserve">مدينون متنوعون </t>
  </si>
  <si>
    <t>ارصدة مدينة اخرى</t>
  </si>
  <si>
    <t xml:space="preserve">ارصدة مدينة متنوعة اخرى </t>
  </si>
  <si>
    <t>عام</t>
  </si>
  <si>
    <t>مخزون  مجموعة رئيسية</t>
  </si>
  <si>
    <t xml:space="preserve"> مخزون الامداد والتموين </t>
  </si>
  <si>
    <t xml:space="preserve">مخزون التسليح العسكري </t>
  </si>
  <si>
    <t xml:space="preserve">مخزون مطابخ الامداد </t>
  </si>
  <si>
    <t xml:space="preserve">مخزون الورشة الفنية </t>
  </si>
  <si>
    <t xml:space="preserve">مخزون قطع الغيار ومستلزمات الورشة </t>
  </si>
  <si>
    <t>حسابات وسيطه</t>
  </si>
  <si>
    <t>وسيط التحويلات المخزنيه  الادارة العامة</t>
  </si>
  <si>
    <t>مخصص التمويل المالي للالوية</t>
  </si>
  <si>
    <t>سلف الموظفين</t>
  </si>
  <si>
    <t>العهد</t>
  </si>
  <si>
    <t>عهدة أبو حذيفة</t>
  </si>
  <si>
    <t>عهد</t>
  </si>
  <si>
    <t>المصاريف المدفوعة مقدماً</t>
  </si>
  <si>
    <t>ايجارات مدفوعة مقدماً</t>
  </si>
  <si>
    <t xml:space="preserve">مصاريف مدفوعة مقدما متنوعة </t>
  </si>
  <si>
    <t>الايرادات المستحقة</t>
  </si>
  <si>
    <t xml:space="preserve">سيارات ادارية </t>
  </si>
  <si>
    <t>الاثاث مكتبية والمفروشات</t>
  </si>
  <si>
    <t>اثاث  0000</t>
  </si>
  <si>
    <t>الكمبيوترات</t>
  </si>
  <si>
    <t>الطابعات</t>
  </si>
  <si>
    <t>الاجهزة الكهربائية</t>
  </si>
  <si>
    <t>الأجهزة الالكترونية</t>
  </si>
  <si>
    <t xml:space="preserve">مصاريف التاسيس والتجهيزات </t>
  </si>
  <si>
    <t xml:space="preserve">مصاريف تاسيس وتجهيزات </t>
  </si>
  <si>
    <t xml:space="preserve">المولدات الكهربائية </t>
  </si>
  <si>
    <t>البطاريات ومنظومات الطاقة الشمسية</t>
  </si>
  <si>
    <t>منظومات الطقاقة الشمسية</t>
  </si>
  <si>
    <t xml:space="preserve">الانظمة والبرامج المالية والادارية </t>
  </si>
  <si>
    <t xml:space="preserve">انظمة وبرامج مالية وادارية </t>
  </si>
  <si>
    <t xml:space="preserve">اجهزة المراقبة وملحقاتها </t>
  </si>
  <si>
    <t xml:space="preserve">اجهزة مراقبة وملحقاتها </t>
  </si>
  <si>
    <t xml:space="preserve">اجهزة تبريد وتكيف </t>
  </si>
  <si>
    <t>مكيفات كهربائية</t>
  </si>
  <si>
    <t xml:space="preserve">العتاد العسكري  </t>
  </si>
  <si>
    <t xml:space="preserve">عتاد عسكري </t>
  </si>
  <si>
    <t xml:space="preserve">انشآت قيد التنفيذ </t>
  </si>
  <si>
    <t>موردون محليون</t>
  </si>
  <si>
    <t>دائن</t>
  </si>
  <si>
    <t>محطة الصحراء التجارية</t>
  </si>
  <si>
    <t>مورد</t>
  </si>
  <si>
    <t>موردون خارجيون</t>
  </si>
  <si>
    <t>دائنون متنوعون</t>
  </si>
  <si>
    <t xml:space="preserve">دائنون  متنوعون </t>
  </si>
  <si>
    <t>المصروفات المستحقة</t>
  </si>
  <si>
    <t xml:space="preserve">رواتب مستحقة </t>
  </si>
  <si>
    <t>الايردات المدفوعة مقدما</t>
  </si>
  <si>
    <t>الأرصدة الدائنة الأخرى</t>
  </si>
  <si>
    <t xml:space="preserve">الدائرة المالية لقوات درع الوطن </t>
  </si>
  <si>
    <t xml:space="preserve">القوات المشتركة مرتبات </t>
  </si>
  <si>
    <t xml:space="preserve">القوات المشتركة نفقات </t>
  </si>
  <si>
    <t>حساب راس المال</t>
  </si>
  <si>
    <t>راس المال</t>
  </si>
  <si>
    <t>قائمة الدخل</t>
  </si>
  <si>
    <t xml:space="preserve">الارباح والخسائر الفترة </t>
  </si>
  <si>
    <t xml:space="preserve">الارباح والخسائر المدورة </t>
  </si>
  <si>
    <t>الاحتياطيات</t>
  </si>
  <si>
    <t xml:space="preserve">احتياطي القانوني </t>
  </si>
  <si>
    <t xml:space="preserve">المخصصات والمجمعات </t>
  </si>
  <si>
    <t xml:space="preserve">مخصص اهلاك السيارات </t>
  </si>
  <si>
    <t xml:space="preserve">مخصص اهلاك الاجهزة الكهربائية والاكترونية </t>
  </si>
  <si>
    <t xml:space="preserve">مخصص اهلاك الكمبيوترات والطابعات </t>
  </si>
  <si>
    <t xml:space="preserve">مصاريف تشغيلية </t>
  </si>
  <si>
    <t>الارباح والخسائر</t>
  </si>
  <si>
    <t xml:space="preserve">مصاريف  صرفة يومية للافراد </t>
  </si>
  <si>
    <t xml:space="preserve">مصاريف طبية وعلاجات </t>
  </si>
  <si>
    <t xml:space="preserve">مصاريف وقود ومحروقات </t>
  </si>
  <si>
    <t>مصاريف قطع غيار</t>
  </si>
  <si>
    <t xml:space="preserve">مصاريف صيانة واصلاحات فنية </t>
  </si>
  <si>
    <t xml:space="preserve">مصاريف مشتريات زيوت وشحوم </t>
  </si>
  <si>
    <t xml:space="preserve">مصاريف مشتريات إطارات </t>
  </si>
  <si>
    <t xml:space="preserve">مصاريف مساعدات إنسانية </t>
  </si>
  <si>
    <t xml:space="preserve">مصاريف أدوات مكتبية وقرطاسية </t>
  </si>
  <si>
    <t xml:space="preserve">مصاريف أدوات نظافة </t>
  </si>
  <si>
    <t xml:space="preserve">مصاريف حوافز ومكافئات </t>
  </si>
  <si>
    <t xml:space="preserve">مصاريف نزول مهام </t>
  </si>
  <si>
    <t xml:space="preserve">مصاريف عمولات بنكية </t>
  </si>
  <si>
    <t xml:space="preserve">مصاريف مشتروات عدد وأدوات </t>
  </si>
  <si>
    <t xml:space="preserve">مصاريف ضيافة واستقبال </t>
  </si>
  <si>
    <t xml:space="preserve">مصاريف انترنت واتصالات </t>
  </si>
  <si>
    <t xml:space="preserve">مصاريف علاقات عامة </t>
  </si>
  <si>
    <t xml:space="preserve">مصاريف تجهيزات عتاد عسكري </t>
  </si>
  <si>
    <t xml:space="preserve">مصاريف الإيجارات </t>
  </si>
  <si>
    <t xml:space="preserve">مصاريف حج وعمرة </t>
  </si>
  <si>
    <t xml:space="preserve">مصاريف صيانة متنوعة </t>
  </si>
  <si>
    <t xml:space="preserve">مصاريف صيانة مباني </t>
  </si>
  <si>
    <t xml:space="preserve">مصاريف اثاث ومفروشات </t>
  </si>
  <si>
    <t xml:space="preserve">مصاريف دفن شهداء </t>
  </si>
  <si>
    <t xml:space="preserve">مصاريف مصادر ومعلومات </t>
  </si>
  <si>
    <t xml:space="preserve">مصاريف نفقات إعلامية </t>
  </si>
  <si>
    <t xml:space="preserve">مصاريف مرتبات الالوية </t>
  </si>
  <si>
    <t xml:space="preserve">مرتبات الالوية </t>
  </si>
  <si>
    <t xml:space="preserve">مرتبات قيادة الفرقة </t>
  </si>
  <si>
    <t xml:space="preserve">مرتبات كتيبة المهام </t>
  </si>
  <si>
    <t xml:space="preserve">مرتبات كتيبة الشرطة العسكرية </t>
  </si>
  <si>
    <t xml:space="preserve">مرتبات اللواء الأول </t>
  </si>
  <si>
    <t>مرتبات اللواء الثاني</t>
  </si>
  <si>
    <t>مرتبات اللواء الثالث</t>
  </si>
  <si>
    <t xml:space="preserve">مرتبات اللواء الرابع </t>
  </si>
  <si>
    <t xml:space="preserve">مرتبات اللواء الخامس </t>
  </si>
  <si>
    <t>مرتبات اللواء السادس</t>
  </si>
  <si>
    <t>مرتبات اللواء السابع</t>
  </si>
  <si>
    <t>فوارق الحسابات</t>
  </si>
  <si>
    <t>فوارق الصرف</t>
  </si>
  <si>
    <t>فارق مردود المشتريات</t>
  </si>
  <si>
    <t>فوارق الاعتماد</t>
  </si>
  <si>
    <t>فوارق الكسور</t>
  </si>
  <si>
    <t>فوارق التحويل</t>
  </si>
  <si>
    <t>ايرادات النشاط</t>
  </si>
  <si>
    <t>ايرادات المبيعات</t>
  </si>
  <si>
    <t xml:space="preserve">إيرادات متنوعة أخرى </t>
  </si>
  <si>
    <t xml:space="preserve">إيرادات خردوات عرضية </t>
  </si>
  <si>
    <t>عهدة عبدالمغني</t>
  </si>
  <si>
    <t>عهدة امين القحطاني</t>
  </si>
  <si>
    <t>حساب الارصدة الافتتاحية</t>
  </si>
  <si>
    <t>مصاريف مرتبات شهداء</t>
  </si>
  <si>
    <t>مرتبات شهداء</t>
  </si>
  <si>
    <t>مصاريف اكراميات جرحى</t>
  </si>
  <si>
    <t>الاصول</t>
  </si>
  <si>
    <t>اجمالي</t>
  </si>
  <si>
    <t>الخصوم</t>
  </si>
  <si>
    <t>المصروفات</t>
  </si>
  <si>
    <t>الايرادات</t>
  </si>
  <si>
    <t>الاصول المتداولة</t>
  </si>
  <si>
    <t>الاصول الغير متداولة</t>
  </si>
  <si>
    <t>الخصوم المتداولة</t>
  </si>
  <si>
    <t>الخصوم الغير متداولة</t>
  </si>
  <si>
    <t>حقوق الملكية</t>
  </si>
  <si>
    <t>النفقات التشغيلية</t>
  </si>
  <si>
    <t xml:space="preserve">مرتبات </t>
  </si>
  <si>
    <t>النقدية في الصناديق</t>
  </si>
  <si>
    <t>مساعد</t>
  </si>
  <si>
    <t>النقدية في البنوك</t>
  </si>
  <si>
    <t>العملاء</t>
  </si>
  <si>
    <t>ارصدة مدينة</t>
  </si>
  <si>
    <t>المخزون</t>
  </si>
  <si>
    <t>سلف و عهد الموضفين</t>
  </si>
  <si>
    <t>السيارات والباصات</t>
  </si>
  <si>
    <t>الأثاث المكتبي والمفروشات</t>
  </si>
  <si>
    <t>الكمبيوترات والطابعات</t>
  </si>
  <si>
    <t>الأجهزة الكهربائية والالكترونية</t>
  </si>
  <si>
    <t xml:space="preserve">مصاريف التاسيس </t>
  </si>
  <si>
    <t>المولدات الكهربائية  والطاقة الشمسية</t>
  </si>
  <si>
    <t>الأنظمة والبرامج</t>
  </si>
  <si>
    <t>أجهزة مراقبة امنية</t>
  </si>
  <si>
    <t>أجهزة التبريد والتكييف</t>
  </si>
  <si>
    <t>المهمات العسكرية</t>
  </si>
  <si>
    <t>مشاريع قيد التنفيذ</t>
  </si>
  <si>
    <t>الموردين</t>
  </si>
  <si>
    <t>مصاريف مستحقة</t>
  </si>
  <si>
    <t>حقوق ملكية الشركاء</t>
  </si>
  <si>
    <t>الاحتياطيات والمخصصات</t>
  </si>
  <si>
    <t>مصاريف المرتبات</t>
  </si>
  <si>
    <t>حساب الفوارق</t>
  </si>
  <si>
    <t>الإيرادات من النشاط</t>
  </si>
  <si>
    <t>المصروفات التشغيلية</t>
  </si>
  <si>
    <t>ايراد النشاط</t>
  </si>
  <si>
    <t>بيانات المنشأة</t>
  </si>
  <si>
    <t>بيانات مراكز التكلفة</t>
  </si>
  <si>
    <t>جدول القوائم المالية</t>
  </si>
  <si>
    <t>جدول تصنيف الحسابات</t>
  </si>
  <si>
    <t>مجموعة الحسابات</t>
  </si>
  <si>
    <t>أنواع الحسابات</t>
  </si>
  <si>
    <t>رقم العملة</t>
  </si>
  <si>
    <t>اسم العملة</t>
  </si>
  <si>
    <t>رمز العملة</t>
  </si>
  <si>
    <t>سعر الصرف</t>
  </si>
  <si>
    <t>الحد الأدنى</t>
  </si>
  <si>
    <t>الحد الأعلى</t>
  </si>
  <si>
    <t>نوع العملة</t>
  </si>
  <si>
    <t>اسم المنشاة</t>
  </si>
  <si>
    <t>العملة الرئيسية</t>
  </si>
  <si>
    <t>بداية العام</t>
  </si>
  <si>
    <t>نهاية العام</t>
  </si>
  <si>
    <t>عدد مستويات الحسابات</t>
  </si>
  <si>
    <t>رقم المركز</t>
  </si>
  <si>
    <t>الاسم</t>
  </si>
  <si>
    <t>نوع المركز</t>
  </si>
  <si>
    <t>ملاحظة</t>
  </si>
  <si>
    <t>الكود</t>
  </si>
  <si>
    <t>اسم القائمة</t>
  </si>
  <si>
    <t>كود النوع</t>
  </si>
  <si>
    <t>التصنيف</t>
  </si>
  <si>
    <t>رقم</t>
  </si>
  <si>
    <t>اسم المجموعة</t>
  </si>
  <si>
    <t>رقم المستوى</t>
  </si>
  <si>
    <t>اسم النوع</t>
  </si>
  <si>
    <t>دولار امريكي</t>
  </si>
  <si>
    <t>SUD</t>
  </si>
  <si>
    <t>عملة اجنبية</t>
  </si>
  <si>
    <t>الفرقة الثالثة</t>
  </si>
  <si>
    <t>ريال يمني</t>
  </si>
  <si>
    <t>YER</t>
  </si>
  <si>
    <t>اللواء الأول</t>
  </si>
  <si>
    <t>ريال سعودي</t>
  </si>
  <si>
    <t>SAR</t>
  </si>
  <si>
    <t>عملة محلية</t>
  </si>
  <si>
    <t>اللواء الثاني</t>
  </si>
  <si>
    <t>اللواء الثالث</t>
  </si>
  <si>
    <t>اللواء الرابع</t>
  </si>
  <si>
    <t>اللواء الخامس</t>
  </si>
  <si>
    <t>اللواء السادس</t>
  </si>
  <si>
    <t>اللواء السابع</t>
  </si>
  <si>
    <t>دفتر اليومية العامة</t>
  </si>
  <si>
    <t>الرصيد السابق</t>
  </si>
  <si>
    <t>رصيد افتتاحي</t>
  </si>
  <si>
    <t>دائن سابق</t>
  </si>
  <si>
    <t>مدين سابق</t>
  </si>
  <si>
    <t>رقم القيد</t>
  </si>
  <si>
    <t>رقم العملية</t>
  </si>
  <si>
    <t>التاريخ</t>
  </si>
  <si>
    <t>نوع العمليــة</t>
  </si>
  <si>
    <t>الحســاب الدئـــن</t>
  </si>
  <si>
    <t>البيــــــــــــــــــــــــــــــــــــان</t>
  </si>
  <si>
    <t>رقــم-الحســــــاب</t>
  </si>
  <si>
    <t>الحســاب المديــــن</t>
  </si>
  <si>
    <t>العملـــة</t>
  </si>
  <si>
    <t>المبلـــــــغ</t>
  </si>
  <si>
    <t>سعــــــر
الصـــــرف</t>
  </si>
  <si>
    <t>اجمــالــي المبلـــغ
بالعملــة المحليـــــة</t>
  </si>
  <si>
    <t>المستفيــــــــد</t>
  </si>
  <si>
    <t>المــــرجـــــــــع</t>
  </si>
  <si>
    <t>اســـــــم المــــرجــــع</t>
  </si>
  <si>
    <t>رقم المـــــرجـــع</t>
  </si>
  <si>
    <t>مركـــــــزالتكلفــــــة</t>
  </si>
  <si>
    <t>رقم مركز التكلفة</t>
  </si>
  <si>
    <t>date</t>
  </si>
  <si>
    <t>تاريخ الإضافة</t>
  </si>
  <si>
    <t>جهة الامر</t>
  </si>
  <si>
    <t>السنــــة</t>
  </si>
  <si>
    <t>الشهــــر</t>
  </si>
  <si>
    <t>الـــــيوم</t>
  </si>
  <si>
    <t>المرجع البياني</t>
  </si>
  <si>
    <t>ترحيل للاستذ</t>
  </si>
  <si>
    <t>RC003</t>
  </si>
  <si>
    <t>2026-06-04</t>
  </si>
  <si>
    <t>قبض عهدة</t>
  </si>
  <si>
    <t>استلام عهدة</t>
  </si>
  <si>
    <t>عبدالمغني عبدالصمد</t>
  </si>
  <si>
    <t>استلام نقدي</t>
  </si>
  <si>
    <t>سند استلام</t>
  </si>
  <si>
    <t>JV047</t>
  </si>
  <si>
    <t>2026-06-03</t>
  </si>
  <si>
    <t>قيد عهده</t>
  </si>
  <si>
    <t>مصاريف بيد الاركان جمال مسدوس</t>
  </si>
  <si>
    <t>جمال مسدوس</t>
  </si>
  <si>
    <t>الأركان جمال مسدوس</t>
  </si>
  <si>
    <t>JV046</t>
  </si>
  <si>
    <t xml:space="preserve">مصاريف 6 افراد من اللواء السابع </t>
  </si>
  <si>
    <t>افراد اللواء السابع</t>
  </si>
  <si>
    <t>JV045</t>
  </si>
  <si>
    <t>مقابل صرف عهدة</t>
  </si>
  <si>
    <t>امين القحطاني</t>
  </si>
  <si>
    <t>حواله</t>
  </si>
  <si>
    <t>شركة المقبولي للصرافة والتحويلات</t>
  </si>
  <si>
    <t>مدير  مكتب القائد</t>
  </si>
  <si>
    <t>JV044</t>
  </si>
  <si>
    <t xml:space="preserve">مقابل مكافاة عمل في الالوية الاول والثاني </t>
  </si>
  <si>
    <t>البشرية وضباط</t>
  </si>
  <si>
    <t>JV043</t>
  </si>
  <si>
    <t xml:space="preserve">مصاريف جراحة </t>
  </si>
  <si>
    <t>ميثاق عبده غالب</t>
  </si>
  <si>
    <t>JV042</t>
  </si>
  <si>
    <t>مصاريف يومية سرية اللواء السادس عدد 47</t>
  </si>
  <si>
    <t>سرية اللواء السادس</t>
  </si>
  <si>
    <t>كشف صرف</t>
  </si>
  <si>
    <t>القائد</t>
  </si>
  <si>
    <t>JV041</t>
  </si>
  <si>
    <t>مصاريف للجرحى مع المرافق عبدالحكيم احمد عبدالله العولقي</t>
  </si>
  <si>
    <t>اسماعيل سعيد عوض و محمد نعمان</t>
  </si>
  <si>
    <t>JV040</t>
  </si>
  <si>
    <t xml:space="preserve">جزء من مصاريف نقل الشهيد كمال الزريقي اللواء الثاني و 2 جرحى اللواء السادس </t>
  </si>
  <si>
    <t>الشهيد كمال الرزيقي</t>
  </si>
  <si>
    <t>JV039</t>
  </si>
  <si>
    <t>صرف الصرفة اليومية اخورن عدد 9</t>
  </si>
  <si>
    <t>اخرون</t>
  </si>
  <si>
    <t>JV038</t>
  </si>
  <si>
    <t>صرف الصرفة اليومية ضباط سابقين لعدد 8</t>
  </si>
  <si>
    <t>الضباط السابقين</t>
  </si>
  <si>
    <t>JV037</t>
  </si>
  <si>
    <t>صرف الصرفة اليومية للطبية والمحاسبين لعدد 5</t>
  </si>
  <si>
    <t>الطبية والمحاسبين</t>
  </si>
  <si>
    <t>JV036</t>
  </si>
  <si>
    <t>صرف الصرفة اليومية للمستشارين والمساعدين عدد3</t>
  </si>
  <si>
    <t>المستشارين والمساعدين</t>
  </si>
  <si>
    <t>JV035</t>
  </si>
  <si>
    <t>صرف الصرفة اليومية  الاستخبارات لعدد 4</t>
  </si>
  <si>
    <t>الاستخبارات</t>
  </si>
  <si>
    <t>JV034</t>
  </si>
  <si>
    <t xml:space="preserve">صرف الصرفة اليومية  للبشرة والصراف عدد 2 </t>
  </si>
  <si>
    <t>البشرية و الصراف</t>
  </si>
  <si>
    <t>JV033</t>
  </si>
  <si>
    <t xml:space="preserve">صرف الصرفة اليومية  لافراد الامداد لعدد 12 </t>
  </si>
  <si>
    <t>الامداد</t>
  </si>
  <si>
    <t>JV032</t>
  </si>
  <si>
    <t xml:space="preserve">صرف الصرفة اليومية للسيطرة والاتصالات لعدد 4 </t>
  </si>
  <si>
    <t>السيطرة والاتصالات</t>
  </si>
  <si>
    <t>RC002</t>
  </si>
  <si>
    <t>JV031</t>
  </si>
  <si>
    <t>2026-06-02</t>
  </si>
  <si>
    <t>47 فرد</t>
  </si>
  <si>
    <t>JV030</t>
  </si>
  <si>
    <t xml:space="preserve">اجور غسل كامل لطقم القائد </t>
  </si>
  <si>
    <t>طقم القائد</t>
  </si>
  <si>
    <t>فاتورة</t>
  </si>
  <si>
    <t>مركز جبال ردفان</t>
  </si>
  <si>
    <t>JV029</t>
  </si>
  <si>
    <t>اجور تركيب الدرع مع اللحام الكامل لطقم القائد</t>
  </si>
  <si>
    <t>ورشة مراد القدسي للحدادة العامة والكمانات</t>
  </si>
  <si>
    <t>JV028</t>
  </si>
  <si>
    <t>اجور تركيب كفر مدرعة لطقم القائد</t>
  </si>
  <si>
    <t xml:space="preserve">طقم القائد </t>
  </si>
  <si>
    <t>مركز الوفاء التجاري</t>
  </si>
  <si>
    <t>JV027</t>
  </si>
  <si>
    <t>مصاريف اضافية  ل محمد السبع</t>
  </si>
  <si>
    <t>محمد السبع</t>
  </si>
  <si>
    <t>JV026</t>
  </si>
  <si>
    <t xml:space="preserve">مصاريف خروج مهمة عمل بيد الاركان جمال مسدوس </t>
  </si>
  <si>
    <t>JV025</t>
  </si>
  <si>
    <t>مصاريف سفر للجرحى امر القائد</t>
  </si>
  <si>
    <t>مكرم عبدالعزي ومهند خالد</t>
  </si>
  <si>
    <t>JV024</t>
  </si>
  <si>
    <t xml:space="preserve">مصاريف سفر نقل اثنين جرحى مع المرافقين الى تعز </t>
  </si>
  <si>
    <t>مكرم عبد العزيز و مهند خالد والمرافق محمد عبدالسلام</t>
  </si>
  <si>
    <t>أسامة رزيق</t>
  </si>
  <si>
    <t>JV023</t>
  </si>
  <si>
    <t>صرف الصرفة اليومية لافراد طقم اللواء السابع مرافقين</t>
  </si>
  <si>
    <t>افراد طقم اللواء السابع مرافقين</t>
  </si>
  <si>
    <t>JV022</t>
  </si>
  <si>
    <t>الصرفة اليومية اخرون عدد 5</t>
  </si>
  <si>
    <t>JV021</t>
  </si>
  <si>
    <t>JV020</t>
  </si>
  <si>
    <t>JV019</t>
  </si>
  <si>
    <t>صررف صرفة يومية للمستشارين والمساعدين 3</t>
  </si>
  <si>
    <t>JV018</t>
  </si>
  <si>
    <t>JV017</t>
  </si>
  <si>
    <t>JV016</t>
  </si>
  <si>
    <t>صرف الصرفة اليومية  لافراد الامداد لعدد 12 فرد</t>
  </si>
  <si>
    <t>JV015</t>
  </si>
  <si>
    <t>JV014</t>
  </si>
  <si>
    <t>2026-06-01</t>
  </si>
  <si>
    <t>مصاريف يومية سرية اللواء السادس عدد 45</t>
  </si>
  <si>
    <t>JV013</t>
  </si>
  <si>
    <t>مصاريف لعمال الكهرباء امر اسامه رزيق</t>
  </si>
  <si>
    <t>عمال الكهرباء يزد وماجد</t>
  </si>
  <si>
    <t>JV012</t>
  </si>
  <si>
    <t>مصاريف للاركان جمال مسدوس وضيافة المدفعي توجيه جمال مسدوس</t>
  </si>
  <si>
    <t>JV011</t>
  </si>
  <si>
    <t>مصاريف حافز للاخ محمد اليوسفي توجيه اسامة رزيق</t>
  </si>
  <si>
    <t>محمد اليوسفي</t>
  </si>
  <si>
    <t>JV010</t>
  </si>
  <si>
    <t>مصاريف متاخرة للفترة من 20 مايو الى 23 مايو توجيه مدير المكتب</t>
  </si>
  <si>
    <t>حسام طه غانم مقبل</t>
  </si>
  <si>
    <t>RC001</t>
  </si>
  <si>
    <t>JV009</t>
  </si>
  <si>
    <t>JV008</t>
  </si>
  <si>
    <t>صرف الصرفة اليومية اخورن</t>
  </si>
  <si>
    <t>JV007</t>
  </si>
  <si>
    <t>صرف الصرفة اليومية ضباط سابقين لعدد 7</t>
  </si>
  <si>
    <t>JV006</t>
  </si>
  <si>
    <t>JV005</t>
  </si>
  <si>
    <t>JV004</t>
  </si>
  <si>
    <t>JV003</t>
  </si>
  <si>
    <t>JV002</t>
  </si>
  <si>
    <t>JV001</t>
  </si>
  <si>
    <t>قيد يومية</t>
  </si>
  <si>
    <t>اثبات رصد افتتاحي من 31 مايو 2026م</t>
  </si>
  <si>
    <t>دفتر الأستاذ العام</t>
  </si>
  <si>
    <t>الحساب</t>
  </si>
  <si>
    <t>البيــــــــــــــــــــــــــــــــــــــــــــــــــــــــــــان</t>
  </si>
  <si>
    <t>المبلغ مدين</t>
  </si>
  <si>
    <t>المبلغ دائن</t>
  </si>
  <si>
    <t>اجمالي مدين ريال سعودي</t>
  </si>
  <si>
    <t>اجمالي دائن ريال سعودي</t>
  </si>
  <si>
    <t>التاريخ.</t>
  </si>
  <si>
    <t>تاريخ التعديل</t>
  </si>
  <si>
    <t>البيــــــــــــــــــــــــــــــــــــان.</t>
  </si>
  <si>
    <t xml:space="preserve">1744 /       /      </t>
  </si>
  <si>
    <t>هـ</t>
  </si>
  <si>
    <t>من تاريخ</t>
  </si>
  <si>
    <t>الى تاريخ</t>
  </si>
  <si>
    <t>رقم المرجع</t>
  </si>
  <si>
    <t>البيان</t>
  </si>
  <si>
    <t>العملة</t>
  </si>
  <si>
    <t>المبلغ</t>
  </si>
  <si>
    <t>سعر 
الصرف</t>
  </si>
  <si>
    <t>المبلغ ريال سعودي</t>
  </si>
  <si>
    <t>الرصيد</t>
  </si>
  <si>
    <t xml:space="preserve">مدين </t>
  </si>
  <si>
    <t>رصيد سابق</t>
  </si>
  <si>
    <t xml:space="preserve">Accounting systems </t>
  </si>
  <si>
    <t xml:space="preserve"> </t>
  </si>
  <si>
    <t>JV048</t>
  </si>
  <si>
    <t>صرف الصرفة اليومية للسيطرة والاتصالات لعدد 5</t>
  </si>
  <si>
    <t>المالية</t>
  </si>
  <si>
    <t>JV049</t>
  </si>
  <si>
    <t>صرف الصرفة اليومية  لافراد الامداد لعدد 12</t>
  </si>
  <si>
    <t>JV050</t>
  </si>
  <si>
    <t>صرف الصرفة الاسبوعي سرية الشرطة لعدد 55 فرد</t>
  </si>
  <si>
    <t>سرية الشرطة</t>
  </si>
  <si>
    <t>JV051</t>
  </si>
  <si>
    <t>صرف الصرفة اليومية  للبشرة والصراف عدد 2</t>
  </si>
  <si>
    <t>JV052</t>
  </si>
  <si>
    <t>JV053</t>
  </si>
  <si>
    <t>صرف الصرفة اليومية للمستشارين والمساعدين عدد 5</t>
  </si>
  <si>
    <t>JV054</t>
  </si>
  <si>
    <t>JV055</t>
  </si>
  <si>
    <t>صرف الصرفة اليومية ضباط سابقين لعدد 6</t>
  </si>
  <si>
    <t>JV056</t>
  </si>
  <si>
    <t>صرف الصرفة اليومية اخورن عدد 10</t>
  </si>
  <si>
    <t>JV057</t>
  </si>
  <si>
    <t>صرف الصرفة اليومية للاشغال لعدد 3</t>
  </si>
  <si>
    <t>الاشغال</t>
  </si>
  <si>
    <t>عهدة حاتم عبده سيف</t>
  </si>
  <si>
    <t>JV058</t>
  </si>
  <si>
    <t>صرف عهدة مصاريف نقل الجريح حازم عباس الى عدن</t>
  </si>
  <si>
    <t>حاتم عبده سيف</t>
  </si>
  <si>
    <t>استلام خطي</t>
  </si>
  <si>
    <t>JV059</t>
  </si>
  <si>
    <t xml:space="preserve">مصاريف للجريح ومرافقه الخارجين الى عدن </t>
  </si>
  <si>
    <t>حازم عباس ناجي و نشوان احمد سعيد</t>
  </si>
  <si>
    <t>JV060</t>
  </si>
  <si>
    <t>مصاريف يومية سرية اللواء السادس عدد 42</t>
  </si>
  <si>
    <t>JV061</t>
  </si>
  <si>
    <t>مصاريف فندق وعشاء للجريح ومرافقه</t>
  </si>
  <si>
    <t>حازم عباس ناجي ونشوان احمد سعيد</t>
  </si>
  <si>
    <t>اجور يومية</t>
  </si>
  <si>
    <t>بنية تحتية</t>
  </si>
  <si>
    <t>مواد بناء</t>
  </si>
  <si>
    <t>مواد كهرباء</t>
  </si>
  <si>
    <t>سيارات</t>
  </si>
  <si>
    <t>كمبيوترات</t>
  </si>
  <si>
    <t>اجهزة كهربائية</t>
  </si>
  <si>
    <t>أجهزة الكترونية</t>
  </si>
  <si>
    <t>مشاريع تحت التنفيذ</t>
  </si>
  <si>
    <t>مصروفات مستحقة</t>
  </si>
  <si>
    <t>مصاريف اعاشة وتغذية</t>
  </si>
  <si>
    <t>مصاريف نثريات أخرى</t>
  </si>
  <si>
    <t xml:space="preserve">مصاريف مهام عسكرية </t>
  </si>
  <si>
    <t>مصاريف مياة</t>
  </si>
  <si>
    <t xml:space="preserve">مصاريف سفر وتنقلات </t>
  </si>
  <si>
    <t>مصاريف أجور نقل</t>
  </si>
  <si>
    <t>JV062</t>
  </si>
  <si>
    <t>اجور عمال لتنظيف مجاري الحمامات</t>
  </si>
  <si>
    <t>معسكر العفاريت</t>
  </si>
  <si>
    <t>JV063</t>
  </si>
  <si>
    <t>مصاريف بيد الاركان</t>
  </si>
  <si>
    <t>JV064</t>
  </si>
  <si>
    <t xml:space="preserve">مصاريف للاخ محمد البيحاني </t>
  </si>
  <si>
    <t>محمد البيحاني</t>
  </si>
  <si>
    <t>JV065</t>
  </si>
  <si>
    <t>مصاريف محولة ل شفيع محمود</t>
  </si>
  <si>
    <t>شفيع محمود</t>
  </si>
  <si>
    <t>JV066</t>
  </si>
  <si>
    <t>مصاريف سفر عيد لباسم الابشرية</t>
  </si>
  <si>
    <t>باسم البشرية</t>
  </si>
  <si>
    <t>JV067</t>
  </si>
  <si>
    <t>حوالة لرئيس الشعبه الطبية مصاريف سفر</t>
  </si>
  <si>
    <t xml:space="preserve">محمد ياسين سعيد </t>
  </si>
  <si>
    <t>JV068</t>
  </si>
  <si>
    <t>مصاريف سفر 5 افراد  اللواء السادس</t>
  </si>
  <si>
    <t>افراد اللواء السادس</t>
  </si>
  <si>
    <t>الإجمالي الكلي</t>
  </si>
  <si>
    <t>تسميات الأعمدة</t>
  </si>
  <si>
    <t>المبلــــــــــــــــــــــــــــــــــغ</t>
  </si>
  <si>
    <t>القيم</t>
  </si>
  <si>
    <t>عهدة عبدالحفيظ</t>
  </si>
  <si>
    <t>RC004</t>
  </si>
  <si>
    <t>2026-06-07</t>
  </si>
  <si>
    <t>استلام عهدة من عهدة عبد المغني</t>
  </si>
  <si>
    <t>عبدالحفيظ</t>
  </si>
  <si>
    <t>JV069</t>
  </si>
  <si>
    <t>JV070</t>
  </si>
  <si>
    <t xml:space="preserve">صرف الصرفة اليومية للتوجيه عدد 2 </t>
  </si>
  <si>
    <t>التوجيه</t>
  </si>
  <si>
    <t>JV071</t>
  </si>
  <si>
    <t>JV072</t>
  </si>
  <si>
    <t>صرف الصرفة اليومية  للبشرة والصراف عدد 1</t>
  </si>
  <si>
    <t>JV073</t>
  </si>
  <si>
    <t>JV074</t>
  </si>
  <si>
    <t>صرف الصرفة اليومية للمستشارين والمساعدين عدد 6</t>
  </si>
  <si>
    <t>JV075</t>
  </si>
  <si>
    <t>JV076</t>
  </si>
  <si>
    <t>JV077</t>
  </si>
  <si>
    <t>الصرفة اليومية اخرون عدد 6</t>
  </si>
  <si>
    <t>JV078</t>
  </si>
  <si>
    <t>مصاريف 1 افراد من اللواء السابع</t>
  </si>
  <si>
    <t>JV079</t>
  </si>
  <si>
    <t>JV080</t>
  </si>
  <si>
    <t>مصاريف يومية سرية اللواء السادس عدد 44</t>
  </si>
  <si>
    <t>JV081</t>
  </si>
  <si>
    <t xml:space="preserve">صرف مبلغ لرئيس الشعبة الطبية للنزول الى سيؤون لزيارة الجرحى وحساب المستشفى </t>
  </si>
  <si>
    <t>محمد سمير سعيد</t>
  </si>
  <si>
    <t>JV082</t>
  </si>
  <si>
    <t>مصروف حافز لافراد السيطرة للفترة من 31 مايو الى 7 يونيو</t>
  </si>
  <si>
    <t>محمد فؤاد+ محمد سمير+محمد علي + كريم اكرم</t>
  </si>
  <si>
    <t>JV083</t>
  </si>
  <si>
    <t xml:space="preserve">صرف صرفة يومية ليوم 6 و7 </t>
  </si>
  <si>
    <t>محمد عبدالصمد عبدالله</t>
  </si>
  <si>
    <t>JV084</t>
  </si>
  <si>
    <t>شراء مكانس ابو عصى و عصى مكانس</t>
  </si>
  <si>
    <t>JV085</t>
  </si>
  <si>
    <t>صرف نثريات الاركان</t>
  </si>
  <si>
    <t>تسميات الصفوف</t>
  </si>
  <si>
    <t>RC005</t>
  </si>
  <si>
    <t>شركة العامري للصرافة</t>
  </si>
  <si>
    <t>قيـد مقابـل:- (مصاريف  صرفة يومية للافراد  - البشرية و الصراف - الفرقة الثالثة)  - كشف صرف رقم   كشف صرف - صرف الصرفة اليومية  للبشرة والصراف عدد 1 بامر</t>
  </si>
  <si>
    <t>قيـد مقابـل:- (مصاريف  صرفة يومية للافراد  - الاستخبارات - الفرقة الثالثة)  - كشف صرف رقم   كشف صرف - صرف الصرفة اليومية  الاستخبارات لعدد 4 بامر</t>
  </si>
  <si>
    <t>قيـد مقابـل:- (مصاريف  صرفة يومية للافراد  - الاشغال - الفرقة الثالثة)  - كشف صرف رقم   كشف صرف - صرف الصرفة اليومية للاشغال لعدد 3 بامر</t>
  </si>
  <si>
    <t>JV086</t>
  </si>
  <si>
    <t>2026-06-08</t>
  </si>
  <si>
    <t>JV087</t>
  </si>
  <si>
    <t>صرف الصرفة اليومية للتوجيه عدد 2</t>
  </si>
  <si>
    <t>JV088</t>
  </si>
  <si>
    <t>JV089</t>
  </si>
  <si>
    <t>JV090</t>
  </si>
  <si>
    <t>JV091</t>
  </si>
  <si>
    <t>صرف الصرفة اليومية للمدفعية لعدد 1</t>
  </si>
  <si>
    <t>المدفعية</t>
  </si>
  <si>
    <t>JV092</t>
  </si>
  <si>
    <t>JV093</t>
  </si>
  <si>
    <t>JV094</t>
  </si>
  <si>
    <t>JV095</t>
  </si>
  <si>
    <t>صرف الصرفة اليومية ل اهرى 105000</t>
  </si>
  <si>
    <t xml:space="preserve">اخرون </t>
  </si>
  <si>
    <t>JV096</t>
  </si>
  <si>
    <t>JV097</t>
  </si>
  <si>
    <t>JV098</t>
  </si>
  <si>
    <t>مصاريف طريق لافراد المدفعية</t>
  </si>
  <si>
    <t>فريق المدفعية</t>
  </si>
  <si>
    <t>JV099</t>
  </si>
  <si>
    <t>مصروف حافز لافراد السيطرة</t>
  </si>
  <si>
    <t>JV100</t>
  </si>
  <si>
    <t>مقابل صرفة يومية</t>
  </si>
  <si>
    <t>مجدي مسدوس و جميل جمال البجير</t>
  </si>
  <si>
    <t>JV101</t>
  </si>
  <si>
    <t>مصاريف سفر</t>
  </si>
  <si>
    <t xml:space="preserve">عبدالرحمن رسام </t>
  </si>
  <si>
    <t>JV102</t>
  </si>
  <si>
    <t xml:space="preserve">مصاريف ل مجدي مسدوس </t>
  </si>
  <si>
    <t>مجدي مسدوس</t>
  </si>
  <si>
    <t>JV103</t>
  </si>
  <si>
    <t>2026-06-09</t>
  </si>
  <si>
    <t>JV104</t>
  </si>
  <si>
    <t>JV105</t>
  </si>
  <si>
    <t>JV106</t>
  </si>
  <si>
    <t>JV107</t>
  </si>
  <si>
    <t>JV108</t>
  </si>
  <si>
    <t>صرف الصرفة اليومية للمدفعية لعدد 3</t>
  </si>
  <si>
    <t>JV109</t>
  </si>
  <si>
    <t>صرف الصرفة اليومية للمستشارين والمساعدين عدد 7</t>
  </si>
  <si>
    <t>JV110</t>
  </si>
  <si>
    <t>JV111</t>
  </si>
  <si>
    <t>JV112</t>
  </si>
  <si>
    <t>الصرفة اليومية اخرون عدد 13</t>
  </si>
  <si>
    <t>JV113</t>
  </si>
  <si>
    <t>صرف الصرفة اليومية لافراد طقم اللواء السابع مرافقين عدد 2</t>
  </si>
  <si>
    <t>JV114</t>
  </si>
  <si>
    <t>JV115</t>
  </si>
  <si>
    <t>مصاريف يومية سرية اللواء السادس عدد 39</t>
  </si>
  <si>
    <t>JV116</t>
  </si>
  <si>
    <t>صرف حافز لقائد مركز السيطرة</t>
  </si>
  <si>
    <t>علي محمد سيف قائد الربيعي</t>
  </si>
  <si>
    <t>JV117</t>
  </si>
  <si>
    <t>صرف حافز ل قائد مدفعية الفرقة</t>
  </si>
  <si>
    <t>علي محمد ناصر فضل دهمس</t>
  </si>
  <si>
    <t>JV118</t>
  </si>
  <si>
    <t>صرف صرفة عبد المغني اليومية للفترة من 7 الى 10 يونيو كونه جريح في مستشفى سيؤون</t>
  </si>
  <si>
    <t>عبدالمغني عبدالصمد عبدالحميد الصلوي</t>
  </si>
  <si>
    <t xml:space="preserve">الكريمي </t>
  </si>
  <si>
    <t>عهدة مجدي محمد احمد مسدوس</t>
  </si>
  <si>
    <t>JV119</t>
  </si>
  <si>
    <t>صرف عهدة للتخطيط</t>
  </si>
  <si>
    <t>مجدي محمد احمد مسدوس</t>
  </si>
  <si>
    <t>JV120</t>
  </si>
  <si>
    <t>صرف مصاريف التريب للمشروع وزيارة الى اللواء السابع والخامس</t>
  </si>
  <si>
    <t>JV121</t>
  </si>
  <si>
    <t>2026-06-10</t>
  </si>
  <si>
    <t>JV122</t>
  </si>
  <si>
    <t>JV123</t>
  </si>
  <si>
    <t>JV124</t>
  </si>
  <si>
    <t>JV125</t>
  </si>
  <si>
    <t>JV126</t>
  </si>
  <si>
    <t>صرف الصرفة اليومية للمستشارين والمساعدين عدد 9</t>
  </si>
  <si>
    <t>JV127</t>
  </si>
  <si>
    <t>صرف الصرفة اليومية للطبية والمحاسبين لعدد 3</t>
  </si>
  <si>
    <t>JV128</t>
  </si>
  <si>
    <t>JV129</t>
  </si>
  <si>
    <t>الصرفة اليومية اخرون عدد 8</t>
  </si>
  <si>
    <t>JV130</t>
  </si>
  <si>
    <t>صرف الصرفة اليومية لمرافقي الاركان عدد 3</t>
  </si>
  <si>
    <t>مرافقي الاركان</t>
  </si>
  <si>
    <t>JV131</t>
  </si>
  <si>
    <t>JV132</t>
  </si>
  <si>
    <t>مصاريف يومية سرية اللواء السادس عدد 38</t>
  </si>
  <si>
    <t>JV133</t>
  </si>
  <si>
    <t>JV134</t>
  </si>
  <si>
    <t>صرف اجور سائق قاطرة الماء</t>
  </si>
  <si>
    <t>صالح عبدالله لدحل</t>
  </si>
  <si>
    <t>المستشار المالي</t>
  </si>
  <si>
    <t>JV135</t>
  </si>
  <si>
    <t>تقديم الصرفة اليومية لفرد الشرطه العسكرية الخاصة بيوم 11 لضروف خاصة</t>
  </si>
  <si>
    <t>علي عارف علي راجح</t>
  </si>
  <si>
    <t>JV136</t>
  </si>
  <si>
    <t>صرف حافز افراد علي عارف علي راجح</t>
  </si>
  <si>
    <t>افراد السيطرة</t>
  </si>
  <si>
    <t>JV137</t>
  </si>
  <si>
    <t>صرف الصرفة اليومية ليومي 9 و 10</t>
  </si>
  <si>
    <t>قيـد مقابـل:- (مصاريف  صرفة يومية للافراد  - التوجيه - الفرقة الثالثة)  - كشف صرف رقم   كشف صرف - صرف الصرفة اليومية للتوجيه عدد 2 بامر</t>
  </si>
  <si>
    <t>قيـد مقابـل:- (مصاريف  صرفة يومية للافراد  - البشرية و الصراف - الفرقة الثالثة)  - كشف صرف رقم   كشف صرف - صرف الصرفة اليومية  للبشرة والصراف عدد 2 بامر</t>
  </si>
  <si>
    <t>قيـد مقابـل:- (مصاريف  صرفة يومية للافراد  - المستشارين والمساعدين - الفرقة الثالثة)  - كشف صرف رقم   كشف صرف - صرف الصرفة اليومية للمستشارين والمساعدين عدد 9 بامر</t>
  </si>
  <si>
    <t>JV138</t>
  </si>
  <si>
    <t>صرف الصرفة اليومية للسيطرة والاتصالات لعدد 7</t>
  </si>
  <si>
    <t>JV139</t>
  </si>
  <si>
    <t>2026-06-11</t>
  </si>
  <si>
    <t>JV140</t>
  </si>
  <si>
    <t>صرف الصرفة اليومية  لافراد الامداد لعدد 11</t>
  </si>
  <si>
    <t>JV141</t>
  </si>
  <si>
    <t>صرف الصرفة الاسبوعية سرية الشرطة عدد 56</t>
  </si>
  <si>
    <t>JV142</t>
  </si>
  <si>
    <t>JV143</t>
  </si>
  <si>
    <t>JV144</t>
  </si>
  <si>
    <t>JV145</t>
  </si>
  <si>
    <t>قيـد مقابـل:- (مصاريف  صرفة يومية للافراد  - الامداد - الفرقة الثالثة)  - كشف صرف رقم   كشف صرف - صرف الصرفة اليومية  لافراد الامداد لعدد 11 بامر</t>
  </si>
  <si>
    <t>JV146</t>
  </si>
  <si>
    <t>صرف الصرفة اليومية للطبية والمحاسبين لعدد 2</t>
  </si>
  <si>
    <t>JV147</t>
  </si>
  <si>
    <t>JV148</t>
  </si>
  <si>
    <t>JV149</t>
  </si>
  <si>
    <t>JV150</t>
  </si>
  <si>
    <t>JV151</t>
  </si>
  <si>
    <t>RC006</t>
  </si>
  <si>
    <t>JV152</t>
  </si>
  <si>
    <t>صرف اجور سائق قاطرة الماء للفترة السابقة</t>
  </si>
  <si>
    <t>JV153</t>
  </si>
  <si>
    <t xml:space="preserve">اجور عمال تركيب الخيم في الفرقة </t>
  </si>
  <si>
    <t>عمال</t>
  </si>
  <si>
    <t>JV154</t>
  </si>
  <si>
    <t xml:space="preserve">صرف مكافئة ل فريق دائرة الاعلام لقوات درع الوطن </t>
  </si>
  <si>
    <t>فريق دائرة الاعلام</t>
  </si>
  <si>
    <t>JV155</t>
  </si>
  <si>
    <t>صرفة يومية ليوم 11</t>
  </si>
  <si>
    <t>JV156</t>
  </si>
  <si>
    <t>مصاريف سيارة الاسعاف للنزول الى سيؤون لنقل المصاب عبدالمغني الى اعبر (20 لسائق الاسعاف 50 ركن طبية الفرقة)</t>
  </si>
  <si>
    <t>JV157</t>
  </si>
  <si>
    <t>2026-06-12</t>
  </si>
  <si>
    <t>صرف الصرفة اليومية للسيطرة والاتصالات لعدد 8</t>
  </si>
  <si>
    <t>JV158</t>
  </si>
  <si>
    <t>JV159</t>
  </si>
  <si>
    <t>JV160</t>
  </si>
  <si>
    <t>JV161</t>
  </si>
  <si>
    <t>JV162</t>
  </si>
  <si>
    <t>صرف الصرفة اليومية للمدفعية لعدد 5</t>
  </si>
  <si>
    <t>JV163</t>
  </si>
  <si>
    <t>JV164</t>
  </si>
  <si>
    <t>JV165</t>
  </si>
  <si>
    <t>صرف الصرفة اليومية ضباط سابقين لعدد 9</t>
  </si>
  <si>
    <t>JV166</t>
  </si>
  <si>
    <t>الصرفة اليومية اخرون عدد 7</t>
  </si>
  <si>
    <t>JV167</t>
  </si>
  <si>
    <t>صرف الصرفة اليومية لمرافقي الاركان عدد 4</t>
  </si>
  <si>
    <t>JV168</t>
  </si>
  <si>
    <t>صرف الصرفة اليومية لافراد طقم اللواء السابع مرافقين عدد 3</t>
  </si>
  <si>
    <t>JV169</t>
  </si>
  <si>
    <t>JV170</t>
  </si>
  <si>
    <t>مصاريف يومية سرية اللواء السادس عدد 37</t>
  </si>
  <si>
    <t>JV171</t>
  </si>
  <si>
    <t>صرف اجور 5 عمال انزال الخيم الى مستودعات الامداد</t>
  </si>
  <si>
    <t>JV172</t>
  </si>
  <si>
    <t>صرف صرفة يومية ليوم 12</t>
  </si>
  <si>
    <t>RC007</t>
  </si>
  <si>
    <t>2026-06-13</t>
  </si>
  <si>
    <t>JV173</t>
  </si>
  <si>
    <t>JV174</t>
  </si>
  <si>
    <t>JV175</t>
  </si>
  <si>
    <t>JV176</t>
  </si>
  <si>
    <t>JV177</t>
  </si>
  <si>
    <t>JV178</t>
  </si>
  <si>
    <t>JV179</t>
  </si>
  <si>
    <t>JV180</t>
  </si>
  <si>
    <t>JV181</t>
  </si>
  <si>
    <t>صرف الصرفة اليومية ضباط سابقين لعدد 10</t>
  </si>
  <si>
    <t>JV182</t>
  </si>
  <si>
    <t>JV183</t>
  </si>
  <si>
    <t>JV184</t>
  </si>
  <si>
    <t>JV185</t>
  </si>
  <si>
    <t>JV186</t>
  </si>
  <si>
    <t>JV187</t>
  </si>
  <si>
    <t xml:space="preserve">مصاريف للجنة المكلفة للنزول الى اللواء الربع من الاخوة الاستخبارات والقانونية </t>
  </si>
  <si>
    <t>JV188</t>
  </si>
  <si>
    <t>شراء قاطرة ماء ومصاريف لسائق القاطرة والمرافق</t>
  </si>
  <si>
    <t>الفرقة</t>
  </si>
  <si>
    <t>JV189</t>
  </si>
  <si>
    <t>اجور  عمال لانزال الخيم الى مستودعات الامداد</t>
  </si>
  <si>
    <t>JV190</t>
  </si>
  <si>
    <t>صرف صرفة عبد المغني اليومية للفترة من 11 الى 13 يونيو</t>
  </si>
  <si>
    <t>JV191</t>
  </si>
  <si>
    <t>صرف صرفة يومية ليوم 13</t>
  </si>
  <si>
    <t>JV192</t>
  </si>
  <si>
    <t>2026-06-14</t>
  </si>
  <si>
    <t>JV193</t>
  </si>
  <si>
    <t>JV194</t>
  </si>
  <si>
    <t>JV195</t>
  </si>
  <si>
    <t>JV196</t>
  </si>
  <si>
    <t>JV197</t>
  </si>
  <si>
    <t>JV198</t>
  </si>
  <si>
    <t>JV199</t>
  </si>
  <si>
    <t>JV200</t>
  </si>
  <si>
    <t>JV201</t>
  </si>
  <si>
    <t>JV202</t>
  </si>
  <si>
    <t>JV203</t>
  </si>
  <si>
    <t>JV204</t>
  </si>
  <si>
    <t>JV205</t>
  </si>
  <si>
    <t>عهدة الطبية</t>
  </si>
  <si>
    <t>JV206</t>
  </si>
  <si>
    <t>عهدة للطبية لشراء طقم جراحة و ترمو متر و سماعة وجهاز قياس الضغط</t>
  </si>
  <si>
    <t>محمد ياسين سعيد</t>
  </si>
  <si>
    <t>JV207</t>
  </si>
  <si>
    <t>شراء 5 لتر بترول لماطور وايت الماء</t>
  </si>
  <si>
    <t>وايت الماء</t>
  </si>
  <si>
    <t>محطة مجمع العروبة التجاري الدولي</t>
  </si>
  <si>
    <t>JV208</t>
  </si>
  <si>
    <t>صرف صرفة يومية ليوم 14</t>
  </si>
  <si>
    <t>عهدة الفنية</t>
  </si>
  <si>
    <t>JV209</t>
  </si>
  <si>
    <t>عهدة للفنية</t>
  </si>
  <si>
    <t>الفنية</t>
  </si>
  <si>
    <t>JV210</t>
  </si>
  <si>
    <t>مصاريف الجرحى الذين تم انزالهم الى سيؤون للعلاج لمدة ثلاثة ايام</t>
  </si>
  <si>
    <t>الجرحى</t>
  </si>
  <si>
    <t>قيـد مقابـل:- (مصاريف  صرفة يومية للافراد  - الطبية والمحاسبين - الفرقة الثالثة)  - كشف صرف رقم   كشف صرف - صرف الصرفة اليومية للطبية والمحاسبين لعدد 2 بامر</t>
  </si>
  <si>
    <t>قيـد مقابـل:- (مصاريف  صرفة يومية للافراد  - السيطرة والاتصالات - الفرقة الثالثة)  - كشف صرف رقم   كشف صرف - صرف الصرفة اليومية للسيطرة والاتصالات لعدد 8 بامر</t>
  </si>
  <si>
    <t>قيـد مقابـل:- (مصاريف  صرفة يومية للافراد  - المدفعية - الفرقة الثالثة)  - كشف صرف رقم   كشف صرف - صرف الصرفة اليومية للمدفعية لعدد 5 بامر</t>
  </si>
  <si>
    <t>قيـد مقابـل:- (مصاريف  صرفة يومية للافراد  - اخرون - الفرقة الثالثة)  - كشف صرف رقم   كشف صرف - الصرفة اليومية اخرون عدد 7 بامر</t>
  </si>
  <si>
    <t>قيـد مقابـل:- (مصاريف  صرفة يومية للافراد  - مرافقي الاركان - الفرقة الثالثة)  - كشف صرف رقم   كشف صرف - صرف الصرفة اليومية لمرافقي الاركان عدد 4 بامر</t>
  </si>
  <si>
    <t>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t>
  </si>
  <si>
    <t>قيـد مقابـل:- (مصاريف  صرفة يومية للافراد  - الضباط السابقين - الفرقة الثالثة)  - كشف صرف رقم   كشف صرف - صرف الصرفة اليومية ضباط سابقين لعدد 10 بامر</t>
  </si>
  <si>
    <t>قيـد مقابـل:- (مصاريف  صرفة يومية للافراد  - سرية اللواء السادس - اللواء السادس)  - كشف صرف رقم   كشف صرف - مصاريف يومية سرية اللواء السادس عدد 39 بامر</t>
  </si>
  <si>
    <t>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t>
  </si>
  <si>
    <t>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t>
  </si>
  <si>
    <t>قيـد مقابـل:- (مصاريف  صرفة يومية للافراد  - محمد عبدالصمد عبدالله - اللواء السادس)  - استلام نقدي رقم   سند استلام - صرف صرفة يومية ليوم 14 بامر</t>
  </si>
  <si>
    <t>قيـد مقابـل:- (عهدة الفنية - الفنية - الفرقة الثالثة)  - استلام نقدي رقم   سند استلام - عهدة للفنية بامرالمستشار المالي</t>
  </si>
  <si>
    <t>قيـد مقابـل:- (مصاريف طبية وعلاجات  - الجرحى - الفرقة الثالثة)  - استلام نقدي رقم   سند استلام - مصاريف الجرحى الذين تم انزالهم الى سيؤون للعلاج لمدة ثلاثة ايام بامر</t>
  </si>
  <si>
    <t>JV211</t>
  </si>
  <si>
    <t>2026-06-15</t>
  </si>
  <si>
    <t>JV212</t>
  </si>
  <si>
    <t>JV213</t>
  </si>
  <si>
    <t>صرف الصرفة اليومية  لافراد الامداد لعدد 6</t>
  </si>
  <si>
    <t>JV214</t>
  </si>
  <si>
    <t>JV215</t>
  </si>
  <si>
    <t>JV216</t>
  </si>
  <si>
    <t>JV217</t>
  </si>
  <si>
    <t>JV218</t>
  </si>
  <si>
    <t>JV219</t>
  </si>
  <si>
    <t>JV220</t>
  </si>
  <si>
    <t>الصرفة اليومية اخرون عدد 12</t>
  </si>
  <si>
    <t>JV221</t>
  </si>
  <si>
    <t>JV222</t>
  </si>
  <si>
    <t>JV223</t>
  </si>
  <si>
    <t>JV224</t>
  </si>
  <si>
    <t>مصاريف يومية سرية اللواء السادس عدد 33</t>
  </si>
  <si>
    <t>JV225</t>
  </si>
  <si>
    <t>صرف مبلغ لرئيس هيئة الاركان لمتابعة البرنامج التدريبي للواء السابع</t>
  </si>
  <si>
    <t>JV226</t>
  </si>
  <si>
    <t>تقديم الصرفة اليومية لتاريخ 16 لخروجهم في مهمة عمل</t>
  </si>
  <si>
    <t>JV227</t>
  </si>
  <si>
    <t xml:space="preserve">شراء كيبل شبكة 1.5 متر + كيبل شبكة 3 متر + كيبل طابعة 1.5 متر + موزع شبكة  D-Link ب36 دولار </t>
  </si>
  <si>
    <t>اصول التقنية للتجارة</t>
  </si>
  <si>
    <t>JV228</t>
  </si>
  <si>
    <t>صرف صرفة يومية ليوم 15</t>
  </si>
  <si>
    <t>قيـد مقابـل:- (مصاريف  صرفة يومية للافراد  - الامداد - الفرقة الثالثة)  - كشف صرف رقم   كشف صرف - صرف الصرفة اليومية  لافراد الامداد لعدد 6 بامر</t>
  </si>
  <si>
    <t>قيـد مقابـل:- (مصاريف  صرفة يومية للافراد  - اخرون - الفرقة الثالثة)  - كشف صرف رقم   كشف صرف - الصرفة اليومية اخرون عدد 12 بامر</t>
  </si>
  <si>
    <t>قيـد مقابـل:- (مصاريف  صرفة يومية للافراد  - سرية اللواء السادس - اللواء السادس)  - كشف صرف رقم   كشف صرف - مصاريف يومية سرية اللواء السادس عدد 33 بامر</t>
  </si>
  <si>
    <t>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t>
  </si>
  <si>
    <t>قيـد مقابـل:- (مصاريف  صرفة يومية للافراد  - مرافقي الاركان - الفرقة الثالثة)  - استلام نقدي رقم   سند استلام - تقديم الصرفة اليومية لتاريخ 16 لخروجهم في مهمة عمل بامر</t>
  </si>
  <si>
    <t>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t>
  </si>
  <si>
    <t>قيـد مقابـل:- (مصاريف  صرفة يومية للافراد  - محمد عبدالصمد عبدالله - اللواء السادس)  - استلام نقدي رقم   سند استلام - صرف صرفة يومية ليوم 15 بامر</t>
  </si>
  <si>
    <t>عهدة جمال مسدوس</t>
  </si>
  <si>
    <t>RC008</t>
  </si>
  <si>
    <t xml:space="preserve">إستلام عهدة من عبدالله باعمر </t>
  </si>
  <si>
    <t>JV229</t>
  </si>
  <si>
    <t>2026-06-16</t>
  </si>
  <si>
    <t>صرف الصرفة اليومية للسيطرة والاتصالات لعدد 9</t>
  </si>
  <si>
    <t>JV230</t>
  </si>
  <si>
    <t>صرف الصرفة اليومية  لافراد الامداد لعدد 6 فرد</t>
  </si>
  <si>
    <t>JV231</t>
  </si>
  <si>
    <t>صرف الصرفة اليومية  للبشرية والصراف عدد 1</t>
  </si>
  <si>
    <t>JV232</t>
  </si>
  <si>
    <t>صرف الصرفة اليومية  الاستخبارات لعدد 7</t>
  </si>
  <si>
    <t>JV233</t>
  </si>
  <si>
    <t>JV234</t>
  </si>
  <si>
    <t>صرف الصرفة اليومية للمستشارين والمساعدين عدد 11</t>
  </si>
  <si>
    <t>JV235</t>
  </si>
  <si>
    <t>JV236</t>
  </si>
  <si>
    <t>JV237</t>
  </si>
  <si>
    <t>قيـد مقابـل:- (مصاريف  صرفة يومية للافراد  - السيطرة والاتصالات - الفرقة الثالثة)  - كشف صرف رقم   كشف صرف - صرف الصرفة اليومية للسيطرة والاتصالات لعدد 9 بامر</t>
  </si>
  <si>
    <t>قيـد مقابـل:- (مصاريف  صرفة يومية للافراد  - الامداد - الفرقة الثالثة)  - كشف صرف رقم   كشف صرف - صرف الصرفة اليومية  لافراد الامداد لعدد 6 فرد بامر</t>
  </si>
  <si>
    <t>قيـد مقابـل:- (مصاريف  صرفة يومية للافراد  - البشرية و الصراف - الفرقة الثالثة)  - كشف صرف رقم   كشف صرف - صرف الصرفة اليومية  للبشرية والصراف عدد 1 بامر</t>
  </si>
  <si>
    <t>قيـد مقابـل:- (مصاريف  صرفة يومية للافراد  - الاستخبارات - الفرقة الثالثة)  -  رقم    - صرف الصرفة اليومية  الاستخبارات لعدد 7 بامر</t>
  </si>
  <si>
    <t>قيـد مقابـل:- (مصاريف  صرفة يومية للافراد  - المدفعية - الفرقة الثالثة)  -  رقم    - صرف الصرفة اليومية للمدفعية لعدد 3 بامر</t>
  </si>
  <si>
    <t>قيـد مقابـل:- (مصاريف  صرفة يومية للافراد  - المستشارين والمساعدين - الفرقة الثالثة)  -  رقم    - صرف الصرفة اليومية للمستشارين والمساعدين عدد 11 بامر</t>
  </si>
  <si>
    <t>قيـد مقابـل:- (مصاريف  صرفة يومية للافراد  - الاشغال - الفرقة الثالثة)  -  رقم    - صرف الصرفة اليومية للاشغال لعدد 3 بامر</t>
  </si>
  <si>
    <t>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t>
  </si>
  <si>
    <t>قيـد مقابـل:- (مصاريف  صرفة يومية للافراد  - الضباط السابقين - الفرقة الثالثة)  -  رقم    - صرف الصرفة اليومية ضباط سابقين لعدد 10 بامر</t>
  </si>
  <si>
    <t>JV238</t>
  </si>
  <si>
    <t>الصرفة اليومية اخرون عدد 9</t>
  </si>
  <si>
    <t>JV239</t>
  </si>
  <si>
    <t>مصاريف يومية سرية اللواء السادس عدد 31</t>
  </si>
  <si>
    <t>عهدة عبدالله باعمر</t>
  </si>
  <si>
    <t>JV240</t>
  </si>
  <si>
    <t>صرف مبلغ بيد عبدالله باعمر</t>
  </si>
  <si>
    <t>عبدالله باعمر</t>
  </si>
  <si>
    <t>JV241</t>
  </si>
  <si>
    <t>2026-06-19</t>
  </si>
  <si>
    <t>قيـد مقابـل:- (مصاريف  صرفة يومية للافراد  - سرية اللواء السادس - اللواء السادس)  - كشف صرف رقم   كشف صرف - مصاريف يومية سرية اللواء السادس عدد 38 بامر</t>
  </si>
  <si>
    <t>قيـد مقابـل:- (مصاريف  صرفة يومية للافراد  - اخرون - الفرقة الثالثة)  -  رقم    - الصرفة اليومية اخرون عدد 9 بامر</t>
  </si>
  <si>
    <t>قيـد مقابـل:- (مصاريف  صرفة يومية للافراد  - سرية اللواء السادس - اللواء السادس)  -  رقم    - مصاريف يومية سرية اللواء السادس عدد 31 بامر</t>
  </si>
  <si>
    <t>JV242</t>
  </si>
  <si>
    <t>2026-06-17</t>
  </si>
  <si>
    <t>JV243</t>
  </si>
  <si>
    <t>JV244</t>
  </si>
  <si>
    <t>JV245</t>
  </si>
  <si>
    <t>صرف الصرفة اليومية لافراد الطبية عدد 3 افراد</t>
  </si>
  <si>
    <t>طبية</t>
  </si>
  <si>
    <t>JV246</t>
  </si>
  <si>
    <t>صرف الصرفة اليومية لافراد قسم المشتريات عدد3</t>
  </si>
  <si>
    <t>قسم المشتريات</t>
  </si>
  <si>
    <t>JV247</t>
  </si>
  <si>
    <t>صرف الصرفة اليومية للمحاسبين عدد2</t>
  </si>
  <si>
    <t xml:space="preserve">المحاسبين </t>
  </si>
  <si>
    <t>JV248</t>
  </si>
  <si>
    <t>صرف الصرفة اليومية لافراد البشرية عدد1</t>
  </si>
  <si>
    <t xml:space="preserve">البشرية  </t>
  </si>
  <si>
    <t>JV249</t>
  </si>
  <si>
    <t>صرف الصرفة اليومية لافراد الاستخبارات عدد 7 افراد</t>
  </si>
  <si>
    <t>JV250</t>
  </si>
  <si>
    <t>JV251</t>
  </si>
  <si>
    <t>JV252</t>
  </si>
  <si>
    <t>JV253</t>
  </si>
  <si>
    <t>صرف الصرفة اليومية لافراد طقم اللواء السابع عدد3 افراد</t>
  </si>
  <si>
    <t>طقم اللواء السابع</t>
  </si>
  <si>
    <t>JV254</t>
  </si>
  <si>
    <t>صرف الصرفة اليومية للضباط السابقين عدد10 ضباط</t>
  </si>
  <si>
    <t>JV255</t>
  </si>
  <si>
    <t>لغرض إحضار البطائق الإلكترونية لالوية الفرقة الثالثة -اللواء الاول +الثاني + السابع+الخامس</t>
  </si>
  <si>
    <t>حاتم حمد يسلم عوض</t>
  </si>
  <si>
    <t>100-476</t>
  </si>
  <si>
    <t>JV256</t>
  </si>
  <si>
    <t>مصاريف للفريق الاعلامي المشارك في تمرين اللواء السابع في منطقة قعافز</t>
  </si>
  <si>
    <t xml:space="preserve">محمد توفيق حسن اغا </t>
  </si>
  <si>
    <t>100-460</t>
  </si>
  <si>
    <t>JV257</t>
  </si>
  <si>
    <t xml:space="preserve">مصاريف </t>
  </si>
  <si>
    <t xml:space="preserve">عمرو محمد إسماعيل صالح + موسى احمد علي عثمان </t>
  </si>
  <si>
    <t>100-482</t>
  </si>
  <si>
    <t>JV258</t>
  </si>
  <si>
    <t>محمد فؤاد عبد القادر سعيد</t>
  </si>
  <si>
    <t>100-485</t>
  </si>
  <si>
    <t>JV259</t>
  </si>
  <si>
    <t>حسب توجيهات المستشار المالي عبد الله باعمر</t>
  </si>
  <si>
    <t>فضل عبد السلام سعيد الرامسي</t>
  </si>
  <si>
    <t>100-479</t>
  </si>
  <si>
    <t>قيـد مقابـل:- (مصاريف  صرفة يومية للافراد  - طبية - الفرقة الثالثة)  - كشف صرف رقم   كشف صرف - صرف الصرفة اليومية لافراد الطبية عدد 3 افراد بامر</t>
  </si>
  <si>
    <t>قيـد مقابـل:- (مصاريف  صرفة يومية للافراد  - قسم المشتريات - الفرقة الثالثة)  - كشف صرف رقم   كشف صرف - صرف الصرفة اليومية لافراد قسم المشتريات عدد3 بامر</t>
  </si>
  <si>
    <t>قيـد مقابـل:- (مصاريف  صرفة يومية للافراد  - المحاسبين  - الفرقة الثالثة)  - كشف صرف رقم   كشف صرف - صرف الصرفة اليومية للمحاسبين عدد2 بامر</t>
  </si>
  <si>
    <t>قيـد مقابـل:- (مصاريف  صرفة يومية للافراد  - البشرية   - الفرقة الثالثة)  - كشف صرف رقم   كشف صرف - صرف الصرفة اليومية لافراد البشرية عدد1 بامر</t>
  </si>
  <si>
    <t>قيـد مقابـل:- (مصاريف  صرفة يومية للافراد  - الاستخبارات - الفرقة الثالثة)  - كشف صرف رقم   كشف صرف - صرف الصرفة اليومية لافراد الاستخبارات عدد 7 افراد بامر</t>
  </si>
  <si>
    <t>قيـد مقابـل:- (مصاريف  صرفة يومية للافراد  - المستشارين والمساعدين - الفرقة الثالثة)  - كشف صرف رقم   كشف صرف - صرف الصرفة اليومية للمستشارين والمساعدين عدد 11 بامر</t>
  </si>
  <si>
    <t>قيـد مقابـل:- (مصاريف  صرفة يومية للافراد  - اخرون - الفرقة الثالثة)  - كشف صرف رقم   كشف صرف - الصرفة اليومية اخرون عدد 9 بامر</t>
  </si>
  <si>
    <t>قيـد مقابـل:- (مصاريف  صرفة يومية للافراد  - طقم اللواء السابع - اللواء السابع)  - كشف صرف رقم   كشف صرف - صرف الصرفة اليومية لافراد طقم اللواء السابع عدد3 افراد بامر</t>
  </si>
  <si>
    <t>قيـد مقابـل:- (مصاريف  صرفة يومية للافراد  - الضباط السابقين - الفرقة الثالثة)  - كشف صرف رقم   كشف صرف - صرف الصرفة اليومية للضباط السابقين عدد10 ضباط بامر</t>
  </si>
  <si>
    <t>JV260</t>
  </si>
  <si>
    <t>صرف حافز لافراد اللواء السابع المتواجدين في معسكر العفاريت عدد28 فرد</t>
  </si>
  <si>
    <t>أفراد اللواء السابع مهمة معسكر العفاريت</t>
  </si>
  <si>
    <t>JV261</t>
  </si>
  <si>
    <t xml:space="preserve">صرفة يومية  أبتدء من اليوم </t>
  </si>
  <si>
    <t>محمد نجيب محمد حزام</t>
  </si>
  <si>
    <t>100-457</t>
  </si>
  <si>
    <t>JV262</t>
  </si>
  <si>
    <t>صرف الصرفة اليومية من 15 إلى 16 يونيو كونه كان في مهمة المشروع التدريبي ل7</t>
  </si>
  <si>
    <t>ياسين سعيد سعيد البريهي</t>
  </si>
  <si>
    <t>100-472</t>
  </si>
  <si>
    <t>JV263</t>
  </si>
  <si>
    <t>الصرفة اليومية من 15 إلى16 يونيو لعدد  ثلاثة افراد مدرير قسم المشتريات والعاملين معه</t>
  </si>
  <si>
    <t xml:space="preserve">منذر عادل علي عثمان </t>
  </si>
  <si>
    <t>100-469</t>
  </si>
  <si>
    <t>JV264</t>
  </si>
  <si>
    <t>لغرض إسعاف الجندي كريم اكرم العامل في مركز القيادة  والسيطرة</t>
  </si>
  <si>
    <t>سامح نجيب سيف سعيد</t>
  </si>
  <si>
    <t>100-466</t>
  </si>
  <si>
    <t>JV265</t>
  </si>
  <si>
    <t>مصاؤيف لجنة القطيبي توجيهات المستشار المالي</t>
  </si>
  <si>
    <t xml:space="preserve">لجنة القطيبي </t>
  </si>
  <si>
    <t>100-463</t>
  </si>
  <si>
    <t>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t>
  </si>
  <si>
    <t>قيـد مقابـل:- (مصاريف  صرفة يومية للافراد  - محمد نجيب محمد حزام - الفرقة الثالثة)  - استلام نقدي رقم 100-457  سند استلام - صرفة يومية  أبتدء من اليوم  بامرالقائد</t>
  </si>
  <si>
    <t>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t>
  </si>
  <si>
    <t>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t>
  </si>
  <si>
    <t>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t>
  </si>
  <si>
    <t>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t>
  </si>
  <si>
    <t>قيـد مقابـل:- (عهدة جمال مسدوس - عبدالله باعمر - الفرقة الثالثة)  - استلام نقدي رقم   سند استلام - صرف مبلغ بيد عبدالله باعمر بامر</t>
  </si>
  <si>
    <t>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t>
  </si>
  <si>
    <t>الركن المالي</t>
  </si>
  <si>
    <t>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t>
  </si>
  <si>
    <t>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t>
  </si>
  <si>
    <t>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t>
  </si>
  <si>
    <t>JV266</t>
  </si>
  <si>
    <t>2026-06-18</t>
  </si>
  <si>
    <t>JV267</t>
  </si>
  <si>
    <t>JV268</t>
  </si>
  <si>
    <t>لغرض الخروج في مهمة مرافقة  الاشقاء إلى المخا</t>
  </si>
  <si>
    <t>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t>
  </si>
  <si>
    <t>JV269</t>
  </si>
  <si>
    <t>JV270</t>
  </si>
  <si>
    <t>صرف الصرفة اليومية لافراد الإستطلاع عدد 2 افراد</t>
  </si>
  <si>
    <t>الاستطلاع</t>
  </si>
  <si>
    <t>JV271</t>
  </si>
  <si>
    <t>المحاسبين</t>
  </si>
  <si>
    <t>JV272</t>
  </si>
  <si>
    <t>صرف الصرفة اليومية للبشرية عدد1</t>
  </si>
  <si>
    <t>البشرية</t>
  </si>
  <si>
    <t>JV273</t>
  </si>
  <si>
    <t>صرف الصرفة اليومية لافراد الاستخبارات عدد 5 افراد</t>
  </si>
  <si>
    <t>JV274</t>
  </si>
  <si>
    <t>صرف الصرفة اليومية لافراد المدفعية عدد 5 افراد</t>
  </si>
  <si>
    <t>JV275</t>
  </si>
  <si>
    <t>صرف الصرفة اليومية اخرون لعدد 9 افراد</t>
  </si>
  <si>
    <t>JV276</t>
  </si>
  <si>
    <t>JV277</t>
  </si>
  <si>
    <t>JV278</t>
  </si>
  <si>
    <t>صرف الصرفة اليومية لمرافقين الاركان عدد 4 افراد</t>
  </si>
  <si>
    <t>JV279</t>
  </si>
  <si>
    <t>JV280</t>
  </si>
  <si>
    <t>JV281</t>
  </si>
  <si>
    <t>صرف الصرفة اليومية لضباط اللواء السادس عدد 6 ضباط</t>
  </si>
  <si>
    <t>ضباط اللواء السادس</t>
  </si>
  <si>
    <t>JV282</t>
  </si>
  <si>
    <t>صرف الصرفة الاسبوعي سرية الشرطة لعدد 60 فرد</t>
  </si>
  <si>
    <t>JV283</t>
  </si>
  <si>
    <t>صرف الصرفة اليومية سرية الآمن اللواء السادس عدد29 فرد</t>
  </si>
  <si>
    <t>سرية الآمن اللواء السادس</t>
  </si>
  <si>
    <t>JV284</t>
  </si>
  <si>
    <t>صرف الصرفة اليومية سرية اللواء السادس ع دد 35 فرد</t>
  </si>
  <si>
    <t>JV285</t>
  </si>
  <si>
    <t>تعبئة هواء + لقمة + مسمار لقاطرة الماء</t>
  </si>
  <si>
    <t>قيادة الفرقة الثالثة</t>
  </si>
  <si>
    <t>JV286</t>
  </si>
  <si>
    <t xml:space="preserve">صرف الصرفة اليومية لمرافقين الاركان عدد 4 افراد </t>
  </si>
  <si>
    <t>قيـد مقابـل:- (مصاريف  صرفة يومية للافراد  - المدفعية - الفرقة الثالثة)  - كشف صرف رقم   كشف صرف - صرف الصرفة اليومية لافراد المدفعية عدد 5 افراد بامر</t>
  </si>
  <si>
    <t>قيـد مقابـل:- (مصاريف  صرفة يومية للافراد  - مرافقي الاركان - الفرقة الثالثة)  - كشف صرف رقم   كشف صرف - صرف الصرفة اليومية لمرافقين الاركان عدد 4 افراد  بامر</t>
  </si>
  <si>
    <t>قيـد مقابـل:- (مصاريف  صرفة يومية للافراد  - الاستطلاع - الفرقة الثالثة)  - كشف صرف رقم   كشف صرف - صرف الصرفة اليومية لافراد الإستطلاع عدد 2 افراد بامر</t>
  </si>
  <si>
    <t>قيـد مقابـل:- (مصاريف  صرفة يومية للافراد  - المحاسبين - الفرقة الثالثة)  - كشف صرف رقم   كشف صرف - صرف الصرفة اليومية للمحاسبين عدد2 بامر</t>
  </si>
  <si>
    <t>قيـد مقابـل:- (مصاريف  صرفة يومية للافراد  - البشرية - الفرقة الثالثة)  - كشف صرف رقم   كشف صرف - صرف الصرفة اليومية للبشرية عدد1 بامر</t>
  </si>
  <si>
    <t>قيـد مقابـل:- (مصاريف  صرفة يومية للافراد  - الاستخبارات - الفرقة الثالثة)  - كشف صرف رقم   كشف صرف - صرف الصرفة اليومية لافراد الاستخبارات عدد 5 افراد بامر</t>
  </si>
  <si>
    <t>قيـد مقابـل:- (مصاريف  صرفة يومية للافراد  - اخرون - الفرقة الثالثة)  - كشف صرف رقم   كشف صرف - صرف الصرفة اليومية اخرون لعدد 9 افراد بامر</t>
  </si>
  <si>
    <t>قيـد مقابـل:- (مصاريف  صرفة يومية للافراد  - مرافقي الاركان - الفرقة الثالثة)  - كشف صرف رقم   كشف صرف - صرف الصرفة اليومية لمرافقين الاركان عدد 4 افراد بامر</t>
  </si>
  <si>
    <t>قيـد مقابـل:- (مصاريف  صرفة يومية للافراد  - طقم اللواء السابع - الفرقة الثالثة)  - كشف صرف رقم   كشف صرف - صرف الصرفة اليومية لافراد طقم اللواء السابع عدد3 افراد بامر</t>
  </si>
  <si>
    <t>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t>
  </si>
  <si>
    <t>قيـد مقابـل:- (مصاريف  صرفة يومية للافراد  - سرية الشرطة - الفرقة الثالثة)  - كشف صرف رقم   كشف صرف - صرف الصرفة الاسبوعي سرية الشرطة لعدد 60 فرد بامر</t>
  </si>
  <si>
    <t>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t>
  </si>
  <si>
    <t>قيـد مقابـل:- (مصاريف  صرفة يومية للافراد  - سرية اللواء السادس - اللواء السادس)  - كشف صرف رقم   كشف صرف - صرف الصرفة اليومية سرية اللواء السادس ع دد 35 فرد بامر</t>
  </si>
  <si>
    <t>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t>
  </si>
  <si>
    <t>قيـد مقابـل:- (مصاريف  صرفة يومية للافراد  - السيطرة والاتصالات - الفرقة الثالثة)  - استلام نقدي رقم   سند استلام - صرف الصرفة اليومية للسيطرة والاتصالات لعدد 5 بامر</t>
  </si>
  <si>
    <t>قيـد مقابـل:- (مصاريف  صرفة يومية للافراد  - التوجيه - الفرقة الثالثة)  - استلام نقدي رقم   سند استلام - صرف الصرفة اليومية للتوجيه عدد 2 بامر</t>
  </si>
  <si>
    <t>قيـد مقابـل:- (مصاريف  صرفة يومية للافراد  - الامداد - الفرقة الثالثة)  - استلام نقدي رقم   سند استلام - صرف الصرفة اليومية  لافراد الامداد لعدد 12 بامر</t>
  </si>
  <si>
    <t>قيـد مقابـل:- (مصاريف  صرفة يومية للافراد  - البشرية و الصراف - الفرقة الثالثة)  - استلام نقدي رقم   سند استلام - صرف الصرفة اليومية  للبشرة والصراف عدد 1 بامر</t>
  </si>
  <si>
    <t>قيـد مقابـل:- (مصاريف  صرفة يومية للافراد  - الاستخبارات - الفرقة الثالثة)  - استلام نقدي رقم   سند استلام - صرف الصرفة اليومية  الاستخبارات لعدد 4 بامر</t>
  </si>
  <si>
    <t>قيـد مقابـل:- (مصاريف  صرفة يومية للافراد  - المدفعية - الفرقة الثالثة)  - استلام نقدي رقم   سند استلام - صرف الصرفة اليومية للمدفعية لعدد 1 بامر</t>
  </si>
  <si>
    <t>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t>
  </si>
  <si>
    <t>قيـد مقابـل:- (مصاريف  صرفة يومية للافراد  - الطبية والمحاسبين - الفرقة الثالثة)  - استلام نقدي رقم   سند استلام - صرف الصرفة اليومية للطبية والمحاسبين لعدد 5 بامر</t>
  </si>
  <si>
    <t>قيـد مقابـل:- (مصاريف  صرفة يومية للافراد  - الضباط السابقين - الفرقة الثالثة)  - استلام نقدي رقم   سند استلام - صرف الصرفة اليومية ضباط سابقين لعدد 7 بامر</t>
  </si>
  <si>
    <t>قيـد مقابـل:- (مصاريف  صرفة يومية للافراد  - اخرون  - الفرقة الثالثة)  - استلام نقدي رقم   سند استلام - صرف الصرفة اليومية ل اهرى 105000 بامرالقائد</t>
  </si>
  <si>
    <t>قيـد مقابـل:- (مصاريف  صرفة يومية للافراد  - الاشغال - الفرقة الثالثة)  - استلام نقدي رقم   سند استلام - صرف الصرفة اليومية للاشغال لعدد 3 بامر</t>
  </si>
  <si>
    <t>قيـد مقابـل:- (مصاريف  صرفة يومية للافراد  - سرية اللواء السادس - اللواء السادس)  - استلام نقدي رقم   سند استلام - مصاريف يومية سرية اللواء السادس عدد 44 بامر</t>
  </si>
  <si>
    <t>قيـد مقابـل:- (مصاريف سفر وتنقلات  - فريق المدفعية - الفرقة الثالثة)  - استلام نقدي رقم   سند استلام - مصاريف طريق لافراد المدفعية بامرالأركان جمال مسدوس</t>
  </si>
  <si>
    <t>قيـد مقابـل:- (مصاريف حوافز ومكافئات  - محمد فؤاد+ محمد سمير+محمد علي + كريم اكرم - الفرقة الثالثة)  - استلام نقدي رقم   سند استلام - مصروف حافز لافراد السيطرة بامر</t>
  </si>
  <si>
    <t>قيـد مقابـل:- (مصاريف  صرفة يومية للافراد  - مجدي مسدوس و جميل جمال البجير - الفرقة الثالثة)  - استلام نقدي رقم   سند استلام - مقابل صرفة يومية بامرالأركان جمال مسدوس</t>
  </si>
  <si>
    <t>قيـد مقابـل:- (مصاريف سفر وتنقلات  - عبدالرحمن رسام  - اللواء السادس)  - استلام نقدي رقم   سند استلام - مصاريف سفر بامرالأركان جمال مسدوس</t>
  </si>
  <si>
    <t>قيـد مقابـل:- (مصاريف حوافز ومكافئات  - مجدي مسدوس - الفرقة الثالثة)  - استلام نقدي رقم   سند استلام - مصاريف ل مجدي مسدوس  بامرالأركان جمال مسدوس</t>
  </si>
  <si>
    <t>قيـد مقابـل:- (عهدة عبدالحفيظ - عبدالحفيظ - الفرقة الثالثة)  - استلام نقدي رقم   سند استلام - إستلام عهدة من عبدالله باعمر  بامر</t>
  </si>
  <si>
    <t>قيـد مقابـل:- (عهدة عبدالحفيظ - عبدالحفيظ - الفرقة الثالثة)  - استلام نقدي رقم   سند استلام - استلام عهدة من عهدة عبد المغني بامر</t>
  </si>
  <si>
    <t>قيـد مقابـل:- (مصاريف  صرفة يومية للافراد  - السيطرة والاتصالات - الفرقة الثالثة)  - كشف صرف رقم   كشف صرف - صرف الصرفة اليومية للسيطرة والاتصالات لعدد 5 بامر</t>
  </si>
  <si>
    <t>قيـد مقابـل:- (مصاريف  صرفة يومية للافراد  - التوجيه - الفرقة الثالثة)  - كشف صرف رقم   كشف صرف - صرف الصرفة اليومية للتوجيه عدد 2  بامر</t>
  </si>
  <si>
    <t>قيـد مقابـل:- (مصاريف  صرفة يومية للافراد  - الامداد - الفرقة الثالثة)  - كشف صرف رقم   كشف صرف - صرف الصرفة اليومية  لافراد الامداد لعدد 12 بامر</t>
  </si>
  <si>
    <t>قيـد مقابـل:- (مصاريف  صرفة يومية للافراد  - المستشارين والمساعدين - الفرقة الثالثة)  - كشف صرف رقم   كشف صرف - صرف الصرفة اليومية للمستشارين والمساعدين عدد 6 بامر</t>
  </si>
  <si>
    <t>قيـد مقابـل:- (مصاريف  صرفة يومية للافراد  - الطبية والمحاسبين - الفرقة الثالثة)  - كشف صرف رقم   كشف صرف - صرف الصرفة اليومية للطبية والمحاسبين لعدد 5 بامر</t>
  </si>
  <si>
    <t>قيـد مقابـل:- (مصاريف  صرفة يومية للافراد  - الضباط السابقين - الفرقة الثالثة)  - كشف صرف رقم   كشف صرف - صرف الصرفة اليومية ضباط سابقين لعدد 7 بامر</t>
  </si>
  <si>
    <t>قيـد مقابـل:- (مصاريف  صرفة يومية للافراد  - اخرون - الفرقة الثالثة)  - كشف صرف رقم   كشف صرف - الصرفة اليومية اخرون عدد 6 بامر</t>
  </si>
  <si>
    <t>قيـد مقابـل:- (مصاريف  صرفة يومية للافراد  - افراد طقم اللواء السابع مرافقين - الفرقة الثالثة)  - كشف صرف رقم   كشف صرف - مصاريف 1 افراد من اللواء السابع بامر</t>
  </si>
  <si>
    <t>قيـد مقابـل:- (مصاريف  صرفة يومية للافراد  - سرية اللواء السادس - اللواء السادس)  - كشف صرف رقم   كشف صرف - مصاريف يومية سرية اللواء السادس عدد 44 بامر</t>
  </si>
  <si>
    <t>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t>
  </si>
  <si>
    <t>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t>
  </si>
  <si>
    <t>قيـد مقابـل:- (مصاريف  صرفة يومية للافراد  - محمد عبدالصمد عبدالله - الفرقة الثالثة)  - استلام نقدي رقم   سند استلام - صرف صرفة يومية ليوم 6 و7  بامرالمالية</t>
  </si>
  <si>
    <t>قيـد مقابـل:- (مصاريف نثريات أخرى - الامداد - الفرقة الثالثة)  - فاتورة رقم 123821   - شراء مكانس ابو عصى و عصى مكانس بامرمدير  مكتب القائد</t>
  </si>
  <si>
    <t>قيـد مقابـل:- (مصاريف نثريات أخرى - جمال مسدوس - الفرقة الثالثة)  - استلام نقدي رقم   سند استلام - صرف نثريات الاركان بامرالأركان جمال مسدوس</t>
  </si>
  <si>
    <t>قيـد مقابـل:- (عهدة عبدالحفيظ - عبدالحفيظ - الفرقة الثالثة)  - حواله رقم 9732  شركة العامري للصرافة - استلام عهدة بامر</t>
  </si>
  <si>
    <t>قيـد مقابـل:- (مصاريف  صرفة يومية للافراد  - المدفعية - الفرقة الثالثة)  - كشف صرف رقم   كشف صرف - صرف الصرفة اليومية للمدفعية لعدد 3 بامر</t>
  </si>
  <si>
    <t>قيـد مقابـل:- (مصاريف  صرفة يومية للافراد  - المستشارين والمساعدين - الفرقة الثالثة)  - كشف صرف رقم   كشف صرف - صرف الصرفة اليومية للمستشارين والمساعدين عدد 7 بامر</t>
  </si>
  <si>
    <t>قيـد مقابـل:- (مصاريف  صرفة يومية للافراد  - اخرون - الفرقة الثالثة)  - كشف صرف رقم   كشف صرف - الصرفة اليومية اخرون عدد 13 بامر</t>
  </si>
  <si>
    <t>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t>
  </si>
  <si>
    <t>قيـد مقابـل:- (مصاريف  صرفة يومية للافراد  - سرية اللواء السادس - الفرقة الثالثة)  - كشف صرف رقم   كشف صرف - مصاريف يومية سرية اللواء السادس عدد 39 بامر</t>
  </si>
  <si>
    <t>قيـد مقابـل:- (مصاريف حوافز ومكافئات  - علي محمد سيف قائد الربيعي - الفرقة الثالثة)  - استلام نقدي رقم   سند استلام - صرف حافز لقائد مركز السيطرة بامرالقائد</t>
  </si>
  <si>
    <t>قيـد مقابـل:- (مصاريف حوافز ومكافئات  - علي محمد ناصر فضل دهمس - الفرقة الثالثة)  - استلام نقدي رقم   سند استلام - صرف حافز ل قائد مدفعية الفرقة بامر</t>
  </si>
  <si>
    <t>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t>
  </si>
  <si>
    <t>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t>
  </si>
  <si>
    <t>قيـد مقابـل:- (عهدة جمال مسدوس - مجدي محمد احمد مسدوس - الفرقة الثالثة)  - استلام نقدي رقم   سند استلام - صرف عهدة للتخطيط بامرالأركان جمال مسدوس</t>
  </si>
  <si>
    <t>قيـد مقابـل:- (مصاريف  صرفة يومية للافراد  - الطبية والمحاسبين - الفرقة الثالثة)  - كشف صرف رقم   كشف صرف - صرف الصرفة اليومية للطبية والمحاسبين لعدد 3 بامر</t>
  </si>
  <si>
    <t>قيـد مقابـل:- (مصاريف  صرفة يومية للافراد  - اخرون - الفرقة الثالثة)  - كشف صرف رقم   كشف صرف - الصرفة اليومية اخرون عدد 8 بامر</t>
  </si>
  <si>
    <t>قيـد مقابـل:- (مصاريف  صرفة يومية للافراد  - مرافقي الاركان - الفرقة الثالثة)  - كشف صرف رقم   كشف صرف - صرف الصرفة اليومية لمرافقي الاركان عدد 3 بامر</t>
  </si>
  <si>
    <t>قيـد مقابـل:- (اجور يومية - صالح عبدالله لدحل - الفرقة الثالثة)  - استلام نقدي رقم   سند استلام - صرف اجور سائق قاطرة الماء بامرالمستشار المالي</t>
  </si>
  <si>
    <t>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t>
  </si>
  <si>
    <t>قيـد مقابـل:- (مصاريف حوافز ومكافئات  - افراد السيطرة - الفرقة الثالثة)  - استلام نقدي رقم   سند استلام - صرف حافز افراد علي عارف علي راجح بامرالمالية</t>
  </si>
  <si>
    <t>قيـد مقابـل:- (مصاريف  صرفة يومية للافراد  - محمد عبدالصمد عبدالله - اللواء السادس)  - استلام نقدي رقم   سند استلام - صرف الصرفة اليومية ليومي 9 و 10 بامر</t>
  </si>
  <si>
    <t>قيـد مقابـل:- (مصاريف  صرفة يومية للافراد  - السيطرة والاتصالات - الفرقة الثالثة)  - كشف صرف رقم   كشف صرف - صرف الصرفة اليومية للسيطرة والاتصالات لعدد 7 بامر</t>
  </si>
  <si>
    <t>قيـد مقابـل:- (مصاريف  صرفة يومية للافراد  - سرية الشرطة - الفرقة الثالثة)  - كشف صرف رقم   كشف صرف - صرف الصرفة الاسبوعية سرية الشرطة عدد 56 بامر</t>
  </si>
  <si>
    <t>قيـد مقابـل:- (عهدة عبدالحفيظ - عبدالحفيظ - الفرقة الثالثة)  - حواله رقم 26371  شركة المقبولي للصرافة والتحويلات - استلام عهدة بامر</t>
  </si>
  <si>
    <t>قيـد مقابـل:- (اجور يومية - صالح عبدالله لدحل - الفرقة الثالثة)  - استلام نقدي رقم   سند استلام - صرف اجور سائق قاطرة الماء للفترة السابقة بامرالمستشار المالي</t>
  </si>
  <si>
    <t>قيـد مقابـل:- (اجور يومية - عمال - الفرقة الثالثة)  - استلام نقدي رقم   سند استلام - اجور عمال تركيب الخيم في الفرقة  بامرالأركان جمال مسدوس</t>
  </si>
  <si>
    <t>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t>
  </si>
  <si>
    <t>قيـد مقابـل:- (مصاريف  صرفة يومية للافراد  - محمد عبدالصمد عبدالله - اللواء السادس)  - استلام نقدي رقم   سند استلام - صرفة يومية ليوم 11 بامر</t>
  </si>
  <si>
    <t>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t>
  </si>
  <si>
    <t>قيـد مقابـل:- (مصاريف  صرفة يومية للافراد  - الضباط السابقين - الفرقة الثالثة)  - كشف صرف رقم   كشف صرف - صرف الصرفة اليومية ضباط سابقين لعدد 9 بامر</t>
  </si>
  <si>
    <t>قيـد مقابـل:- (مصاريف  صرفة يومية للافراد  - سرية اللواء السادس - اللواء السادس)  - كشف صرف رقم   كشف صرف - مصاريف يومية سرية اللواء السادس عدد 37 بامر</t>
  </si>
  <si>
    <t>قيـد مقابـل:- (اجور يومية - عمال - الفرقة الثالثة)  - استلام نقدي رقم   سند استلام - صرف اجور 5 عمال انزال الخيم الى مستودعات الامداد بامرمدير  مكتب القائد</t>
  </si>
  <si>
    <t>قيـد مقابـل:- (مصاريف  صرفة يومية للافراد  - محمد عبدالصمد عبدالله - اللواء السادس)  - استلام نقدي رقم   سند استلام - صرف صرفة يومية ليوم 12 بامر</t>
  </si>
  <si>
    <t>قيـد مقابـل:- (عهدة عبدالحفيظ - عبدالحفيظ - الفرقة الثالثة)  - حواله رقم 26718  شركة المقبولي للصرافة والتحويلات - استلام عهدة بامر</t>
  </si>
  <si>
    <t>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t>
  </si>
  <si>
    <t>قيـد مقابـل:- (مصاريف مياة - الفرقة - الفرقة الثالثة)  - استلام نقدي رقم   سند استلام - شراء قاطرة ماء ومصاريف لسائق القاطرة والمرافق بامرالمستشار المالي</t>
  </si>
  <si>
    <t>قيـد مقابـل:- (اجور يومية - عمال - الفرقة الثالثة)  - استلام نقدي رقم   سند استلام - اجور  عمال لانزال الخيم الى مستودعات الامداد بامر</t>
  </si>
  <si>
    <t>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t>
  </si>
  <si>
    <t>قيـد مقابـل:- (مصاريف  صرفة يومية للافراد  - محمد عبدالصمد عبدالله - اللواء السادس)  - استلام نقدي رقم   سند استلام - صرف صرفة يومية ليوم 13 بامر</t>
  </si>
  <si>
    <t>قيـد مقابـل:- (عهدة عبدالله باعمر - عبدالله باعمر - الفرقة الثالثة)  - استلام نقدي رقم   سند استلام - صرف مبلغ بيد عبدالله باعمر بامر</t>
  </si>
  <si>
    <t>JV287</t>
  </si>
  <si>
    <t xml:space="preserve">صرف صرفة عبد المغني اليومية للفترة من 15 الى16 يونيو كونه جريح في مستشفى سيؤون </t>
  </si>
  <si>
    <t>100-454</t>
  </si>
  <si>
    <t>JV288</t>
  </si>
  <si>
    <t>تعبئة القاطرة متء من الخشعة وتغيير زيت</t>
  </si>
  <si>
    <t>100-487</t>
  </si>
  <si>
    <t>JV289</t>
  </si>
  <si>
    <t>صرف الصرفة اليومية لافراد الاستطلاع عدد 2 افراد من 16 إلى 17 يونيو</t>
  </si>
  <si>
    <t xml:space="preserve">محمد ردمان + حسام فؤاد </t>
  </si>
  <si>
    <t>100-475</t>
  </si>
  <si>
    <t>JV290</t>
  </si>
  <si>
    <t>صرف نثريات اركان اللواء السادس</t>
  </si>
  <si>
    <t>اركان اللواء السادس</t>
  </si>
  <si>
    <t>JV291</t>
  </si>
  <si>
    <t xml:space="preserve">التحرك إلى الخشعة اللواء الرابع مع المهندس لمعاينة الماطور </t>
  </si>
  <si>
    <t>زيد علي علي المروعي</t>
  </si>
  <si>
    <t>100-1</t>
  </si>
  <si>
    <t>JV292</t>
  </si>
  <si>
    <t>JV293</t>
  </si>
  <si>
    <t>JV294</t>
  </si>
  <si>
    <t>JV295</t>
  </si>
  <si>
    <t>JV296</t>
  </si>
  <si>
    <t>JV297</t>
  </si>
  <si>
    <t>JV298</t>
  </si>
  <si>
    <t>JV299</t>
  </si>
  <si>
    <t>JV300</t>
  </si>
  <si>
    <t>JV301</t>
  </si>
  <si>
    <t>JV302</t>
  </si>
  <si>
    <t>صرف الصرفة اليومية لافراد الاشغال عدد 4 افراد</t>
  </si>
  <si>
    <t>JV303</t>
  </si>
  <si>
    <t>JV304</t>
  </si>
  <si>
    <t>JV305</t>
  </si>
  <si>
    <t>صرف الصرفة اليومية للضباط السابقين عدد 10 ضباط</t>
  </si>
  <si>
    <t>JV306</t>
  </si>
  <si>
    <t>عهدة المشروع التدريبي</t>
  </si>
  <si>
    <t>100-110</t>
  </si>
  <si>
    <t>JV307</t>
  </si>
  <si>
    <t>نثريات عمل الركن المالي مع المحاسبين</t>
  </si>
  <si>
    <t>JV308</t>
  </si>
  <si>
    <t>100-40</t>
  </si>
  <si>
    <t>JV309</t>
  </si>
  <si>
    <t xml:space="preserve">صرف اجور 5 عمال انزال المهام الى مستودعات الامداد </t>
  </si>
  <si>
    <t>100-43</t>
  </si>
  <si>
    <t>JV310</t>
  </si>
  <si>
    <t>مصاريف لافراد اللواء السابع المكلفين مهمة في معسكر العفاريت عدد 28 فرد</t>
  </si>
  <si>
    <t>اطقم اللواء السابع مهمة معسكر العفاريت</t>
  </si>
  <si>
    <t>100-45</t>
  </si>
  <si>
    <t>JV311</t>
  </si>
  <si>
    <t>مصاريف حافز للاخ محمد اليوسفي توجيه المستشار المالي عبدالله باعمر</t>
  </si>
  <si>
    <t>مدير دائرة الاتصالات</t>
  </si>
  <si>
    <t>100-119</t>
  </si>
  <si>
    <t>JV312</t>
  </si>
  <si>
    <t>سلفة من الراتب حسب توجيهات المستشار المالي</t>
  </si>
  <si>
    <t>عدنان سرحان احمد عبدالله</t>
  </si>
  <si>
    <t>100-101</t>
  </si>
  <si>
    <t>JV313</t>
  </si>
  <si>
    <t>2026-06-20</t>
  </si>
  <si>
    <t>صرف الصرفة اليومية للسيطرة والاتصالات لعدد10</t>
  </si>
  <si>
    <t>JV314</t>
  </si>
  <si>
    <t>JV315</t>
  </si>
  <si>
    <t>JV316</t>
  </si>
  <si>
    <t>JV317</t>
  </si>
  <si>
    <t xml:space="preserve">صرف الصرفة اليومية لافراد الاستطلاع عدد 2 افراد </t>
  </si>
  <si>
    <t>JV318</t>
  </si>
  <si>
    <t>JV319</t>
  </si>
  <si>
    <t>JV320</t>
  </si>
  <si>
    <t>JV321</t>
  </si>
  <si>
    <t>JV322</t>
  </si>
  <si>
    <t>JV323</t>
  </si>
  <si>
    <t>JV324</t>
  </si>
  <si>
    <t>JV325</t>
  </si>
  <si>
    <t>JV326</t>
  </si>
  <si>
    <t>JV327</t>
  </si>
  <si>
    <t xml:space="preserve">مصاريف سفر </t>
  </si>
  <si>
    <t xml:space="preserve">عبدالله احمد محمد دغيش </t>
  </si>
  <si>
    <t>100-107</t>
  </si>
  <si>
    <t>JV328</t>
  </si>
  <si>
    <t xml:space="preserve">اجور عمال مقابل نفل حمولة مركبة مجنونة إلى مستودعات الامدمد عدد 11 عامل مرفق الكشف </t>
  </si>
  <si>
    <t>100-104</t>
  </si>
  <si>
    <t>JV329</t>
  </si>
  <si>
    <t xml:space="preserve">حافز مقابل القيام في ترتيبات الافراد للجنة القطيبي ولجنة البصمة </t>
  </si>
  <si>
    <t>محمد السبع  + عرفات ناصر + عبدالله قطن</t>
  </si>
  <si>
    <t>100-113</t>
  </si>
  <si>
    <t>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t>
  </si>
  <si>
    <t>قيـد مقابـل:- (مصاريف مياة - وايت الماء - الفرقة الثالثة)  - استلام نقدي رقم 100-487  سند استلام - تعبئة القاطرة متء من الخشعة وتغيير زيت بامرالمستشار المالي</t>
  </si>
  <si>
    <t>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t>
  </si>
  <si>
    <t>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t>
  </si>
  <si>
    <t>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t>
  </si>
  <si>
    <t>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t>
  </si>
  <si>
    <t>قيـد مقابـل:- (مصاريف  صرفة يومية للافراد  - البشرية - الفرقة الثالثة)  - كشف صرف رقم   كشف صرف - صرف الصرفة اليومية لافراد البشرية عدد1 بامر</t>
  </si>
  <si>
    <t>قيـد مقابـل:- (مصاريف  صرفة يومية للافراد  - الاشغال - الفرقة الثالثة)  - كشف صرف رقم   كشف صرف - صرف الصرفة اليومية لافراد الاشغال عدد 4 افراد بامر</t>
  </si>
  <si>
    <t>قيـد مقابـل:- (مصاريف  صرفة يومية للافراد  - الضباط السابقين - الفرقة الثالثة)  - كشف صرف رقم   كشف صرف - صرف الصرفة اليومية للضباط السابقين عدد 10 ضباط بامر</t>
  </si>
  <si>
    <t>قيـد مقابـل:- (عهدة جمال مسدوس - جمال مسدوس - الفرقة الثالثة)  - استلام نقدي رقم 100-110  سند استلام - عهدة المشروع التدريبي بامرالمستشار المالي</t>
  </si>
  <si>
    <t>قيـد مقابـل:- (مصاريف نثريات أخرى - الركن المالي - الفرقة الثالثة)  - استلام نقدي رقم   سند استلام - نثريات عمل الركن المالي مع المحاسبين بامرالأركان جمال مسدوس</t>
  </si>
  <si>
    <t>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t>
  </si>
  <si>
    <t>قيـد مقابـل:- (مصاريف نثريات أخرى - عمال - الفرقة الثالثة)  - استلام نقدي رقم 100-43  سند استلام - صرف اجور 5 عمال انزال المهام الى مستودعات الامداد  بامر</t>
  </si>
  <si>
    <t>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t>
  </si>
  <si>
    <t>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t>
  </si>
  <si>
    <t>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t>
  </si>
  <si>
    <t>قيـد مقابـل:- (مصاريف  صرفة يومية للافراد  - السيطرة والاتصالات - الفرقة الثالثة)  - كشف صرف رقم   كشف صرف - صرف الصرفة اليومية للسيطرة والاتصالات لعدد10 بامر</t>
  </si>
  <si>
    <t>قيـد مقابـل:- (مصاريف  صرفة يومية للافراد  - الاستطلاع - الفرقة الثالثة)  - كشف صرف رقم   كشف صرف - صرف الصرفة اليومية لافراد الاستطلاع عدد 2 افراد  بامر</t>
  </si>
  <si>
    <t>قيـد مقابـل:- (مصاريف سفر وتنقلات  - عبدالله احمد محمد دغيش  - الفرقة الثالثة)  - استلام نقدي رقم 100-107  سند استلام - مصاريف سفر  بامرالأركان جمال مسدوس</t>
  </si>
  <si>
    <t>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t>
  </si>
  <si>
    <t>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t>
  </si>
  <si>
    <t>RC009</t>
  </si>
  <si>
    <t>RC010</t>
  </si>
  <si>
    <t>استلام عهدة من باعمر</t>
  </si>
  <si>
    <t>RC011</t>
  </si>
  <si>
    <t>JV330</t>
  </si>
  <si>
    <t>صرف عهده</t>
  </si>
  <si>
    <t>قيـد مقابـل:- (عهدة عبدالحفيظ - عبدالحفيظ - الفرقة الثالثة)  - حواله رقم 10460  شركة العامري للصرافة - استلام عهدة بامر</t>
  </si>
  <si>
    <t>قيـد مقابـل:- (عهدة عبدالحفيظ - عبدالحفيظ - الفرقة الثالثة)  - استلام نقدي رقم   سند استلام - استلام عهدة من باعمر بامر</t>
  </si>
  <si>
    <t>قيـد مقابـل:- (عهدة عبدالحفيظ - عبدالحفيظ - الفرقة الثالثة)  - حواله رقم 10712  شركة العامري للصرافة - استلام عهدة بامر</t>
  </si>
  <si>
    <t>قيـد مقابـل:- (عهدة عبدالله باعمر - عبدالله باعمر - الفرقة الثالثة)  - استلام نقدي رقم   سند استلام - صرف عهده بامرالمستشار المالي</t>
  </si>
  <si>
    <t>JV331</t>
  </si>
  <si>
    <t xml:space="preserve">مصاريف عدد 6 ضباط  من اللواء السادس + نثريات قيادة اللواء السادس بتوجيه من عبدالله باعمر </t>
  </si>
  <si>
    <t>100-455</t>
  </si>
  <si>
    <t>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t>
  </si>
  <si>
    <t>JV332</t>
  </si>
  <si>
    <t>2026-06-21</t>
  </si>
  <si>
    <t>صرف الصرفة اليومية للسيطرة والاتصالات لعدد8</t>
  </si>
  <si>
    <t>JV333</t>
  </si>
  <si>
    <t>JV334</t>
  </si>
  <si>
    <t>JV335</t>
  </si>
  <si>
    <t>صرف الصرفة اليومية لافراد الاستطلاع عدد 2 افراد</t>
  </si>
  <si>
    <t>JV336</t>
  </si>
  <si>
    <t>JV337</t>
  </si>
  <si>
    <t>JV338</t>
  </si>
  <si>
    <t>JV339</t>
  </si>
  <si>
    <t>JV340</t>
  </si>
  <si>
    <t>صرف الصرفة اليومية للمستشارين والمساعدين عدد 10</t>
  </si>
  <si>
    <t>JV341</t>
  </si>
  <si>
    <t>JV342</t>
  </si>
  <si>
    <t>JV343</t>
  </si>
  <si>
    <t>JV344</t>
  </si>
  <si>
    <t>JV345</t>
  </si>
  <si>
    <t>JV346</t>
  </si>
  <si>
    <t>مصاريف سفر توجيهات المستشار المالي</t>
  </si>
  <si>
    <t>محمد خدام ثابت احمد</t>
  </si>
  <si>
    <t>100-120</t>
  </si>
  <si>
    <t>JV347</t>
  </si>
  <si>
    <t>طلحة عباس احمد قاسم</t>
  </si>
  <si>
    <t>100-114</t>
  </si>
  <si>
    <t>قيـد مقابـل:- (مصاريف  صرفة يومية للافراد  - السيطرة والاتصالات - الفرقة الثالثة)  - كشف صرف رقم   كشف صرف - صرف الصرفة اليومية للسيطرة والاتصالات لعدد8 بامر</t>
  </si>
  <si>
    <t>قيـد مقابـل:- (مصاريف  صرفة يومية للافراد  - الاستطلاع - الفرقة الثالثة)  - كشف صرف رقم   كشف صرف - صرف الصرفة اليومية لافراد الاستطلاع عدد 2 افراد بامر</t>
  </si>
  <si>
    <t>قيـد مقابـل:- (مصاريف  صرفة يومية للافراد  - المستشارين والمساعدين - الفرقة الثالثة)  - كشف صرف رقم   كشف صرف - صرف الصرفة اليومية للمستشارين والمساعدين عدد 10 بامر</t>
  </si>
  <si>
    <t>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t>
  </si>
  <si>
    <t>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t>
  </si>
  <si>
    <t>JV348</t>
  </si>
  <si>
    <t>محمد مبارك علي نعمان</t>
  </si>
  <si>
    <t>100-111</t>
  </si>
  <si>
    <t>JV349</t>
  </si>
  <si>
    <t>الخضر محمد احمد الخضر</t>
  </si>
  <si>
    <t>100-105</t>
  </si>
  <si>
    <t>JV350</t>
  </si>
  <si>
    <t>تعبئة القاطرة ماء من الخشعة والعودة</t>
  </si>
  <si>
    <t>100-109</t>
  </si>
  <si>
    <t>JV351</t>
  </si>
  <si>
    <t>احمد عبدالولي احمد عبده الزبير</t>
  </si>
  <si>
    <t>100-106</t>
  </si>
  <si>
    <t>JV352</t>
  </si>
  <si>
    <t>100-103</t>
  </si>
  <si>
    <t>JV353</t>
  </si>
  <si>
    <t>صرف الصرفة اليومية سرية الآمن اللواء السادس عدد49 فرد</t>
  </si>
  <si>
    <t>2026</t>
  </si>
  <si>
    <t>ربع2</t>
  </si>
  <si>
    <t>يونيو</t>
  </si>
  <si>
    <t>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t>
  </si>
  <si>
    <t>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t>
  </si>
  <si>
    <t>قيـد مقابـل:- (مصاريف مياة - وايت الماء - الفرقة الثالثة)  - استلام نقدي رقم 100-109  سند استلام - تعبئة القاطرة ماء من الخشعة والعودة بامرالأركان جمال مسدوس</t>
  </si>
  <si>
    <t>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t>
  </si>
  <si>
    <t>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t>
  </si>
  <si>
    <t>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t>
  </si>
  <si>
    <t>JV354</t>
  </si>
  <si>
    <t>2026-06-22</t>
  </si>
  <si>
    <t>100-100</t>
  </si>
  <si>
    <t>JV355</t>
  </si>
  <si>
    <t xml:space="preserve">لسائق السطحة مقابل تحميل الطقم التابع للواء الثاني العائد من المهمةمن عتق إلى مقر اللواء </t>
  </si>
  <si>
    <t>عبدالمجيد لبيب يحيى صالح</t>
  </si>
  <si>
    <t>100-2</t>
  </si>
  <si>
    <t>JV356</t>
  </si>
  <si>
    <t>صرف الصرفة اليومية سرية الآمن اللواء السادس عدد 50 فرد</t>
  </si>
  <si>
    <t>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t>
  </si>
  <si>
    <t>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t>
  </si>
  <si>
    <t>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t>
  </si>
  <si>
    <t>2026-06-22 الإجمالي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</si>
</sst>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yyyy/mm/dd"/>
    <numFmt numFmtId="166" formatCode="yyyy\-mm\-dd;@"/>
    <numFmt numFmtId="167" formatCode="yyyy\-mm\-dd"/>
    <numFmt numFmtId="168" formatCode="_-* #,##0_-;\-* #,##0_-;_-* &quot;-&quot;??_-;_-@_-"/>
    <numFmt numFmtId="169" formatCode="[$-1010000]yyyy/mm/dd;@"/>
    <numFmt numFmtId="170" formatCode="#,##0.00\ &quot;ر.س.‏&quot;"/>
    <numFmt numFmtId="171" formatCode="#,##0.00\ &quot;ر.س&quot;"/>
    <numFmt numFmtId="172" formatCode="[$-1010409]d/m/yyyy\ h:mm\ AM/PM;@"/>
    <numFmt numFmtId="173" formatCode="_(* #,##0_);_(* \(#,##0\);_(* &quot;-&quot;??_);_(@_)"/>
    <numFmt numFmtId="174" formatCode="_(* #,##0.0_);_(* \(#,##0.0\);_(* &quot;-&quot;??_);_(@_)"/>
  </numFmts>
  <fonts count="46" x14ac:knownFonts="1">
    <font>
      <sz val="14"/>
      <color theme="1"/>
      <name val="Sakkal Majalla"/>
      <family val="2"/>
      <charset val="178"/>
    </font>
    <font>
      <b/>
      <sz val="14"/>
      <color theme="1"/>
      <name val="Sakkal Majalla"/>
    </font>
    <font>
      <sz val="14"/>
      <color theme="1"/>
      <name val="Sakkal Majalla"/>
    </font>
    <font>
      <sz val="14"/>
      <color theme="1"/>
      <name val="Sakkal Majalla"/>
      <family val="2"/>
    </font>
    <font>
      <sz val="11"/>
      <color theme="1"/>
      <name val="Arial"/>
      <family val="2"/>
      <charset val="178"/>
      <scheme val="minor"/>
    </font>
    <font>
      <sz val="20"/>
      <color theme="1"/>
      <name val="Sakkal Majalla"/>
    </font>
    <font>
      <sz val="14"/>
      <color theme="1"/>
      <name val="Arial"/>
      <family val="2"/>
      <charset val="178"/>
      <scheme val="minor"/>
    </font>
    <font>
      <sz val="16"/>
      <color theme="1"/>
      <name val="Sakkal Majalla"/>
    </font>
    <font>
      <sz val="22"/>
      <color theme="1"/>
      <name val="Sakkal Majalla"/>
    </font>
    <font>
      <sz val="18"/>
      <color theme="1"/>
      <name val="Sakkal Majalla"/>
    </font>
    <font>
      <sz val="20"/>
      <name val="Sakkal Majalla"/>
    </font>
    <font>
      <sz val="20"/>
      <color theme="0"/>
      <name val="Sakkal Majalla"/>
    </font>
    <font>
      <b/>
      <sz val="16"/>
      <color theme="0"/>
      <name val="Sakkal Majalla"/>
    </font>
    <font>
      <b/>
      <sz val="16"/>
      <color theme="1"/>
      <name val="Sakkal Majalla"/>
    </font>
    <font>
      <sz val="20"/>
      <color theme="1"/>
      <name val="Arial"/>
      <family val="2"/>
      <charset val="178"/>
      <scheme val="minor"/>
    </font>
    <font>
      <sz val="11"/>
      <color theme="1"/>
      <name val="Sakkal Majalla"/>
    </font>
    <font>
      <sz val="11"/>
      <color theme="0"/>
      <name val="Sakkal Majalla"/>
    </font>
    <font>
      <b/>
      <sz val="26"/>
      <color theme="1"/>
      <name val="Sakkal Majalla"/>
    </font>
    <font>
      <sz val="26"/>
      <color theme="1"/>
      <name val="Sakkal Majalla"/>
    </font>
    <font>
      <sz val="24"/>
      <color theme="0"/>
      <name val="Sakkal Majalla"/>
    </font>
    <font>
      <sz val="18"/>
      <color theme="0"/>
      <name val="Sakkal Majalla"/>
    </font>
    <font>
      <b/>
      <sz val="26"/>
      <color rgb="FF000000"/>
      <name val="Sakkal Majalla"/>
    </font>
    <font>
      <sz val="24"/>
      <name val="Sakkal Majalla"/>
    </font>
    <font>
      <b/>
      <sz val="20"/>
      <color theme="1"/>
      <name val="Arial"/>
      <family val="2"/>
      <scheme val="minor"/>
    </font>
    <font>
      <b/>
      <sz val="22"/>
      <color theme="1"/>
      <name val="Sakkal Majalla"/>
    </font>
    <font>
      <b/>
      <sz val="22"/>
      <name val="Sakkal Majalla"/>
    </font>
    <font>
      <sz val="11"/>
      <color theme="1"/>
      <name val="Arial"/>
      <family val="2"/>
      <scheme val="minor"/>
    </font>
    <font>
      <sz val="22"/>
      <color theme="1"/>
      <name val="Arial"/>
      <family val="2"/>
      <scheme val="minor"/>
    </font>
    <font>
      <b/>
      <u/>
      <sz val="22"/>
      <color theme="1"/>
      <name val="Arial"/>
      <family val="2"/>
      <scheme val="minor"/>
    </font>
    <font>
      <sz val="16"/>
      <color theme="0"/>
      <name val="Sakkal Majalla"/>
    </font>
    <font>
      <sz val="11"/>
      <name val="Sakkal Majalla"/>
    </font>
    <font>
      <sz val="36"/>
      <color theme="0"/>
      <name val="Sakkal Majalla"/>
    </font>
    <font>
      <sz val="28"/>
      <color theme="0"/>
      <name val="Sakkal Majalla"/>
    </font>
    <font>
      <sz val="22"/>
      <color theme="0"/>
      <name val="Sakkal Majalla"/>
    </font>
    <font>
      <sz val="16"/>
      <name val="Sakkal Majalla"/>
    </font>
    <font>
      <sz val="14"/>
      <color theme="1"/>
      <name val="Sakkal Majalla"/>
      <family val="2"/>
      <charset val="178"/>
    </font>
    <font>
      <sz val="24"/>
      <color theme="1"/>
      <name val="Sakkal Majalla"/>
      <family val="2"/>
      <charset val="178"/>
    </font>
    <font>
      <b/>
      <sz val="20"/>
      <color theme="1"/>
      <name val="Sakkal Majalla"/>
      <family val="2"/>
      <charset val="178"/>
    </font>
    <font>
      <b/>
      <sz val="24"/>
      <color theme="1"/>
      <name val="Sakkal Majalla"/>
    </font>
    <font>
      <b/>
      <sz val="28"/>
      <color theme="0"/>
      <name val="Sakkal Majalla"/>
    </font>
    <font>
      <b/>
      <sz val="28"/>
      <color theme="1"/>
      <name val="Sakkal Majalla"/>
      <family val="2"/>
      <charset val="178"/>
    </font>
    <font>
      <b/>
      <sz val="26"/>
      <color theme="1"/>
      <name val="Sakkal Majalla"/>
      <family val="2"/>
      <charset val="178"/>
    </font>
    <font>
      <b/>
      <sz val="26"/>
      <name val="Sakkal Majalla"/>
    </font>
    <font>
      <b/>
      <sz val="26"/>
      <color theme="1"/>
      <name val="Arial"/>
      <family val="2"/>
      <charset val="178"/>
      <scheme val="minor"/>
    </font>
    <font>
      <b/>
      <sz val="36"/>
      <color theme="1"/>
      <name val="Sakkal Majalla"/>
    </font>
    <font>
      <b/>
      <sz val="20"/>
      <color theme="1"/>
      <name val="Sakkal Majalla"/>
    </font>
  </fonts>
  <fills count="9">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249977111117893"/>
        <bgColor theme="4" tint="-0.249977111117893"/>
      </patternFill>
    </fill>
    <fill>
      <patternFill patternType="solid">
        <fgColor theme="4" tint="-0.499984740745262"/>
        <bgColor indexed="64"/>
      </patternFill>
    </fill>
    <fill>
      <patternFill patternType="solid">
        <fgColor theme="4" tint="-0.499984740745262"/>
        <bgColor theme="4" tint="-0.249977111117893"/>
      </patternFill>
    </fill>
    <fill>
      <patternFill patternType="solid">
        <fgColor theme="3" tint="0.89999084444715716"/>
        <bgColor indexed="64"/>
      </patternFill>
    </fill>
    <fill>
      <patternFill patternType="solid">
        <fgColor theme="4"/>
        <bgColor theme="4" tint="-0.249977111117893"/>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theme="4" tint="0.59999389629810485"/>
      </bottom>
      <diagonal/>
    </border>
    <border>
      <left/>
      <right/>
      <top style="medium">
        <color indexed="64"/>
      </top>
      <bottom style="thin">
        <color theme="4" tint="0.59999389629810485"/>
      </bottom>
      <diagonal/>
    </border>
    <border>
      <left/>
      <right style="medium">
        <color indexed="64"/>
      </right>
      <top style="medium">
        <color indexed="64"/>
      </top>
      <bottom style="thin">
        <color theme="4" tint="0.59999389629810485"/>
      </bottom>
      <diagonal/>
    </border>
    <border>
      <left style="medium">
        <color indexed="64"/>
      </left>
      <right style="medium">
        <color indexed="64"/>
      </right>
      <top style="medium">
        <color indexed="64"/>
      </top>
      <bottom style="thin">
        <color theme="4" tint="0.7999816888943144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5">
    <xf numFmtId="0" fontId="0" fillId="0" borderId="0"/>
    <xf numFmtId="0" fontId="4" fillId="0" borderId="0"/>
    <xf numFmtId="164" fontId="4" fillId="0" borderId="0" applyFont="0" applyFill="0" applyBorder="0" applyAlignment="0" applyProtection="0"/>
    <xf numFmtId="0" fontId="26" fillId="0" borderId="0"/>
    <xf numFmtId="164" fontId="35" fillId="0" borderId="0" applyFont="0" applyFill="0" applyBorder="0" applyAlignment="0" applyProtection="0"/>
  </cellStyleXfs>
  <cellXfs count="253">
    <xf numFmtId="0" fontId="0" fillId="0" borderId="0" xfId="0"/>
    <xf numFmtId="0" fontId="1" fillId="0" borderId="0" xfId="0" applyFont="1" applyAlignment="1">
      <alignment horizontal="center" vertical="center"/>
    </xf>
    <xf numFmtId="0" fontId="2" fillId="0" borderId="1" xfId="0" applyFont="1" applyBorder="1"/>
    <xf numFmtId="0" fontId="2" fillId="2" borderId="1" xfId="0" applyFont="1" applyFill="1" applyBorder="1"/>
    <xf numFmtId="0" fontId="2" fillId="0" borderId="2" xfId="0" applyFont="1" applyBorder="1"/>
    <xf numFmtId="0" fontId="2" fillId="2" borderId="2" xfId="0" applyFont="1" applyFill="1" applyBorder="1"/>
    <xf numFmtId="0" fontId="3" fillId="0" borderId="1" xfId="0" applyFont="1" applyBorder="1"/>
    <xf numFmtId="0" fontId="5" fillId="0" borderId="0" xfId="1" applyFont="1" applyAlignment="1">
      <alignment vertical="center"/>
    </xf>
    <xf numFmtId="0" fontId="5" fillId="0" borderId="0" xfId="1" applyFont="1" applyAlignment="1">
      <alignment horizontal="center" vertical="center"/>
    </xf>
    <xf numFmtId="0" fontId="6" fillId="0" borderId="0" xfId="1" applyFont="1" applyAlignment="1">
      <alignment horizontal="center" vertical="center"/>
    </xf>
    <xf numFmtId="0" fontId="4" fillId="0" borderId="0" xfId="1"/>
    <xf numFmtId="0" fontId="2" fillId="0" borderId="0" xfId="1" applyFont="1" applyAlignment="1">
      <alignment horizontal="center" vertical="center"/>
    </xf>
    <xf numFmtId="0" fontId="8" fillId="0" borderId="0" xfId="1" applyFont="1" applyAlignment="1">
      <alignment horizontal="center" vertical="center"/>
    </xf>
    <xf numFmtId="0" fontId="9" fillId="0" borderId="0" xfId="1" applyFont="1" applyAlignment="1">
      <alignment horizontal="center" vertical="center"/>
    </xf>
    <xf numFmtId="0" fontId="7" fillId="0" borderId="0" xfId="1" applyFont="1"/>
    <xf numFmtId="14" fontId="5" fillId="0" borderId="0" xfId="1" applyNumberFormat="1" applyFont="1" applyAlignment="1">
      <alignment horizontal="center" vertical="center"/>
    </xf>
    <xf numFmtId="165" fontId="10" fillId="0" borderId="0" xfId="1" applyNumberFormat="1" applyFont="1"/>
    <xf numFmtId="0" fontId="9" fillId="0" borderId="1" xfId="1" applyFont="1" applyBorder="1" applyAlignment="1">
      <alignment horizontal="center" vertical="center"/>
    </xf>
    <xf numFmtId="0" fontId="7" fillId="0" borderId="1" xfId="1" applyFont="1" applyBorder="1"/>
    <xf numFmtId="0" fontId="9" fillId="0" borderId="2" xfId="1" applyFont="1" applyBorder="1" applyAlignment="1">
      <alignment horizontal="center" vertical="center"/>
    </xf>
    <xf numFmtId="166" fontId="4" fillId="0" borderId="0" xfId="1" applyNumberFormat="1"/>
    <xf numFmtId="0" fontId="4" fillId="2" borderId="0" xfId="1" applyFill="1"/>
    <xf numFmtId="0" fontId="13" fillId="0" borderId="0" xfId="1" applyFont="1" applyAlignment="1">
      <alignment vertical="center"/>
    </xf>
    <xf numFmtId="0" fontId="13" fillId="0" borderId="0" xfId="1" applyFont="1" applyAlignment="1">
      <alignment horizontal="center" vertical="center"/>
    </xf>
    <xf numFmtId="0" fontId="13" fillId="5" borderId="0" xfId="1" applyFont="1" applyFill="1" applyAlignment="1">
      <alignment vertical="center"/>
    </xf>
    <xf numFmtId="168" fontId="13" fillId="0" borderId="0" xfId="2" applyNumberFormat="1" applyFont="1" applyFill="1" applyBorder="1" applyAlignment="1">
      <alignment horizontal="center" vertical="center"/>
    </xf>
    <xf numFmtId="168" fontId="13" fillId="5" borderId="0" xfId="2" applyNumberFormat="1" applyFont="1" applyFill="1" applyBorder="1" applyAlignment="1">
      <alignment horizontal="center" vertical="center"/>
    </xf>
    <xf numFmtId="166" fontId="13" fillId="5" borderId="0" xfId="1" applyNumberFormat="1" applyFont="1" applyFill="1" applyAlignment="1">
      <alignment vertical="center"/>
    </xf>
    <xf numFmtId="22" fontId="13" fillId="0" borderId="0" xfId="1" applyNumberFormat="1" applyFont="1" applyAlignment="1">
      <alignment vertical="center"/>
    </xf>
    <xf numFmtId="0" fontId="13" fillId="5" borderId="0" xfId="1" applyFont="1" applyFill="1" applyAlignment="1">
      <alignment horizontal="right" vertical="center" wrapText="1"/>
    </xf>
    <xf numFmtId="0" fontId="13" fillId="0" borderId="6" xfId="1" applyFont="1" applyBorder="1" applyAlignment="1">
      <alignment vertical="center"/>
    </xf>
    <xf numFmtId="0" fontId="13" fillId="0" borderId="7" xfId="1" applyFont="1" applyBorder="1" applyAlignment="1">
      <alignment horizontal="center" vertical="center"/>
    </xf>
    <xf numFmtId="0" fontId="13" fillId="0" borderId="7" xfId="1" applyFont="1" applyBorder="1" applyAlignment="1">
      <alignment vertical="center"/>
    </xf>
    <xf numFmtId="0" fontId="13" fillId="5" borderId="7" xfId="1" applyFont="1" applyFill="1" applyBorder="1" applyAlignment="1">
      <alignment vertical="center"/>
    </xf>
    <xf numFmtId="168" fontId="13" fillId="0" borderId="7" xfId="2" applyNumberFormat="1" applyFont="1" applyFill="1" applyBorder="1" applyAlignment="1">
      <alignment horizontal="center" vertical="center"/>
    </xf>
    <xf numFmtId="168" fontId="13" fillId="5" borderId="7" xfId="2" applyNumberFormat="1" applyFont="1" applyFill="1" applyBorder="1" applyAlignment="1">
      <alignment horizontal="center" vertical="center"/>
    </xf>
    <xf numFmtId="166" fontId="13" fillId="5" borderId="7" xfId="1" applyNumberFormat="1" applyFont="1" applyFill="1" applyBorder="1" applyAlignment="1">
      <alignment vertical="center"/>
    </xf>
    <xf numFmtId="22" fontId="13" fillId="0" borderId="7" xfId="1" applyNumberFormat="1" applyFont="1" applyBorder="1" applyAlignment="1">
      <alignment vertical="center"/>
    </xf>
    <xf numFmtId="0" fontId="13" fillId="5" borderId="8" xfId="1" applyFont="1" applyFill="1" applyBorder="1" applyAlignment="1">
      <alignment vertical="center"/>
    </xf>
    <xf numFmtId="0" fontId="13" fillId="0" borderId="9" xfId="1" applyFont="1" applyBorder="1" applyAlignment="1">
      <alignment vertical="center"/>
    </xf>
    <xf numFmtId="0" fontId="13" fillId="5" borderId="10" xfId="1" applyFont="1" applyFill="1" applyBorder="1" applyAlignment="1">
      <alignment vertical="center"/>
    </xf>
    <xf numFmtId="0" fontId="13" fillId="0" borderId="11" xfId="1" applyFont="1" applyBorder="1" applyAlignment="1">
      <alignment vertical="center"/>
    </xf>
    <xf numFmtId="0" fontId="13" fillId="0" borderId="12" xfId="1" applyFont="1" applyBorder="1" applyAlignment="1">
      <alignment horizontal="center" vertical="center"/>
    </xf>
    <xf numFmtId="0" fontId="13" fillId="0" borderId="12" xfId="1" applyFont="1" applyBorder="1" applyAlignment="1">
      <alignment vertical="center"/>
    </xf>
    <xf numFmtId="0" fontId="13" fillId="5" borderId="12" xfId="1" applyFont="1" applyFill="1" applyBorder="1" applyAlignment="1">
      <alignment vertical="center"/>
    </xf>
    <xf numFmtId="168" fontId="13" fillId="0" borderId="12" xfId="2" applyNumberFormat="1" applyFont="1" applyFill="1" applyBorder="1" applyAlignment="1">
      <alignment horizontal="center" vertical="center"/>
    </xf>
    <xf numFmtId="168" fontId="13" fillId="5" borderId="12" xfId="2" applyNumberFormat="1" applyFont="1" applyFill="1" applyBorder="1" applyAlignment="1">
      <alignment horizontal="center" vertical="center"/>
    </xf>
    <xf numFmtId="166" fontId="13" fillId="5" borderId="12" xfId="1" applyNumberFormat="1" applyFont="1" applyFill="1" applyBorder="1" applyAlignment="1">
      <alignment vertical="center"/>
    </xf>
    <xf numFmtId="22" fontId="13" fillId="0" borderId="12" xfId="1" applyNumberFormat="1" applyFont="1" applyBorder="1" applyAlignment="1">
      <alignment vertical="center"/>
    </xf>
    <xf numFmtId="0" fontId="13" fillId="5" borderId="13" xfId="1" applyFont="1" applyFill="1" applyBorder="1" applyAlignment="1">
      <alignment vertical="center"/>
    </xf>
    <xf numFmtId="0" fontId="12" fillId="6" borderId="0" xfId="1" applyFont="1" applyFill="1" applyAlignment="1">
      <alignment vertical="center"/>
    </xf>
    <xf numFmtId="168" fontId="13" fillId="0" borderId="0" xfId="2" applyNumberFormat="1" applyFont="1" applyFill="1" applyAlignment="1">
      <alignment horizontal="center" vertical="center"/>
    </xf>
    <xf numFmtId="168" fontId="13" fillId="5" borderId="0" xfId="2" applyNumberFormat="1" applyFont="1" applyFill="1" applyAlignment="1">
      <alignment horizontal="center" vertic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4" xfId="1" applyFont="1" applyFill="1" applyBorder="1" applyAlignment="1">
      <alignment horizontal="right" vertical="center" wrapText="1"/>
    </xf>
    <xf numFmtId="0" fontId="12" fillId="3" borderId="4" xfId="1" applyFont="1" applyFill="1" applyBorder="1" applyAlignment="1">
      <alignment horizontal="center" vertical="center" wrapText="1"/>
    </xf>
    <xf numFmtId="0" fontId="12" fillId="3" borderId="5" xfId="1" applyFont="1" applyFill="1" applyBorder="1" applyAlignment="1">
      <alignment horizontal="center" vertical="center"/>
    </xf>
    <xf numFmtId="0" fontId="12" fillId="4" borderId="0" xfId="1" applyFont="1" applyFill="1" applyAlignment="1">
      <alignment vertical="center"/>
    </xf>
    <xf numFmtId="0" fontId="12" fillId="4" borderId="0" xfId="1" applyFont="1" applyFill="1" applyAlignment="1">
      <alignment horizontal="center" vertical="center"/>
    </xf>
    <xf numFmtId="166" fontId="12" fillId="4" borderId="0" xfId="1" applyNumberFormat="1" applyFont="1" applyFill="1" applyAlignment="1">
      <alignment vertical="center"/>
    </xf>
    <xf numFmtId="0" fontId="12" fillId="4" borderId="0" xfId="1" applyFont="1" applyFill="1" applyAlignment="1">
      <alignment horizontal="right" vertical="center" wrapText="1"/>
    </xf>
    <xf numFmtId="168" fontId="12" fillId="4" borderId="0" xfId="2" applyNumberFormat="1" applyFont="1" applyFill="1" applyAlignment="1">
      <alignment horizontal="center" vertical="center"/>
    </xf>
    <xf numFmtId="0" fontId="15" fillId="0" borderId="14" xfId="1" applyFont="1" applyBorder="1"/>
    <xf numFmtId="0" fontId="15" fillId="0" borderId="0" xfId="1" applyFont="1"/>
    <xf numFmtId="0" fontId="16" fillId="0" borderId="0" xfId="1" applyFont="1"/>
    <xf numFmtId="169" fontId="17" fillId="0" borderId="0" xfId="1" applyNumberFormat="1" applyFont="1" applyAlignment="1">
      <alignment horizontal="left"/>
    </xf>
    <xf numFmtId="0" fontId="18" fillId="0" borderId="0" xfId="1" applyFont="1"/>
    <xf numFmtId="0" fontId="15" fillId="0" borderId="15" xfId="1" applyFont="1" applyBorder="1"/>
    <xf numFmtId="0" fontId="11" fillId="0" borderId="0" xfId="1" applyFont="1"/>
    <xf numFmtId="0" fontId="19" fillId="0" borderId="0" xfId="1" applyFont="1"/>
    <xf numFmtId="0" fontId="20" fillId="0" borderId="0" xfId="1" applyFont="1"/>
    <xf numFmtId="0" fontId="12" fillId="0" borderId="0" xfId="1" applyFont="1" applyAlignment="1">
      <alignment vertical="center"/>
    </xf>
    <xf numFmtId="0" fontId="21" fillId="0" borderId="0" xfId="1" applyFont="1" applyAlignment="1">
      <alignment horizontal="left" vertical="center"/>
    </xf>
    <xf numFmtId="165" fontId="19" fillId="0" borderId="0" xfId="1" applyNumberFormat="1" applyFont="1"/>
    <xf numFmtId="0" fontId="22" fillId="0" borderId="0" xfId="1" applyFont="1"/>
    <xf numFmtId="0" fontId="15" fillId="0" borderId="15" xfId="1" applyFont="1" applyBorder="1" applyAlignment="1">
      <alignment vertical="center"/>
    </xf>
    <xf numFmtId="0" fontId="15" fillId="0" borderId="0" xfId="1" applyFont="1" applyAlignment="1">
      <alignment vertical="center"/>
    </xf>
    <xf numFmtId="0" fontId="7" fillId="0" borderId="15" xfId="1" applyFont="1" applyBorder="1"/>
    <xf numFmtId="0" fontId="23" fillId="7" borderId="1" xfId="1" applyFont="1" applyFill="1" applyBorder="1" applyAlignment="1">
      <alignment horizontal="center" vertical="center"/>
    </xf>
    <xf numFmtId="0" fontId="24" fillId="0" borderId="17" xfId="1" applyFont="1" applyBorder="1" applyAlignment="1">
      <alignment vertical="center"/>
    </xf>
    <xf numFmtId="0" fontId="24" fillId="0" borderId="0" xfId="1" applyFont="1" applyAlignment="1">
      <alignment vertical="center"/>
    </xf>
    <xf numFmtId="166" fontId="25" fillId="0" borderId="0" xfId="1" applyNumberFormat="1" applyFont="1" applyAlignment="1">
      <alignment horizontal="center" vertical="center" wrapText="1"/>
    </xf>
    <xf numFmtId="0" fontId="25" fillId="0" borderId="0" xfId="1" applyFont="1" applyAlignment="1">
      <alignment horizontal="center" vertical="center" wrapText="1"/>
    </xf>
    <xf numFmtId="0" fontId="25" fillId="0" borderId="0" xfId="1" applyFont="1" applyAlignment="1">
      <alignment horizontal="right" vertical="center" wrapText="1" indent="2"/>
    </xf>
    <xf numFmtId="168" fontId="25" fillId="0" borderId="0" xfId="2" applyNumberFormat="1" applyFont="1" applyAlignment="1">
      <alignment horizontal="center" vertical="center" wrapText="1"/>
    </xf>
    <xf numFmtId="164" fontId="25" fillId="0" borderId="0" xfId="2" applyFont="1" applyAlignment="1">
      <alignment horizontal="center" vertical="center" wrapText="1"/>
    </xf>
    <xf numFmtId="0" fontId="24" fillId="0" borderId="0" xfId="1" applyFont="1" applyAlignment="1">
      <alignment vertical="center" wrapText="1"/>
    </xf>
    <xf numFmtId="0" fontId="25" fillId="0" borderId="0" xfId="1" applyFont="1" applyAlignment="1">
      <alignment horizontal="right" vertical="center" wrapText="1"/>
    </xf>
    <xf numFmtId="168" fontId="25" fillId="0" borderId="0" xfId="2" applyNumberFormat="1" applyFont="1" applyAlignment="1">
      <alignment horizontal="right" vertical="center" wrapText="1"/>
    </xf>
    <xf numFmtId="164" fontId="25" fillId="0" borderId="0" xfId="2" applyFont="1" applyAlignment="1">
      <alignment horizontal="right" vertical="center" wrapText="1"/>
    </xf>
    <xf numFmtId="166" fontId="24" fillId="0" borderId="0" xfId="1" applyNumberFormat="1" applyFont="1" applyAlignment="1">
      <alignment horizontal="center" vertical="center" wrapText="1"/>
    </xf>
    <xf numFmtId="0" fontId="24" fillId="0" borderId="0" xfId="1" applyFont="1" applyAlignment="1">
      <alignment horizontal="center" vertical="center" wrapText="1"/>
    </xf>
    <xf numFmtId="0" fontId="24" fillId="0" borderId="0" xfId="1" applyFont="1" applyAlignment="1">
      <alignment horizontal="right" vertical="center" wrapText="1"/>
    </xf>
    <xf numFmtId="168" fontId="24" fillId="0" borderId="0" xfId="2" applyNumberFormat="1" applyFont="1" applyAlignment="1">
      <alignment horizontal="center" vertical="center" wrapText="1"/>
    </xf>
    <xf numFmtId="168" fontId="24" fillId="0" borderId="0" xfId="2" applyNumberFormat="1" applyFont="1" applyAlignment="1">
      <alignment horizontal="right" vertical="center" wrapText="1"/>
    </xf>
    <xf numFmtId="164" fontId="24" fillId="0" borderId="0" xfId="2" applyFont="1" applyAlignment="1">
      <alignment horizontal="right" vertical="center" wrapText="1"/>
    </xf>
    <xf numFmtId="164" fontId="24" fillId="0" borderId="0" xfId="2" applyFont="1" applyAlignment="1">
      <alignment horizontal="center" vertical="center" wrapText="1"/>
    </xf>
    <xf numFmtId="0" fontId="8" fillId="0" borderId="0" xfId="1" applyFont="1" applyAlignment="1">
      <alignment vertical="center" wrapText="1"/>
    </xf>
    <xf numFmtId="166" fontId="8" fillId="0" borderId="0" xfId="1" applyNumberFormat="1" applyFont="1" applyAlignment="1">
      <alignment horizontal="center" vertical="center" wrapText="1"/>
    </xf>
    <xf numFmtId="0" fontId="8" fillId="0" borderId="0" xfId="1" applyFont="1" applyAlignment="1">
      <alignment horizontal="center" vertical="center" wrapText="1"/>
    </xf>
    <xf numFmtId="0" fontId="8" fillId="0" borderId="0" xfId="1" applyFont="1" applyAlignment="1">
      <alignment horizontal="right" vertical="center" wrapText="1"/>
    </xf>
    <xf numFmtId="168" fontId="8" fillId="0" borderId="0" xfId="2" applyNumberFormat="1" applyFont="1" applyAlignment="1">
      <alignment horizontal="center" vertical="center" wrapText="1"/>
    </xf>
    <xf numFmtId="164" fontId="8" fillId="0" borderId="0" xfId="2" applyFont="1" applyAlignment="1">
      <alignment horizontal="center" vertical="center" wrapText="1"/>
    </xf>
    <xf numFmtId="0" fontId="8" fillId="0" borderId="0" xfId="1" applyFont="1" applyAlignment="1">
      <alignment vertical="center"/>
    </xf>
    <xf numFmtId="166" fontId="8" fillId="0" borderId="0" xfId="1" applyNumberFormat="1" applyFont="1" applyAlignment="1">
      <alignment horizontal="center" vertical="center"/>
    </xf>
    <xf numFmtId="0" fontId="8" fillId="0" borderId="0" xfId="1" applyFont="1" applyAlignment="1">
      <alignment horizontal="right" vertical="center" wrapText="1" indent="2"/>
    </xf>
    <xf numFmtId="168" fontId="8" fillId="0" borderId="0" xfId="2" applyNumberFormat="1" applyFont="1" applyAlignment="1">
      <alignment horizontal="center" vertical="center"/>
    </xf>
    <xf numFmtId="164" fontId="8" fillId="0" borderId="0" xfId="2" applyFont="1" applyAlignment="1">
      <alignment horizontal="center" vertical="center"/>
    </xf>
    <xf numFmtId="165" fontId="8" fillId="0" borderId="0" xfId="1" applyNumberFormat="1" applyFont="1" applyAlignment="1">
      <alignment vertical="center"/>
    </xf>
    <xf numFmtId="0" fontId="26" fillId="0" borderId="0" xfId="3"/>
    <xf numFmtId="0" fontId="27" fillId="0" borderId="0" xfId="3" applyFont="1"/>
    <xf numFmtId="0" fontId="28" fillId="0" borderId="0" xfId="3" applyFont="1"/>
    <xf numFmtId="0" fontId="29" fillId="0" borderId="0" xfId="1" applyFont="1"/>
    <xf numFmtId="0" fontId="30" fillId="0" borderId="0" xfId="1" applyFont="1"/>
    <xf numFmtId="0" fontId="30" fillId="0" borderId="0" xfId="1" applyFont="1" applyAlignment="1">
      <alignment vertical="center"/>
    </xf>
    <xf numFmtId="0" fontId="34" fillId="0" borderId="0" xfId="1" applyFont="1"/>
    <xf numFmtId="168" fontId="13" fillId="0" borderId="0" xfId="1" applyNumberFormat="1" applyFont="1" applyAlignment="1">
      <alignment horizontal="center" vertical="center"/>
    </xf>
    <xf numFmtId="168" fontId="13" fillId="5" borderId="0" xfId="1" applyNumberFormat="1" applyFont="1" applyFill="1" applyAlignment="1">
      <alignment horizontal="center" vertical="center"/>
    </xf>
    <xf numFmtId="168" fontId="12" fillId="4" borderId="0" xfId="1" applyNumberFormat="1" applyFont="1" applyFill="1" applyAlignment="1">
      <alignment horizontal="center" vertical="center"/>
    </xf>
    <xf numFmtId="0" fontId="3" fillId="0" borderId="2" xfId="0" applyFont="1" applyBorder="1"/>
    <xf numFmtId="0" fontId="12" fillId="8" borderId="0" xfId="1" applyFont="1" applyFill="1" applyAlignment="1">
      <alignment vertical="center"/>
    </xf>
    <xf numFmtId="167" fontId="12" fillId="8" borderId="0" xfId="1" applyNumberFormat="1" applyFont="1" applyFill="1" applyAlignment="1">
      <alignment vertical="center"/>
    </xf>
    <xf numFmtId="1" fontId="12" fillId="8" borderId="0" xfId="1" applyNumberFormat="1" applyFont="1" applyFill="1" applyAlignment="1">
      <alignment horizontal="center" vertical="center"/>
    </xf>
    <xf numFmtId="1" fontId="12" fillId="8" borderId="0" xfId="2" applyNumberFormat="1" applyFont="1" applyFill="1" applyAlignment="1">
      <alignment horizontal="center" vertical="center"/>
    </xf>
    <xf numFmtId="172" fontId="12" fillId="4" borderId="0" xfId="1" applyNumberFormat="1" applyFont="1" applyFill="1" applyAlignment="1">
      <alignment vertical="center"/>
    </xf>
    <xf numFmtId="172" fontId="12" fillId="8" borderId="0" xfId="1" applyNumberFormat="1" applyFont="1" applyFill="1" applyAlignment="1">
      <alignment vertical="center"/>
    </xf>
    <xf numFmtId="164" fontId="24" fillId="0" borderId="0" xfId="4" applyFont="1" applyAlignment="1">
      <alignment vertical="center"/>
    </xf>
    <xf numFmtId="164" fontId="24" fillId="0" borderId="0" xfId="4" applyFont="1" applyAlignment="1">
      <alignment vertical="center" wrapText="1"/>
    </xf>
    <xf numFmtId="164" fontId="24" fillId="0" borderId="1" xfId="4" applyFont="1" applyBorder="1" applyAlignment="1">
      <alignment vertical="center"/>
    </xf>
    <xf numFmtId="0" fontId="31" fillId="0" borderId="0" xfId="1" applyFont="1"/>
    <xf numFmtId="16" fontId="16" fillId="0" borderId="0" xfId="1" applyNumberFormat="1" applyFont="1"/>
    <xf numFmtId="0" fontId="32" fillId="0" borderId="0" xfId="1" applyFont="1" applyAlignment="1">
      <alignment horizontal="center"/>
    </xf>
    <xf numFmtId="14" fontId="33" fillId="0" borderId="0" xfId="1" applyNumberFormat="1" applyFont="1"/>
    <xf numFmtId="0" fontId="16" fillId="0" borderId="0" xfId="1" applyFont="1" applyAlignment="1">
      <alignment vertical="center"/>
    </xf>
    <xf numFmtId="0" fontId="0" fillId="0" borderId="0" xfId="0" pivotButton="1"/>
    <xf numFmtId="0" fontId="0" fillId="0" borderId="0" xfId="0" applyAlignment="1">
      <alignment horizontal="right"/>
    </xf>
    <xf numFmtId="0" fontId="0" fillId="0" borderId="0" xfId="0" applyAlignment="1">
      <alignment horizontal="center"/>
    </xf>
    <xf numFmtId="0" fontId="0" fillId="0" borderId="0" xfId="0" pivotButton="1" applyAlignment="1">
      <alignment horizontal="center"/>
    </xf>
    <xf numFmtId="0" fontId="36" fillId="0" borderId="0" xfId="0" applyFont="1"/>
    <xf numFmtId="0" fontId="38" fillId="0" borderId="0" xfId="0" applyFont="1"/>
    <xf numFmtId="0" fontId="39" fillId="4" borderId="22" xfId="0" applyFont="1" applyFill="1" applyBorder="1" applyAlignment="1">
      <alignment horizontal="center"/>
    </xf>
    <xf numFmtId="168" fontId="40" fillId="0" borderId="6" xfId="0" applyNumberFormat="1" applyFont="1" applyBorder="1"/>
    <xf numFmtId="168" fontId="40" fillId="0" borderId="7" xfId="0" applyNumberFormat="1" applyFont="1" applyBorder="1"/>
    <xf numFmtId="168" fontId="40" fillId="0" borderId="8" xfId="0" applyNumberFormat="1" applyFont="1" applyBorder="1"/>
    <xf numFmtId="168" fontId="40" fillId="0" borderId="9" xfId="0" applyNumberFormat="1" applyFont="1" applyBorder="1"/>
    <xf numFmtId="168" fontId="40" fillId="0" borderId="10" xfId="0" applyNumberFormat="1" applyFont="1" applyBorder="1"/>
    <xf numFmtId="168" fontId="40" fillId="0" borderId="11" xfId="0" applyNumberFormat="1" applyFont="1" applyBorder="1"/>
    <xf numFmtId="168" fontId="40" fillId="0" borderId="12" xfId="0" applyNumberFormat="1" applyFont="1" applyBorder="1"/>
    <xf numFmtId="168" fontId="40" fillId="0" borderId="13" xfId="0" applyNumberFormat="1" applyFont="1" applyBorder="1"/>
    <xf numFmtId="0" fontId="40" fillId="0" borderId="6" xfId="0" applyFont="1" applyBorder="1" applyAlignment="1">
      <alignment horizontal="centerContinuous"/>
    </xf>
    <xf numFmtId="0" fontId="40" fillId="0" borderId="18" xfId="0" pivotButton="1" applyFont="1" applyBorder="1" applyAlignment="1">
      <alignment horizontal="center"/>
    </xf>
    <xf numFmtId="0" fontId="40" fillId="0" borderId="18" xfId="0" applyFont="1" applyBorder="1" applyAlignment="1">
      <alignment horizontal="center"/>
    </xf>
    <xf numFmtId="0" fontId="40" fillId="0" borderId="23" xfId="0" applyFont="1" applyBorder="1" applyAlignment="1">
      <alignment horizontal="center"/>
    </xf>
    <xf numFmtId="0" fontId="40" fillId="0" borderId="24" xfId="0" applyFont="1" applyBorder="1" applyAlignment="1">
      <alignment horizontal="center"/>
    </xf>
    <xf numFmtId="0" fontId="40" fillId="0" borderId="11" xfId="0" applyFont="1" applyBorder="1" applyAlignment="1">
      <alignment horizontal="centerContinuous"/>
    </xf>
    <xf numFmtId="0" fontId="40" fillId="0" borderId="23" xfId="0" pivotButton="1" applyFont="1" applyBorder="1" applyAlignment="1">
      <alignment horizontal="centerContinuous"/>
    </xf>
    <xf numFmtId="0" fontId="40" fillId="0" borderId="6" xfId="0" applyFont="1" applyBorder="1" applyAlignment="1">
      <alignment horizontal="right"/>
    </xf>
    <xf numFmtId="0" fontId="40" fillId="0" borderId="9" xfId="0" applyFont="1" applyBorder="1" applyAlignment="1">
      <alignment horizontal="right"/>
    </xf>
    <xf numFmtId="0" fontId="40" fillId="0" borderId="11" xfId="0" applyFont="1" applyBorder="1" applyAlignment="1">
      <alignment horizontal="right"/>
    </xf>
    <xf numFmtId="0" fontId="40" fillId="0" borderId="23" xfId="0" applyFont="1" applyBorder="1" applyAlignment="1">
      <alignment horizontal="right"/>
    </xf>
    <xf numFmtId="0" fontId="40" fillId="0" borderId="23" xfId="0" applyFont="1" applyBorder="1" applyAlignment="1">
      <alignment horizontal="center" vertical="center" wrapText="1"/>
    </xf>
    <xf numFmtId="0" fontId="40" fillId="0" borderId="24" xfId="0" applyFont="1" applyBorder="1" applyAlignment="1">
      <alignment horizontal="center" vertical="center" wrapText="1"/>
    </xf>
    <xf numFmtId="0" fontId="37" fillId="0" borderId="0" xfId="0" pivotButton="1" applyFont="1" applyAlignment="1">
      <alignment horizontal="center"/>
    </xf>
    <xf numFmtId="0" fontId="37" fillId="0" borderId="0" xfId="0" applyFont="1" applyAlignment="1">
      <alignment horizontal="center" vertical="center" wrapText="1"/>
    </xf>
    <xf numFmtId="0" fontId="0" fillId="0" borderId="0" xfId="0" applyAlignment="1">
      <alignment horizontal="center" vertical="center" wrapText="1"/>
    </xf>
    <xf numFmtId="1" fontId="0" fillId="0" borderId="0" xfId="0" applyNumberFormat="1"/>
    <xf numFmtId="0" fontId="40" fillId="0" borderId="0" xfId="0" applyFont="1" applyAlignment="1">
      <alignment horizontal="right"/>
    </xf>
    <xf numFmtId="0" fontId="17" fillId="0" borderId="0" xfId="0" applyFont="1"/>
    <xf numFmtId="1" fontId="41" fillId="0" borderId="0" xfId="0" applyNumberFormat="1" applyFont="1"/>
    <xf numFmtId="170" fontId="42" fillId="0" borderId="0" xfId="1" applyNumberFormat="1" applyFont="1" applyAlignment="1">
      <alignment horizontal="center" vertical="center" wrapText="1"/>
    </xf>
    <xf numFmtId="171" fontId="17" fillId="0" borderId="0" xfId="0" applyNumberFormat="1" applyFont="1" applyAlignment="1">
      <alignment horizontal="center" wrapText="1"/>
    </xf>
    <xf numFmtId="171" fontId="17" fillId="0" borderId="0" xfId="0" applyNumberFormat="1" applyFont="1"/>
    <xf numFmtId="0" fontId="38" fillId="0" borderId="0" xfId="0" applyFont="1" applyAlignment="1">
      <alignment horizontal="right"/>
    </xf>
    <xf numFmtId="173" fontId="41" fillId="0" borderId="0" xfId="4" applyNumberFormat="1" applyFont="1"/>
    <xf numFmtId="0" fontId="0" fillId="0" borderId="0" xfId="0" applyAlignment="1">
      <alignment horizontal="right" indent="1"/>
    </xf>
    <xf numFmtId="171" fontId="0" fillId="0" borderId="0" xfId="0" applyNumberFormat="1"/>
    <xf numFmtId="171" fontId="44" fillId="0" borderId="0" xfId="0" applyNumberFormat="1" applyFont="1"/>
    <xf numFmtId="168" fontId="0" fillId="0" borderId="0" xfId="0" applyNumberFormat="1"/>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4" xfId="0" applyFont="1" applyBorder="1" applyAlignment="1">
      <alignment horizontal="center" vertical="center" wrapText="1"/>
    </xf>
    <xf numFmtId="166" fontId="12" fillId="0" borderId="4" xfId="0" applyNumberFormat="1" applyFont="1" applyBorder="1" applyAlignment="1">
      <alignment horizontal="center" vertical="center"/>
    </xf>
    <xf numFmtId="0" fontId="12" fillId="0" borderId="5" xfId="0" applyFont="1" applyBorder="1" applyAlignment="1">
      <alignment horizontal="center" vertical="center"/>
    </xf>
    <xf numFmtId="0" fontId="12" fillId="0" borderId="4" xfId="0" applyFont="1" applyBorder="1" applyAlignment="1">
      <alignment horizontal="right" vertical="center" wrapText="1"/>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0" fontId="13" fillId="0" borderId="0" xfId="0" applyNumberFormat="1" applyFont="1" applyFill="1" applyBorder="1" applyAlignment="1">
      <alignment vertical="center"/>
    </xf>
    <xf numFmtId="0" fontId="13" fillId="5" borderId="0" xfId="0" applyNumberFormat="1" applyFont="1" applyFill="1" applyBorder="1" applyAlignment="1">
      <alignment vertical="center"/>
    </xf>
    <xf numFmtId="168" fontId="13" fillId="0" borderId="0" xfId="0" applyNumberFormat="1" applyFont="1" applyFill="1" applyBorder="1" applyAlignment="1">
      <alignment horizontal="center" vertical="center"/>
    </xf>
    <xf numFmtId="168" fontId="13" fillId="5" borderId="0" xfId="0" applyNumberFormat="1" applyFont="1" applyFill="1" applyBorder="1" applyAlignment="1">
      <alignment horizontal="center" vertical="center"/>
    </xf>
    <xf numFmtId="166" fontId="13" fillId="5" borderId="0" xfId="0" applyNumberFormat="1" applyFont="1" applyFill="1" applyBorder="1" applyAlignment="1">
      <alignment vertical="center"/>
    </xf>
    <xf numFmtId="0" fontId="13" fillId="5" borderId="0" xfId="0" applyNumberFormat="1" applyFont="1" applyFill="1" applyBorder="1" applyAlignment="1">
      <alignment horizontal="right" vertical="center" wrapText="1"/>
    </xf>
    <xf numFmtId="22" fontId="13" fillId="0" borderId="0" xfId="0" applyNumberFormat="1" applyFont="1" applyFill="1" applyBorder="1" applyAlignment="1">
      <alignment vertical="center"/>
    </xf>
    <xf numFmtId="0" fontId="12" fillId="4" borderId="0" xfId="1" applyNumberFormat="1" applyFont="1" applyFill="1" applyAlignment="1">
      <alignment vertical="center"/>
    </xf>
    <xf numFmtId="0" fontId="12" fillId="4" borderId="0" xfId="1" applyNumberFormat="1" applyFont="1" applyFill="1" applyAlignment="1">
      <alignment horizontal="right" vertical="center" wrapText="1"/>
    </xf>
    <xf numFmtId="0" fontId="12" fillId="4" borderId="0" xfId="1" applyNumberFormat="1" applyFont="1" applyFill="1" applyAlignment="1">
      <alignment horizontal="center" vertical="center"/>
    </xf>
    <xf numFmtId="0" fontId="12" fillId="8" borderId="0" xfId="1" applyNumberFormat="1" applyFont="1" applyFill="1" applyAlignment="1">
      <alignment vertical="center"/>
    </xf>
    <xf numFmtId="168" fontId="40" fillId="0" borderId="0" xfId="0" applyNumberFormat="1" applyFont="1" applyBorder="1"/>
    <xf numFmtId="0" fontId="37" fillId="0" borderId="0" xfId="0" applyFont="1" applyAlignment="1">
      <alignment horizontal="center"/>
    </xf>
    <xf numFmtId="2" fontId="0" fillId="0" borderId="0" xfId="0" applyNumberFormat="1"/>
    <xf numFmtId="0" fontId="0" fillId="0" borderId="0" xfId="0" applyAlignment="1">
      <alignment horizontal="right" indent="2"/>
    </xf>
    <xf numFmtId="166" fontId="0" fillId="0" borderId="0" xfId="0" applyNumberFormat="1" applyAlignment="1">
      <alignment horizontal="right" indent="3"/>
    </xf>
    <xf numFmtId="0" fontId="0" fillId="0" borderId="0" xfId="0" applyAlignment="1">
      <alignment horizontal="right" indent="4"/>
    </xf>
    <xf numFmtId="0" fontId="0" fillId="0" borderId="0" xfId="0" applyAlignment="1">
      <alignment horizontal="center" vertical="center"/>
    </xf>
    <xf numFmtId="0" fontId="0" fillId="0" borderId="0" xfId="0" pivotButton="1" applyAlignment="1">
      <alignment horizontal="center" vertical="center"/>
    </xf>
    <xf numFmtId="0" fontId="18" fillId="0" borderId="0" xfId="0" applyFont="1"/>
    <xf numFmtId="174" fontId="37" fillId="0" borderId="0" xfId="0" pivotButton="1" applyNumberFormat="1" applyFont="1" applyAlignment="1">
      <alignment horizontal="center"/>
    </xf>
    <xf numFmtId="174" fontId="37" fillId="0" borderId="0" xfId="0" applyNumberFormat="1" applyFont="1" applyAlignment="1">
      <alignment horizontal="center"/>
    </xf>
    <xf numFmtId="174" fontId="37" fillId="0" borderId="0" xfId="0" applyNumberFormat="1" applyFont="1" applyAlignment="1">
      <alignment horizontal="center" vertical="center" wrapText="1"/>
    </xf>
    <xf numFmtId="173" fontId="37" fillId="0" borderId="0" xfId="0" applyNumberFormat="1" applyFont="1" applyAlignment="1">
      <alignment horizontal="center" vertical="center" wrapText="1"/>
    </xf>
    <xf numFmtId="173" fontId="45" fillId="0" borderId="0" xfId="4" applyNumberFormat="1" applyFont="1"/>
    <xf numFmtId="173" fontId="37" fillId="0" borderId="0" xfId="0" applyNumberFormat="1" applyFont="1" applyAlignment="1">
      <alignment horizontal="center" vertical="center"/>
    </xf>
    <xf numFmtId="167" fontId="13" fillId="0" borderId="0" xfId="1" applyNumberFormat="1" applyFont="1" applyAlignment="1">
      <alignment horizontal="center" vertical="center"/>
    </xf>
    <xf numFmtId="167" fontId="13" fillId="0" borderId="0" xfId="0" applyNumberFormat="1" applyFont="1" applyFill="1" applyBorder="1" applyAlignment="1">
      <alignment horizontal="center" vertical="center"/>
    </xf>
    <xf numFmtId="167" fontId="13" fillId="0" borderId="7" xfId="1" applyNumberFormat="1" applyFont="1" applyBorder="1" applyAlignment="1">
      <alignment horizontal="center" vertical="center"/>
    </xf>
    <xf numFmtId="167" fontId="13" fillId="0" borderId="12" xfId="1" applyNumberFormat="1" applyFont="1" applyBorder="1" applyAlignment="1">
      <alignment horizontal="center" vertical="center"/>
    </xf>
    <xf numFmtId="0" fontId="40" fillId="0" borderId="23" xfId="0" applyFont="1" applyBorder="1" applyAlignment="1">
      <alignment horizontal="center" vertical="center" wrapText="1"/>
    </xf>
    <xf numFmtId="0" fontId="40" fillId="0" borderId="25" xfId="0" applyFont="1" applyBorder="1" applyAlignment="1">
      <alignment horizontal="center"/>
    </xf>
    <xf numFmtId="0" fontId="40" fillId="0" borderId="25" xfId="0" applyFont="1" applyBorder="1" applyAlignment="1">
      <alignment horizontal="center" vertical="center" wrapText="1"/>
    </xf>
    <xf numFmtId="0" fontId="40" fillId="0" borderId="24" xfId="0" applyFont="1" applyBorder="1" applyAlignment="1">
      <alignment horizontal="center"/>
    </xf>
    <xf numFmtId="0" fontId="39" fillId="4" borderId="19" xfId="0" applyFont="1" applyFill="1" applyBorder="1" applyAlignment="1">
      <alignment horizontal="center" vertical="center" wrapText="1"/>
    </xf>
    <xf numFmtId="0" fontId="39" fillId="4" borderId="20" xfId="0" applyFont="1" applyFill="1" applyBorder="1" applyAlignment="1">
      <alignment horizontal="center" vertical="center" wrapText="1"/>
    </xf>
    <xf numFmtId="0" fontId="39" fillId="4" borderId="21" xfId="0" applyFont="1" applyFill="1" applyBorder="1" applyAlignment="1">
      <alignment horizontal="center" vertical="center" wrapText="1"/>
    </xf>
    <xf numFmtId="0" fontId="5" fillId="0" borderId="0" xfId="1" applyFont="1" applyAlignment="1">
      <alignment horizontal="center" vertical="center"/>
    </xf>
    <xf numFmtId="0" fontId="6" fillId="0" borderId="0" xfId="1" applyFont="1" applyAlignment="1">
      <alignment horizontal="center" vertical="center"/>
    </xf>
    <xf numFmtId="0" fontId="7" fillId="0" borderId="0" xfId="1" applyFont="1" applyAlignment="1">
      <alignment horizontal="center"/>
    </xf>
    <xf numFmtId="0" fontId="2" fillId="0" borderId="0" xfId="1" applyFont="1" applyAlignment="1">
      <alignment horizontal="center" vertical="center"/>
    </xf>
    <xf numFmtId="0" fontId="8" fillId="0" borderId="0" xfId="1" applyFont="1" applyAlignment="1">
      <alignment horizontal="center" vertical="center"/>
    </xf>
    <xf numFmtId="0" fontId="6" fillId="0" borderId="0" xfId="1" applyFont="1" applyAlignment="1">
      <alignment horizontal="center"/>
    </xf>
    <xf numFmtId="0" fontId="0" fillId="0" borderId="0" xfId="0" applyAlignment="1">
      <alignment horizontal="center" vertical="center" wrapText="1"/>
    </xf>
    <xf numFmtId="0" fontId="0" fillId="0" borderId="0" xfId="0" applyAlignment="1">
      <alignment horizontal="center"/>
    </xf>
    <xf numFmtId="0" fontId="14" fillId="0" borderId="0" xfId="1" applyFont="1" applyAlignment="1">
      <alignment horizontal="center"/>
    </xf>
    <xf numFmtId="0" fontId="8" fillId="0" borderId="0" xfId="1" applyFont="1" applyAlignment="1">
      <alignment horizontal="center"/>
    </xf>
    <xf numFmtId="166" fontId="0" fillId="0" borderId="0" xfId="0" applyNumberFormat="1" applyAlignment="1">
      <alignment horizontal="center" vertical="center" wrapText="1"/>
    </xf>
    <xf numFmtId="166" fontId="41" fillId="0" borderId="0" xfId="0" applyNumberFormat="1" applyFont="1" applyAlignment="1">
      <alignment horizontal="center" vertical="center" wrapText="1"/>
    </xf>
    <xf numFmtId="0" fontId="41" fillId="0" borderId="0" xfId="0" applyFont="1" applyAlignment="1">
      <alignment horizontal="center"/>
    </xf>
    <xf numFmtId="166" fontId="0" fillId="0" borderId="0" xfId="0" applyNumberFormat="1" applyAlignment="1">
      <alignment horizontal="center"/>
    </xf>
    <xf numFmtId="0" fontId="4" fillId="0" borderId="0" xfId="1" applyAlignment="1">
      <alignment horizontal="center"/>
    </xf>
    <xf numFmtId="0" fontId="17" fillId="0" borderId="0" xfId="0" applyFont="1" applyAlignment="1">
      <alignment horizontal="center" vertical="center"/>
    </xf>
    <xf numFmtId="0" fontId="17" fillId="0" borderId="16" xfId="1" applyFont="1" applyBorder="1" applyAlignment="1">
      <alignment horizontal="center" vertical="center"/>
    </xf>
    <xf numFmtId="0" fontId="23" fillId="7" borderId="1" xfId="1" applyFont="1" applyFill="1" applyBorder="1" applyAlignment="1">
      <alignment horizontal="center" vertical="center"/>
    </xf>
    <xf numFmtId="0" fontId="23" fillId="7" borderId="1" xfId="1" applyFont="1" applyFill="1" applyBorder="1" applyAlignment="1">
      <alignment horizontal="center" vertical="center" wrapText="1"/>
    </xf>
    <xf numFmtId="0" fontId="37" fillId="0" borderId="0" xfId="0" applyFont="1" applyAlignment="1">
      <alignment horizontal="center" vertical="center" textRotation="90" wrapText="1"/>
    </xf>
    <xf numFmtId="0" fontId="37" fillId="0" borderId="0" xfId="0" applyFont="1" applyAlignment="1">
      <alignment horizontal="center" textRotation="90"/>
    </xf>
    <xf numFmtId="0" fontId="37" fillId="0" borderId="0" xfId="0" applyFont="1" applyAlignment="1">
      <alignment horizontal="center" vertical="center" wrapText="1"/>
    </xf>
    <xf numFmtId="0" fontId="37" fillId="0" borderId="0" xfId="0" applyFont="1" applyAlignment="1">
      <alignment horizontal="center" vertical="center"/>
    </xf>
    <xf numFmtId="166" fontId="37" fillId="0" borderId="0" xfId="0" applyNumberFormat="1" applyFont="1" applyAlignment="1">
      <alignment horizontal="center" vertical="center" wrapText="1"/>
    </xf>
    <xf numFmtId="0" fontId="37" fillId="0" borderId="0" xfId="0" applyFont="1" applyAlignment="1">
      <alignment horizontal="center"/>
    </xf>
    <xf numFmtId="174" fontId="37" fillId="0" borderId="0" xfId="0" applyNumberFormat="1" applyFont="1" applyAlignment="1">
      <alignment horizontal="center" vertical="center" wrapText="1"/>
    </xf>
    <xf numFmtId="174" fontId="37" fillId="0" borderId="0" xfId="0" applyNumberFormat="1" applyFont="1" applyAlignment="1">
      <alignment horizontal="center" vertical="center"/>
    </xf>
    <xf numFmtId="173" fontId="43" fillId="0" borderId="0" xfId="4" applyNumberFormat="1" applyFont="1" applyAlignment="1">
      <alignment horizontal="center"/>
    </xf>
    <xf numFmtId="0" fontId="45" fillId="0" borderId="0" xfId="0" applyFont="1" applyAlignment="1">
      <alignment horizontal="center"/>
    </xf>
  </cellXfs>
  <cellStyles count="5">
    <cellStyle name="Comma" xfId="4" builtinId="3"/>
    <cellStyle name="Comma 2" xfId="2" xr:uid="{DD7AA1EF-164D-4A7D-A56D-0B20779F65A6}"/>
    <cellStyle name="عادي" xfId="0" builtinId="0"/>
    <cellStyle name="عادي 2" xfId="1" xr:uid="{3C8BEC29-283D-43E9-B0C7-E2CBBD6A597F}"/>
    <cellStyle name="عادي 2 2" xfId="3" xr:uid="{451FB333-F290-44EF-A114-0D56AC593620}"/>
  </cellStyles>
  <dxfs count="348">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font>
    </dxf>
    <dxf>
      <font>
        <b/>
      </font>
    </dxf>
    <dxf>
      <font>
        <b/>
      </font>
    </dxf>
    <dxf>
      <font>
        <b/>
      </font>
    </dxf>
    <dxf>
      <font>
        <sz val="24"/>
      </font>
    </dxf>
    <dxf>
      <font>
        <sz val="24"/>
      </font>
    </dxf>
    <dxf>
      <font>
        <sz val="24"/>
      </font>
    </dxf>
    <dxf>
      <font>
        <sz val="24"/>
      </font>
    </dxf>
    <dxf>
      <alignment horizontal="center"/>
    </dxf>
    <dxf>
      <alignment horizontal="center"/>
    </dxf>
    <dxf>
      <alignment vertical="center"/>
    </dxf>
    <dxf>
      <alignment vertical="center"/>
    </dxf>
    <dxf>
      <alignment horizontal="center"/>
    </dxf>
    <dxf>
      <alignment horizontal="center"/>
    </dxf>
    <dxf>
      <font>
        <sz val="22"/>
      </font>
    </dxf>
    <dxf>
      <font>
        <sz val="22"/>
      </font>
    </dxf>
    <dxf>
      <font>
        <sz val="22"/>
      </font>
    </dxf>
    <dxf>
      <font>
        <sz val="22"/>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textRotation="90"/>
    </dxf>
    <dxf>
      <font>
        <sz val="26"/>
      </font>
    </dxf>
    <dxf>
      <numFmt numFmtId="173" formatCode="_(* #,##0_);_(* \(#,##0\);_(* &quot;-&quot;??_);_(@_)"/>
    </dxf>
    <dxf>
      <font>
        <sz val="18"/>
      </font>
    </dxf>
    <dxf>
      <font>
        <b/>
      </font>
    </dxf>
    <dxf>
      <numFmt numFmtId="173" formatCode="_(* #,##0_);_(* \(#,##0\);_(* &quot;-&quot;??_);_(@_)"/>
    </dxf>
    <dxf>
      <numFmt numFmtId="174" formatCode="_(* #,##0.0_);_(* \(#,##0.0\);_(* &quot;-&quot;??_);_(@_)"/>
    </dxf>
    <dxf>
      <numFmt numFmtId="174" formatCode="_(* #,##0.0_);_(* \(#,##0.0\);_(* &quot;-&quot;??_);_(@_)"/>
    </dxf>
    <dxf>
      <numFmt numFmtId="174" formatCode="_(* #,##0.0_);_(* \(#,##0.0\);_(* &quot;-&quot;??_);_(@_)"/>
    </dxf>
    <dxf>
      <numFmt numFmtId="174" formatCode="_(* #,##0.0_);_(* \(#,##0.0\);_(* &quot;-&quot;??_);_(@_)"/>
    </dxf>
    <dxf>
      <numFmt numFmtId="174" formatCode="_(* #,##0.0_);_(* \(#,##0.0\);_(* &quot;-&quot;??_);_(@_)"/>
    </dxf>
    <dxf>
      <numFmt numFmtId="174" formatCode="_(* #,##0.0_);_(* \(#,##0.0\);_(* &quot;-&quot;??_);_(@_)"/>
    </dxf>
    <dxf>
      <numFmt numFmtId="173" formatCode="_(* #,##0_);_(* \(#,##0\);_(* &quot;-&quot;??_);_(@_)"/>
    </dxf>
    <dxf>
      <numFmt numFmtId="173" formatCode="_(* #,##0_);_(* \(#,##0\);_(* &quot;-&quot;??_);_(@_)"/>
    </dxf>
    <dxf>
      <numFmt numFmtId="173" formatCode="_(* #,##0_);_(* \(#,##0\);_(* &quot;-&quot;??_);_(@_)"/>
    </dxf>
    <dxf>
      <numFmt numFmtId="173" formatCode="_(* #,##0_);_(* \(#,##0\);_(* &quot;-&quot;??_);_(@_)"/>
    </dxf>
    <dxf>
      <numFmt numFmtId="173" formatCode="_(* #,##0_);_(* \(#,##0\);_(* &quot;-&quot;??_);_(@_)"/>
    </dxf>
    <dxf>
      <font>
        <b/>
      </font>
    </dxf>
    <dxf>
      <font>
        <b/>
      </font>
    </dxf>
    <dxf>
      <font>
        <b/>
      </font>
    </dxf>
    <dxf>
      <font>
        <b/>
      </font>
    </dxf>
    <dxf>
      <font>
        <b/>
      </font>
    </dxf>
    <dxf>
      <font>
        <b/>
      </font>
    </dxf>
    <dxf>
      <font>
        <b/>
      </font>
    </dxf>
    <dxf>
      <font>
        <b/>
      </font>
    </dxf>
    <dxf>
      <font>
        <b/>
      </font>
    </dxf>
    <dxf>
      <font>
        <b/>
      </font>
    </dxf>
    <dxf>
      <font>
        <sz val="26"/>
      </font>
    </dxf>
    <dxf>
      <font>
        <sz val="26"/>
      </font>
    </dxf>
    <dxf>
      <font>
        <sz val="26"/>
      </font>
    </dxf>
    <dxf>
      <font>
        <sz val="26"/>
      </font>
    </dxf>
    <dxf>
      <font>
        <sz val="26"/>
      </font>
    </dxf>
    <dxf>
      <font>
        <sz val="26"/>
      </font>
    </dxf>
    <dxf>
      <font>
        <sz val="26"/>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sz val="26"/>
      </font>
    </dxf>
    <dxf>
      <font>
        <b/>
      </font>
    </dxf>
    <dxf>
      <font>
        <b/>
        <i val="0"/>
      </font>
      <border>
        <left style="thin">
          <color auto="1"/>
        </left>
        <right style="thin">
          <color auto="1"/>
        </right>
        <top style="thin">
          <color auto="1"/>
        </top>
        <bottom style="thin">
          <color auto="1"/>
        </bottom>
        <vertical/>
        <horizontal/>
      </border>
    </dxf>
    <dxf>
      <font>
        <sz val="26"/>
      </font>
    </dxf>
    <dxf>
      <font>
        <sz val="26"/>
      </font>
    </dxf>
    <dxf>
      <font>
        <b/>
      </font>
    </dxf>
    <dxf>
      <font>
        <b/>
      </font>
    </dxf>
    <dxf>
      <font>
        <b/>
      </font>
    </dxf>
    <dxf>
      <font>
        <b/>
      </font>
    </dxf>
    <dxf>
      <font>
        <b/>
      </font>
    </dxf>
    <dxf>
      <font>
        <b/>
      </font>
    </dxf>
    <dxf>
      <font>
        <sz val="20"/>
      </font>
    </dxf>
    <dxf>
      <font>
        <sz val="20"/>
      </font>
    </dxf>
    <dxf>
      <font>
        <sz val="20"/>
      </font>
    </dxf>
    <dxf>
      <font>
        <sz val="20"/>
      </font>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72" formatCode="[$-1010409]d/m/yyyy\ h:mm\ AM/PM;@"/>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72" formatCode="[$-1010409]d/m/yyyy\ h:mm\ AM/PM;@"/>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67" formatCode="yyyy\-mm\-dd"/>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68" formatCode="_-* #,##0_-;\-* #,##0_-;_-* &quot;-&quot;??_-;_-@_-"/>
      <fill>
        <patternFill patternType="solid">
          <fgColor theme="4" tint="-0.249977111117893"/>
          <bgColor theme="4"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68" formatCode="_-* #,##0_-;\-* #,##0_-;_-* &quot;-&quot;??_-;_-@_-"/>
      <fill>
        <patternFill patternType="solid">
          <fgColor theme="4" tint="-0.249977111117893"/>
          <bgColor theme="4"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 formatCode="0"/>
      <fill>
        <patternFill patternType="solid">
          <fgColor theme="4" tint="-0.249977111117893"/>
          <bgColor theme="4"/>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 formatCode="0"/>
      <fill>
        <patternFill patternType="solid">
          <fgColor theme="4" tint="-0.249977111117893"/>
          <bgColor theme="4"/>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66" formatCode="yyyy\-mm\-dd;@"/>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6"/>
        <color theme="0"/>
        <name val="Sakkal Majalla"/>
        <scheme val="none"/>
      </font>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166" formatCode="yyyy\-mm\-dd;@"/>
      <fill>
        <patternFill patternType="solid">
          <fgColor theme="4" tint="-0.249977111117893"/>
          <bgColor theme="4"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6"/>
        <color theme="0"/>
        <name val="Sakkal Majalla"/>
        <scheme val="none"/>
      </font>
      <fill>
        <patternFill patternType="solid">
          <fgColor theme="4" tint="-0.249977111117893"/>
          <bgColor theme="4"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Sakkal Majalla"/>
        <scheme val="none"/>
      </font>
      <numFmt numFmtId="0" formatCode="General"/>
      <fill>
        <patternFill patternType="solid">
          <fgColor theme="4" tint="-0.249977111117893"/>
          <bgColor theme="4" tint="-0.249977111117893"/>
        </patternFill>
      </fill>
      <alignment horizontal="general" vertical="center" textRotation="0" wrapText="0" indent="0" justifyLastLine="0" shrinkToFit="0" readingOrder="0"/>
    </dxf>
    <dxf>
      <border outline="0">
        <top style="thin">
          <color theme="6" tint="0.39997558519241921"/>
        </top>
      </border>
    </dxf>
    <dxf>
      <font>
        <b/>
        <i val="0"/>
        <strike val="0"/>
        <condense val="0"/>
        <extend val="0"/>
        <outline val="0"/>
        <shadow val="0"/>
        <u val="none"/>
        <vertAlign val="baseline"/>
        <sz val="16"/>
        <color theme="0"/>
        <name val="Sakkal Majalla"/>
        <scheme val="none"/>
      </font>
      <fill>
        <patternFill patternType="solid">
          <fgColor theme="4" tint="-0.249977111117893"/>
          <bgColor theme="4" tint="-0.249977111117893"/>
        </patternFill>
      </fill>
      <alignment horizontal="general"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6"/>
        <color theme="0"/>
        <name val="Sakkal Majalla"/>
        <scheme val="none"/>
      </font>
      <fill>
        <patternFill patternType="solid">
          <fgColor theme="1"/>
          <bgColor theme="1"/>
        </patternFill>
      </fill>
      <alignment horizontal="center" vertical="center" textRotation="0" wrapText="0" indent="0" justifyLastLine="0" shrinkToFit="0" readingOrder="0"/>
    </dxf>
    <dxf>
      <alignment horizontal="center"/>
    </dxf>
    <dxf>
      <alignment horizontal="center"/>
    </dxf>
    <dxf>
      <alignment vertical="center"/>
    </dxf>
    <dxf>
      <alignment vertical="center"/>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right" vertical="center" textRotation="0" wrapText="1" indent="0" justifyLastLine="0" shrinkToFit="0" readingOrder="0"/>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166" formatCode="yyyy\-mm\-dd;@"/>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168" formatCode="_-* #,##0_-;\-* #,##0_-;_-* &quot;-&quot;??_-;_-@_-"/>
      <fill>
        <patternFill patternType="solid">
          <fgColor indexed="64"/>
          <bgColor theme="4" tint="-0.499984740745262"/>
        </patternFill>
      </fill>
      <alignment horizontal="center"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6"/>
        <color theme="1"/>
        <name val="Sakkal Majalla"/>
        <scheme val="none"/>
      </font>
      <numFmt numFmtId="168" formatCode="_-* #,##0_-;\-* #,##0_-;_-* &quot;-&quot;??_-;_-@_-"/>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solid">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0" formatCode="General"/>
      <fill>
        <patternFill patternType="none">
          <fgColor indexed="64"/>
          <bgColor theme="4" tint="-0.499984740745262"/>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font>
        <b/>
        <strike val="0"/>
        <outline val="0"/>
        <shadow val="0"/>
        <u val="none"/>
        <vertAlign val="baseline"/>
        <sz val="16"/>
        <color theme="1"/>
        <name val="Sakkal Majalla"/>
        <scheme val="none"/>
      </font>
      <numFmt numFmtId="167" formatCode="yyyy\-mm\-dd"/>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border outline="0">
        <top style="thin">
          <color theme="6" tint="0.39997558519241921"/>
        </top>
      </border>
    </dxf>
    <dxf>
      <font>
        <b/>
        <strike val="0"/>
        <outline val="0"/>
        <shadow val="0"/>
        <u val="none"/>
        <vertAlign val="baseline"/>
        <sz val="16"/>
        <color theme="1"/>
        <name val="Sakkal Majalla"/>
        <scheme val="none"/>
      </font>
      <fill>
        <patternFill patternType="none">
          <fgColor indexed="64"/>
          <bgColor auto="1"/>
        </patternFill>
      </fill>
      <alignment horizontal="general"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6"/>
        <color theme="0"/>
        <name val="Sakkal Majalla"/>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2"/>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2"/>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2"/>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2"/>
        <color theme="1"/>
        <name val="Sakkal Majalla"/>
        <scheme val="none"/>
      </font>
      <alignment horizontal="center" vertical="center" textRotation="0" wrapText="0" indent="0" justifyLastLine="0" shrinkToFit="0" readingOrder="0"/>
    </dxf>
    <dxf>
      <font>
        <strike val="0"/>
        <outline val="0"/>
        <shadow val="0"/>
        <u val="none"/>
        <vertAlign val="baseline"/>
        <sz val="16"/>
        <color theme="1"/>
        <name val="Sakkal Majalla"/>
        <scheme val="none"/>
      </font>
    </dxf>
    <dxf>
      <font>
        <strike val="0"/>
        <outline val="0"/>
        <shadow val="0"/>
        <u val="none"/>
        <vertAlign val="baseline"/>
        <sz val="16"/>
        <color theme="1"/>
        <name val="Sakkal Majalla"/>
        <scheme val="none"/>
      </font>
    </dxf>
    <dxf>
      <font>
        <strike val="0"/>
        <outline val="0"/>
        <shadow val="0"/>
        <u val="none"/>
        <vertAlign val="baseline"/>
        <sz val="16"/>
        <color theme="1"/>
        <name val="Sakkal Majalla"/>
        <scheme val="none"/>
      </font>
    </dxf>
    <dxf>
      <font>
        <strike val="0"/>
        <outline val="0"/>
        <shadow val="0"/>
        <u val="none"/>
        <vertAlign val="baseline"/>
        <sz val="16"/>
        <color theme="1"/>
        <name val="Sakkal Majalla"/>
        <scheme val="none"/>
      </font>
    </dxf>
    <dxf>
      <font>
        <b val="0"/>
        <i val="0"/>
        <strike val="0"/>
        <condense val="0"/>
        <extend val="0"/>
        <outline val="0"/>
        <shadow val="0"/>
        <u val="none"/>
        <vertAlign val="baseline"/>
        <sz val="22"/>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2"/>
        <color theme="1"/>
        <name val="Sakkal Majalla"/>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22"/>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Arial"/>
        <family val="2"/>
        <charset val="178"/>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20"/>
        <color auto="1"/>
        <name val="Sakkal Majalla"/>
        <scheme val="none"/>
      </font>
      <numFmt numFmtId="165" formatCode="yyyy/mm/dd"/>
      <alignment horizontal="center" vertical="center" textRotation="0" wrapText="0" indent="0" justifyLastLine="0" shrinkToFit="0" readingOrder="0"/>
    </dxf>
    <dxf>
      <font>
        <b val="0"/>
        <i val="0"/>
        <strike val="0"/>
        <condense val="0"/>
        <extend val="0"/>
        <outline val="0"/>
        <shadow val="0"/>
        <u val="none"/>
        <vertAlign val="baseline"/>
        <sz val="20"/>
        <color auto="1"/>
        <name val="Sakkal Majalla"/>
        <scheme val="none"/>
      </font>
      <numFmt numFmtId="165" formatCode="yyyy/mm/dd"/>
      <alignment horizontal="center" vertical="center" textRotation="0" wrapText="0" indent="0" justifyLastLine="0" shrinkToFit="0" readingOrder="0"/>
    </dxf>
    <dxf>
      <font>
        <b val="0"/>
        <i val="0"/>
        <strike val="0"/>
        <condense val="0"/>
        <extend val="0"/>
        <outline val="0"/>
        <shadow val="0"/>
        <u val="none"/>
        <vertAlign val="baseline"/>
        <sz val="14"/>
        <color theme="1"/>
        <name val="Arial"/>
        <family val="2"/>
        <charset val="178"/>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Arial"/>
        <family val="2"/>
        <charset val="178"/>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Arial"/>
        <family val="2"/>
        <charset val="178"/>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Arial"/>
        <family val="2"/>
        <charset val="178"/>
        <scheme val="minor"/>
      </font>
      <alignment horizontal="center" vertical="center" textRotation="0" wrapText="0" indent="0" justifyLastLine="0" shrinkToFit="0" readingOrder="0"/>
    </dxf>
    <dxf>
      <font>
        <b val="0"/>
        <i val="0"/>
        <strike val="0"/>
        <condense val="0"/>
        <extend val="0"/>
        <outline val="0"/>
        <shadow val="0"/>
        <u val="none"/>
        <vertAlign val="baseline"/>
        <sz val="18"/>
        <color theme="1"/>
        <name val="Sakkal Majall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8"/>
        <color theme="1"/>
        <name val="Sakkal Majall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8"/>
        <color theme="1"/>
        <name val="Sakkal Majall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8"/>
        <color theme="1"/>
        <name val="Sakkal Majall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8"/>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8"/>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20"/>
        <color theme="1"/>
        <name val="Sakkal Majalla"/>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1"/>
        <name val="Sakkal Majalla"/>
        <scheme val="none"/>
      </font>
      <numFmt numFmtId="0" formatCode="Genera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numFmt numFmtId="0" formatCode="Genera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Sakkal Majalla"/>
        <scheme val="none"/>
      </font>
      <numFmt numFmtId="0" formatCode="Genera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Sakkal Majalla"/>
        <scheme val="none"/>
      </font>
    </dxf>
    <dxf>
      <font>
        <b/>
        <i val="0"/>
        <strike val="0"/>
        <condense val="0"/>
        <extend val="0"/>
        <outline val="0"/>
        <shadow val="0"/>
        <u val="none"/>
        <vertAlign val="baseline"/>
        <sz val="14"/>
        <color theme="1"/>
        <name val="Sakkal Majalla"/>
        <scheme val="none"/>
      </font>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dxf>
    <dxf>
      <font>
        <b/>
      </font>
    </dxf>
    <dxf>
      <font>
        <b/>
      </font>
    </dxf>
    <dxf>
      <font>
        <b/>
      </font>
    </dxf>
    <dxf>
      <font>
        <b/>
      </font>
    </dxf>
    <dxf>
      <font>
        <b/>
      </font>
    </dxf>
    <dxf>
      <font>
        <b/>
      </font>
    </dxf>
    <dxf>
      <font>
        <b/>
      </font>
    </dxf>
    <dxf>
      <font>
        <b/>
      </font>
    </dxf>
    <dxf>
      <font>
        <b/>
      </font>
    </dxf>
    <dxf>
      <font>
        <b/>
      </font>
    </dxf>
    <dxf>
      <font>
        <b/>
      </font>
    </dxf>
    <dxf>
      <font>
        <sz val="28"/>
      </font>
    </dxf>
    <dxf>
      <font>
        <sz val="28"/>
      </font>
    </dxf>
    <dxf>
      <font>
        <sz val="28"/>
      </font>
    </dxf>
    <dxf>
      <font>
        <sz val="28"/>
      </font>
    </dxf>
    <dxf>
      <font>
        <sz val="28"/>
      </font>
    </dxf>
    <dxf>
      <font>
        <sz val="28"/>
      </font>
    </dxf>
    <dxf>
      <font>
        <sz val="28"/>
      </font>
    </dxf>
    <dxf>
      <font>
        <sz val="28"/>
      </font>
    </dxf>
    <dxf>
      <font>
        <sz val="28"/>
      </font>
    </dxf>
    <dxf>
      <font>
        <sz val="28"/>
      </font>
    </dxf>
    <dxf>
      <font>
        <sz val="28"/>
      </font>
    </dxf>
    <dxf>
      <font>
        <sz val="28"/>
      </fon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Continuous"/>
    </dxf>
    <dxf>
      <font>
        <b/>
      </font>
    </dxf>
    <dxf>
      <font>
        <sz val="24"/>
      </font>
    </dxf>
    <dxf>
      <numFmt numFmtId="168" formatCode="_-* #,##0_-;\-* #,##0_-;_-* &quot;-&quot;??_-;_-@_-"/>
    </dxf>
    <dxf>
      <font>
        <sz val="24"/>
      </font>
    </dxf>
    <dxf>
      <alignment horizontal="centerContinuous"/>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microsoft.com/office/2007/relationships/slicerCache" Target="slicerCaches/slicerCache1.xml" /><Relationship Id="rId18" Type="http://schemas.openxmlformats.org/officeDocument/2006/relationships/sharedStrings" Target="sharedStrings.xml" /><Relationship Id="rId3" Type="http://schemas.openxmlformats.org/officeDocument/2006/relationships/worksheet" Target="worksheets/sheet3.xml" /><Relationship Id="rId21" Type="http://schemas.microsoft.com/office/2017/06/relationships/rdRichValue" Target="richData/rdrichvalue.xml" /><Relationship Id="rId7" Type="http://schemas.openxmlformats.org/officeDocument/2006/relationships/worksheet" Target="worksheets/sheet7.xml" /><Relationship Id="rId12" Type="http://schemas.openxmlformats.org/officeDocument/2006/relationships/pivotCacheDefinition" Target="pivotCache/pivotCacheDefinition1.xml" /><Relationship Id="rId17" Type="http://schemas.openxmlformats.org/officeDocument/2006/relationships/styles" Target="styles.xml" /><Relationship Id="rId25" Type="http://schemas.microsoft.com/office/2006/relationships/vbaProject" Target="vbaProject.bin" /><Relationship Id="rId2" Type="http://schemas.openxmlformats.org/officeDocument/2006/relationships/worksheet" Target="worksheets/sheet2.xml" /><Relationship Id="rId16" Type="http://schemas.openxmlformats.org/officeDocument/2006/relationships/theme" Target="theme/theme1.xml" /><Relationship Id="rId20" Type="http://schemas.microsoft.com/office/2022/10/relationships/richValueRel" Target="richData/richValueRel.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worksheet" Target="worksheets/sheet11.xml" /><Relationship Id="rId24" Type="http://schemas.openxmlformats.org/officeDocument/2006/relationships/calcChain" Target="calcChain.xml" /><Relationship Id="rId5" Type="http://schemas.openxmlformats.org/officeDocument/2006/relationships/worksheet" Target="worksheets/sheet5.xml" /><Relationship Id="rId15" Type="http://schemas.microsoft.com/office/2007/relationships/slicerCache" Target="slicerCaches/slicerCache3.xml" /><Relationship Id="rId23" Type="http://schemas.microsoft.com/office/2017/06/relationships/rdRichValueTypes" Target="richData/rdRichValueTypes.xml" /><Relationship Id="rId10" Type="http://schemas.openxmlformats.org/officeDocument/2006/relationships/worksheet" Target="worksheets/sheet10.xml" /><Relationship Id="rId19" Type="http://schemas.openxmlformats.org/officeDocument/2006/relationships/sheetMetadata" Target="metadata.xml" /><Relationship Id="rId4" Type="http://schemas.openxmlformats.org/officeDocument/2006/relationships/worksheet" Target="worksheets/sheet4.xml" /><Relationship Id="rId9" Type="http://schemas.openxmlformats.org/officeDocument/2006/relationships/worksheet" Target="worksheets/sheet9.xml" /><Relationship Id="rId14" Type="http://schemas.microsoft.com/office/2007/relationships/slicerCache" Target="slicerCaches/slicerCache2.xml" /><Relationship Id="rId22" Type="http://schemas.microsoft.com/office/2017/06/relationships/rdRichValueStructure" Target="richData/rdrichvaluestructure.xml" /></Relationships>
</file>

<file path=xl/drawings/_rels/drawing1.xml.rels><?xml version="1.0" encoding="UTF-8" standalone="yes"?>
<Relationships xmlns="http://schemas.openxmlformats.org/package/2006/relationships"><Relationship Id="rId8" Type="http://schemas.openxmlformats.org/officeDocument/2006/relationships/image" Target="../media/image4.png" /><Relationship Id="rId3" Type="http://schemas.openxmlformats.org/officeDocument/2006/relationships/hyperlink" Target="#printcashdco!A1" /><Relationship Id="rId7" Type="http://schemas.openxmlformats.org/officeDocument/2006/relationships/hyperlink" Target="#'&#1575;&#1604;&#1578;&#1602;&#1585;&#1610;&#1585; &#1575;&#1604;&#1593;&#1575;&#1605;'!A1" /><Relationship Id="rId2" Type="http://schemas.openxmlformats.org/officeDocument/2006/relationships/hyperlink" Target="#'Daily Operation'!A1" /><Relationship Id="rId1" Type="http://schemas.openxmlformats.org/officeDocument/2006/relationships/hyperlink" Target="#'&#1605;&#1610;&#1586;&#1575;&#1606; &#1575;&#1604;&#1605;&#1585;&#1575;&#1580;&#1593;&#1577;'!A1" /><Relationship Id="rId6" Type="http://schemas.openxmlformats.org/officeDocument/2006/relationships/hyperlink" Target="#judje!A1" /><Relationship Id="rId5" Type="http://schemas.openxmlformats.org/officeDocument/2006/relationships/hyperlink" Target="#data!A1" /><Relationship Id="rId10" Type="http://schemas.openxmlformats.org/officeDocument/2006/relationships/image" Target="../media/image6.png" /><Relationship Id="rId4" Type="http://schemas.openxmlformats.org/officeDocument/2006/relationships/hyperlink" Target="#'Daily Journal'!A1" /><Relationship Id="rId9" Type="http://schemas.openxmlformats.org/officeDocument/2006/relationships/image" Target="../media/image5.png" /></Relationships>
</file>

<file path=xl/drawings/_rels/drawing2.xml.rels><?xml version="1.0" encoding="UTF-8" standalone="yes"?>
<Relationships xmlns="http://schemas.openxmlformats.org/package/2006/relationships"><Relationship Id="rId2" Type="http://schemas.openxmlformats.org/officeDocument/2006/relationships/image" Target="../media/image7.png" /><Relationship Id="rId1" Type="http://schemas.openxmlformats.org/officeDocument/2006/relationships/hyperlink" Target="#Home!A1" /></Relationships>
</file>

<file path=xl/drawings/_rels/drawing3.xml.rels><?xml version="1.0" encoding="UTF-8" standalone="yes"?>
<Relationships xmlns="http://schemas.openxmlformats.org/package/2006/relationships"><Relationship Id="rId2" Type="http://schemas.openxmlformats.org/officeDocument/2006/relationships/image" Target="../media/image7.png" /><Relationship Id="rId1" Type="http://schemas.openxmlformats.org/officeDocument/2006/relationships/hyperlink" Target="#Home!A1" /></Relationships>
</file>

<file path=xl/drawings/_rels/drawing6.xml.rels><?xml version="1.0" encoding="UTF-8" standalone="yes"?>
<Relationships xmlns="http://schemas.openxmlformats.org/package/2006/relationships"><Relationship Id="rId3" Type="http://schemas.openxmlformats.org/officeDocument/2006/relationships/image" Target="../media/image10.png" /><Relationship Id="rId2" Type="http://schemas.openxmlformats.org/officeDocument/2006/relationships/image" Target="../media/image9.png" /><Relationship Id="rId1" Type="http://schemas.openxmlformats.org/officeDocument/2006/relationships/image" Target="../media/image8.png" /></Relationships>
</file>

<file path=xl/drawings/drawing1.xml><?xml version="1.0" encoding="utf-8"?>
<xdr:wsDr xmlns:xdr="http://schemas.openxmlformats.org/drawingml/2006/spreadsheetDrawing" xmlns:a="http://schemas.openxmlformats.org/drawingml/2006/main">
  <xdr:twoCellAnchor>
    <xdr:from>
      <xdr:col>0</xdr:col>
      <xdr:colOff>609600</xdr:colOff>
      <xdr:row>4</xdr:row>
      <xdr:rowOff>164175</xdr:rowOff>
    </xdr:from>
    <xdr:to>
      <xdr:col>4</xdr:col>
      <xdr:colOff>514370</xdr:colOff>
      <xdr:row>7</xdr:row>
      <xdr:rowOff>11626</xdr:rowOff>
    </xdr:to>
    <xdr:sp macro="[0]!addnewopration" textlink="">
      <xdr:nvSpPr>
        <xdr:cNvPr id="2" name="Rounded Rectangle 2">
          <a:extLst>
            <a:ext uri="{FF2B5EF4-FFF2-40B4-BE49-F238E27FC236}">
              <a16:creationId xmlns:a16="http://schemas.microsoft.com/office/drawing/2014/main" id="{252DB51F-B192-43A0-9680-6A44491E0B32}"/>
            </a:ext>
          </a:extLst>
        </xdr:cNvPr>
        <xdr:cNvSpPr/>
      </xdr:nvSpPr>
      <xdr:spPr>
        <a:xfrm flipH="1">
          <a:off x="12553930" y="766155"/>
          <a:ext cx="2587010" cy="373231"/>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سند</a:t>
          </a:r>
          <a:r>
            <a:rPr lang="ar-SA" sz="1600" b="1" baseline="0">
              <a:solidFill>
                <a:schemeClr val="bg1"/>
              </a:solidFill>
              <a:latin typeface="+mn-lt"/>
              <a:ea typeface="+mn-ea"/>
              <a:cs typeface="+mn-cs"/>
            </a:rPr>
            <a:t> صرف/ قيد يومية</a:t>
          </a:r>
          <a:endParaRPr lang="en-US" sz="1600" b="1">
            <a:solidFill>
              <a:schemeClr val="bg1"/>
            </a:solidFill>
            <a:latin typeface="+mn-lt"/>
            <a:ea typeface="+mn-ea"/>
            <a:cs typeface="+mn-cs"/>
          </a:endParaRPr>
        </a:p>
      </xdr:txBody>
    </xdr:sp>
    <xdr:clientData/>
  </xdr:twoCellAnchor>
  <xdr:twoCellAnchor>
    <xdr:from>
      <xdr:col>0</xdr:col>
      <xdr:colOff>619125</xdr:colOff>
      <xdr:row>7</xdr:row>
      <xdr:rowOff>97500</xdr:rowOff>
    </xdr:from>
    <xdr:to>
      <xdr:col>4</xdr:col>
      <xdr:colOff>523889</xdr:colOff>
      <xdr:row>9</xdr:row>
      <xdr:rowOff>116602</xdr:rowOff>
    </xdr:to>
    <xdr:sp macro="[0]!ADDOPRAtionqbth" textlink="">
      <xdr:nvSpPr>
        <xdr:cNvPr id="3" name="Rounded Rectangle 7">
          <a:extLst>
            <a:ext uri="{FF2B5EF4-FFF2-40B4-BE49-F238E27FC236}">
              <a16:creationId xmlns:a16="http://schemas.microsoft.com/office/drawing/2014/main" id="{54564502-9992-4169-95D0-CE07A05F0001}"/>
            </a:ext>
          </a:extLst>
        </xdr:cNvPr>
        <xdr:cNvSpPr/>
      </xdr:nvSpPr>
      <xdr:spPr>
        <a:xfrm flipH="1">
          <a:off x="12544411" y="1225260"/>
          <a:ext cx="2587004" cy="369622"/>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سند قبض</a:t>
          </a:r>
          <a:endParaRPr lang="en-US" sz="1600" b="1">
            <a:solidFill>
              <a:schemeClr val="bg1"/>
            </a:solidFill>
            <a:latin typeface="+mn-lt"/>
            <a:ea typeface="+mn-ea"/>
            <a:cs typeface="+mn-cs"/>
          </a:endParaRPr>
        </a:p>
      </xdr:txBody>
    </xdr:sp>
    <xdr:clientData/>
  </xdr:twoCellAnchor>
  <xdr:twoCellAnchor>
    <xdr:from>
      <xdr:col>0</xdr:col>
      <xdr:colOff>609600</xdr:colOff>
      <xdr:row>10</xdr:row>
      <xdr:rowOff>21300</xdr:rowOff>
    </xdr:from>
    <xdr:to>
      <xdr:col>4</xdr:col>
      <xdr:colOff>514370</xdr:colOff>
      <xdr:row>12</xdr:row>
      <xdr:rowOff>49875</xdr:rowOff>
    </xdr:to>
    <xdr:sp macro="" textlink="">
      <xdr:nvSpPr>
        <xdr:cNvPr id="4" name="Rounded Rectangle 8">
          <a:hlinkClick xmlns:r="http://schemas.openxmlformats.org/officeDocument/2006/relationships" r:id="rId1"/>
          <a:extLst>
            <a:ext uri="{FF2B5EF4-FFF2-40B4-BE49-F238E27FC236}">
              <a16:creationId xmlns:a16="http://schemas.microsoft.com/office/drawing/2014/main" id="{9EA0A907-CE51-456B-9E1A-6631D501F1FD}"/>
            </a:ext>
          </a:extLst>
        </xdr:cNvPr>
        <xdr:cNvSpPr/>
      </xdr:nvSpPr>
      <xdr:spPr>
        <a:xfrm flipH="1">
          <a:off x="12553930" y="1674840"/>
          <a:ext cx="2587010" cy="379095"/>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KW" sz="1600" b="1">
              <a:solidFill>
                <a:schemeClr val="bg1"/>
              </a:solidFill>
              <a:latin typeface="+mn-lt"/>
              <a:ea typeface="+mn-ea"/>
              <a:cs typeface="+mn-cs"/>
            </a:rPr>
            <a:t>ميزان المراجعة</a:t>
          </a:r>
          <a:endParaRPr lang="en-US" sz="1600" b="1">
            <a:solidFill>
              <a:schemeClr val="bg1"/>
            </a:solidFill>
            <a:latin typeface="+mn-lt"/>
            <a:ea typeface="+mn-ea"/>
            <a:cs typeface="+mn-cs"/>
          </a:endParaRPr>
        </a:p>
      </xdr:txBody>
    </xdr:sp>
    <xdr:clientData/>
  </xdr:twoCellAnchor>
  <xdr:twoCellAnchor>
    <xdr:from>
      <xdr:col>0</xdr:col>
      <xdr:colOff>617076</xdr:colOff>
      <xdr:row>12</xdr:row>
      <xdr:rowOff>124027</xdr:rowOff>
    </xdr:from>
    <xdr:to>
      <xdr:col>4</xdr:col>
      <xdr:colOff>522425</xdr:colOff>
      <xdr:row>14</xdr:row>
      <xdr:rowOff>145578</xdr:rowOff>
    </xdr:to>
    <xdr:sp macro="" textlink="">
      <xdr:nvSpPr>
        <xdr:cNvPr id="5" name="Rounded Rectangle 9">
          <a:extLst>
            <a:ext uri="{FF2B5EF4-FFF2-40B4-BE49-F238E27FC236}">
              <a16:creationId xmlns:a16="http://schemas.microsoft.com/office/drawing/2014/main" id="{94F1EE5C-CA45-44C6-9DB8-C1F7D8919480}"/>
            </a:ext>
          </a:extLst>
        </xdr:cNvPr>
        <xdr:cNvSpPr/>
      </xdr:nvSpPr>
      <xdr:spPr>
        <a:xfrm flipH="1">
          <a:off x="12545875" y="2128087"/>
          <a:ext cx="2587589" cy="372071"/>
        </a:xfrm>
        <a:prstGeom prst="roundRect">
          <a:avLst/>
        </a:prstGeom>
        <a:solidFill>
          <a:srgbClr val="7030A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0</xdr:col>
      <xdr:colOff>626601</xdr:colOff>
      <xdr:row>15</xdr:row>
      <xdr:rowOff>40803</xdr:rowOff>
    </xdr:from>
    <xdr:to>
      <xdr:col>4</xdr:col>
      <xdr:colOff>531945</xdr:colOff>
      <xdr:row>17</xdr:row>
      <xdr:rowOff>69379</xdr:rowOff>
    </xdr:to>
    <xdr:sp macro="" textlink="">
      <xdr:nvSpPr>
        <xdr:cNvPr id="6" name="Rounded Rectangle 10">
          <a:extLst>
            <a:ext uri="{FF2B5EF4-FFF2-40B4-BE49-F238E27FC236}">
              <a16:creationId xmlns:a16="http://schemas.microsoft.com/office/drawing/2014/main" id="{44FD2D3E-1897-4871-A365-4A13C580FC5B}"/>
            </a:ext>
          </a:extLst>
        </xdr:cNvPr>
        <xdr:cNvSpPr/>
      </xdr:nvSpPr>
      <xdr:spPr>
        <a:xfrm flipH="1">
          <a:off x="12536355" y="2570643"/>
          <a:ext cx="2587584" cy="379096"/>
        </a:xfrm>
        <a:prstGeom prst="roundRect">
          <a:avLst/>
        </a:prstGeom>
        <a:solidFill>
          <a:srgbClr val="7030A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0</xdr:col>
      <xdr:colOff>645651</xdr:colOff>
      <xdr:row>17</xdr:row>
      <xdr:rowOff>145579</xdr:rowOff>
    </xdr:from>
    <xdr:to>
      <xdr:col>4</xdr:col>
      <xdr:colOff>541478</xdr:colOff>
      <xdr:row>19</xdr:row>
      <xdr:rowOff>165387</xdr:rowOff>
    </xdr:to>
    <xdr:sp macro="" textlink="">
      <xdr:nvSpPr>
        <xdr:cNvPr id="7" name="Rounded Rectangle 11">
          <a:extLst>
            <a:ext uri="{FF2B5EF4-FFF2-40B4-BE49-F238E27FC236}">
              <a16:creationId xmlns:a16="http://schemas.microsoft.com/office/drawing/2014/main" id="{4A38ABB0-D8C2-4659-83B5-83888533A5D3}"/>
            </a:ext>
          </a:extLst>
        </xdr:cNvPr>
        <xdr:cNvSpPr/>
      </xdr:nvSpPr>
      <xdr:spPr>
        <a:xfrm flipH="1">
          <a:off x="12526822" y="3025939"/>
          <a:ext cx="2578067" cy="370328"/>
        </a:xfrm>
        <a:prstGeom prst="roundRect">
          <a:avLst/>
        </a:prstGeom>
        <a:solidFill>
          <a:srgbClr val="7030A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0</xdr:col>
      <xdr:colOff>623089</xdr:colOff>
      <xdr:row>20</xdr:row>
      <xdr:rowOff>78903</xdr:rowOff>
    </xdr:from>
    <xdr:to>
      <xdr:col>4</xdr:col>
      <xdr:colOff>527848</xdr:colOff>
      <xdr:row>22</xdr:row>
      <xdr:rowOff>97735</xdr:rowOff>
    </xdr:to>
    <xdr:sp macro="" textlink="">
      <xdr:nvSpPr>
        <xdr:cNvPr id="8" name="Rounded Rectangle 12">
          <a:extLst>
            <a:ext uri="{FF2B5EF4-FFF2-40B4-BE49-F238E27FC236}">
              <a16:creationId xmlns:a16="http://schemas.microsoft.com/office/drawing/2014/main" id="{8B49B2FC-541B-45F6-8A19-F85ED0C926C1}"/>
            </a:ext>
          </a:extLst>
        </xdr:cNvPr>
        <xdr:cNvSpPr/>
      </xdr:nvSpPr>
      <xdr:spPr>
        <a:xfrm flipH="1">
          <a:off x="12540452" y="3485043"/>
          <a:ext cx="2586999" cy="369352"/>
        </a:xfrm>
        <a:prstGeom prst="roundRect">
          <a:avLst/>
        </a:prstGeom>
        <a:solidFill>
          <a:srgbClr val="7030A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0</xdr:col>
      <xdr:colOff>645651</xdr:colOff>
      <xdr:row>23</xdr:row>
      <xdr:rowOff>2704</xdr:rowOff>
    </xdr:from>
    <xdr:to>
      <xdr:col>4</xdr:col>
      <xdr:colOff>541478</xdr:colOff>
      <xdr:row>25</xdr:row>
      <xdr:rowOff>31279</xdr:rowOff>
    </xdr:to>
    <xdr:sp macro="" textlink="">
      <xdr:nvSpPr>
        <xdr:cNvPr id="9" name="Rounded Rectangle 13">
          <a:extLst>
            <a:ext uri="{FF2B5EF4-FFF2-40B4-BE49-F238E27FC236}">
              <a16:creationId xmlns:a16="http://schemas.microsoft.com/office/drawing/2014/main" id="{EC61EFD9-6B6D-4EC8-B3E0-D96ED8405124}"/>
            </a:ext>
          </a:extLst>
        </xdr:cNvPr>
        <xdr:cNvSpPr/>
      </xdr:nvSpPr>
      <xdr:spPr>
        <a:xfrm flipH="1">
          <a:off x="12526822" y="3934624"/>
          <a:ext cx="2578067" cy="379095"/>
        </a:xfrm>
        <a:prstGeom prst="roundRect">
          <a:avLst/>
        </a:prstGeom>
        <a:solidFill>
          <a:srgbClr val="7030A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0</xdr:col>
      <xdr:colOff>617076</xdr:colOff>
      <xdr:row>25</xdr:row>
      <xdr:rowOff>88429</xdr:rowOff>
    </xdr:from>
    <xdr:to>
      <xdr:col>4</xdr:col>
      <xdr:colOff>522425</xdr:colOff>
      <xdr:row>27</xdr:row>
      <xdr:rowOff>117003</xdr:rowOff>
    </xdr:to>
    <xdr:sp macro="" textlink="">
      <xdr:nvSpPr>
        <xdr:cNvPr id="10" name="Rounded Rectangle 14">
          <a:extLst>
            <a:ext uri="{FF2B5EF4-FFF2-40B4-BE49-F238E27FC236}">
              <a16:creationId xmlns:a16="http://schemas.microsoft.com/office/drawing/2014/main" id="{915EECB8-A90F-404D-B80B-B0A45542EB91}"/>
            </a:ext>
          </a:extLst>
        </xdr:cNvPr>
        <xdr:cNvSpPr/>
      </xdr:nvSpPr>
      <xdr:spPr>
        <a:xfrm flipH="1">
          <a:off x="12545875" y="4370869"/>
          <a:ext cx="2587589" cy="379094"/>
        </a:xfrm>
        <a:prstGeom prst="roundRect">
          <a:avLst/>
        </a:prstGeom>
        <a:solidFill>
          <a:srgbClr val="7030A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oneCellAnchor>
    <xdr:from>
      <xdr:col>0</xdr:col>
      <xdr:colOff>610931</xdr:colOff>
      <xdr:row>30</xdr:row>
      <xdr:rowOff>98688</xdr:rowOff>
    </xdr:from>
    <xdr:ext cx="2576045" cy="379324"/>
    <xdr:sp macro="" textlink="">
      <xdr:nvSpPr>
        <xdr:cNvPr id="11" name="Rounded Rectangle 16">
          <a:extLst>
            <a:ext uri="{FF2B5EF4-FFF2-40B4-BE49-F238E27FC236}">
              <a16:creationId xmlns:a16="http://schemas.microsoft.com/office/drawing/2014/main" id="{55D4C2AE-EA73-430B-8807-C2D61916D277}"/>
            </a:ext>
          </a:extLst>
        </xdr:cNvPr>
        <xdr:cNvSpPr>
          <a:spLocks noChangeAspect="1"/>
        </xdr:cNvSpPr>
      </xdr:nvSpPr>
      <xdr:spPr>
        <a:xfrm flipH="1">
          <a:off x="12563564" y="5257428"/>
          <a:ext cx="2576045" cy="379324"/>
        </a:xfrm>
        <a:prstGeom prst="roundRect">
          <a:avLst/>
        </a:prstGeom>
        <a:ln/>
        <a:scene3d>
          <a:camera prst="perspectiveBelow"/>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1600" b="1">
              <a:solidFill>
                <a:schemeClr val="bg1"/>
              </a:solidFill>
              <a:latin typeface="+mn-lt"/>
              <a:ea typeface="+mn-ea"/>
              <a:cs typeface="+mn-cs"/>
            </a:rPr>
            <a:t>مرتجع</a:t>
          </a:r>
          <a:endParaRPr lang="en-US" sz="1600" b="1">
            <a:solidFill>
              <a:schemeClr val="bg1"/>
            </a:solidFill>
            <a:latin typeface="+mn-lt"/>
            <a:ea typeface="+mn-ea"/>
            <a:cs typeface="+mn-cs"/>
          </a:endParaRPr>
        </a:p>
      </xdr:txBody>
    </xdr:sp>
    <xdr:clientData/>
  </xdr:oneCellAnchor>
  <xdr:twoCellAnchor>
    <xdr:from>
      <xdr:col>0</xdr:col>
      <xdr:colOff>628650</xdr:colOff>
      <xdr:row>33</xdr:row>
      <xdr:rowOff>68925</xdr:rowOff>
    </xdr:from>
    <xdr:to>
      <xdr:col>4</xdr:col>
      <xdr:colOff>533409</xdr:colOff>
      <xdr:row>35</xdr:row>
      <xdr:rowOff>97694</xdr:rowOff>
    </xdr:to>
    <xdr:sp macro="" textlink="">
      <xdr:nvSpPr>
        <xdr:cNvPr id="12" name="Rounded Rectangle 17">
          <a:extLst>
            <a:ext uri="{FF2B5EF4-FFF2-40B4-BE49-F238E27FC236}">
              <a16:creationId xmlns:a16="http://schemas.microsoft.com/office/drawing/2014/main" id="{B58CB448-8902-48B9-9B9A-09F14C11720E}"/>
            </a:ext>
          </a:extLst>
        </xdr:cNvPr>
        <xdr:cNvSpPr/>
      </xdr:nvSpPr>
      <xdr:spPr>
        <a:xfrm flipH="1">
          <a:off x="12534891" y="5753445"/>
          <a:ext cx="2586999" cy="379289"/>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1600" b="1">
              <a:solidFill>
                <a:schemeClr val="bg1"/>
              </a:solidFill>
              <a:latin typeface="+mn-lt"/>
              <a:ea typeface="+mn-ea"/>
              <a:cs typeface="+mn-cs"/>
            </a:rPr>
            <a:t>البحث</a:t>
          </a:r>
          <a:r>
            <a:rPr lang="ar-SA" sz="1600" b="1" baseline="0">
              <a:solidFill>
                <a:schemeClr val="bg1"/>
              </a:solidFill>
              <a:latin typeface="+mn-lt"/>
              <a:ea typeface="+mn-ea"/>
              <a:cs typeface="+mn-cs"/>
            </a:rPr>
            <a:t> </a:t>
          </a:r>
          <a:r>
            <a:rPr lang="ar-KW" sz="1600" b="1">
              <a:solidFill>
                <a:schemeClr val="bg1"/>
              </a:solidFill>
              <a:latin typeface="+mn-lt"/>
              <a:ea typeface="+mn-ea"/>
              <a:cs typeface="+mn-cs"/>
            </a:rPr>
            <a:t>الشامل</a:t>
          </a:r>
          <a:endParaRPr lang="en-US" sz="1600" b="1">
            <a:solidFill>
              <a:schemeClr val="bg1"/>
            </a:solidFill>
            <a:latin typeface="+mn-lt"/>
            <a:ea typeface="+mn-ea"/>
            <a:cs typeface="+mn-cs"/>
          </a:endParaRPr>
        </a:p>
      </xdr:txBody>
    </xdr:sp>
    <xdr:clientData/>
  </xdr:twoCellAnchor>
  <xdr:twoCellAnchor>
    <xdr:from>
      <xdr:col>0</xdr:col>
      <xdr:colOff>626268</xdr:colOff>
      <xdr:row>3</xdr:row>
      <xdr:rowOff>95250</xdr:rowOff>
    </xdr:from>
    <xdr:to>
      <xdr:col>20</xdr:col>
      <xdr:colOff>57154</xdr:colOff>
      <xdr:row>4</xdr:row>
      <xdr:rowOff>87874</xdr:rowOff>
    </xdr:to>
    <xdr:sp macro="" textlink="">
      <xdr:nvSpPr>
        <xdr:cNvPr id="13" name="Rounded Rectangle 19">
          <a:extLst>
            <a:ext uri="{FF2B5EF4-FFF2-40B4-BE49-F238E27FC236}">
              <a16:creationId xmlns:a16="http://schemas.microsoft.com/office/drawing/2014/main" id="{3C753F95-3371-4EE8-8B61-B50B558ED4FF}"/>
            </a:ext>
          </a:extLst>
        </xdr:cNvPr>
        <xdr:cNvSpPr/>
      </xdr:nvSpPr>
      <xdr:spPr>
        <a:xfrm flipH="1">
          <a:off x="1398266" y="521970"/>
          <a:ext cx="13726006" cy="167884"/>
        </a:xfrm>
        <a:prstGeom prst="roundRect">
          <a:avLst/>
        </a:prstGeom>
        <a:solidFill>
          <a:srgbClr val="00B0F0"/>
        </a:solidFill>
        <a:ln w="12700">
          <a:noFill/>
        </a:ln>
        <a:effectLst>
          <a:innerShdw blurRad="63500" dist="50800" dir="10800000">
            <a:prstClr val="black">
              <a:alpha val="50000"/>
            </a:prstClr>
          </a:innerShdw>
        </a:effectLst>
        <a:scene3d>
          <a:camera prst="orthographicFront"/>
          <a:lightRig rig="threePt" dir="t"/>
        </a:scene3d>
        <a:sp3d>
          <a:bevelT w="114300" prst="artDeco"/>
          <a:bevelB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0</xdr:col>
      <xdr:colOff>614363</xdr:colOff>
      <xdr:row>35</xdr:row>
      <xdr:rowOff>157162</xdr:rowOff>
    </xdr:from>
    <xdr:to>
      <xdr:col>20</xdr:col>
      <xdr:colOff>45253</xdr:colOff>
      <xdr:row>36</xdr:row>
      <xdr:rowOff>150018</xdr:rowOff>
    </xdr:to>
    <xdr:sp macro="" textlink="">
      <xdr:nvSpPr>
        <xdr:cNvPr id="14" name="Rounded Rectangle 20">
          <a:extLst>
            <a:ext uri="{FF2B5EF4-FFF2-40B4-BE49-F238E27FC236}">
              <a16:creationId xmlns:a16="http://schemas.microsoft.com/office/drawing/2014/main" id="{FE6F93AF-29E2-4CF3-8EF0-00F3EDEAA87D}"/>
            </a:ext>
          </a:extLst>
        </xdr:cNvPr>
        <xdr:cNvSpPr/>
      </xdr:nvSpPr>
      <xdr:spPr>
        <a:xfrm flipH="1">
          <a:off x="1410167" y="6192202"/>
          <a:ext cx="13726010" cy="168116"/>
        </a:xfrm>
        <a:prstGeom prst="roundRect">
          <a:avLst/>
        </a:prstGeom>
        <a:solidFill>
          <a:srgbClr val="00B0F0"/>
        </a:solidFill>
        <a:ln w="12700">
          <a:noFill/>
        </a:ln>
        <a:effectLst>
          <a:innerShdw blurRad="63500" dist="50800" dir="10800000">
            <a:prstClr val="black">
              <a:alpha val="50000"/>
            </a:prstClr>
          </a:innerShdw>
        </a:effectLst>
        <a:scene3d>
          <a:camera prst="orthographicFront"/>
          <a:lightRig rig="threePt" dir="t"/>
        </a:scene3d>
        <a:sp3d>
          <a:bevelT w="114300" prst="artDeco"/>
          <a:bevelB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xdr:from>
      <xdr:col>6</xdr:col>
      <xdr:colOff>56449</xdr:colOff>
      <xdr:row>19</xdr:row>
      <xdr:rowOff>18208</xdr:rowOff>
    </xdr:from>
    <xdr:to>
      <xdr:col>9</xdr:col>
      <xdr:colOff>45019</xdr:colOff>
      <xdr:row>21</xdr:row>
      <xdr:rowOff>2968</xdr:rowOff>
    </xdr:to>
    <xdr:sp macro="" textlink="">
      <xdr:nvSpPr>
        <xdr:cNvPr id="15" name="Rounded Rectangle 23">
          <a:hlinkClick xmlns:r="http://schemas.openxmlformats.org/officeDocument/2006/relationships" r:id="rId2"/>
          <a:extLst>
            <a:ext uri="{FF2B5EF4-FFF2-40B4-BE49-F238E27FC236}">
              <a16:creationId xmlns:a16="http://schemas.microsoft.com/office/drawing/2014/main" id="{E777C20A-B72C-427A-B20F-F4C228D6F5D5}"/>
            </a:ext>
          </a:extLst>
        </xdr:cNvPr>
        <xdr:cNvSpPr/>
      </xdr:nvSpPr>
      <xdr:spPr>
        <a:xfrm flipH="1">
          <a:off x="8786561" y="3249088"/>
          <a:ext cx="2884170"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شيت</a:t>
          </a:r>
          <a:r>
            <a:rPr lang="ar-SA" sz="1600" b="1" baseline="0">
              <a:solidFill>
                <a:schemeClr val="bg1"/>
              </a:solidFill>
              <a:latin typeface="+mn-lt"/>
              <a:ea typeface="+mn-ea"/>
              <a:cs typeface="+mn-cs"/>
            </a:rPr>
            <a:t> اليومية العامة</a:t>
          </a:r>
          <a:endParaRPr lang="en-US" sz="1600" b="1">
            <a:solidFill>
              <a:schemeClr val="bg1"/>
            </a:solidFill>
            <a:latin typeface="+mn-lt"/>
            <a:ea typeface="+mn-ea"/>
            <a:cs typeface="+mn-cs"/>
          </a:endParaRPr>
        </a:p>
      </xdr:txBody>
    </xdr:sp>
    <xdr:clientData/>
  </xdr:twoCellAnchor>
  <xdr:twoCellAnchor>
    <xdr:from>
      <xdr:col>9</xdr:col>
      <xdr:colOff>423719</xdr:colOff>
      <xdr:row>16</xdr:row>
      <xdr:rowOff>79841</xdr:rowOff>
    </xdr:from>
    <xdr:to>
      <xdr:col>13</xdr:col>
      <xdr:colOff>571907</xdr:colOff>
      <xdr:row>18</xdr:row>
      <xdr:rowOff>64601</xdr:rowOff>
    </xdr:to>
    <xdr:sp macro="[0]!OpenUsrformreport" textlink="">
      <xdr:nvSpPr>
        <xdr:cNvPr id="16" name="Rounded Rectangle 25">
          <a:extLst>
            <a:ext uri="{FF2B5EF4-FFF2-40B4-BE49-F238E27FC236}">
              <a16:creationId xmlns:a16="http://schemas.microsoft.com/office/drawing/2014/main" id="{CF855509-19D1-4294-A1E8-C9447F0F74F2}"/>
            </a:ext>
          </a:extLst>
        </xdr:cNvPr>
        <xdr:cNvSpPr/>
      </xdr:nvSpPr>
      <xdr:spPr>
        <a:xfrm flipH="1">
          <a:off x="5577433" y="2784941"/>
          <a:ext cx="2830428"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2000" b="1" baseline="0">
              <a:solidFill>
                <a:schemeClr val="bg1"/>
              </a:solidFill>
              <a:latin typeface="Sakkal Majalla" panose="02000000000000000000" pitchFamily="2" charset="-78"/>
              <a:ea typeface="+mn-ea"/>
              <a:cs typeface="Sakkal Majalla" panose="02000000000000000000" pitchFamily="2" charset="-78"/>
            </a:rPr>
            <a:t>تــــقريــر كشــف حســــاب</a:t>
          </a:r>
          <a:endParaRPr lang="en-US" sz="1400" b="1">
            <a:solidFill>
              <a:schemeClr val="lt1"/>
            </a:solidFill>
            <a:latin typeface="Sakkal Majalla" panose="02000000000000000000" pitchFamily="2" charset="-78"/>
            <a:ea typeface="+mn-ea"/>
            <a:cs typeface="Sakkal Majalla" panose="02000000000000000000" pitchFamily="2" charset="-78"/>
          </a:endParaRPr>
        </a:p>
      </xdr:txBody>
    </xdr:sp>
    <xdr:clientData/>
  </xdr:twoCellAnchor>
  <xdr:twoCellAnchor>
    <xdr:from>
      <xdr:col>14</xdr:col>
      <xdr:colOff>460138</xdr:colOff>
      <xdr:row>16</xdr:row>
      <xdr:rowOff>48324</xdr:rowOff>
    </xdr:from>
    <xdr:to>
      <xdr:col>18</xdr:col>
      <xdr:colOff>608325</xdr:colOff>
      <xdr:row>18</xdr:row>
      <xdr:rowOff>33084</xdr:rowOff>
    </xdr:to>
    <xdr:sp macro="" textlink="">
      <xdr:nvSpPr>
        <xdr:cNvPr id="17" name="Rounded Rectangle 26">
          <a:extLst>
            <a:ext uri="{FF2B5EF4-FFF2-40B4-BE49-F238E27FC236}">
              <a16:creationId xmlns:a16="http://schemas.microsoft.com/office/drawing/2014/main" id="{695EA8E3-6525-41B7-806D-F1C030EB4A22}"/>
            </a:ext>
          </a:extLst>
        </xdr:cNvPr>
        <xdr:cNvSpPr/>
      </xdr:nvSpPr>
      <xdr:spPr>
        <a:xfrm flipH="1">
          <a:off x="2188215" y="2753424"/>
          <a:ext cx="2830427"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تقرير</a:t>
          </a:r>
          <a:r>
            <a:rPr lang="ar-SA" sz="1600" b="1" baseline="0">
              <a:solidFill>
                <a:schemeClr val="bg1"/>
              </a:solidFill>
              <a:latin typeface="+mn-lt"/>
              <a:ea typeface="+mn-ea"/>
              <a:cs typeface="+mn-cs"/>
            </a:rPr>
            <a:t> المراكز التفصيلي</a:t>
          </a:r>
          <a:endParaRPr lang="en-US" sz="1600" b="1">
            <a:solidFill>
              <a:schemeClr val="bg1"/>
            </a:solidFill>
            <a:latin typeface="+mn-lt"/>
            <a:ea typeface="+mn-ea"/>
            <a:cs typeface="+mn-cs"/>
          </a:endParaRPr>
        </a:p>
      </xdr:txBody>
    </xdr:sp>
    <xdr:clientData/>
  </xdr:twoCellAnchor>
  <xdr:twoCellAnchor>
    <xdr:from>
      <xdr:col>6</xdr:col>
      <xdr:colOff>45242</xdr:colOff>
      <xdr:row>21</xdr:row>
      <xdr:rowOff>70737</xdr:rowOff>
    </xdr:from>
    <xdr:to>
      <xdr:col>9</xdr:col>
      <xdr:colOff>24292</xdr:colOff>
      <xdr:row>23</xdr:row>
      <xdr:rowOff>55497</xdr:rowOff>
    </xdr:to>
    <xdr:sp macro="" textlink="">
      <xdr:nvSpPr>
        <xdr:cNvPr id="18" name="Rounded Rectangle 27">
          <a:extLst>
            <a:ext uri="{FF2B5EF4-FFF2-40B4-BE49-F238E27FC236}">
              <a16:creationId xmlns:a16="http://schemas.microsoft.com/office/drawing/2014/main" id="{36B38BE9-3824-4583-8F20-CE4B4788844B}"/>
            </a:ext>
          </a:extLst>
        </xdr:cNvPr>
        <xdr:cNvSpPr/>
      </xdr:nvSpPr>
      <xdr:spPr>
        <a:xfrm flipH="1">
          <a:off x="8807288" y="3652137"/>
          <a:ext cx="2874650"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شيت</a:t>
          </a:r>
          <a:r>
            <a:rPr lang="ar-SA" sz="1600" b="1" baseline="0">
              <a:solidFill>
                <a:schemeClr val="bg1"/>
              </a:solidFill>
              <a:latin typeface="+mn-lt"/>
              <a:ea typeface="+mn-ea"/>
              <a:cs typeface="+mn-cs"/>
            </a:rPr>
            <a:t> المشتريات والمخازن</a:t>
          </a:r>
          <a:endParaRPr lang="en-US" sz="1600" b="1">
            <a:solidFill>
              <a:schemeClr val="bg1"/>
            </a:solidFill>
            <a:latin typeface="+mn-lt"/>
            <a:ea typeface="+mn-ea"/>
            <a:cs typeface="+mn-cs"/>
          </a:endParaRPr>
        </a:p>
      </xdr:txBody>
    </xdr:sp>
    <xdr:clientData/>
  </xdr:twoCellAnchor>
  <xdr:twoCellAnchor>
    <xdr:from>
      <xdr:col>6</xdr:col>
      <xdr:colOff>59252</xdr:colOff>
      <xdr:row>28</xdr:row>
      <xdr:rowOff>14706</xdr:rowOff>
    </xdr:from>
    <xdr:to>
      <xdr:col>9</xdr:col>
      <xdr:colOff>24259</xdr:colOff>
      <xdr:row>30</xdr:row>
      <xdr:rowOff>525</xdr:rowOff>
    </xdr:to>
    <xdr:sp macro="" textlink="">
      <xdr:nvSpPr>
        <xdr:cNvPr id="19" name="Rounded Rectangle 28">
          <a:hlinkClick xmlns:r="http://schemas.openxmlformats.org/officeDocument/2006/relationships" r:id="rId3"/>
          <a:extLst>
            <a:ext uri="{FF2B5EF4-FFF2-40B4-BE49-F238E27FC236}">
              <a16:creationId xmlns:a16="http://schemas.microsoft.com/office/drawing/2014/main" id="{A6011BB5-EF3C-454B-AB7B-32B8422DDF4A}"/>
            </a:ext>
          </a:extLst>
        </xdr:cNvPr>
        <xdr:cNvSpPr/>
      </xdr:nvSpPr>
      <xdr:spPr>
        <a:xfrm flipH="1">
          <a:off x="8807321" y="4822926"/>
          <a:ext cx="2860607" cy="336339"/>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شيت</a:t>
          </a:r>
          <a:r>
            <a:rPr lang="ar-SA" sz="1600" b="1" baseline="0">
              <a:solidFill>
                <a:schemeClr val="bg1"/>
              </a:solidFill>
              <a:latin typeface="+mn-lt"/>
              <a:ea typeface="+mn-ea"/>
              <a:cs typeface="+mn-cs"/>
            </a:rPr>
            <a:t> سند صررف</a:t>
          </a:r>
          <a:endParaRPr lang="en-US" sz="1600" b="1">
            <a:solidFill>
              <a:schemeClr val="bg1"/>
            </a:solidFill>
            <a:latin typeface="+mn-lt"/>
            <a:ea typeface="+mn-ea"/>
            <a:cs typeface="+mn-cs"/>
          </a:endParaRPr>
        </a:p>
      </xdr:txBody>
    </xdr:sp>
    <xdr:clientData/>
  </xdr:twoCellAnchor>
  <xdr:twoCellAnchor>
    <xdr:from>
      <xdr:col>6</xdr:col>
      <xdr:colOff>62052</xdr:colOff>
      <xdr:row>23</xdr:row>
      <xdr:rowOff>110238</xdr:rowOff>
    </xdr:from>
    <xdr:to>
      <xdr:col>9</xdr:col>
      <xdr:colOff>24838</xdr:colOff>
      <xdr:row>25</xdr:row>
      <xdr:rowOff>94998</xdr:rowOff>
    </xdr:to>
    <xdr:sp macro="" textlink="">
      <xdr:nvSpPr>
        <xdr:cNvPr id="20" name="Rounded Rectangle 29">
          <a:hlinkClick xmlns:r="http://schemas.openxmlformats.org/officeDocument/2006/relationships" r:id="rId4"/>
          <a:extLst>
            <a:ext uri="{FF2B5EF4-FFF2-40B4-BE49-F238E27FC236}">
              <a16:creationId xmlns:a16="http://schemas.microsoft.com/office/drawing/2014/main" id="{BDB7987E-FB35-48C7-86DD-588EEBB253D8}"/>
            </a:ext>
          </a:extLst>
        </xdr:cNvPr>
        <xdr:cNvSpPr/>
      </xdr:nvSpPr>
      <xdr:spPr>
        <a:xfrm flipH="1">
          <a:off x="8806742" y="4042158"/>
          <a:ext cx="2858386"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شيت</a:t>
          </a:r>
          <a:r>
            <a:rPr lang="ar-SA" sz="1600" b="1" baseline="0">
              <a:solidFill>
                <a:schemeClr val="bg1"/>
              </a:solidFill>
              <a:latin typeface="+mn-lt"/>
              <a:ea typeface="+mn-ea"/>
              <a:cs typeface="+mn-cs"/>
            </a:rPr>
            <a:t> الاستاذ العام</a:t>
          </a:r>
          <a:endParaRPr lang="en-US" sz="1600" b="1">
            <a:solidFill>
              <a:schemeClr val="bg1"/>
            </a:solidFill>
            <a:latin typeface="+mn-lt"/>
            <a:ea typeface="+mn-ea"/>
            <a:cs typeface="+mn-cs"/>
          </a:endParaRPr>
        </a:p>
      </xdr:txBody>
    </xdr:sp>
    <xdr:clientData/>
  </xdr:twoCellAnchor>
  <xdr:twoCellAnchor>
    <xdr:from>
      <xdr:col>9</xdr:col>
      <xdr:colOff>434223</xdr:colOff>
      <xdr:row>18</xdr:row>
      <xdr:rowOff>109537</xdr:rowOff>
    </xdr:from>
    <xdr:to>
      <xdr:col>13</xdr:col>
      <xdr:colOff>582467</xdr:colOff>
      <xdr:row>20</xdr:row>
      <xdr:rowOff>94297</xdr:rowOff>
    </xdr:to>
    <xdr:sp macro="" textlink="">
      <xdr:nvSpPr>
        <xdr:cNvPr id="21" name="Rounded Rectangle 30">
          <a:extLst>
            <a:ext uri="{FF2B5EF4-FFF2-40B4-BE49-F238E27FC236}">
              <a16:creationId xmlns:a16="http://schemas.microsoft.com/office/drawing/2014/main" id="{2E71D9C4-7767-4860-84FF-E31F846A44A6}"/>
            </a:ext>
          </a:extLst>
        </xdr:cNvPr>
        <xdr:cNvSpPr/>
      </xdr:nvSpPr>
      <xdr:spPr>
        <a:xfrm flipH="1">
          <a:off x="5566873" y="3165157"/>
          <a:ext cx="2830484"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تقرير</a:t>
          </a:r>
          <a:r>
            <a:rPr lang="ar-SA" sz="1600" b="1" baseline="0">
              <a:solidFill>
                <a:schemeClr val="bg1"/>
              </a:solidFill>
              <a:latin typeface="+mn-lt"/>
              <a:ea typeface="+mn-ea"/>
              <a:cs typeface="+mn-cs"/>
            </a:rPr>
            <a:t> الاصناف</a:t>
          </a:r>
          <a:endParaRPr lang="en-US" sz="1600" b="1">
            <a:solidFill>
              <a:schemeClr val="bg1"/>
            </a:solidFill>
            <a:latin typeface="+mn-lt"/>
            <a:ea typeface="+mn-ea"/>
            <a:cs typeface="+mn-cs"/>
          </a:endParaRPr>
        </a:p>
      </xdr:txBody>
    </xdr:sp>
    <xdr:clientData/>
  </xdr:twoCellAnchor>
  <xdr:twoCellAnchor>
    <xdr:from>
      <xdr:col>9</xdr:col>
      <xdr:colOff>456637</xdr:colOff>
      <xdr:row>21</xdr:row>
      <xdr:rowOff>2679</xdr:rowOff>
    </xdr:from>
    <xdr:to>
      <xdr:col>13</xdr:col>
      <xdr:colOff>604825</xdr:colOff>
      <xdr:row>22</xdr:row>
      <xdr:rowOff>163885</xdr:rowOff>
    </xdr:to>
    <xdr:sp macro="" textlink="">
      <xdr:nvSpPr>
        <xdr:cNvPr id="22" name="Rounded Rectangle 31">
          <a:extLst>
            <a:ext uri="{FF2B5EF4-FFF2-40B4-BE49-F238E27FC236}">
              <a16:creationId xmlns:a16="http://schemas.microsoft.com/office/drawing/2014/main" id="{B1E93C6A-201D-43E9-B64A-49B2CF49F0BD}"/>
            </a:ext>
          </a:extLst>
        </xdr:cNvPr>
        <xdr:cNvSpPr/>
      </xdr:nvSpPr>
      <xdr:spPr>
        <a:xfrm flipH="1">
          <a:off x="5544515" y="3584079"/>
          <a:ext cx="2830428" cy="336466"/>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KW" sz="1600" b="1">
              <a:solidFill>
                <a:schemeClr val="bg1"/>
              </a:solidFill>
              <a:latin typeface="+mn-lt"/>
              <a:ea typeface="+mn-ea"/>
              <a:cs typeface="+mn-cs"/>
            </a:rPr>
            <a:t>المصروفات</a:t>
          </a:r>
          <a:endParaRPr lang="en-US" sz="1600" b="1">
            <a:solidFill>
              <a:schemeClr val="bg1"/>
            </a:solidFill>
            <a:latin typeface="+mn-lt"/>
            <a:ea typeface="+mn-ea"/>
            <a:cs typeface="+mn-cs"/>
          </a:endParaRPr>
        </a:p>
      </xdr:txBody>
    </xdr:sp>
    <xdr:clientData/>
  </xdr:twoCellAnchor>
  <xdr:twoCellAnchor>
    <xdr:from>
      <xdr:col>6</xdr:col>
      <xdr:colOff>61351</xdr:colOff>
      <xdr:row>25</xdr:row>
      <xdr:rowOff>152259</xdr:rowOff>
    </xdr:from>
    <xdr:to>
      <xdr:col>9</xdr:col>
      <xdr:colOff>24105</xdr:colOff>
      <xdr:row>27</xdr:row>
      <xdr:rowOff>137019</xdr:rowOff>
    </xdr:to>
    <xdr:sp macro="" textlink="">
      <xdr:nvSpPr>
        <xdr:cNvPr id="23" name="Rounded Rectangle 32">
          <a:hlinkClick xmlns:r="http://schemas.openxmlformats.org/officeDocument/2006/relationships" r:id="rId5"/>
          <a:extLst>
            <a:ext uri="{FF2B5EF4-FFF2-40B4-BE49-F238E27FC236}">
              <a16:creationId xmlns:a16="http://schemas.microsoft.com/office/drawing/2014/main" id="{72804300-243A-4A4B-B067-02A547D796E2}"/>
            </a:ext>
          </a:extLst>
        </xdr:cNvPr>
        <xdr:cNvSpPr/>
      </xdr:nvSpPr>
      <xdr:spPr>
        <a:xfrm flipH="1">
          <a:off x="8807475" y="4434699"/>
          <a:ext cx="2858354"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400" b="1">
              <a:solidFill>
                <a:schemeClr val="bg1"/>
              </a:solidFill>
              <a:latin typeface="+mn-lt"/>
              <a:ea typeface="+mn-ea"/>
              <a:cs typeface="+mn-cs"/>
            </a:rPr>
            <a:t>شيت البيانات</a:t>
          </a:r>
          <a:endParaRPr lang="en-US" sz="1400" b="1">
            <a:solidFill>
              <a:schemeClr val="bg1"/>
            </a:solidFill>
            <a:latin typeface="+mn-lt"/>
            <a:ea typeface="+mn-ea"/>
            <a:cs typeface="+mn-cs"/>
          </a:endParaRPr>
        </a:p>
      </xdr:txBody>
    </xdr:sp>
    <xdr:clientData/>
  </xdr:twoCellAnchor>
  <xdr:twoCellAnchor>
    <xdr:from>
      <xdr:col>6</xdr:col>
      <xdr:colOff>48128</xdr:colOff>
      <xdr:row>16</xdr:row>
      <xdr:rowOff>113739</xdr:rowOff>
    </xdr:from>
    <xdr:to>
      <xdr:col>9</xdr:col>
      <xdr:colOff>36698</xdr:colOff>
      <xdr:row>18</xdr:row>
      <xdr:rowOff>98499</xdr:rowOff>
    </xdr:to>
    <xdr:sp macro="" textlink="">
      <xdr:nvSpPr>
        <xdr:cNvPr id="24" name="Rounded Rectangle 33">
          <a:hlinkClick xmlns:r="http://schemas.openxmlformats.org/officeDocument/2006/relationships" r:id="rId6"/>
          <a:extLst>
            <a:ext uri="{FF2B5EF4-FFF2-40B4-BE49-F238E27FC236}">
              <a16:creationId xmlns:a16="http://schemas.microsoft.com/office/drawing/2014/main" id="{DE3A79D2-2D0F-4F74-BEB4-7FB7C6CDB6E8}"/>
            </a:ext>
          </a:extLst>
        </xdr:cNvPr>
        <xdr:cNvSpPr/>
      </xdr:nvSpPr>
      <xdr:spPr>
        <a:xfrm flipH="1">
          <a:off x="8794882" y="2818839"/>
          <a:ext cx="2884170"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شيت</a:t>
          </a:r>
          <a:r>
            <a:rPr lang="ar-SA" sz="1600" b="1" baseline="0">
              <a:solidFill>
                <a:schemeClr val="bg1"/>
              </a:solidFill>
              <a:latin typeface="+mn-lt"/>
              <a:ea typeface="+mn-ea"/>
              <a:cs typeface="+mn-cs"/>
            </a:rPr>
            <a:t> الدليل المحاسبي</a:t>
          </a:r>
          <a:endParaRPr lang="en-US" sz="1600" b="1">
            <a:solidFill>
              <a:schemeClr val="bg1"/>
            </a:solidFill>
            <a:latin typeface="+mn-lt"/>
            <a:ea typeface="+mn-ea"/>
            <a:cs typeface="+mn-cs"/>
          </a:endParaRPr>
        </a:p>
      </xdr:txBody>
    </xdr:sp>
    <xdr:clientData/>
  </xdr:twoCellAnchor>
  <xdr:twoCellAnchor>
    <xdr:from>
      <xdr:col>14</xdr:col>
      <xdr:colOff>480873</xdr:colOff>
      <xdr:row>18</xdr:row>
      <xdr:rowOff>95951</xdr:rowOff>
    </xdr:from>
    <xdr:to>
      <xdr:col>18</xdr:col>
      <xdr:colOff>619554</xdr:colOff>
      <xdr:row>20</xdr:row>
      <xdr:rowOff>80760</xdr:rowOff>
    </xdr:to>
    <xdr:sp macro="" textlink="">
      <xdr:nvSpPr>
        <xdr:cNvPr id="25" name="Rounded Rectangle 35">
          <a:extLst>
            <a:ext uri="{FF2B5EF4-FFF2-40B4-BE49-F238E27FC236}">
              <a16:creationId xmlns:a16="http://schemas.microsoft.com/office/drawing/2014/main" id="{405DF374-9F4C-4C7A-ADAF-476790F7976E}"/>
            </a:ext>
          </a:extLst>
        </xdr:cNvPr>
        <xdr:cNvSpPr/>
      </xdr:nvSpPr>
      <xdr:spPr>
        <a:xfrm flipH="1">
          <a:off x="2176986" y="3151571"/>
          <a:ext cx="2820921" cy="335329"/>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تقرير</a:t>
          </a:r>
          <a:r>
            <a:rPr lang="ar-SA" sz="1600" b="1" baseline="0">
              <a:solidFill>
                <a:schemeClr val="bg1"/>
              </a:solidFill>
              <a:latin typeface="+mn-lt"/>
              <a:ea typeface="+mn-ea"/>
              <a:cs typeface="+mn-cs"/>
            </a:rPr>
            <a:t> المراكز</a:t>
          </a:r>
          <a:endParaRPr lang="en-US" sz="1600" b="1">
            <a:solidFill>
              <a:schemeClr val="bg1"/>
            </a:solidFill>
            <a:latin typeface="+mn-lt"/>
            <a:ea typeface="+mn-ea"/>
            <a:cs typeface="+mn-cs"/>
          </a:endParaRPr>
        </a:p>
      </xdr:txBody>
    </xdr:sp>
    <xdr:clientData/>
  </xdr:twoCellAnchor>
  <xdr:twoCellAnchor>
    <xdr:from>
      <xdr:col>14</xdr:col>
      <xdr:colOff>490677</xdr:colOff>
      <xdr:row>20</xdr:row>
      <xdr:rowOff>158563</xdr:rowOff>
    </xdr:from>
    <xdr:to>
      <xdr:col>18</xdr:col>
      <xdr:colOff>629446</xdr:colOff>
      <xdr:row>22</xdr:row>
      <xdr:rowOff>143323</xdr:rowOff>
    </xdr:to>
    <xdr:sp macro="" textlink="">
      <xdr:nvSpPr>
        <xdr:cNvPr id="26" name="Rounded Rectangle 36">
          <a:hlinkClick xmlns:r="http://schemas.openxmlformats.org/officeDocument/2006/relationships" r:id="rId7"/>
          <a:extLst>
            <a:ext uri="{FF2B5EF4-FFF2-40B4-BE49-F238E27FC236}">
              <a16:creationId xmlns:a16="http://schemas.microsoft.com/office/drawing/2014/main" id="{6C2EA3B7-F84B-402E-B185-67CEE7966FDF}"/>
            </a:ext>
          </a:extLst>
        </xdr:cNvPr>
        <xdr:cNvSpPr/>
      </xdr:nvSpPr>
      <xdr:spPr>
        <a:xfrm flipH="1">
          <a:off x="2167094" y="3564703"/>
          <a:ext cx="2821009" cy="335280"/>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التقرير</a:t>
          </a:r>
          <a:r>
            <a:rPr lang="ar-SA" sz="1600" b="1" baseline="0">
              <a:solidFill>
                <a:schemeClr val="bg1"/>
              </a:solidFill>
              <a:latin typeface="+mn-lt"/>
              <a:ea typeface="+mn-ea"/>
              <a:cs typeface="+mn-cs"/>
            </a:rPr>
            <a:t> العام</a:t>
          </a:r>
          <a:endParaRPr lang="en-US" sz="1600" b="1">
            <a:solidFill>
              <a:schemeClr val="bg1"/>
            </a:solidFill>
            <a:latin typeface="+mn-lt"/>
            <a:ea typeface="+mn-ea"/>
            <a:cs typeface="+mn-cs"/>
          </a:endParaRPr>
        </a:p>
      </xdr:txBody>
    </xdr:sp>
    <xdr:clientData/>
  </xdr:twoCellAnchor>
  <xdr:oneCellAnchor>
    <xdr:from>
      <xdr:col>5</xdr:col>
      <xdr:colOff>190304</xdr:colOff>
      <xdr:row>5</xdr:row>
      <xdr:rowOff>18471</xdr:rowOff>
    </xdr:from>
    <xdr:ext cx="3178804" cy="629387"/>
    <xdr:sp macro="" textlink="">
      <xdr:nvSpPr>
        <xdr:cNvPr id="27" name="Rectangle 38">
          <a:extLst>
            <a:ext uri="{FF2B5EF4-FFF2-40B4-BE49-F238E27FC236}">
              <a16:creationId xmlns:a16="http://schemas.microsoft.com/office/drawing/2014/main" id="{1151139E-4C85-4C7F-8199-9DF61B966C38}"/>
            </a:ext>
          </a:extLst>
        </xdr:cNvPr>
        <xdr:cNvSpPr/>
      </xdr:nvSpPr>
      <xdr:spPr>
        <a:xfrm flipH="1">
          <a:off x="9028632" y="795711"/>
          <a:ext cx="3178804" cy="629387"/>
        </a:xfrm>
        <a:prstGeom prst="rect">
          <a:avLst/>
        </a:prstGeom>
        <a:noFill/>
        <a:ln>
          <a:noFill/>
        </a:ln>
        <a:effectLst>
          <a:innerShdw blurRad="63500" dist="50800" dir="8100000">
            <a:prstClr val="black">
              <a:alpha val="50000"/>
            </a:prstClr>
          </a:innerShdw>
        </a:effectLst>
        <a:scene3d>
          <a:camera prst="perspectiveHeroicExtremeRightFacing"/>
          <a:lightRig rig="threePt" dir="t"/>
        </a:scene3d>
        <a:sp3d>
          <a:bevelT w="165100" prst="coolSlant"/>
          <a:bevelB/>
        </a:sp3d>
      </xdr:spPr>
      <xdr:txBody>
        <a:bodyPr wrap="square" lIns="91440" tIns="45720" rIns="91440" bIns="45720">
          <a:noAutofit/>
        </a:bodyPr>
        <a:lstStyle/>
        <a:p>
          <a:pPr marL="0" indent="0" algn="ctr"/>
          <a:r>
            <a:rPr lang="en-US" sz="4000" b="1" cap="none" spc="0">
              <a:ln w="17780" cmpd="sng">
                <a:solidFill>
                  <a:schemeClr val="accent1">
                    <a:tint val="3000"/>
                  </a:schemeClr>
                </a:solidFill>
                <a:prstDash val="solid"/>
                <a:miter lim="800000"/>
              </a:ln>
              <a:gradFill>
                <a:gsLst>
                  <a:gs pos="10000">
                    <a:schemeClr val="accent1">
                      <a:tint val="63000"/>
                      <a:sat val="105000"/>
                    </a:schemeClr>
                  </a:gs>
                  <a:gs pos="90000">
                    <a:schemeClr val="accent1">
                      <a:shade val="50000"/>
                      <a:satMod val="100000"/>
                    </a:schemeClr>
                  </a:gs>
                </a:gsLst>
                <a:lin ang="5400000"/>
              </a:gradFill>
              <a:effectLst>
                <a:outerShdw blurRad="55000" dist="50800" dir="5400000" algn="tl">
                  <a:srgbClr val="000000">
                    <a:alpha val="33000"/>
                  </a:srgbClr>
                </a:outerShdw>
              </a:effectLst>
              <a:latin typeface="+mn-lt"/>
              <a:ea typeface="+mn-ea"/>
              <a:cs typeface="+mn-cs"/>
            </a:rPr>
            <a:t>Sheets</a:t>
          </a:r>
        </a:p>
      </xdr:txBody>
    </xdr:sp>
    <xdr:clientData/>
  </xdr:oneCellAnchor>
  <xdr:oneCellAnchor>
    <xdr:from>
      <xdr:col>10</xdr:col>
      <xdr:colOff>111835</xdr:colOff>
      <xdr:row>4</xdr:row>
      <xdr:rowOff>133080</xdr:rowOff>
    </xdr:from>
    <xdr:ext cx="2684315" cy="728387"/>
    <xdr:sp macro="" textlink="">
      <xdr:nvSpPr>
        <xdr:cNvPr id="28" name="Rectangle 39">
          <a:extLst>
            <a:ext uri="{FF2B5EF4-FFF2-40B4-BE49-F238E27FC236}">
              <a16:creationId xmlns:a16="http://schemas.microsoft.com/office/drawing/2014/main" id="{4A618DA7-D3F3-445C-9162-71ACF736486D}"/>
            </a:ext>
          </a:extLst>
        </xdr:cNvPr>
        <xdr:cNvSpPr/>
      </xdr:nvSpPr>
      <xdr:spPr>
        <a:xfrm flipH="1">
          <a:off x="5364870" y="735060"/>
          <a:ext cx="2684315" cy="728387"/>
        </a:xfrm>
        <a:prstGeom prst="rect">
          <a:avLst/>
        </a:prstGeom>
        <a:noFill/>
        <a:ln>
          <a:noFill/>
        </a:ln>
        <a:effectLst>
          <a:innerShdw blurRad="63500" dist="50800" dir="8100000">
            <a:prstClr val="black">
              <a:alpha val="50000"/>
            </a:prstClr>
          </a:innerShdw>
        </a:effectLst>
        <a:scene3d>
          <a:camera prst="perspectiveHeroicExtremeRightFacing"/>
          <a:lightRig rig="threePt" dir="t"/>
        </a:scene3d>
        <a:sp3d>
          <a:bevelT w="165100" prst="coolSlant"/>
          <a:bevelB/>
        </a:sp3d>
      </xdr:spPr>
      <xdr:txBody>
        <a:bodyPr wrap="square" lIns="91440" tIns="45720" rIns="91440" bIns="45720">
          <a:noAutofit/>
        </a:bodyPr>
        <a:lstStyle/>
        <a:p>
          <a:pPr marL="0" indent="0" algn="ctr">
            <a:lnSpc>
              <a:spcPts val="4700"/>
            </a:lnSpc>
          </a:pPr>
          <a:r>
            <a:rPr lang="en-US" sz="4000" b="1" cap="none" spc="0">
              <a:ln w="17780" cmpd="sng">
                <a:solidFill>
                  <a:schemeClr val="accent1">
                    <a:tint val="3000"/>
                  </a:schemeClr>
                </a:solidFill>
                <a:prstDash val="solid"/>
                <a:miter lim="800000"/>
              </a:ln>
              <a:gradFill>
                <a:gsLst>
                  <a:gs pos="10000">
                    <a:schemeClr val="accent1">
                      <a:tint val="63000"/>
                      <a:sat val="105000"/>
                    </a:schemeClr>
                  </a:gs>
                  <a:gs pos="90000">
                    <a:schemeClr val="accent1">
                      <a:shade val="50000"/>
                      <a:satMod val="100000"/>
                    </a:schemeClr>
                  </a:gs>
                </a:gsLst>
                <a:lin ang="5400000"/>
              </a:gradFill>
              <a:effectLst>
                <a:outerShdw blurRad="55000" dist="50800" dir="5400000" algn="tl">
                  <a:srgbClr val="000000">
                    <a:alpha val="33000"/>
                  </a:srgbClr>
                </a:outerShdw>
              </a:effectLst>
              <a:latin typeface="+mn-lt"/>
              <a:ea typeface="+mn-ea"/>
              <a:cs typeface="+mn-cs"/>
            </a:rPr>
            <a:t> Statement</a:t>
          </a:r>
        </a:p>
      </xdr:txBody>
    </xdr:sp>
    <xdr:clientData/>
  </xdr:oneCellAnchor>
  <xdr:oneCellAnchor>
    <xdr:from>
      <xdr:col>15</xdr:col>
      <xdr:colOff>320596</xdr:colOff>
      <xdr:row>3</xdr:row>
      <xdr:rowOff>170604</xdr:rowOff>
    </xdr:from>
    <xdr:ext cx="2742627" cy="815993"/>
    <xdr:sp macro="" textlink="">
      <xdr:nvSpPr>
        <xdr:cNvPr id="29" name="Rectangle 41">
          <a:extLst>
            <a:ext uri="{FF2B5EF4-FFF2-40B4-BE49-F238E27FC236}">
              <a16:creationId xmlns:a16="http://schemas.microsoft.com/office/drawing/2014/main" id="{537A35A0-C711-4CE5-A942-2B04F6FBADD3}"/>
            </a:ext>
          </a:extLst>
        </xdr:cNvPr>
        <xdr:cNvSpPr/>
      </xdr:nvSpPr>
      <xdr:spPr>
        <a:xfrm flipH="1">
          <a:off x="1744997" y="597324"/>
          <a:ext cx="2742627" cy="815993"/>
        </a:xfrm>
        <a:prstGeom prst="rect">
          <a:avLst/>
        </a:prstGeom>
        <a:noFill/>
        <a:ln>
          <a:noFill/>
        </a:ln>
        <a:effectLst>
          <a:innerShdw blurRad="63500" dist="50800" dir="8100000">
            <a:prstClr val="black">
              <a:alpha val="50000"/>
            </a:prstClr>
          </a:innerShdw>
        </a:effectLst>
        <a:scene3d>
          <a:camera prst="perspectiveHeroicExtremeRightFacing"/>
          <a:lightRig rig="threePt" dir="t"/>
        </a:scene3d>
        <a:sp3d>
          <a:bevelT w="165100" prst="coolSlant"/>
          <a:bevelB/>
        </a:sp3d>
      </xdr:spPr>
      <xdr:txBody>
        <a:bodyPr wrap="square" lIns="91440" tIns="45720" rIns="91440" bIns="45720">
          <a:noAutofit/>
        </a:bodyPr>
        <a:lstStyle/>
        <a:p>
          <a:pPr algn="ctr">
            <a:lnSpc>
              <a:spcPts val="4700"/>
            </a:lnSpc>
          </a:pPr>
          <a:r>
            <a:rPr lang="en-US" sz="4000" b="1" cap="none" spc="0">
              <a:ln w="17780" cmpd="sng">
                <a:solidFill>
                  <a:schemeClr val="accent1">
                    <a:tint val="3000"/>
                  </a:schemeClr>
                </a:solidFill>
                <a:prstDash val="solid"/>
                <a:miter lim="800000"/>
              </a:ln>
              <a:gradFill>
                <a:gsLst>
                  <a:gs pos="10000">
                    <a:schemeClr val="accent1">
                      <a:tint val="63000"/>
                      <a:sat val="105000"/>
                    </a:schemeClr>
                  </a:gs>
                  <a:gs pos="90000">
                    <a:schemeClr val="accent1">
                      <a:shade val="50000"/>
                      <a:satMod val="100000"/>
                    </a:schemeClr>
                  </a:gs>
                </a:gsLst>
                <a:lin ang="5400000"/>
              </a:gradFill>
              <a:effectLst>
                <a:outerShdw blurRad="55000" dist="50800" dir="5400000" algn="tl">
                  <a:srgbClr val="000000">
                    <a:alpha val="33000"/>
                  </a:srgbClr>
                </a:outerShdw>
              </a:effectLst>
            </a:rPr>
            <a:t>Financial Statements</a:t>
          </a:r>
        </a:p>
      </xdr:txBody>
    </xdr:sp>
    <xdr:clientData/>
  </xdr:oneCellAnchor>
  <xdr:twoCellAnchor>
    <xdr:from>
      <xdr:col>9</xdr:col>
      <xdr:colOff>383750</xdr:colOff>
      <xdr:row>26</xdr:row>
      <xdr:rowOff>83801</xdr:rowOff>
    </xdr:from>
    <xdr:to>
      <xdr:col>18</xdr:col>
      <xdr:colOff>594361</xdr:colOff>
      <xdr:row>35</xdr:row>
      <xdr:rowOff>119865</xdr:rowOff>
    </xdr:to>
    <xdr:sp macro="" textlink="">
      <xdr:nvSpPr>
        <xdr:cNvPr id="30" name="Rounded Rectangle 46">
          <a:extLst>
            <a:ext uri="{FF2B5EF4-FFF2-40B4-BE49-F238E27FC236}">
              <a16:creationId xmlns:a16="http://schemas.microsoft.com/office/drawing/2014/main" id="{56AD253B-9B7D-4FB1-BCD9-F94EEA87CFDD}"/>
            </a:ext>
          </a:extLst>
        </xdr:cNvPr>
        <xdr:cNvSpPr/>
      </xdr:nvSpPr>
      <xdr:spPr>
        <a:xfrm flipH="1">
          <a:off x="2202179" y="4541501"/>
          <a:ext cx="6245651" cy="1613404"/>
        </a:xfrm>
        <a:prstGeom prst="roundRect">
          <a:avLst>
            <a:gd name="adj" fmla="val 6733"/>
          </a:avLst>
        </a:prstGeom>
        <a:solidFill>
          <a:srgbClr val="00B0F0"/>
        </a:solidFill>
        <a:ln w="12700">
          <a:solidFill>
            <a:schemeClr val="bg1">
              <a:alpha val="96000"/>
            </a:schemeClr>
          </a:solidFill>
        </a:ln>
        <a:effectLst>
          <a:innerShdw blurRad="63500" dist="50800" dir="10800000">
            <a:prstClr val="black">
              <a:alpha val="50000"/>
            </a:prstClr>
          </a:innerShdw>
        </a:effectLst>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rtl="1"/>
          <a:endParaRPr lang="ar-SA"/>
        </a:p>
      </xdr:txBody>
    </xdr:sp>
    <xdr:clientData/>
  </xdr:twoCellAnchor>
  <xdr:twoCellAnchor>
    <xdr:from>
      <xdr:col>9</xdr:col>
      <xdr:colOff>549030</xdr:colOff>
      <xdr:row>27</xdr:row>
      <xdr:rowOff>64591</xdr:rowOff>
    </xdr:from>
    <xdr:to>
      <xdr:col>18</xdr:col>
      <xdr:colOff>419101</xdr:colOff>
      <xdr:row>34</xdr:row>
      <xdr:rowOff>53809</xdr:rowOff>
    </xdr:to>
    <xdr:sp macro="" textlink="">
      <xdr:nvSpPr>
        <xdr:cNvPr id="31" name="TextBox 52">
          <a:extLst>
            <a:ext uri="{FF2B5EF4-FFF2-40B4-BE49-F238E27FC236}">
              <a16:creationId xmlns:a16="http://schemas.microsoft.com/office/drawing/2014/main" id="{9C943632-B540-43F8-A22B-80C28E48A88F}"/>
            </a:ext>
          </a:extLst>
        </xdr:cNvPr>
        <xdr:cNvSpPr txBox="1"/>
      </xdr:nvSpPr>
      <xdr:spPr>
        <a:xfrm flipH="1">
          <a:off x="2377439" y="4697551"/>
          <a:ext cx="5905111" cy="1216038"/>
        </a:xfrm>
        <a:prstGeom prst="rect">
          <a:avLst/>
        </a:prstGeom>
        <a:noFill/>
        <a:ln w="9525" cmpd="sng">
          <a:solidFill>
            <a:schemeClr val="bg1"/>
          </a:solidFill>
        </a:ln>
        <a:effectLst>
          <a:innerShdw blurRad="63500" dist="50800" dir="13500000">
            <a:prstClr val="black">
              <a:alpha val="50000"/>
            </a:prstClr>
          </a:innerShdw>
        </a:effectLst>
        <a:scene3d>
          <a:camera prst="orthographicFront"/>
          <a:lightRig rig="threePt" dir="t"/>
        </a:scene3d>
        <a:sp3d>
          <a:bevelT w="165100" prst="coolSlant"/>
          <a:bevelB/>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ar-SA" sz="2000" b="1" baseline="0">
              <a:solidFill>
                <a:schemeClr val="bg1"/>
              </a:solidFill>
            </a:rPr>
            <a:t>الصفحة الرئيسية</a:t>
          </a:r>
          <a:endParaRPr lang="ar-KW" sz="2000" b="1" baseline="0">
            <a:solidFill>
              <a:schemeClr val="bg1"/>
            </a:solidFill>
          </a:endParaRPr>
        </a:p>
      </xdr:txBody>
    </xdr:sp>
    <xdr:clientData/>
  </xdr:twoCellAnchor>
  <xdr:oneCellAnchor>
    <xdr:from>
      <xdr:col>0</xdr:col>
      <xdr:colOff>606879</xdr:colOff>
      <xdr:row>12</xdr:row>
      <xdr:rowOff>119343</xdr:rowOff>
    </xdr:from>
    <xdr:ext cx="2200474" cy="379324"/>
    <xdr:sp macro="" textlink="">
      <xdr:nvSpPr>
        <xdr:cNvPr id="32" name="Rounded Rectangle 40">
          <a:extLst>
            <a:ext uri="{FF2B5EF4-FFF2-40B4-BE49-F238E27FC236}">
              <a16:creationId xmlns:a16="http://schemas.microsoft.com/office/drawing/2014/main" id="{7EDC28A6-F1E0-412B-A0CA-2C79957C96CA}"/>
            </a:ext>
          </a:extLst>
        </xdr:cNvPr>
        <xdr:cNvSpPr>
          <a:spLocks noChangeAspect="1"/>
        </xdr:cNvSpPr>
      </xdr:nvSpPr>
      <xdr:spPr>
        <a:xfrm flipH="1">
          <a:off x="12943187" y="2123403"/>
          <a:ext cx="2200474" cy="379324"/>
        </a:xfrm>
        <a:prstGeom prst="roundRect">
          <a:avLst/>
        </a:prstGeom>
        <a:ln/>
        <a:scene3d>
          <a:camera prst="perspectiveBelow"/>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rtlCol="0" anchor="ctr">
          <a:noAutofit/>
        </a:bodyPr>
        <a:lstStyle/>
        <a:p>
          <a:pPr marL="0" lvl="0" indent="0" algn="ctr"/>
          <a:r>
            <a:rPr lang="ar-SA" sz="1600" b="1">
              <a:solidFill>
                <a:schemeClr val="bg1"/>
              </a:solidFill>
              <a:latin typeface="+mn-lt"/>
              <a:ea typeface="+mn-ea"/>
              <a:cs typeface="+mn-cs"/>
            </a:rPr>
            <a:t>فاتورة مشتريات</a:t>
          </a:r>
          <a:endParaRPr lang="en-US" sz="1600" b="1">
            <a:solidFill>
              <a:schemeClr val="bg1"/>
            </a:solidFill>
            <a:latin typeface="+mn-lt"/>
            <a:ea typeface="+mn-ea"/>
            <a:cs typeface="+mn-cs"/>
          </a:endParaRPr>
        </a:p>
      </xdr:txBody>
    </xdr:sp>
    <xdr:clientData/>
  </xdr:oneCellAnchor>
  <xdr:oneCellAnchor>
    <xdr:from>
      <xdr:col>0</xdr:col>
      <xdr:colOff>612321</xdr:colOff>
      <xdr:row>15</xdr:row>
      <xdr:rowOff>92919</xdr:rowOff>
    </xdr:from>
    <xdr:ext cx="2247970" cy="292704"/>
    <xdr:sp macro="" textlink="">
      <xdr:nvSpPr>
        <xdr:cNvPr id="33" name="Rounded Rectangle 43">
          <a:extLst>
            <a:ext uri="{FF2B5EF4-FFF2-40B4-BE49-F238E27FC236}">
              <a16:creationId xmlns:a16="http://schemas.microsoft.com/office/drawing/2014/main" id="{1D69A25B-D429-457E-81C4-08328EFE6A05}"/>
            </a:ext>
          </a:extLst>
        </xdr:cNvPr>
        <xdr:cNvSpPr>
          <a:spLocks noChangeAspect="1"/>
        </xdr:cNvSpPr>
      </xdr:nvSpPr>
      <xdr:spPr>
        <a:xfrm flipH="1">
          <a:off x="12890249" y="2622759"/>
          <a:ext cx="2247970" cy="292704"/>
        </a:xfrm>
        <a:prstGeom prst="roundRect">
          <a:avLst/>
        </a:prstGeom>
        <a:ln/>
        <a:scene3d>
          <a:camera prst="perspectiveBelow"/>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1100" b="1">
              <a:solidFill>
                <a:schemeClr val="lt1"/>
              </a:solidFill>
              <a:latin typeface="+mn-lt"/>
              <a:ea typeface="+mn-ea"/>
              <a:cs typeface="+mn-cs"/>
            </a:rPr>
            <a:t>صرف</a:t>
          </a:r>
          <a:r>
            <a:rPr lang="ar-SA" sz="1100" b="1" baseline="0">
              <a:solidFill>
                <a:schemeClr val="lt1"/>
              </a:solidFill>
              <a:latin typeface="+mn-lt"/>
              <a:ea typeface="+mn-ea"/>
              <a:cs typeface="+mn-cs"/>
            </a:rPr>
            <a:t> مخزني</a:t>
          </a:r>
          <a:endParaRPr lang="en-US" sz="1100" b="1">
            <a:solidFill>
              <a:schemeClr val="lt1"/>
            </a:solidFill>
            <a:latin typeface="+mn-lt"/>
            <a:ea typeface="+mn-ea"/>
            <a:cs typeface="+mn-cs"/>
          </a:endParaRPr>
        </a:p>
      </xdr:txBody>
    </xdr:sp>
    <xdr:clientData/>
  </xdr:oneCellAnchor>
  <xdr:twoCellAnchor>
    <xdr:from>
      <xdr:col>0</xdr:col>
      <xdr:colOff>612321</xdr:colOff>
      <xdr:row>17</xdr:row>
      <xdr:rowOff>149677</xdr:rowOff>
    </xdr:from>
    <xdr:to>
      <xdr:col>4</xdr:col>
      <xdr:colOff>148188</xdr:colOff>
      <xdr:row>20</xdr:row>
      <xdr:rowOff>13606</xdr:rowOff>
    </xdr:to>
    <xdr:sp macro="[0]!addnewaccount" textlink="">
      <xdr:nvSpPr>
        <xdr:cNvPr id="34" name="Rounded Rectangle 44">
          <a:extLst>
            <a:ext uri="{FF2B5EF4-FFF2-40B4-BE49-F238E27FC236}">
              <a16:creationId xmlns:a16="http://schemas.microsoft.com/office/drawing/2014/main" id="{926AB684-2DC5-40B5-8B12-5176E090606E}"/>
            </a:ext>
          </a:extLst>
        </xdr:cNvPr>
        <xdr:cNvSpPr/>
      </xdr:nvSpPr>
      <xdr:spPr>
        <a:xfrm flipH="1">
          <a:off x="12920112" y="3030037"/>
          <a:ext cx="2218107" cy="389709"/>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اضافة</a:t>
          </a:r>
          <a:r>
            <a:rPr lang="ar-SA" sz="1600" b="1" baseline="0">
              <a:solidFill>
                <a:schemeClr val="bg1"/>
              </a:solidFill>
              <a:latin typeface="+mn-lt"/>
              <a:ea typeface="+mn-ea"/>
              <a:cs typeface="+mn-cs"/>
            </a:rPr>
            <a:t> حساب</a:t>
          </a:r>
          <a:endParaRPr lang="en-US" sz="1600" b="1">
            <a:solidFill>
              <a:schemeClr val="bg1"/>
            </a:solidFill>
            <a:latin typeface="+mn-lt"/>
            <a:ea typeface="+mn-ea"/>
            <a:cs typeface="+mn-cs"/>
          </a:endParaRPr>
        </a:p>
      </xdr:txBody>
    </xdr:sp>
    <xdr:clientData/>
  </xdr:twoCellAnchor>
  <xdr:oneCellAnchor>
    <xdr:from>
      <xdr:col>0</xdr:col>
      <xdr:colOff>625928</xdr:colOff>
      <xdr:row>20</xdr:row>
      <xdr:rowOff>76007</xdr:rowOff>
    </xdr:from>
    <xdr:ext cx="2195031" cy="379324"/>
    <xdr:sp macro="" textlink="">
      <xdr:nvSpPr>
        <xdr:cNvPr id="35" name="Rounded Rectangle 45">
          <a:extLst>
            <a:ext uri="{FF2B5EF4-FFF2-40B4-BE49-F238E27FC236}">
              <a16:creationId xmlns:a16="http://schemas.microsoft.com/office/drawing/2014/main" id="{E1AB7D15-4992-4C39-9BA8-2C80F0180DAD}"/>
            </a:ext>
          </a:extLst>
        </xdr:cNvPr>
        <xdr:cNvSpPr>
          <a:spLocks noChangeAspect="1"/>
        </xdr:cNvSpPr>
      </xdr:nvSpPr>
      <xdr:spPr>
        <a:xfrm flipH="1">
          <a:off x="12929581" y="3482147"/>
          <a:ext cx="2195031" cy="379324"/>
        </a:xfrm>
        <a:prstGeom prst="roundRect">
          <a:avLst/>
        </a:prstGeom>
        <a:ln/>
        <a:scene3d>
          <a:camera prst="perspectiveBelow"/>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rtlCol="0" anchor="ctr">
          <a:noAutofit/>
        </a:bodyPr>
        <a:lstStyle/>
        <a:p>
          <a:pPr marL="0" lvl="0" indent="0" algn="ctr"/>
          <a:r>
            <a:rPr lang="ar-SA" sz="1600" b="1">
              <a:solidFill>
                <a:schemeClr val="bg1"/>
              </a:solidFill>
              <a:latin typeface="+mn-lt"/>
              <a:ea typeface="+mn-ea"/>
              <a:cs typeface="+mn-cs"/>
            </a:rPr>
            <a:t>اضافة</a:t>
          </a:r>
          <a:r>
            <a:rPr lang="ar-SA" sz="1600" b="1" baseline="0">
              <a:solidFill>
                <a:schemeClr val="bg1"/>
              </a:solidFill>
              <a:latin typeface="+mn-lt"/>
              <a:ea typeface="+mn-ea"/>
              <a:cs typeface="+mn-cs"/>
            </a:rPr>
            <a:t> مخزون</a:t>
          </a:r>
          <a:endParaRPr lang="en-US" sz="1600" b="1">
            <a:solidFill>
              <a:schemeClr val="bg1"/>
            </a:solidFill>
            <a:latin typeface="+mn-lt"/>
            <a:ea typeface="+mn-ea"/>
            <a:cs typeface="+mn-cs"/>
          </a:endParaRPr>
        </a:p>
      </xdr:txBody>
    </xdr:sp>
    <xdr:clientData/>
  </xdr:oneCellAnchor>
  <xdr:twoCellAnchor>
    <xdr:from>
      <xdr:col>0</xdr:col>
      <xdr:colOff>625930</xdr:colOff>
      <xdr:row>23</xdr:row>
      <xdr:rowOff>13608</xdr:rowOff>
    </xdr:from>
    <xdr:to>
      <xdr:col>4</xdr:col>
      <xdr:colOff>153253</xdr:colOff>
      <xdr:row>25</xdr:row>
      <xdr:rowOff>40822</xdr:rowOff>
    </xdr:to>
    <xdr:sp macro="[0]!addCurrncy" textlink="">
      <xdr:nvSpPr>
        <xdr:cNvPr id="36" name="Rounded Rectangle 47">
          <a:extLst>
            <a:ext uri="{FF2B5EF4-FFF2-40B4-BE49-F238E27FC236}">
              <a16:creationId xmlns:a16="http://schemas.microsoft.com/office/drawing/2014/main" id="{DF4AE480-3566-448F-B571-6A78E8D5FEC8}"/>
            </a:ext>
          </a:extLst>
        </xdr:cNvPr>
        <xdr:cNvSpPr/>
      </xdr:nvSpPr>
      <xdr:spPr>
        <a:xfrm flipH="1">
          <a:off x="12915047" y="3945528"/>
          <a:ext cx="2209563" cy="377734"/>
        </a:xfrm>
        <a:prstGeom prst="roundRect">
          <a:avLst>
            <a:gd name="adj" fmla="val 20387"/>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400" b="1">
              <a:solidFill>
                <a:schemeClr val="bg1"/>
              </a:solidFill>
              <a:latin typeface="+mn-lt"/>
              <a:ea typeface="+mn-ea"/>
              <a:cs typeface="+mn-cs"/>
            </a:rPr>
            <a:t>اضافة</a:t>
          </a:r>
          <a:r>
            <a:rPr lang="ar-SA" sz="1400" b="1" baseline="0">
              <a:solidFill>
                <a:schemeClr val="bg1"/>
              </a:solidFill>
              <a:latin typeface="+mn-lt"/>
              <a:ea typeface="+mn-ea"/>
              <a:cs typeface="+mn-cs"/>
            </a:rPr>
            <a:t> عملة</a:t>
          </a:r>
          <a:r>
            <a:rPr lang="ar-KW" sz="1400" b="1">
              <a:solidFill>
                <a:schemeClr val="bg1"/>
              </a:solidFill>
              <a:latin typeface="+mn-lt"/>
              <a:ea typeface="+mn-ea"/>
              <a:cs typeface="+mn-cs"/>
            </a:rPr>
            <a:t> </a:t>
          </a:r>
          <a:endParaRPr lang="en-US" sz="1400" b="1">
            <a:solidFill>
              <a:schemeClr val="bg1"/>
            </a:solidFill>
            <a:latin typeface="+mn-lt"/>
            <a:ea typeface="+mn-ea"/>
            <a:cs typeface="+mn-cs"/>
          </a:endParaRPr>
        </a:p>
      </xdr:txBody>
    </xdr:sp>
    <xdr:clientData/>
  </xdr:twoCellAnchor>
  <xdr:oneCellAnchor>
    <xdr:from>
      <xdr:col>0</xdr:col>
      <xdr:colOff>639536</xdr:colOff>
      <xdr:row>25</xdr:row>
      <xdr:rowOff>104038</xdr:rowOff>
    </xdr:from>
    <xdr:ext cx="2210814" cy="379324"/>
    <xdr:sp macro="" textlink="">
      <xdr:nvSpPr>
        <xdr:cNvPr id="37" name="Rounded Rectangle 48">
          <a:extLst>
            <a:ext uri="{FF2B5EF4-FFF2-40B4-BE49-F238E27FC236}">
              <a16:creationId xmlns:a16="http://schemas.microsoft.com/office/drawing/2014/main" id="{280BDDDD-1847-4BA0-944F-20CCCF10A6DB}"/>
            </a:ext>
          </a:extLst>
        </xdr:cNvPr>
        <xdr:cNvSpPr>
          <a:spLocks noChangeAspect="1"/>
        </xdr:cNvSpPr>
      </xdr:nvSpPr>
      <xdr:spPr>
        <a:xfrm flipH="1">
          <a:off x="12900190" y="4386478"/>
          <a:ext cx="2210814" cy="379324"/>
        </a:xfrm>
        <a:prstGeom prst="roundRect">
          <a:avLst/>
        </a:prstGeom>
        <a:ln/>
        <a:scene3d>
          <a:camera prst="perspectiveBelow"/>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rtlCol="0" anchor="ctr">
          <a:noAutofit/>
        </a:bodyPr>
        <a:lstStyle/>
        <a:p>
          <a:pPr marL="0" lvl="0" indent="0" algn="ctr"/>
          <a:r>
            <a:rPr lang="ar-SA" sz="1600" b="1">
              <a:solidFill>
                <a:schemeClr val="bg1"/>
              </a:solidFill>
              <a:latin typeface="+mn-lt"/>
              <a:ea typeface="+mn-ea"/>
              <a:cs typeface="+mn-cs"/>
            </a:rPr>
            <a:t>اضافة</a:t>
          </a:r>
          <a:r>
            <a:rPr lang="ar-SA" sz="1600" b="1" baseline="0">
              <a:solidFill>
                <a:schemeClr val="bg1"/>
              </a:solidFill>
              <a:latin typeface="+mn-lt"/>
              <a:ea typeface="+mn-ea"/>
              <a:cs typeface="+mn-cs"/>
            </a:rPr>
            <a:t> مجموعة مخزنية</a:t>
          </a:r>
          <a:endParaRPr lang="en-US" sz="1600" b="1">
            <a:solidFill>
              <a:schemeClr val="bg1"/>
            </a:solidFill>
            <a:latin typeface="+mn-lt"/>
            <a:ea typeface="+mn-ea"/>
            <a:cs typeface="+mn-cs"/>
          </a:endParaRPr>
        </a:p>
      </xdr:txBody>
    </xdr:sp>
    <xdr:clientData/>
  </xdr:oneCellAnchor>
  <xdr:oneCellAnchor>
    <xdr:from>
      <xdr:col>0</xdr:col>
      <xdr:colOff>598714</xdr:colOff>
      <xdr:row>28</xdr:row>
      <xdr:rowOff>27214</xdr:rowOff>
    </xdr:from>
    <xdr:ext cx="2251636" cy="383293"/>
    <xdr:sp macro="" textlink="">
      <xdr:nvSpPr>
        <xdr:cNvPr id="38" name="Rounded Rectangle 49">
          <a:extLst>
            <a:ext uri="{FF2B5EF4-FFF2-40B4-BE49-F238E27FC236}">
              <a16:creationId xmlns:a16="http://schemas.microsoft.com/office/drawing/2014/main" id="{07B58C28-2888-42E7-B17E-5712B9666550}"/>
            </a:ext>
          </a:extLst>
        </xdr:cNvPr>
        <xdr:cNvSpPr>
          <a:spLocks noChangeAspect="1"/>
        </xdr:cNvSpPr>
      </xdr:nvSpPr>
      <xdr:spPr>
        <a:xfrm flipH="1">
          <a:off x="12900190" y="4835434"/>
          <a:ext cx="2251636" cy="383293"/>
        </a:xfrm>
        <a:prstGeom prst="roundRect">
          <a:avLst/>
        </a:prstGeom>
        <a:ln/>
        <a:scene3d>
          <a:camera prst="perspectiveBelow"/>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rtlCol="0" anchor="ctr">
          <a:noAutofit/>
        </a:bodyPr>
        <a:lstStyle/>
        <a:p>
          <a:pPr marL="0" lvl="0" indent="0" algn="ctr"/>
          <a:r>
            <a:rPr lang="ar-SA" sz="1600" b="1">
              <a:solidFill>
                <a:schemeClr val="bg1"/>
              </a:solidFill>
              <a:latin typeface="+mn-lt"/>
              <a:ea typeface="+mn-ea"/>
              <a:cs typeface="+mn-cs"/>
            </a:rPr>
            <a:t>اضافة وحدة قياس</a:t>
          </a:r>
          <a:endParaRPr lang="en-US" sz="1600" b="1">
            <a:solidFill>
              <a:schemeClr val="bg1"/>
            </a:solidFill>
            <a:latin typeface="+mn-lt"/>
            <a:ea typeface="+mn-ea"/>
            <a:cs typeface="+mn-cs"/>
          </a:endParaRPr>
        </a:p>
      </xdr:txBody>
    </xdr:sp>
    <xdr:clientData/>
  </xdr:oneCellAnchor>
  <xdr:twoCellAnchor>
    <xdr:from>
      <xdr:col>3</xdr:col>
      <xdr:colOff>447660</xdr:colOff>
      <xdr:row>0</xdr:row>
      <xdr:rowOff>41857</xdr:rowOff>
    </xdr:from>
    <xdr:to>
      <xdr:col>6</xdr:col>
      <xdr:colOff>507007</xdr:colOff>
      <xdr:row>38</xdr:row>
      <xdr:rowOff>68748</xdr:rowOff>
    </xdr:to>
    <xdr:sp macro="" textlink="">
      <xdr:nvSpPr>
        <xdr:cNvPr id="39" name="Moon 18">
          <a:extLst>
            <a:ext uri="{FF2B5EF4-FFF2-40B4-BE49-F238E27FC236}">
              <a16:creationId xmlns:a16="http://schemas.microsoft.com/office/drawing/2014/main" id="{9584B54D-3BC2-4F75-828B-CB48F288819E}"/>
            </a:ext>
          </a:extLst>
        </xdr:cNvPr>
        <xdr:cNvSpPr/>
      </xdr:nvSpPr>
      <xdr:spPr>
        <a:xfrm flipH="1">
          <a:off x="11179847" y="41857"/>
          <a:ext cx="2062807" cy="6448239"/>
        </a:xfrm>
        <a:prstGeom prst="moon">
          <a:avLst>
            <a:gd name="adj" fmla="val 42414"/>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rtl="1"/>
          <a:endParaRPr lang="ar-SA"/>
        </a:p>
      </xdr:txBody>
    </xdr:sp>
    <xdr:clientData/>
  </xdr:twoCellAnchor>
  <xdr:twoCellAnchor editAs="oneCell">
    <xdr:from>
      <xdr:col>16</xdr:col>
      <xdr:colOff>137754</xdr:colOff>
      <xdr:row>10</xdr:row>
      <xdr:rowOff>47395</xdr:rowOff>
    </xdr:from>
    <xdr:to>
      <xdr:col>17</xdr:col>
      <xdr:colOff>664059</xdr:colOff>
      <xdr:row>16</xdr:row>
      <xdr:rowOff>123595</xdr:rowOff>
    </xdr:to>
    <xdr:pic>
      <xdr:nvPicPr>
        <xdr:cNvPr id="40" name="Picture 1">
          <a:extLst>
            <a:ext uri="{FF2B5EF4-FFF2-40B4-BE49-F238E27FC236}">
              <a16:creationId xmlns:a16="http://schemas.microsoft.com/office/drawing/2014/main" id="{189F5410-06A4-4B27-8D5A-9FDCD6EC2D7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803041" y="1700935"/>
          <a:ext cx="1196865" cy="1127760"/>
        </a:xfrm>
        <a:prstGeom prst="rect">
          <a:avLst/>
        </a:prstGeom>
      </xdr:spPr>
    </xdr:pic>
    <xdr:clientData/>
  </xdr:twoCellAnchor>
  <xdr:twoCellAnchor editAs="oneCell">
    <xdr:from>
      <xdr:col>11</xdr:col>
      <xdr:colOff>342900</xdr:colOff>
      <xdr:row>10</xdr:row>
      <xdr:rowOff>13607</xdr:rowOff>
    </xdr:from>
    <xdr:to>
      <xdr:col>13</xdr:col>
      <xdr:colOff>231322</xdr:colOff>
      <xdr:row>16</xdr:row>
      <xdr:rowOff>3273</xdr:rowOff>
    </xdr:to>
    <xdr:pic>
      <xdr:nvPicPr>
        <xdr:cNvPr id="41" name="Picture 3">
          <a:extLst>
            <a:ext uri="{FF2B5EF4-FFF2-40B4-BE49-F238E27FC236}">
              <a16:creationId xmlns:a16="http://schemas.microsoft.com/office/drawing/2014/main" id="{03F5B375-1281-46E1-9879-00D42786090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18018" y="1667147"/>
          <a:ext cx="1229542" cy="1041226"/>
        </a:xfrm>
        <a:prstGeom prst="rect">
          <a:avLst/>
        </a:prstGeom>
      </xdr:spPr>
    </xdr:pic>
    <xdr:clientData/>
  </xdr:twoCellAnchor>
  <xdr:twoCellAnchor editAs="oneCell">
    <xdr:from>
      <xdr:col>6</xdr:col>
      <xdr:colOff>873580</xdr:colOff>
      <xdr:row>8</xdr:row>
      <xdr:rowOff>163285</xdr:rowOff>
    </xdr:from>
    <xdr:to>
      <xdr:col>7</xdr:col>
      <xdr:colOff>478972</xdr:colOff>
      <xdr:row>15</xdr:row>
      <xdr:rowOff>3270</xdr:rowOff>
    </xdr:to>
    <xdr:pic>
      <xdr:nvPicPr>
        <xdr:cNvPr id="42" name="Picture 4">
          <a:extLst>
            <a:ext uri="{FF2B5EF4-FFF2-40B4-BE49-F238E27FC236}">
              <a16:creationId xmlns:a16="http://schemas.microsoft.com/office/drawing/2014/main" id="{91CAF84B-D4CF-43F5-904D-137DA1C747F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693728" y="1466305"/>
          <a:ext cx="1159872" cy="1066805"/>
        </a:xfrm>
        <a:prstGeom prst="rect">
          <a:avLst/>
        </a:prstGeom>
      </xdr:spPr>
    </xdr:pic>
    <xdr:clientData/>
  </xdr:twoCellAnchor>
  <xdr:twoCellAnchor>
    <xdr:from>
      <xdr:col>9</xdr:col>
      <xdr:colOff>436381</xdr:colOff>
      <xdr:row>23</xdr:row>
      <xdr:rowOff>89103</xdr:rowOff>
    </xdr:from>
    <xdr:to>
      <xdr:col>13</xdr:col>
      <xdr:colOff>584569</xdr:colOff>
      <xdr:row>25</xdr:row>
      <xdr:rowOff>76689</xdr:rowOff>
    </xdr:to>
    <xdr:sp macro="" textlink="">
      <xdr:nvSpPr>
        <xdr:cNvPr id="43" name="Rounded Rectangle 31">
          <a:extLst>
            <a:ext uri="{FF2B5EF4-FFF2-40B4-BE49-F238E27FC236}">
              <a16:creationId xmlns:a16="http://schemas.microsoft.com/office/drawing/2014/main" id="{8A9AA4B3-FF83-4F82-AF2B-28F2251D3B59}"/>
            </a:ext>
          </a:extLst>
        </xdr:cNvPr>
        <xdr:cNvSpPr/>
      </xdr:nvSpPr>
      <xdr:spPr>
        <a:xfrm flipH="1">
          <a:off x="5564771" y="4021023"/>
          <a:ext cx="2830428" cy="338106"/>
        </a:xfrm>
        <a:prstGeom prst="roundRect">
          <a:avLst/>
        </a:prstGeom>
        <a:solidFill>
          <a:srgbClr val="00B0F0"/>
        </a:solidFill>
        <a:ln w="12700">
          <a:solidFill>
            <a:schemeClr val="bg1">
              <a:alpha val="96000"/>
            </a:schemeClr>
          </a:solidFill>
        </a:ln>
        <a:scene3d>
          <a:camera prst="orthographicFront"/>
          <a:lightRig rig="sunrise"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lvl="0" indent="0" algn="ctr"/>
          <a:r>
            <a:rPr lang="ar-SA" sz="1600" b="1">
              <a:solidFill>
                <a:schemeClr val="bg1"/>
              </a:solidFill>
              <a:latin typeface="+mn-lt"/>
              <a:ea typeface="+mn-ea"/>
              <a:cs typeface="+mn-cs"/>
            </a:rPr>
            <a:t>كشف</a:t>
          </a:r>
          <a:r>
            <a:rPr lang="ar-SA" sz="1600" b="1" baseline="0">
              <a:solidFill>
                <a:schemeClr val="bg1"/>
              </a:solidFill>
              <a:latin typeface="+mn-lt"/>
              <a:ea typeface="+mn-ea"/>
              <a:cs typeface="+mn-cs"/>
            </a:rPr>
            <a:t> الاصول</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441959</xdr:colOff>
      <xdr:row>0</xdr:row>
      <xdr:rowOff>0</xdr:rowOff>
    </xdr:from>
    <xdr:to>
      <xdr:col>1</xdr:col>
      <xdr:colOff>1049777</xdr:colOff>
      <xdr:row>0</xdr:row>
      <xdr:rowOff>792480</xdr:rowOff>
    </xdr:to>
    <xdr:pic>
      <xdr:nvPicPr>
        <xdr:cNvPr id="2" name="صورة 1">
          <a:hlinkClick xmlns:r="http://schemas.openxmlformats.org/officeDocument/2006/relationships" r:id="rId1"/>
          <a:extLst>
            <a:ext uri="{FF2B5EF4-FFF2-40B4-BE49-F238E27FC236}">
              <a16:creationId xmlns:a16="http://schemas.microsoft.com/office/drawing/2014/main" id="{587B984D-7F9E-4CA4-9F76-961FFAF08943}"/>
            </a:ext>
          </a:extLst>
        </xdr:cNvPr>
        <xdr:cNvPicPr>
          <a:picLocks noChangeAspect="1"/>
        </xdr:cNvPicPr>
      </xdr:nvPicPr>
      <xdr:blipFill>
        <a:blip xmlns:r="http://schemas.openxmlformats.org/officeDocument/2006/relationships" r:embed="rId2"/>
        <a:stretch>
          <a:fillRect/>
        </a:stretch>
      </xdr:blipFill>
      <xdr:spPr>
        <a:xfrm>
          <a:off x="9996855043" y="0"/>
          <a:ext cx="1049778" cy="7924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777307</xdr:colOff>
      <xdr:row>0</xdr:row>
      <xdr:rowOff>586791</xdr:rowOff>
    </xdr:to>
    <xdr:pic>
      <xdr:nvPicPr>
        <xdr:cNvPr id="2" name="صورة 1">
          <a:hlinkClick xmlns:r="http://schemas.openxmlformats.org/officeDocument/2006/relationships" r:id="rId1"/>
          <a:extLst>
            <a:ext uri="{FF2B5EF4-FFF2-40B4-BE49-F238E27FC236}">
              <a16:creationId xmlns:a16="http://schemas.microsoft.com/office/drawing/2014/main" id="{035F425D-B9F4-670E-BA51-A635032648B8}"/>
            </a:ext>
          </a:extLst>
        </xdr:cNvPr>
        <xdr:cNvPicPr>
          <a:picLocks noChangeAspect="1"/>
        </xdr:cNvPicPr>
      </xdr:nvPicPr>
      <xdr:blipFill>
        <a:blip xmlns:r="http://schemas.openxmlformats.org/officeDocument/2006/relationships" r:embed="rId2"/>
        <a:stretch>
          <a:fillRect/>
        </a:stretch>
      </xdr:blipFill>
      <xdr:spPr>
        <a:xfrm>
          <a:off x="14082893380" y="0"/>
          <a:ext cx="777307" cy="58679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1095139</xdr:colOff>
      <xdr:row>0</xdr:row>
      <xdr:rowOff>1005840</xdr:rowOff>
    </xdr:to>
    <mc:AlternateContent xmlns:mc="http://schemas.openxmlformats.org/markup-compatibility/2006" xmlns:a14="http://schemas.microsoft.com/office/drawing/2010/main">
      <mc:Choice Requires="a14">
        <xdr:graphicFrame macro="">
          <xdr:nvGraphicFramePr>
            <xdr:cNvPr id="2" name="الشهــــر">
              <a:extLst>
                <a:ext uri="{FF2B5EF4-FFF2-40B4-BE49-F238E27FC236}">
                  <a16:creationId xmlns:a16="http://schemas.microsoft.com/office/drawing/2014/main" id="{5F875114-366F-FC9E-EDCD-AED1521F710A}"/>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الشهــــر"/>
            </a:graphicData>
          </a:graphic>
        </xdr:graphicFrame>
      </mc:Choice>
      <mc:Fallback xmlns="">
        <xdr:sp macro="" textlink="">
          <xdr:nvSpPr>
            <xdr:cNvPr id="0" name=""/>
            <xdr:cNvSpPr>
              <a:spLocks noTextEdit="1"/>
            </xdr:cNvSpPr>
          </xdr:nvSpPr>
          <xdr:spPr>
            <a:xfrm>
              <a:off x="10009714497" y="0"/>
              <a:ext cx="6007205" cy="1005840"/>
            </a:xfrm>
            <a:prstGeom prst="rect">
              <a:avLst/>
            </a:prstGeom>
            <a:solidFill>
              <a:prstClr val="white"/>
            </a:solidFill>
            <a:ln w="1">
              <a:solidFill>
                <a:prstClr val="green"/>
              </a:solidFill>
            </a:ln>
          </xdr:spPr>
          <xdr:txBody>
            <a:bodyPr vertOverflow="clip" horzOverflow="clip"/>
            <a:lstStyle/>
            <a:p>
              <a:r>
                <a:rPr lang="ar-SA"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22861</xdr:rowOff>
    </xdr:from>
    <xdr:to>
      <xdr:col>4</xdr:col>
      <xdr:colOff>464931</xdr:colOff>
      <xdr:row>5</xdr:row>
      <xdr:rowOff>805181</xdr:rowOff>
    </xdr:to>
    <mc:AlternateContent xmlns:mc="http://schemas.openxmlformats.org/markup-compatibility/2006" xmlns:a14="http://schemas.microsoft.com/office/drawing/2010/main">
      <mc:Choice Requires="a14">
        <xdr:graphicFrame macro="">
          <xdr:nvGraphicFramePr>
            <xdr:cNvPr id="2" name="الحساب">
              <a:extLst>
                <a:ext uri="{FF2B5EF4-FFF2-40B4-BE49-F238E27FC236}">
                  <a16:creationId xmlns:a16="http://schemas.microsoft.com/office/drawing/2014/main" id="{76D000AE-0D2D-5AF4-BCC4-47651BE3DA62}"/>
                </a:ext>
              </a:extLst>
            </xdr:cNvPr>
            <xdr:cNvGraphicFramePr/>
          </xdr:nvGraphicFramePr>
          <xdr:xfrm>
            <a:off x="0" y="0"/>
            <a:ext cx="0" cy="0"/>
          </xdr:xfrm>
          <a:graphic>
            <a:graphicData uri="http://schemas.microsoft.com/office/drawing/2010/slicer">
              <sle:slicer xmlns:sle="http://schemas.microsoft.com/office/drawing/2010/slicer" name="الحساب"/>
            </a:graphicData>
          </a:graphic>
        </xdr:graphicFrame>
      </mc:Choice>
      <mc:Fallback xmlns="">
        <xdr:sp macro="" textlink="">
          <xdr:nvSpPr>
            <xdr:cNvPr id="0" name=""/>
            <xdr:cNvSpPr>
              <a:spLocks noTextEdit="1"/>
            </xdr:cNvSpPr>
          </xdr:nvSpPr>
          <xdr:spPr>
            <a:xfrm>
              <a:off x="9995092971" y="22861"/>
              <a:ext cx="15453429" cy="2179320"/>
            </a:xfrm>
            <a:prstGeom prst="rect">
              <a:avLst/>
            </a:prstGeom>
            <a:solidFill>
              <a:prstClr val="white"/>
            </a:solidFill>
            <a:ln w="1">
              <a:solidFill>
                <a:prstClr val="green"/>
              </a:solidFill>
            </a:ln>
          </xdr:spPr>
          <xdr:txBody>
            <a:bodyPr vertOverflow="clip" horzOverflow="clip"/>
            <a:lstStyle/>
            <a:p>
              <a:r>
                <a:rPr lang="ar-SA"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9525</xdr:colOff>
      <xdr:row>3</xdr:row>
      <xdr:rowOff>0</xdr:rowOff>
    </xdr:from>
    <xdr:to>
      <xdr:col>13</xdr:col>
      <xdr:colOff>0</xdr:colOff>
      <xdr:row>3</xdr:row>
      <xdr:rowOff>0</xdr:rowOff>
    </xdr:to>
    <xdr:cxnSp macro="">
      <xdr:nvCxnSpPr>
        <xdr:cNvPr id="2" name="رابط مستقيم 1">
          <a:extLst>
            <a:ext uri="{FF2B5EF4-FFF2-40B4-BE49-F238E27FC236}">
              <a16:creationId xmlns:a16="http://schemas.microsoft.com/office/drawing/2014/main" id="{A1309B57-030B-4117-AE30-A229254980FC}"/>
            </a:ext>
          </a:extLst>
        </xdr:cNvPr>
        <xdr:cNvCxnSpPr/>
      </xdr:nvCxnSpPr>
      <xdr:spPr>
        <a:xfrm flipH="1">
          <a:off x="6316980" y="2026920"/>
          <a:ext cx="21204555"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5258122</xdr:colOff>
      <xdr:row>0</xdr:row>
      <xdr:rowOff>125490</xdr:rowOff>
    </xdr:from>
    <xdr:to>
      <xdr:col>7</xdr:col>
      <xdr:colOff>105530</xdr:colOff>
      <xdr:row>3</xdr:row>
      <xdr:rowOff>204107</xdr:rowOff>
    </xdr:to>
    <xdr:sp macro="" textlink="">
      <xdr:nvSpPr>
        <xdr:cNvPr id="3" name="مربع نص 2">
          <a:extLst>
            <a:ext uri="{FF2B5EF4-FFF2-40B4-BE49-F238E27FC236}">
              <a16:creationId xmlns:a16="http://schemas.microsoft.com/office/drawing/2014/main" id="{845BC7C3-37FD-4AA5-B69A-EB3E10799EFA}"/>
            </a:ext>
          </a:extLst>
        </xdr:cNvPr>
        <xdr:cNvSpPr txBox="1">
          <a:spLocks noChangeArrowheads="1"/>
        </xdr:cNvSpPr>
      </xdr:nvSpPr>
      <xdr:spPr bwMode="auto">
        <a:xfrm>
          <a:off x="17420470" y="125490"/>
          <a:ext cx="4113872" cy="2255760"/>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9525">
          <a:noFill/>
          <a:miter lim="800000"/>
          <a:headEnd/>
          <a:tailEnd/>
        </a:ln>
      </xdr:spPr>
      <xdr:txBody>
        <a:bodyPr rot="0" vert="horz" wrap="square" lIns="91440" tIns="45720" rIns="91440" bIns="45720" anchor="t" anchorCtr="0">
          <a:noAutofit/>
        </a:bodyPr>
        <a:lstStyle/>
        <a:p>
          <a:pPr algn="r" rtl="1">
            <a:lnSpc>
              <a:spcPct val="107000"/>
            </a:lnSpc>
            <a:spcAft>
              <a:spcPts val="800"/>
            </a:spcAft>
            <a:buNone/>
          </a:pPr>
          <a:r>
            <a:rPr lang="en-US" sz="1100">
              <a:effectLst/>
              <a:latin typeface="Calibri" panose="020F0502020204030204" pitchFamily="34" charset="0"/>
              <a:ea typeface="Calibri" panose="020F0502020204030204" pitchFamily="34" charset="0"/>
              <a:cs typeface="Arial" panose="020B0604020202020204" pitchFamily="34" charset="0"/>
            </a:rPr>
            <a:t> </a:t>
          </a:r>
        </a:p>
      </xdr:txBody>
    </xdr:sp>
    <xdr:clientData/>
  </xdr:twoCellAnchor>
  <xdr:twoCellAnchor>
    <xdr:from>
      <xdr:col>0</xdr:col>
      <xdr:colOff>1801368</xdr:colOff>
      <xdr:row>0</xdr:row>
      <xdr:rowOff>117806</xdr:rowOff>
    </xdr:from>
    <xdr:to>
      <xdr:col>5</xdr:col>
      <xdr:colOff>1802085</xdr:colOff>
      <xdr:row>2</xdr:row>
      <xdr:rowOff>796472</xdr:rowOff>
    </xdr:to>
    <xdr:sp macro="" textlink="">
      <xdr:nvSpPr>
        <xdr:cNvPr id="4" name="مربع نص 3">
          <a:extLst>
            <a:ext uri="{FF2B5EF4-FFF2-40B4-BE49-F238E27FC236}">
              <a16:creationId xmlns:a16="http://schemas.microsoft.com/office/drawing/2014/main" id="{106DD549-7F50-41B8-83A9-F58D5A17A40D}"/>
            </a:ext>
          </a:extLst>
        </xdr:cNvPr>
        <xdr:cNvSpPr txBox="1">
          <a:spLocks noChangeArrowheads="1"/>
        </xdr:cNvSpPr>
      </xdr:nvSpPr>
      <xdr:spPr bwMode="auto">
        <a:xfrm flipH="1">
          <a:off x="22124715" y="117806"/>
          <a:ext cx="5951937" cy="1631166"/>
        </a:xfrm>
        <a:prstGeom prst="rect">
          <a:avLst/>
        </a:prstGeom>
        <a:noFill/>
        <a:ln w="9525">
          <a:noFill/>
          <a:miter lim="800000"/>
          <a:headEnd/>
          <a:tailEnd/>
        </a:ln>
      </xdr:spPr>
      <xdr:txBody>
        <a:bodyPr rot="0" vert="horz" wrap="square" lIns="91440" tIns="45720" rIns="91440" bIns="45720" anchor="t" anchorCtr="0">
          <a:noAutofit/>
        </a:bodyPr>
        <a:lstStyle/>
        <a:p>
          <a:pPr algn="ctr" rtl="1">
            <a:lnSpc>
              <a:spcPct val="107000"/>
            </a:lnSpc>
            <a:spcAft>
              <a:spcPts val="800"/>
            </a:spcAft>
            <a:buNone/>
          </a:pPr>
          <a:r>
            <a:rPr lang="ar-SA" sz="2400" b="1">
              <a:solidFill>
                <a:srgbClr val="FF0000"/>
              </a:solidFill>
              <a:effectLst/>
              <a:latin typeface="Calibri" panose="020F0502020204030204" pitchFamily="34" charset="0"/>
              <a:ea typeface="Calibri" panose="020F0502020204030204" pitchFamily="34" charset="0"/>
              <a:cs typeface="Arial" panose="020B0604020202020204" pitchFamily="34" charset="0"/>
            </a:rPr>
            <a:t>قوات التحالف العربي</a:t>
          </a:r>
          <a:endParaRPr lang="en-US" sz="2000">
            <a:effectLst/>
            <a:latin typeface="Calibri" panose="020F0502020204030204" pitchFamily="34" charset="0"/>
            <a:ea typeface="Calibri" panose="020F0502020204030204" pitchFamily="34" charset="0"/>
            <a:cs typeface="Arial" panose="020B0604020202020204" pitchFamily="34" charset="0"/>
          </a:endParaRPr>
        </a:p>
        <a:p>
          <a:pPr algn="ctr" rtl="1">
            <a:lnSpc>
              <a:spcPct val="107000"/>
            </a:lnSpc>
            <a:spcAft>
              <a:spcPts val="800"/>
            </a:spcAft>
            <a:buNone/>
          </a:pPr>
          <a:r>
            <a:rPr lang="ar-SA" sz="2400" b="1">
              <a:solidFill>
                <a:srgbClr val="FF0000"/>
              </a:solidFill>
              <a:effectLst/>
              <a:latin typeface="Calibri" panose="020F0502020204030204" pitchFamily="34" charset="0"/>
              <a:ea typeface="Calibri" panose="020F0502020204030204" pitchFamily="34" charset="0"/>
              <a:cs typeface="Arial" panose="020B0604020202020204" pitchFamily="34" charset="0"/>
            </a:rPr>
            <a:t>قوات درع الوطن</a:t>
          </a:r>
          <a:endParaRPr lang="en-US" sz="2000">
            <a:effectLst/>
            <a:latin typeface="Calibri" panose="020F0502020204030204" pitchFamily="34" charset="0"/>
            <a:ea typeface="Calibri" panose="020F0502020204030204" pitchFamily="34" charset="0"/>
            <a:cs typeface="Arial" panose="020B0604020202020204" pitchFamily="34" charset="0"/>
          </a:endParaRPr>
        </a:p>
        <a:p>
          <a:pPr algn="ctr" rtl="1">
            <a:lnSpc>
              <a:spcPct val="107000"/>
            </a:lnSpc>
            <a:spcAft>
              <a:spcPts val="800"/>
            </a:spcAft>
            <a:buNone/>
          </a:pPr>
          <a:r>
            <a:rPr lang="ar-SA" sz="2400" b="1">
              <a:solidFill>
                <a:srgbClr val="FF0000"/>
              </a:solidFill>
              <a:effectLst/>
              <a:latin typeface="Calibri" panose="020F0502020204030204" pitchFamily="34" charset="0"/>
              <a:ea typeface="Calibri" panose="020F0502020204030204" pitchFamily="34" charset="0"/>
              <a:cs typeface="Arial" panose="020B0604020202020204" pitchFamily="34" charset="0"/>
            </a:rPr>
            <a:t>الفرقة الثالثة</a:t>
          </a:r>
          <a:endParaRPr lang="en-US" sz="2000">
            <a:effectLst/>
            <a:latin typeface="Calibri" panose="020F0502020204030204" pitchFamily="34" charset="0"/>
            <a:ea typeface="Calibri" panose="020F0502020204030204" pitchFamily="34" charset="0"/>
            <a:cs typeface="Arial" panose="020B0604020202020204" pitchFamily="34" charset="0"/>
          </a:endParaRPr>
        </a:p>
        <a:p>
          <a:pPr algn="ctr" rtl="1">
            <a:lnSpc>
              <a:spcPct val="107000"/>
            </a:lnSpc>
            <a:spcAft>
              <a:spcPts val="800"/>
            </a:spcAft>
            <a:buNone/>
          </a:pPr>
          <a:endParaRPr lang="ar-SA" sz="2400" b="1">
            <a:solidFill>
              <a:srgbClr val="FF0000"/>
            </a:solidFill>
            <a:effectLst/>
            <a:latin typeface="Calibri" panose="020F0502020204030204" pitchFamily="34" charset="0"/>
            <a:ea typeface="Calibri" panose="020F0502020204030204" pitchFamily="34" charset="0"/>
            <a:cs typeface="Arial" panose="020B0604020202020204" pitchFamily="34" charset="0"/>
          </a:endParaRPr>
        </a:p>
        <a:p>
          <a:pPr algn="ctr" rtl="1">
            <a:lnSpc>
              <a:spcPct val="107000"/>
            </a:lnSpc>
            <a:spcAft>
              <a:spcPts val="800"/>
            </a:spcAft>
            <a:buNone/>
          </a:pPr>
          <a:endParaRPr lang="en-US" sz="2000">
            <a:effectLst/>
            <a:latin typeface="Calibri" panose="020F0502020204030204" pitchFamily="34" charset="0"/>
            <a:ea typeface="Calibri" panose="020F0502020204030204" pitchFamily="34" charset="0"/>
            <a:cs typeface="Arial" panose="020B0604020202020204" pitchFamily="34" charset="0"/>
          </a:endParaRPr>
        </a:p>
      </xdr:txBody>
    </xdr:sp>
    <xdr:clientData/>
  </xdr:twoCellAnchor>
  <xdr:twoCellAnchor>
    <xdr:from>
      <xdr:col>10</xdr:col>
      <xdr:colOff>1128542</xdr:colOff>
      <xdr:row>0</xdr:row>
      <xdr:rowOff>149305</xdr:rowOff>
    </xdr:from>
    <xdr:to>
      <xdr:col>12</xdr:col>
      <xdr:colOff>1179131</xdr:colOff>
      <xdr:row>2</xdr:row>
      <xdr:rowOff>208296</xdr:rowOff>
    </xdr:to>
    <xdr:sp macro="" textlink="">
      <xdr:nvSpPr>
        <xdr:cNvPr id="5" name="مربع نص 4">
          <a:extLst>
            <a:ext uri="{FF2B5EF4-FFF2-40B4-BE49-F238E27FC236}">
              <a16:creationId xmlns:a16="http://schemas.microsoft.com/office/drawing/2014/main" id="{77CAB172-D4EA-4800-A52F-149B88F2EE39}"/>
            </a:ext>
          </a:extLst>
        </xdr:cNvPr>
        <xdr:cNvSpPr txBox="1"/>
      </xdr:nvSpPr>
      <xdr:spPr>
        <a:xfrm>
          <a:off x="8061631" y="149305"/>
          <a:ext cx="3352589" cy="1014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noAutofit/>
        </a:bodyPr>
        <a:lstStyle/>
        <a:p>
          <a:pPr algn="r" rtl="0" fontAlgn="base">
            <a:lnSpc>
              <a:spcPct val="107000"/>
            </a:lnSpc>
            <a:spcAft>
              <a:spcPts val="800"/>
            </a:spcAft>
            <a:buNone/>
          </a:pPr>
          <a:r>
            <a:rPr lang="ar-SA" sz="1800" b="1">
              <a:solidFill>
                <a:srgbClr val="000000"/>
              </a:solidFill>
              <a:effectLst/>
              <a:ea typeface="Calibri" panose="020F0502020204030204" pitchFamily="34" charset="0"/>
              <a:cs typeface="Arial" panose="020B0604020202020204" pitchFamily="34" charset="0"/>
            </a:rPr>
            <a:t>التاريخ :  </a:t>
          </a:r>
          <a:endParaRPr lang="en-US" sz="1800" b="1">
            <a:effectLst/>
            <a:ea typeface="Calibri" panose="020F0502020204030204" pitchFamily="34" charset="0"/>
            <a:cs typeface="Arial" panose="020B0604020202020204" pitchFamily="34" charset="0"/>
          </a:endParaRPr>
        </a:p>
        <a:p>
          <a:pPr algn="r" rtl="0" fontAlgn="base">
            <a:lnSpc>
              <a:spcPct val="107000"/>
            </a:lnSpc>
            <a:spcAft>
              <a:spcPts val="800"/>
            </a:spcAft>
            <a:buNone/>
          </a:pPr>
          <a:r>
            <a:rPr lang="ar-SA" sz="1800" b="1">
              <a:solidFill>
                <a:srgbClr val="000000"/>
              </a:solidFill>
              <a:effectLst/>
              <a:ea typeface="Calibri" panose="020F0502020204030204" pitchFamily="34" charset="0"/>
              <a:cs typeface="Arial" panose="020B0604020202020204" pitchFamily="34" charset="0"/>
            </a:rPr>
            <a:t>الموافق :     </a:t>
          </a:r>
          <a:r>
            <a:rPr lang="ar-SA" sz="1800" b="1" baseline="0">
              <a:solidFill>
                <a:srgbClr val="000000"/>
              </a:solidFill>
              <a:effectLst/>
              <a:ea typeface="Calibri" panose="020F0502020204030204" pitchFamily="34" charset="0"/>
              <a:cs typeface="Arial" panose="020B0604020202020204" pitchFamily="34" charset="0"/>
            </a:rPr>
            <a:t> </a:t>
          </a:r>
          <a:r>
            <a:rPr lang="ar-SA" sz="1800" b="1">
              <a:solidFill>
                <a:srgbClr val="000000"/>
              </a:solidFill>
              <a:effectLst/>
              <a:ea typeface="Calibri" panose="020F0502020204030204" pitchFamily="34" charset="0"/>
              <a:cs typeface="Arial" panose="020B0604020202020204" pitchFamily="34" charset="0"/>
            </a:rPr>
            <a:t> </a:t>
          </a:r>
          <a:endParaRPr lang="en-US" sz="1800" b="1">
            <a:effectLst/>
            <a:ea typeface="Calibri" panose="020F0502020204030204" pitchFamily="34" charset="0"/>
            <a:cs typeface="Arial" panose="020B0604020202020204" pitchFamily="34" charset="0"/>
          </a:endParaRPr>
        </a:p>
        <a:p>
          <a:pPr algn="r" rtl="0" fontAlgn="base">
            <a:lnSpc>
              <a:spcPct val="107000"/>
            </a:lnSpc>
            <a:spcAft>
              <a:spcPts val="800"/>
            </a:spcAft>
            <a:buNone/>
          </a:pPr>
          <a:r>
            <a:rPr lang="ar-SA" sz="1800" b="1">
              <a:solidFill>
                <a:srgbClr val="FF0000"/>
              </a:solidFill>
              <a:effectLst/>
              <a:ea typeface="Calibri" panose="020F0502020204030204" pitchFamily="34" charset="0"/>
              <a:cs typeface="Arial" panose="020B0604020202020204" pitchFamily="34" charset="0"/>
            </a:rPr>
            <a:t>المرفقات:-...................</a:t>
          </a:r>
          <a:endParaRPr lang="en-US" sz="1800" b="1">
            <a:effectLst/>
            <a:ea typeface="Calibri" panose="020F0502020204030204" pitchFamily="34" charset="0"/>
            <a:cs typeface="Arial" panose="020B0604020202020204" pitchFamily="34" charset="0"/>
          </a:endParaRPr>
        </a:p>
        <a:p>
          <a:pPr algn="r" rtl="0" fontAlgn="base">
            <a:lnSpc>
              <a:spcPct val="107000"/>
            </a:lnSpc>
            <a:spcAft>
              <a:spcPts val="800"/>
            </a:spcAft>
            <a:buNone/>
          </a:pPr>
          <a:r>
            <a:rPr lang="ar-SA" sz="1800" b="1">
              <a:solidFill>
                <a:srgbClr val="FF0000"/>
              </a:solidFill>
              <a:effectLst/>
              <a:ea typeface="Calibri" panose="020F0502020204030204" pitchFamily="34" charset="0"/>
              <a:cs typeface="Arial" panose="020B0604020202020204" pitchFamily="34" charset="0"/>
            </a:rPr>
            <a:t>المرجع:-.....................</a:t>
          </a:r>
          <a:endParaRPr lang="en-US" sz="1800" b="1">
            <a:effectLst/>
            <a:ea typeface="Calibri" panose="020F0502020204030204" pitchFamily="34" charset="0"/>
            <a:cs typeface="Arial" panose="020B0604020202020204" pitchFamily="34" charset="0"/>
          </a:endParaRPr>
        </a:p>
      </xdr:txBody>
    </xdr:sp>
    <xdr:clientData/>
  </xdr:twoCellAnchor>
  <xdr:twoCellAnchor>
    <xdr:from>
      <xdr:col>0</xdr:col>
      <xdr:colOff>1132115</xdr:colOff>
      <xdr:row>3</xdr:row>
      <xdr:rowOff>43542</xdr:rowOff>
    </xdr:from>
    <xdr:to>
      <xdr:col>0</xdr:col>
      <xdr:colOff>2003322</xdr:colOff>
      <xdr:row>4</xdr:row>
      <xdr:rowOff>32657</xdr:rowOff>
    </xdr:to>
    <xdr:grpSp>
      <xdr:nvGrpSpPr>
        <xdr:cNvPr id="6" name="مجموعة 5">
          <a:extLst>
            <a:ext uri="{FF2B5EF4-FFF2-40B4-BE49-F238E27FC236}">
              <a16:creationId xmlns:a16="http://schemas.microsoft.com/office/drawing/2014/main" id="{7A6E89F8-9C1B-4569-8AB4-576364D7F441}"/>
            </a:ext>
          </a:extLst>
        </xdr:cNvPr>
        <xdr:cNvGrpSpPr/>
      </xdr:nvGrpSpPr>
      <xdr:grpSpPr>
        <a:xfrm>
          <a:off x="35748940" y="2220685"/>
          <a:ext cx="871207" cy="745067"/>
          <a:chOff x="22413686" y="2307772"/>
          <a:chExt cx="1306285" cy="1120237"/>
        </a:xfrm>
      </xdr:grpSpPr>
      <xdr:sp macro="[0]!printreport" textlink="">
        <xdr:nvSpPr>
          <xdr:cNvPr id="7" name="مربع نص 6">
            <a:extLst>
              <a:ext uri="{FF2B5EF4-FFF2-40B4-BE49-F238E27FC236}">
                <a16:creationId xmlns:a16="http://schemas.microsoft.com/office/drawing/2014/main" id="{056BB5F2-CE5F-B87A-3BF5-E2C1B7297E87}"/>
              </a:ext>
            </a:extLst>
          </xdr:cNvPr>
          <xdr:cNvSpPr txBox="1"/>
        </xdr:nvSpPr>
        <xdr:spPr>
          <a:xfrm>
            <a:off x="22413686" y="2318657"/>
            <a:ext cx="1306285" cy="10450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r" rtl="1"/>
            <a:endParaRPr lang="ar-SA" sz="1100"/>
          </a:p>
        </xdr:txBody>
      </xdr:sp>
      <xdr:pic macro="[0]!printreport">
        <xdr:nvPicPr>
          <xdr:cNvPr id="8" name="صورة 7">
            <a:extLst>
              <a:ext uri="{FF2B5EF4-FFF2-40B4-BE49-F238E27FC236}">
                <a16:creationId xmlns:a16="http://schemas.microsoft.com/office/drawing/2014/main" id="{72A9FCB2-4301-494E-BDEF-992BD95B5E48}"/>
              </a:ext>
            </a:extLst>
          </xdr:cNvPr>
          <xdr:cNvPicPr>
            <a:picLocks noChangeAspect="1"/>
          </xdr:cNvPicPr>
        </xdr:nvPicPr>
        <xdr:blipFill>
          <a:blip xmlns:r="http://schemas.openxmlformats.org/officeDocument/2006/relationships" r:embed="rId2"/>
          <a:stretch>
            <a:fillRect/>
          </a:stretch>
        </xdr:blipFill>
        <xdr:spPr>
          <a:xfrm>
            <a:off x="22535504" y="2307772"/>
            <a:ext cx="1173582" cy="1120237"/>
          </a:xfrm>
          <a:prstGeom prst="rect">
            <a:avLst/>
          </a:prstGeom>
          <a:ln>
            <a:noFill/>
          </a:ln>
        </xdr:spPr>
      </xdr:pic>
    </xdr:grpSp>
    <xdr:clientData/>
  </xdr:twoCellAnchor>
  <xdr:twoCellAnchor>
    <xdr:from>
      <xdr:col>0</xdr:col>
      <xdr:colOff>936172</xdr:colOff>
      <xdr:row>1</xdr:row>
      <xdr:rowOff>370114</xdr:rowOff>
    </xdr:from>
    <xdr:to>
      <xdr:col>1</xdr:col>
      <xdr:colOff>119742</xdr:colOff>
      <xdr:row>2</xdr:row>
      <xdr:rowOff>1023258</xdr:rowOff>
    </xdr:to>
    <xdr:grpSp>
      <xdr:nvGrpSpPr>
        <xdr:cNvPr id="9" name="مجموعة 8">
          <a:extLst>
            <a:ext uri="{FF2B5EF4-FFF2-40B4-BE49-F238E27FC236}">
              <a16:creationId xmlns:a16="http://schemas.microsoft.com/office/drawing/2014/main" id="{4559D699-0CA4-418E-B6B1-451F90256FE4}"/>
            </a:ext>
          </a:extLst>
        </xdr:cNvPr>
        <xdr:cNvGrpSpPr/>
      </xdr:nvGrpSpPr>
      <xdr:grpSpPr>
        <a:xfrm>
          <a:off x="35349544" y="944638"/>
          <a:ext cx="1466546" cy="1182310"/>
          <a:chOff x="21619027" y="642256"/>
          <a:chExt cx="1654629" cy="1378244"/>
        </a:xfrm>
      </xdr:grpSpPr>
      <xdr:sp macro="[0]!OpenUsrformreport" textlink="">
        <xdr:nvSpPr>
          <xdr:cNvPr id="10" name="مستطيل 9">
            <a:extLst>
              <a:ext uri="{FF2B5EF4-FFF2-40B4-BE49-F238E27FC236}">
                <a16:creationId xmlns:a16="http://schemas.microsoft.com/office/drawing/2014/main" id="{C2965C35-C375-7CB2-347B-BC020CFB5707}"/>
              </a:ext>
            </a:extLst>
          </xdr:cNvPr>
          <xdr:cNvSpPr/>
        </xdr:nvSpPr>
        <xdr:spPr>
          <a:xfrm>
            <a:off x="21619027" y="642256"/>
            <a:ext cx="1654629" cy="13280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SA" sz="1100"/>
          </a:p>
        </xdr:txBody>
      </xdr:sp>
      <xdr:pic macro="[0]!OpenUsrformreport">
        <xdr:nvPicPr>
          <xdr:cNvPr id="11" name="صورة 10">
            <a:extLst>
              <a:ext uri="{FF2B5EF4-FFF2-40B4-BE49-F238E27FC236}">
                <a16:creationId xmlns:a16="http://schemas.microsoft.com/office/drawing/2014/main" id="{9F5C3E7C-BFDA-E6BE-17BA-26585448E4F3}"/>
              </a:ext>
            </a:extLst>
          </xdr:cNvPr>
          <xdr:cNvPicPr>
            <a:picLocks noChangeAspect="1"/>
          </xdr:cNvPicPr>
        </xdr:nvPicPr>
        <xdr:blipFill>
          <a:blip xmlns:r="http://schemas.openxmlformats.org/officeDocument/2006/relationships" r:embed="rId3"/>
          <a:stretch>
            <a:fillRect/>
          </a:stretch>
        </xdr:blipFill>
        <xdr:spPr>
          <a:xfrm>
            <a:off x="21862757" y="740229"/>
            <a:ext cx="1280271" cy="1280271"/>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22861</xdr:rowOff>
    </xdr:from>
    <xdr:to>
      <xdr:col>3</xdr:col>
      <xdr:colOff>11043198</xdr:colOff>
      <xdr:row>4</xdr:row>
      <xdr:rowOff>233681</xdr:rowOff>
    </xdr:to>
    <mc:AlternateContent xmlns:mc="http://schemas.openxmlformats.org/markup-compatibility/2006" xmlns:a14="http://schemas.microsoft.com/office/drawing/2010/main">
      <mc:Choice Requires="a14">
        <xdr:graphicFrame macro="">
          <xdr:nvGraphicFramePr>
            <xdr:cNvPr id="2" name="الحساب 1">
              <a:extLst>
                <a:ext uri="{FF2B5EF4-FFF2-40B4-BE49-F238E27FC236}">
                  <a16:creationId xmlns:a16="http://schemas.microsoft.com/office/drawing/2014/main" id="{19CF2A98-23F8-4CDF-B6CB-D4B7919C2BFB}"/>
                </a:ext>
              </a:extLst>
            </xdr:cNvPr>
            <xdr:cNvGraphicFramePr/>
          </xdr:nvGraphicFramePr>
          <xdr:xfrm>
            <a:off x="0" y="0"/>
            <a:ext cx="0" cy="0"/>
          </xdr:xfrm>
          <a:graphic>
            <a:graphicData uri="http://schemas.microsoft.com/office/drawing/2010/slicer">
              <sle:slicer xmlns:sle="http://schemas.microsoft.com/office/drawing/2010/slicer" name="الحساب 1"/>
            </a:graphicData>
          </a:graphic>
        </xdr:graphicFrame>
      </mc:Choice>
      <mc:Fallback xmlns="">
        <xdr:sp macro="" textlink="">
          <xdr:nvSpPr>
            <xdr:cNvPr id="0" name=""/>
            <xdr:cNvSpPr>
              <a:spLocks noTextEdit="1"/>
            </xdr:cNvSpPr>
          </xdr:nvSpPr>
          <xdr:spPr>
            <a:xfrm>
              <a:off x="10105094522" y="22861"/>
              <a:ext cx="15465223" cy="2156352"/>
            </a:xfrm>
            <a:prstGeom prst="rect">
              <a:avLst/>
            </a:prstGeom>
            <a:solidFill>
              <a:prstClr val="white"/>
            </a:solidFill>
            <a:ln w="1">
              <a:solidFill>
                <a:prstClr val="green"/>
              </a:solidFill>
            </a:ln>
          </xdr:spPr>
          <xdr:txBody>
            <a:bodyPr vertOverflow="clip" horzOverflow="clip"/>
            <a:lstStyle/>
            <a:p>
              <a:r>
                <a:rPr lang="ar-SA"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BAASHA" refreshedDate="46195.988335532405" createdVersion="8" refreshedVersion="8" minRefreshableVersion="3" recordCount="734" xr:uid="{3638A569-FB9B-4F1B-B311-68BAAC39706A}">
  <cacheSource type="worksheet">
    <worksheetSource name="TableDailyJournal"/>
  </cacheSource>
  <cacheFields count="30">
    <cacheField name="رقم القيد" numFmtId="0">
      <sharedItems containsSemiMixedTypes="0" containsString="0" containsNumber="1" containsInteger="1" minValue="0" maxValue="733"/>
    </cacheField>
    <cacheField name="رقم العملية" numFmtId="0">
      <sharedItems/>
    </cacheField>
    <cacheField name="التاريخ" numFmtId="166">
      <sharedItems containsSemiMixedTypes="0" containsNonDate="0" containsDate="1" containsString="0" minDate="2026-06-01T00:00:00" maxDate="2026-06-23T00:00:00" count="20">
        <d v="2026-06-01T00:00:00"/>
        <d v="2026-06-02T00:00:00"/>
        <d v="2026-06-03T00:00:00"/>
        <d v="2026-06-04T00:00:00"/>
        <d v="2026-06-07T00:00:00"/>
        <d v="2026-06-08T00:00:00"/>
        <d v="2026-06-09T00:00:00"/>
        <d v="2026-06-10T00:00:00"/>
        <d v="2026-06-11T00:00:00"/>
        <d v="2026-06-12T00:00:00"/>
        <d v="2026-06-13T00:00:00"/>
        <d v="2026-06-14T00:00:00"/>
        <d v="2026-06-15T00:00:00"/>
        <d v="2026-06-16T00:00:00"/>
        <d v="2026-06-19T00:00:00"/>
        <d v="2026-06-17T00:00:00"/>
        <d v="2026-06-18T00:00:00"/>
        <d v="2026-06-20T00:00:00"/>
        <d v="2026-06-21T00:00:00"/>
        <d v="2026-06-22T00:00:00"/>
      </sharedItems>
      <fieldGroup par="29"/>
    </cacheField>
    <cacheField name="نوع العمليــة" numFmtId="0">
      <sharedItems/>
    </cacheField>
    <cacheField name="رقم الحساب" numFmtId="0">
      <sharedItems containsSemiMixedTypes="0" containsString="0" containsNumber="1" containsInteger="1" minValue="11010101" maxValue="31010135"/>
    </cacheField>
    <cacheField name="الحساب" numFmtId="0">
      <sharedItems containsBlank="1" count="26">
        <s v="عهدة عبدالمغني"/>
        <s v="حساب الارصدة الافتتاحية"/>
        <s v="مصاريف  صرفة يومية للافراد "/>
        <s v="الصندوق العام"/>
        <s v="مصاريف حوافز ومكافئات "/>
        <s v="مصاريف اكراميات جرحى"/>
        <s v="مصاريف نزول مهام "/>
        <s v="مصاريف صيانة واصلاحات فنية "/>
        <s v="مصاريف صيانة متنوعة "/>
        <s v="مصاريف دفن شهداء "/>
        <s v="مصاريف طبية وعلاجات "/>
        <s v="عهدة امين القحطاني"/>
        <s v="مصاريف نثريات أخرى"/>
        <s v="عهدة حاتم عبده سيف"/>
        <s v="اجور يومية"/>
        <s v="مصاريف سفر وتنقلات "/>
        <s v="عهدة عبدالحفيظ"/>
        <s v="عهدة جمال مسدوس"/>
        <s v="مصاريف مياة"/>
        <s v="عهدة الطبية"/>
        <s v="مصاريف وقود ومحروقات "/>
        <s v="عهدة الفنية"/>
        <s v="عهدة عبدالله باعمر"/>
        <s v="صندوق اللواء الثاني"/>
        <m u="1"/>
        <s v="عهدة مجدي محمد احمد مسدوس" u="1"/>
      </sharedItems>
    </cacheField>
    <cacheField name="البيــــــــــــــــــــــــــــــــــــــــــــــــــــــــــــان" numFmtId="0">
      <sharedItems count="255" longText="1">
        <s v="قيـد مقابـل:- (عهدة عبدالمغني - عبدالمغني عبدالصمد - الفرقة الثالثة)  - استلام نقدي رقم 0  سند استلام - اثبات رصد افتتاحي من 31 مايو 2026م بامر"/>
        <s v="قيـد مقابـل:- (مصاريف  صرفة يومية للافراد  - السيطرة والاتصالات - الفرقة الثالثة)  - كشف صرف رقم 4  كشف صرف - صرف الصرفة اليومية للسيطرة والاتصالات لعدد 4  بامر"/>
        <s v="قيـد مقابـل:- (مصاريف  صرفة يومية للافراد  - الامداد - الفرقة الثالثة)  - كشف صرف رقم 12  كشف صرف - صرف الصرفة اليومية  لافراد الامداد لعدد 12  بامر"/>
        <s v="قيـد مقابـل:- (مصاريف  صرفة يومية للافراد  - البشرية و الصراف - الفرقة الثالثة)  - كشف صرف رقم 2  كشف صرف - صرف الصرفة اليومية  للبشرة والصراف عدد 2  بامر"/>
        <s v="قيـد مقابـل:- (مصاريف  صرفة يومية للافراد  - الاستخبارات - الفرقة الثالثة)  - كشف صرف رقم 4  كشف صرف - صرف الصرفة اليومية  الاستخبارات لعدد 4 بامر"/>
        <s v="قيـد مقابـل:- (مصاريف  صرفة يومية للافراد  - الطبية والمحاسبين - الفرقة الثالثة)  - كشف صرف رقم 5  كشف صرف - صرف الصرفة اليومية للطبية والمحاسبين لعدد 5 بامر"/>
        <s v="قيـد مقابـل:- (مصاريف  صرفة يومية للافراد  - الضباط السابقين - الفرقة الثالثة)  - كشف صرف رقم 7  كشف صرف - صرف الصرفة اليومية ضباط سابقين لعدد 7 بامر"/>
        <s v="قيـد مقابـل:- (مصاريف  صرفة يومية للافراد  - اخرون - الفرقة الثالثة)  - كشف صرف رقم 10  كشف صرف - صرف الصرفة اليومية اخورن بامر"/>
        <s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
        <s v="قيـد مقابـل:- (عهدة عبدالمغني - عبدالمغني عبدالصمد - الفرقة الثالثة)  - استلام نقدي رقم 0  سند استلام - استلام عهدة بامر"/>
        <s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
        <s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
        <s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
        <s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
        <s v="قيـد مقابـل:- (مصاريف  صرفة يومية للافراد  - سرية اللواء السادس - اللواء السادس)  - كشف صرف رقم 45  كشف صرف - مصاريف يومية سرية اللواء السادس عدد 45 بامرالقائد"/>
        <s v="قيـد مقابـل:- (مصاريف  صرفة يومية للافراد  - الامداد - الفرقة الثالثة)  - كشف صرف رقم 12  كشف صرف - صرف الصرفة اليومية  لافراد الامداد لعدد 12 فرد بامر"/>
        <s v="قيـد مقابـل:- (مصاريف  صرفة يومية للافراد  - المستشارين والمساعدين - الفرقة الثالثة)  - كشف صرف رقم 3  كشف صرف - صررف صرفة يومية للمستشارين والمساعدين 3 بامر"/>
        <s v="قيـد مقابـل:- (مصاريف  صرفة يومية للافراد  - الضباط السابقين - الفرقة الثالثة)  - كشف صرف رقم 8  كشف صرف - صرف الصرفة اليومية ضباط سابقين لعدد 8 بامر"/>
        <s v="قيـد مقابـل:- (مصاريف  صرفة يومية للافراد  - اخرون - الفرقة الثالثة)  - كشف صرف رقم 7  كشف صرف - الصرفة اليومية اخرون عدد 5 بامر"/>
        <s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
        <s v="قيـد مقابـل:- (مصاريف اكراميات جرحى - مكرم عبدالعزي ومهند خالد - اللواء السادس)  - استلام نقدي رقم 0  سند استلام - مصاريف سفر للجرحى امر القائد بامرالقائد"/>
        <s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
        <s v="قيـد مقابـل:- (مصاريف حوافز ومكافئات  - محمد السبع - الفرقة الثالثة)  - استلام نقدي رقم 0  سند استلام - مصاريف اضافية  ل محمد السبع بامرالأركان جمال مسدوس"/>
        <s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
        <s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
        <s v="قيـد مقابـل:- (مصاريف صيانة متنوعة  - طقم القائد - الفرقة الثالثة)  - فاتورة رقم 3430  مركز جبال ردفان - اجور غسل كامل لطقم القائد  بامرمدير  مكتب القائد"/>
        <s v="قيـد مقابـل:- (مصاريف  صرفة يومية للافراد  - سرية اللواء السادس - اللواء السادس)  - كشف صرف رقم 47 فرد  كشف صرف - مصاريف يومية سرية اللواء السادس عدد 47 بامرالقائد"/>
        <s v="قيـد مقابـل:- (مصاريف  صرفة يومية للافراد  - المستشارين والمساعدين - الفرقة الثالثة)  - كشف صرف رقم 3  كشف صرف - صرف الصرفة اليومية للمستشارين والمساعدين عدد3 بامر"/>
        <s v="قيـد مقابـل:- (مصاريف  صرفة يومية للافراد  - اخرون - الفرقة الثالثة)  - كشف صرف رقم 9  كشف صرف - صرف الصرفة اليومية اخورن عدد 9 بامر"/>
        <s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
        <s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
        <s v="قيـد مقابـل:- (مصاريف  صرفة يومية للافراد  - سرية اللواء السادس - اللواء السادس)  - كشف صرف رقم 47  كشف صرف - مصاريف يومية سرية اللواء السادس عدد 47 بامرالقائد"/>
        <s v="قيـد مقابـل:- (مصاريف طبية وعلاجات  - ميثاق عبده غالب - الفرقة الثالثة)  - استلام نقدي رقم 0  سند استلام - مصاريف جراحة  بامرمدير  مكتب القائد"/>
        <s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
        <s v="قيـد مقابـل:- (عهدة امين القحطاني - امين القحطاني - الفرقة الثالثة)  - حواله رقم 799104565  شركة المقبولي للصرافة والتحويلات - مقابل صرف عهدة بامرمدير  مكتب القائد"/>
        <s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
        <s v="قيـد مقابـل:- (مصاريف نثريات أخرى - جمال مسدوس - الفرقة الثالثة)  - استلام نقدي رقم 0  سند استلام - مصاريف بيد الاركان جمال مسدوس بامرالأركان جمال مسدوس"/>
        <s v="قيـد مقابـل:- (مصاريف  صرفة يومية للافراد  - السيطرة والاتصالات - الفرقة الثالثة)  - كشف صرف رقم   كشف صرف - صرف الصرفة اليومية للسيطرة والاتصالات لعدد 5 بامرالمالية"/>
        <s v="قيـد مقابـل:- (مصاريف  صرفة يومية للافراد  - الامداد - الفرقة الثالثة)  - كشف صرف رقم   كشف صرف - صرف الصرفة اليومية  لافراد الامداد لعدد 12 بامرالمالية"/>
        <s v="قيـد مقابـل:- (مصاريف  صرفة يومية للافراد  - سرية الشرطة - الفرقة الثالثة)  - كشف صرف رقم   كشف صرف - صرف الصرفة الاسبوعي سرية الشرطة لعدد 55 فرد بامرالمالية"/>
        <s v="قيـد مقابـل:- (مصاريف  صرفة يومية للافراد  - البشرية و الصراف - الفرقة الثالثة)  - كشف صرف رقم   كشف صرف - صرف الصرفة اليومية  للبشرة والصراف عدد 2 بامرالمالية"/>
        <s v="قيـد مقابـل:- (مصاريف  صرفة يومية للافراد  - الاستخبارات - الفرقة الثالثة)  - كشف صرف رقم   كشف صرف - صرف الصرفة اليومية  الاستخبارات لعدد 4 بامرالمالية"/>
        <s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
        <s v="قيـد مقابـل:- (مصاريف  صرفة يومية للافراد  - الطبية والمحاسبين - الفرقة الثالثة)  - كشف صرف رقم   كشف صرف - صرف الصرفة اليومية للطبية والمحاسبين لعدد 5 بامرالمالية"/>
        <s v="قيـد مقابـل:- (مصاريف  صرفة يومية للافراد  - الضباط السابقين - الفرقة الثالثة)  - كشف صرف رقم   كشف صرف - صرف الصرفة اليومية ضباط سابقين لعدد 6 بامرالمالية"/>
        <s v="قيـد مقابـل:- (مصاريف  صرفة يومية للافراد  - اخرون - الفرقة الثالثة)  - كشف صرف رقم   كشف صرف - صرف الصرفة اليومية اخورن عدد 10 بامرالمالية"/>
        <s v="قيـد مقابـل:- (مصاريف  صرفة يومية للافراد  - الاشغال - الفرقة الثالثة)  - كشف صرف رقم   كشف صرف - صرف الصرفة اليومية للاشغال لعدد 3 بامرالمالية"/>
        <s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
        <s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
        <s v="قيـد مقابـل:- (مصاريف  صرفة يومية للافراد  - سرية اللواء السادس - اللواء السادس)  - كشف صرف رقم   كشف صرف - مصاريف يومية سرية اللواء السادس عدد 42 بامرالقائد"/>
        <s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
        <s v="قيـد مقابـل:- (اجور يومية - معسكر العفاريت - الفرقة الثالثة)  - استلام نقدي رقم استلام خطي  سند استلام - اجور عمال لتنظيف مجاري الحمامات بامرالأركان جمال مسدوس"/>
        <s v="قيـد مقابـل:- (مصاريف نثريات أخرى - جمال مسدوس - الفرقة الثالثة)  - استلام نقدي رقم استلام خطي  سند استلام - مصاريف بيد الاركان بامرالأركان جمال مسدوس"/>
        <s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
        <s v="قيـد مقابـل:- (مصاريف حوافز ومكافئات  - شفيع محمود - الفرقة الثالثة)  - استلام نقدي رقم استلام خطي  سند استلام - مصاريف محولة ل شفيع محمود بامرالقائد"/>
        <s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
        <s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
        <s v="قيـد مقابـل:- (مصاريف سفر وتنقلات  - افراد اللواء السادس - اللواء السادس)  - استلام نقدي رقم   سند استلام - مصاريف سفر 5 افراد  اللواء السادس بامرالأركان جمال مسدوس"/>
        <s v="قيـد مقابـل:- (عهدة عبدالحفيظ - عبدالحفيظ - الفرقة الثالثة)  - استلام نقدي رقم   سند استلام - استلام عهدة من عهدة عبد المغني بامر"/>
        <s v="قيـد مقابـل:- (مصاريف  صرفة يومية للافراد  - السيطرة والاتصالات - الفرقة الثالثة)  - كشف صرف رقم   كشف صرف - صرف الصرفة اليومية للسيطرة والاتصالات لعدد 5 بامر"/>
        <s v="قيـد مقابـل:- (مصاريف  صرفة يومية للافراد  - التوجيه - الفرقة الثالثة)  - كشف صرف رقم   كشف صرف - صرف الصرفة اليومية للتوجيه عدد 2  بامر"/>
        <s v="قيـد مقابـل:- (مصاريف  صرفة يومية للافراد  - الامداد - الفرقة الثالثة)  - كشف صرف رقم   كشف صرف - صرف الصرفة اليومية  لافراد الامداد لعدد 12 بامر"/>
        <s v="قيـد مقابـل:- (مصاريف  صرفة يومية للافراد  - البشرية و الصراف - الفرقة الثالثة)  - كشف صرف رقم   كشف صرف - صرف الصرفة اليومية  للبشرة والصراف عدد 1 بامر"/>
        <s v="قيـد مقابـل:- (مصاريف  صرفة يومية للافراد  - الاستخبارات - الفرقة الثالثة)  - كشف صرف رقم   كشف صرف - صرف الصرفة اليومية  الاستخبارات لعدد 4 بامر"/>
        <s v="قيـد مقابـل:- (مصاريف  صرفة يومية للافراد  - المستشارين والمساعدين - الفرقة الثالثة)  - كشف صرف رقم   كشف صرف - صرف الصرفة اليومية للمستشارين والمساعدين عدد 6 بامر"/>
        <s v="قيـد مقابـل:- (مصاريف  صرفة يومية للافراد  - الطبية والمحاسبين - الفرقة الثالثة)  - كشف صرف رقم   كشف صرف - صرف الصرفة اليومية للطبية والمحاسبين لعدد 5 بامر"/>
        <s v="قيـد مقابـل:- (مصاريف  صرفة يومية للافراد  - الضباط السابقين - الفرقة الثالثة)  - كشف صرف رقم   كشف صرف - صرف الصرفة اليومية ضباط سابقين لعدد 7 بامر"/>
        <s v="قيـد مقابـل:- (مصاريف  صرفة يومية للافراد  - اخرون - الفرقة الثالثة)  - كشف صرف رقم   كشف صرف - الصرفة اليومية اخرون عدد 6 بامر"/>
        <s v="قيـد مقابـل:- (مصاريف  صرفة يومية للافراد  - افراد طقم اللواء السابع مرافقين - الفرقة الثالثة)  - كشف صرف رقم   كشف صرف - مصاريف 1 افراد من اللواء السابع بامر"/>
        <s v="قيـد مقابـل:- (مصاريف  صرفة يومية للافراد  - الاشغال - الفرقة الثالثة)  - كشف صرف رقم   كشف صرف - صرف الصرفة اليومية للاشغال لعدد 3 بامر"/>
        <s v="قيـد مقابـل:- (مصاريف  صرفة يومية للافراد  - سرية اللواء السادس - اللواء السادس)  - كشف صرف رقم   كشف صرف - مصاريف يومية سرية اللواء السادس عدد 44 بامر"/>
        <s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
        <s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
        <s v="قيـد مقابـل:- (مصاريف  صرفة يومية للافراد  - محمد عبدالصمد عبدالله - الفرقة الثالثة)  - استلام نقدي رقم   سند استلام - صرف صرفة يومية ليوم 6 و7  بامرالمالية"/>
        <s v="قيـد مقابـل:- (مصاريف نثريات أخرى - الامداد - الفرقة الثالثة)  - فاتورة رقم 123821   - شراء مكانس ابو عصى و عصى مكانس بامرمدير  مكتب القائد"/>
        <s v="قيـد مقابـل:- (مصاريف نثريات أخرى - جمال مسدوس - الفرقة الثالثة)  - استلام نقدي رقم   سند استلام - صرف نثريات الاركان بامرالأركان جمال مسدوس"/>
        <s v="قيـد مقابـل:- (عهدة عبدالحفيظ - عبدالحفيظ - الفرقة الثالثة)  - حواله رقم 9732  شركة العامري للصرافة - استلام عهدة بامر"/>
        <s v="قيـد مقابـل:- (مصاريف  صرفة يومية للافراد  - السيطرة والاتصالات - الفرقة الثالثة)  - استلام نقدي رقم   سند استلام - صرف الصرفة اليومية للسيطرة والاتصالات لعدد 5 بامر"/>
        <s v="قيـد مقابـل:- (مصاريف  صرفة يومية للافراد  - التوجيه - الفرقة الثالثة)  - استلام نقدي رقم   سند استلام - صرف الصرفة اليومية للتوجيه عدد 2 بامر"/>
        <s v="قيـد مقابـل:- (مصاريف  صرفة يومية للافراد  - الامداد - الفرقة الثالثة)  - استلام نقدي رقم   سند استلام - صرف الصرفة اليومية  لافراد الامداد لعدد 12 بامر"/>
        <s v="قيـد مقابـل:- (مصاريف  صرفة يومية للافراد  - البشرية و الصراف - الفرقة الثالثة)  - استلام نقدي رقم   سند استلام - صرف الصرفة اليومية  للبشرة والصراف عدد 1 بامر"/>
        <s v="قيـد مقابـل:- (مصاريف  صرفة يومية للافراد  - الاستخبارات - الفرقة الثالثة)  - استلام نقدي رقم   سند استلام - صرف الصرفة اليومية  الاستخبارات لعدد 4 بامر"/>
        <s v="قيـد مقابـل:- (مصاريف  صرفة يومية للافراد  - المدفعية - الفرقة الثالثة)  - استلام نقدي رقم   سند استلام - صرف الصرفة اليومية للمدفعية لعدد 1 بامر"/>
        <s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
        <s v="قيـد مقابـل:- (مصاريف  صرفة يومية للافراد  - الطبية والمحاسبين - الفرقة الثالثة)  - استلام نقدي رقم   سند استلام - صرف الصرفة اليومية للطبية والمحاسبين لعدد 5 بامر"/>
        <s v="قيـد مقابـل:- (مصاريف  صرفة يومية للافراد  - الضباط السابقين - الفرقة الثالثة)  - استلام نقدي رقم   سند استلام - صرف الصرفة اليومية ضباط سابقين لعدد 7 بامر"/>
        <s v="قيـد مقابـل:- (مصاريف  صرفة يومية للافراد  - اخرون  - الفرقة الثالثة)  - استلام نقدي رقم   سند استلام - صرف الصرفة اليومية ل اهرى 105000 بامرالقائد"/>
        <s v="قيـد مقابـل:- (مصاريف  صرفة يومية للافراد  - الاشغال - الفرقة الثالثة)  - استلام نقدي رقم   سند استلام - صرف الصرفة اليومية للاشغال لعدد 3 بامر"/>
        <s v="قيـد مقابـل:- (مصاريف  صرفة يومية للافراد  - سرية اللواء السادس - اللواء السادس)  - استلام نقدي رقم   سند استلام - مصاريف يومية سرية اللواء السادس عدد 44 بامر"/>
        <s v="قيـد مقابـل:- (مصاريف سفر وتنقلات  - فريق المدفعية - الفرقة الثالثة)  - استلام نقدي رقم   سند استلام - مصاريف طريق لافراد المدفعية بامرالأركان جمال مسدوس"/>
        <s v="قيـد مقابـل:- (مصاريف حوافز ومكافئات  - محمد فؤاد+ محمد سمير+محمد علي + كريم اكرم - الفرقة الثالثة)  - استلام نقدي رقم   سند استلام - مصروف حافز لافراد السيطرة بامر"/>
        <s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
        <s v="قيـد مقابـل:- (مصاريف سفر وتنقلات  - عبدالرحمن رسام  - اللواء السادس)  - استلام نقدي رقم   سند استلام - مصاريف سفر بامرالأركان جمال مسدوس"/>
        <s v="قيـد مقابـل:- (مصاريف حوافز ومكافئات  - مجدي مسدوس - الفرقة الثالثة)  - استلام نقدي رقم   سند استلام - مصاريف ل مجدي مسدوس  بامرالأركان جمال مسدوس"/>
        <s v="قيـد مقابـل:- (مصاريف  صرفة يومية للافراد  - التوجيه - الفرقة الثالثة)  - كشف صرف رقم   كشف صرف - صرف الصرفة اليومية للتوجيه عدد 2 بامر"/>
        <s v="قيـد مقابـل:- (مصاريف  صرفة يومية للافراد  - البشرية و الصراف - الفرقة الثالثة)  - كشف صرف رقم   كشف صرف - صرف الصرفة اليومية  للبشرة والصراف عدد 2 بامر"/>
        <s v="قيـد مقابـل:- (مصاريف  صرفة يومية للافراد  - المدفعية - الفرقة الثالثة)  - كشف صرف رقم   كشف صرف - صرف الصرفة اليومية للمدفعية لعدد 3 بامر"/>
        <s v="قيـد مقابـل:- (مصاريف  صرفة يومية للافراد  - المستشارين والمساعدين - الفرقة الثالثة)  - كشف صرف رقم   كشف صرف - صرف الصرفة اليومية للمستشارين والمساعدين عدد 7 بامر"/>
        <s v="قيـد مقابـل:- (مصاريف  صرفة يومية للافراد  - اخرون - الفرقة الثالثة)  - كشف صرف رقم   كشف صرف - الصرفة اليومية اخرون عدد 13 بامر"/>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
        <s v="قيـد مقابـل:- (مصاريف  صرفة يومية للافراد  - سرية اللواء السادس - الفرقة الثالثة)  - كشف صرف رقم   كشف صرف - مصاريف يومية سرية اللواء السادس عدد 39 بامر"/>
        <s v="قيـد مقابـل:- (مصاريف حوافز ومكافئات  - علي محمد سيف قائد الربيعي - الفرقة الثالثة)  - استلام نقدي رقم   سند استلام - صرف حافز لقائد مركز السيطرة بامرالقائد"/>
        <s v="قيـد مقابـل:- (مصاريف حوافز ومكافئات  - علي محمد ناصر فضل دهمس - الفرقة الثالثة)  - استلام نقدي رقم   سند استلام - صرف حافز ل قائد مدفعية الفرقة بامر"/>
        <s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
        <s v="قيـد مقابـل:- (عهدة جمال مسدوس - مجدي محمد احمد مسدوس - الفرقة الثالثة)  - استلام نقدي رقم   سند استلام - صرف عهدة للتخطيط بامرالأركان جمال مسدوس"/>
        <s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
        <s v="قيـد مقابـل:- (مصاريف  صرفة يومية للافراد  - المستشارين والمساعدين - الفرقة الثالثة)  - كشف صرف رقم   كشف صرف - صرف الصرفة اليومية للمستشارين والمساعدين عدد 9 بامر"/>
        <s v="قيـد مقابـل:- (مصاريف  صرفة يومية للافراد  - الطبية والمحاسبين - الفرقة الثالثة)  - كشف صرف رقم   كشف صرف - صرف الصرفة اليومية للطبية والمحاسبين لعدد 3 بامر"/>
        <s v="قيـد مقابـل:- (مصاريف  صرفة يومية للافراد  - اخرون - الفرقة الثالثة)  - كشف صرف رقم   كشف صرف - الصرفة اليومية اخرون عدد 8 بامر"/>
        <s v="قيـد مقابـل:- (مصاريف  صرفة يومية للافراد  - مرافقي الاركان - الفرقة الثالثة)  - كشف صرف رقم   كشف صرف - صرف الصرفة اليومية لمرافقي الاركان عدد 3 بامر"/>
        <s v="قيـد مقابـل:- (مصاريف  صرفة يومية للافراد  - سرية اللواء السادس - اللواء السادس)  - كشف صرف رقم   كشف صرف - مصاريف يومية سرية اللواء السادس عدد 38 بامر"/>
        <s v="قيـد مقابـل:- (اجور يومية - صالح عبدالله لدحل - الفرقة الثالثة)  - استلام نقدي رقم   سند استلام - صرف اجور سائق قاطرة الماء بامرالمستشار المالي"/>
        <s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
        <s v="قيـد مقابـل:- (مصاريف حوافز ومكافئات  - افراد السيطرة - الفرقة الثالثة)  - استلام نقدي رقم   سند استلام - صرف حافز افراد علي عارف علي راجح بامرالمالية"/>
        <s v="قيـد مقابـل:- (مصاريف  صرفة يومية للافراد  - محمد عبدالصمد عبدالله - اللواء السادس)  - استلام نقدي رقم   سند استلام - صرف الصرفة اليومية ليومي 9 و 10 بامر"/>
        <s v="قيـد مقابـل:- (مصاريف  صرفة يومية للافراد  - السيطرة والاتصالات - الفرقة الثالثة)  - كشف صرف رقم   كشف صرف - صرف الصرفة اليومية للسيطرة والاتصالات لعدد 7 بامر"/>
        <s v="قيـد مقابـل:- (مصاريف  صرفة يومية للافراد  - الامداد - الفرقة الثالثة)  - كشف صرف رقم   كشف صرف - صرف الصرفة اليومية  لافراد الامداد لعدد 11 بامر"/>
        <s v="قيـد مقابـل:- (مصاريف  صرفة يومية للافراد  - سرية الشرطة - الفرقة الثالثة)  - كشف صرف رقم   كشف صرف - صرف الصرفة الاسبوعية سرية الشرطة عدد 56 بامر"/>
        <s v="قيـد مقابـل:- (مصاريف  صرفة يومية للافراد  - الطبية والمحاسبين - الفرقة الثالثة)  - كشف صرف رقم   كشف صرف - صرف الصرفة اليومية للطبية والمحاسبين لعدد 2 بامر"/>
        <s v="قيـد مقابـل:- (عهدة عبدالحفيظ - عبدالحفيظ - الفرقة الثالثة)  - حواله رقم 26371  شركة المقبولي للصرافة والتحويلات - استلام عهدة بامر"/>
        <s v="قيـد مقابـل:- (اجور يومية - صالح عبدالله لدحل - الفرقة الثالثة)  - استلام نقدي رقم   سند استلام - صرف اجور سائق قاطرة الماء للفترة السابقة بامرالمستشار المالي"/>
        <s v="قيـد مقابـل:- (اجور يومية - عمال - الفرقة الثالثة)  - استلام نقدي رقم   سند استلام - اجور عمال تركيب الخيم في الفرقة  بامرالأركان جمال مسدوس"/>
        <s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
        <s v="قيـد مقابـل:- (مصاريف  صرفة يومية للافراد  - محمد عبدالصمد عبدالله - اللواء السادس)  - استلام نقدي رقم   سند استلام - صرفة يومية ليوم 11 بامر"/>
        <s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
        <s v="قيـد مقابـل:- (مصاريف  صرفة يومية للافراد  - السيطرة والاتصالات - الفرقة الثالثة)  - كشف صرف رقم   كشف صرف - صرف الصرفة اليومية للسيطرة والاتصالات لعدد 8 بامر"/>
        <s v="قيـد مقابـل:- (مصاريف  صرفة يومية للافراد  - المدفعية - الفرقة الثالثة)  - كشف صرف رقم   كشف صرف - صرف الصرفة اليومية للمدفعية لعدد 5 بامر"/>
        <s v="قيـد مقابـل:- (مصاريف  صرفة يومية للافراد  - الضباط السابقين - الفرقة الثالثة)  - كشف صرف رقم   كشف صرف - صرف الصرفة اليومية ضباط سابقين لعدد 9 بامر"/>
        <s v="قيـد مقابـل:- (مصاريف  صرفة يومية للافراد  - اخرون - الفرقة الثالثة)  - كشف صرف رقم   كشف صرف - الصرفة اليومية اخرون عدد 7 بامر"/>
        <s v="قيـد مقابـل:- (مصاريف  صرفة يومية للافراد  - مرافقي الاركان - الفرقة الثالثة)  - كشف صرف رقم   كشف صرف - صرف الصرفة اليومية لمرافقي الاركان عدد 4 بامر"/>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s v="قيـد مقابـل:- (مصاريف  صرفة يومية للافراد  - سرية اللواء السادس - اللواء السادس)  - كشف صرف رقم   كشف صرف - مصاريف يومية سرية اللواء السادس عدد 37 بامر"/>
        <s v="قيـد مقابـل:- (اجور يومية - عمال - الفرقة الثالثة)  - استلام نقدي رقم   سند استلام - صرف اجور 5 عمال انزال الخيم الى مستودعات الامداد بامرمدير  مكتب القائد"/>
        <s v="قيـد مقابـل:- (مصاريف  صرفة يومية للافراد  - محمد عبدالصمد عبدالله - اللواء السادس)  - استلام نقدي رقم   سند استلام - صرف صرفة يومية ليوم 12 بامر"/>
        <s v="قيـد مقابـل:- (عهدة عبدالحفيظ - عبدالحفيظ - الفرقة الثالثة)  - حواله رقم 26718  شركة المقبولي للصرافة والتحويلات - استلام عهدة بامر"/>
        <s v="قيـد مقابـل:- (مصاريف  صرفة يومية للافراد  - الضباط السابقين - الفرقة الثالثة)  - كشف صرف رقم   كشف صرف - صرف الصرفة اليومية ضباط سابقين لعدد 10 بامر"/>
        <s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
        <s v="قيـد مقابـل:- (مصاريف مياة - الفرقة - الفرقة الثالثة)  - استلام نقدي رقم   سند استلام - شراء قاطرة ماء ومصاريف لسائق القاطرة والمرافق بامرالمستشار المالي"/>
        <s v="قيـد مقابـل:- (اجور يومية - عمال - الفرقة الثالثة)  - استلام نقدي رقم   سند استلام - اجور  عمال لانزال الخيم الى مستودعات الامداد بامر"/>
        <s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
        <s v="قيـد مقابـل:- (مصاريف  صرفة يومية للافراد  - محمد عبدالصمد عبدالله - اللواء السادس)  - استلام نقدي رقم   سند استلام - صرف صرفة يومية ليوم 13 بامر"/>
        <s v="قيـد مقابـل:- (مصاريف  صرفة يومية للافراد  - سرية اللواء السادس - اللواء السادس)  - كشف صرف رقم   كشف صرف - مصاريف يومية سرية اللواء السادس عدد 39 بامر"/>
        <s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
        <s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
        <s v="قيـد مقابـل:- (مصاريف  صرفة يومية للافراد  - محمد عبدالصمد عبدالله - اللواء السادس)  - استلام نقدي رقم   سند استلام - صرف صرفة يومية ليوم 14 بامر"/>
        <s v="قيـد مقابـل:- (عهدة الفنية - الفنية - الفرقة الثالثة)  - استلام نقدي رقم   سند استلام - عهدة للفنية بامرالمستشار المالي"/>
        <s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
        <s v="قيـد مقابـل:- (مصاريف  صرفة يومية للافراد  - الامداد - الفرقة الثالثة)  - كشف صرف رقم   كشف صرف - صرف الصرفة اليومية  لافراد الامداد لعدد 6 بامر"/>
        <s v="قيـد مقابـل:- (مصاريف  صرفة يومية للافراد  - اخرون - الفرقة الثالثة)  - كشف صرف رقم   كشف صرف - الصرفة اليومية اخرون عدد 12 بامر"/>
        <s v="قيـد مقابـل:- (مصاريف  صرفة يومية للافراد  - سرية اللواء السادس - اللواء السادس)  - كشف صرف رقم   كشف صرف - مصاريف يومية سرية اللواء السادس عدد 33 بامر"/>
        <s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
        <s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
        <s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
        <s v="قيـد مقابـل:- (مصاريف  صرفة يومية للافراد  - محمد عبدالصمد عبدالله - اللواء السادس)  - استلام نقدي رقم   سند استلام - صرف صرفة يومية ليوم 15 بامر"/>
        <s v="قيـد مقابـل:- (عهدة عبدالحفيظ - عبدالحفيظ - الفرقة الثالثة)  - استلام نقدي رقم   سند استلام - إستلام عهدة من عبدالله باعمر  بامر"/>
        <s v="قيـد مقابـل:- (مصاريف  صرفة يومية للافراد  - السيطرة والاتصالات - الفرقة الثالثة)  - كشف صرف رقم   كشف صرف - صرف الصرفة اليومية للسيطرة والاتصالات لعدد 9 بامر"/>
        <s v="قيـد مقابـل:- (مصاريف  صرفة يومية للافراد  - الامداد - الفرقة الثالثة)  - كشف صرف رقم   كشف صرف - صرف الصرفة اليومية  لافراد الامداد لعدد 6 فرد بامر"/>
        <s v="قيـد مقابـل:- (مصاريف  صرفة يومية للافراد  - البشرية و الصراف - الفرقة الثالثة)  - كشف صرف رقم   كشف صرف - صرف الصرفة اليومية  للبشرية والصراف عدد 1 بامر"/>
        <s v="قيـد مقابـل:- (مصاريف  صرفة يومية للافراد  - الاستخبارات - الفرقة الثالثة)  -  رقم    - صرف الصرفة اليومية  الاستخبارات لعدد 7 بامر"/>
        <s v="قيـد مقابـل:- (مصاريف  صرفة يومية للافراد  - المدفعية - الفرقة الثالثة)  -  رقم    - صرف الصرفة اليومية للمدفعية لعدد 3 بامر"/>
        <s v="قيـد مقابـل:- (مصاريف  صرفة يومية للافراد  - المستشارين والمساعدين - الفرقة الثالثة)  -  رقم    - صرف الصرفة اليومية للمستشارين والمساعدين عدد 11 بامر"/>
        <s v="قيـد مقابـل:- (مصاريف  صرفة يومية للافراد  - الاشغال - الفرقة الثالثة)  -  رقم    - صرف الصرفة اليومية للاشغال لعدد 3 بامر"/>
        <s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
        <s v="قيـد مقابـل:- (مصاريف  صرفة يومية للافراد  - الضباط السابقين - الفرقة الثالثة)  -  رقم    - صرف الصرفة اليومية ضباط سابقين لعدد 10 بامر"/>
        <s v="قيـد مقابـل:- (مصاريف  صرفة يومية للافراد  - اخرون - الفرقة الثالثة)  -  رقم    - الصرفة اليومية اخرون عدد 9 بامر"/>
        <s v="قيـد مقابـل:- (مصاريف  صرفة يومية للافراد  - سرية اللواء السادس - اللواء السادس)  -  رقم    - مصاريف يومية سرية اللواء السادس عدد 31 بامر"/>
        <s v="قيـد مقابـل:- (عهدة جمال مسدوس - عبدالله باعمر - الفرقة الثالثة)  - استلام نقدي رقم   سند استلام - صرف مبلغ بيد عبدالله باعمر بامر"/>
        <s v="قيـد مقابـل:- (عهدة عبدالله باعمر - عبدالله باعمر - الفرقة الثالثة)  - استلام نقدي رقم   سند استلام - صرف مبلغ بيد عبدالله باعمر بامر"/>
        <s v="قيـد مقابـل:- (مصاريف  صرفة يومية للافراد  - طبية - الفرقة الثالثة)  - كشف صرف رقم   كشف صرف - صرف الصرفة اليومية لافراد الطبية عدد 3 افراد بامر"/>
        <s v="قيـد مقابـل:- (مصاريف  صرفة يومية للافراد  - قسم المشتريات - الفرقة الثالثة)  - كشف صرف رقم   كشف صرف - صرف الصرفة اليومية لافراد قسم المشتريات عدد3 بامر"/>
        <s v="قيـد مقابـل:- (مصاريف  صرفة يومية للافراد  - المحاسبين  - الفرقة الثالثة)  - كشف صرف رقم   كشف صرف - صرف الصرفة اليومية للمحاسبين عدد2 بامر"/>
        <s v="قيـد مقابـل:- (مصاريف  صرفة يومية للافراد  - البشرية   - الفرقة الثالثة)  - كشف صرف رقم   كشف صرف - صرف الصرفة اليومية لافراد البشرية عدد1 بامر"/>
        <s v="قيـد مقابـل:- (مصاريف  صرفة يومية للافراد  - الاستخبارات - الفرقة الثالثة)  - كشف صرف رقم   كشف صرف - صرف الصرفة اليومية لافراد الاستخبارات عدد 7 افراد بامر"/>
        <s v="قيـد مقابـل:- (مصاريف  صرفة يومية للافراد  - المدفعية - الفرقة الثالثة)  - كشف صرف رقم   كشف صرف - صرف الصرفة اليومية لافراد المدفعية عدد 5 افراد بامر"/>
        <s v="قيـد مقابـل:- (مصاريف  صرفة يومية للافراد  - المستشارين والمساعدين - الفرقة الثالثة)  - كشف صرف رقم   كشف صرف - صرف الصرفة اليومية للمستشارين والمساعدين عدد 11 بامر"/>
        <s v="قيـد مقابـل:- (مصاريف  صرفة يومية للافراد  - اخرون - الفرقة الثالثة)  - كشف صرف رقم   كشف صرف - الصرفة اليومية اخرون عدد 9 بامر"/>
        <s v="قيـد مقابـل:- (مصاريف  صرفة يومية للافراد  - طقم اللواء السابع - اللواء السابع)  - كشف صرف رقم   كشف صرف - صرف الصرفة اليومية لافراد طقم اللواء السابع عدد3 افراد بامر"/>
        <s v="قيـد مقابـل:- (مصاريف  صرفة يومية للافراد  - الضباط السابقين - الفرقة الثالثة)  - كشف صرف رقم   كشف صرف - صرف الصرفة اليومية للضباط السابقين عدد10 ضباط بامر"/>
        <s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
        <s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
        <s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
        <s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
        <s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
        <s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
        <s v="قيـد مقابـل:- (مصاريف  صرفة يومية للافراد  - محمد نجيب محمد حزام - الفرقة الثالثة)  - استلام نقدي رقم 100-457  سند استلام - صرفة يومية  أبتدء من اليوم  بامرالقائد"/>
        <s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
        <s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
        <s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
        <s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
        <s v="قيـد مقابـل:- (مصاريف  صرفة يومية للافراد  - الاستطلاع - الفرقة الثالثة)  - كشف صرف رقم   كشف صرف - صرف الصرفة اليومية لافراد الإستطلاع عدد 2 افراد بامر"/>
        <s v="قيـد مقابـل:- (مصاريف  صرفة يومية للافراد  - المحاسبين - الفرقة الثالثة)  - كشف صرف رقم   كشف صرف - صرف الصرفة اليومية للمحاسبين عدد2 بامر"/>
        <s v="قيـد مقابـل:- (مصاريف  صرفة يومية للافراد  - البشرية - الفرقة الثالثة)  - كشف صرف رقم   كشف صرف - صرف الصرفة اليومية للبشرية عدد1 بامر"/>
        <s v="قيـد مقابـل:- (مصاريف  صرفة يومية للافراد  - الاستخبارات - الفرقة الثالثة)  - كشف صرف رقم   كشف صرف - صرف الصرفة اليومية لافراد الاستخبارات عدد 5 افراد بامر"/>
        <s v="قيـد مقابـل:- (مصاريف  صرفة يومية للافراد  - اخرون - الفرقة الثالثة)  - كشف صرف رقم   كشف صرف - صرف الصرفة اليومية اخرون لعدد 9 افراد بامر"/>
        <s v="قيـد مقابـل:- (مصاريف  صرفة يومية للافراد  - مرافقي الاركان - الفرقة الثالثة)  - كشف صرف رقم   كشف صرف - صرف الصرفة اليومية لمرافقين الاركان عدد 4 افراد بامر"/>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s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
        <s v="قيـد مقابـل:- (مصاريف  صرفة يومية للافراد  - سرية الشرطة - الفرقة الثالثة)  - كشف صرف رقم   كشف صرف - صرف الصرفة الاسبوعي سرية الشرطة لعدد 60 فرد بامر"/>
        <s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
        <s v="قيـد مقابـل:- (مصاريف  صرفة يومية للافراد  - سرية اللواء السادس - اللواء السادس)  - كشف صرف رقم   كشف صرف - صرف الصرفة اليومية سرية اللواء السادس ع دد 35 فرد بامر"/>
        <s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
        <s v="قيـد مقابـل:- (مصاريف  صرفة يومية للافراد  - مرافقي الاركان - الفرقة الثالثة)  - كشف صرف رقم   كشف صرف - صرف الصرفة اليومية لمرافقين الاركان عدد 4 افراد  بامر"/>
        <s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
        <s v="قيـد مقابـل:- (مصاريف مياة - وايت الماء - الفرقة الثالثة)  - استلام نقدي رقم 100-487  سند استلام - تعبئة القاطرة متء من الخشعة وتغيير زيت بامرالمستشار المالي"/>
        <s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
        <s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
        <s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
        <s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
        <s v="قيـد مقابـل:- (مصاريف  صرفة يومية للافراد  - البشرية - الفرقة الثالثة)  - كشف صرف رقم   كشف صرف - صرف الصرفة اليومية لافراد البشرية عدد1 بامر"/>
        <s v="قيـد مقابـل:- (مصاريف  صرفة يومية للافراد  - الاشغال - الفرقة الثالثة)  - كشف صرف رقم   كشف صرف - صرف الصرفة اليومية لافراد الاشغال عدد 4 افراد بامر"/>
        <s v="قيـد مقابـل:- (مصاريف  صرفة يومية للافراد  - الضباط السابقين - الفرقة الثالثة)  - كشف صرف رقم   كشف صرف - صرف الصرفة اليومية للضباط السابقين عدد 10 ضباط بامر"/>
        <s v="قيـد مقابـل:- (عهدة جمال مسدوس - جمال مسدوس - الفرقة الثالثة)  - استلام نقدي رقم 100-110  سند استلام - عهدة المشروع التدريبي بامرالمستشار المالي"/>
        <s v="قيـد مقابـل:- (مصاريف نثريات أخرى - الركن المالي - الفرقة الثالثة)  - استلام نقدي رقم   سند استلام - نثريات عمل الركن المالي مع المحاسبين بامرالأركان جمال مسدوس"/>
        <s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
        <s v="قيـد مقابـل:- (مصاريف نثريات أخرى - عمال - الفرقة الثالثة)  - استلام نقدي رقم 100-43  سند استلام - صرف اجور 5 عمال انزال المهام الى مستودعات الامداد  بامر"/>
        <s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
        <s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
        <s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
        <s v="قيـد مقابـل:- (مصاريف  صرفة يومية للافراد  - السيطرة والاتصالات - الفرقة الثالثة)  - كشف صرف رقم   كشف صرف - صرف الصرفة اليومية للسيطرة والاتصالات لعدد10 بامر"/>
        <s v="قيـد مقابـل:- (مصاريف  صرفة يومية للافراد  - الاستطلاع - الفرقة الثالثة)  - كشف صرف رقم   كشف صرف - صرف الصرفة اليومية لافراد الاستطلاع عدد 2 افراد  بامر"/>
        <s v="قيـد مقابـل:- (مصاريف سفر وتنقلات  - عبدالله احمد محمد دغيش  - الفرقة الثالثة)  - استلام نقدي رقم 100-107  سند استلام - مصاريف سفر  بامرالأركان جمال مسدوس"/>
        <s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
        <s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
        <s v="قيـد مقابـل:- (عهدة عبدالحفيظ - عبدالحفيظ - الفرقة الثالثة)  - حواله رقم 10460  شركة العامري للصرافة - استلام عهدة بامر"/>
        <s v="قيـد مقابـل:- (عهدة عبدالحفيظ - عبدالحفيظ - الفرقة الثالثة)  - استلام نقدي رقم   سند استلام - استلام عهدة من باعمر بامر"/>
        <s v="قيـد مقابـل:- (عهدة عبدالحفيظ - عبدالحفيظ - الفرقة الثالثة)  - حواله رقم 10712  شركة العامري للصرافة - استلام عهدة بامر"/>
        <s v="قيـد مقابـل:- (عهدة عبدالله باعمر - عبدالله باعمر - الفرقة الثالثة)  - استلام نقدي رقم   سند استلام - صرف عهده بامرالمستشار المالي"/>
        <s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
        <s v="قيـد مقابـل:- (مصاريف  صرفة يومية للافراد  - السيطرة والاتصالات - الفرقة الثالثة)  - كشف صرف رقم   كشف صرف - صرف الصرفة اليومية للسيطرة والاتصالات لعدد8 بامر"/>
        <s v="قيـد مقابـل:- (مصاريف  صرفة يومية للافراد  - الاستطلاع - الفرقة الثالثة)  - كشف صرف رقم   كشف صرف - صرف الصرفة اليومية لافراد الاستطلاع عدد 2 افراد بامر"/>
        <s v="قيـد مقابـل:- (مصاريف  صرفة يومية للافراد  - المستشارين والمساعدين - الفرقة الثالثة)  - كشف صرف رقم   كشف صرف - صرف الصرفة اليومية للمستشارين والمساعدين عدد 10 بامر"/>
        <s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
        <s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
        <s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
        <s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
        <s v="قيـد مقابـل:- (مصاريف مياة - وايت الماء - الفرقة الثالثة)  - استلام نقدي رقم 100-109  سند استلام - تعبئة القاطرة ماء من الخشعة والعودة بامرالأركان جمال مسدوس"/>
        <s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
        <s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
        <s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
        <s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
        <s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
        <s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
        <s v="قيـد مقابـل:- ( -  - )  -  رقم    -  بامر" u="1"/>
        <s v="قيـد مقابـل:- (مصاريف  صرفة يومية للافراد  - المدفعية - الفرقة الثالثة)  - كشف صرف رقم   كشف صرف - صرف الصرفة اليومية لافراد المدفعية عدد 3 افراد بامر" u="1"/>
        <s v="قيـد مقابـل:- (مصاريف نثريات أخرى - محمد فؤاد عبد القادر سعيد - الفرقة الثالثة)  - استلام نقدي رقم 100-485  سند استلام - لغرض الخروج في مهمة مرافقة الإخوان إلى المخا بامرالقائد" u="1"/>
        <s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توجيهات الاخ قائد الفرقة - أمر مدير المكتب" u="1"/>
        <s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توجيهات الاخ قائد الفرقة - أمر مدير المكتب" u="1"/>
        <s v="قيـد مقابـل:- (مصاريف  صرفة يومية للافراد  - عمرو محمد إسماعيل صالح + موسى احمد علي عثمان  - الفرقة الثالثة)  - استلام نقدي رقم 100-482  سند استلام - مصاريف  بامرتوجيهات الاخ قائد الفرقة - أمر الركن المالي " u="1"/>
        <s v="قيـد مقابـل:- (مصاريف نثريات أخرى - محمد فؤاد عبد القادر سعيد - الفرقة الثالثة)  - استلام نقدي رقم 100-485  سند استلام - لغرض الخروج في مهمة مرافقة الإخوان إلى المخا بامرتوجيهات الاخ قائد الفرقة - أمر مدير المكتب" u="1"/>
        <s v="قيـد مقابـل:- (مصاريف  صرفة يومية للافراد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توجيهات الاخ قائد الفرقة - أمر مدير المكتب" u="1"/>
        <s v="قيـد مقابـل:- (الصندوق العام - محمد فؤاد عبد القادر سعيد - الفرقة الثالثة)  - استلام نقدي رقم 100-485  سند استلام - لغرض الخروج في مهمة مرافقة الإخوان إلى المخا بامرتوجيهات الاخ قائد الفرقة - أمر مدير المكتب" u="1"/>
        <s v="قيـد مقابـل:- (الصندوق العام - فضل عبد السلام سعيد الرامسي - الفرقة الثالثة)  - استلام نقدي رقم 100-479  سند استلام - حسب توجيهات المستشار المالي عبد الله باعمر بامرالمستشار المالي" u="1"/>
        <s v="قيـد مقابـل:- (عهدة مجدي محمد احمد مسدوس - مجدي محمد احمد مسدوس - الفرقة الثالثة)  - استلام نقدي رقم   سند استلام - صرف عهدة للتخطيط بامرالأركان جمال مسدوس" u="1"/>
        <s v="قيـد مقابـل:- (مصاريف حوافز ومكافئات  - جمال مسدوس - الفرقة الثالثة)  - استلام نقدي رقم 0  سند استلام - مصاريف بيد الاركان جمال مسدوس بامرالأركان جمال مسدوس" u="1"/>
        <s v="قيـد مقابـل:- (مصاريف حوافز ومكافئات  - جمال مسدوس - الفرقة الثالثة)  - استلام نقدي رقم استلام خطي  سند استلام - مصاريف بيد الاركان بامرالأركان جمال مسدوس" u="1"/>
      </sharedItems>
    </cacheField>
    <cacheField name="العملـــة" numFmtId="166">
      <sharedItems containsMixedTypes="1" containsNumber="1" containsInteger="1" minValue="0" maxValue="0" count="3">
        <s v="ريال يمني"/>
        <s v="ريال سعودي"/>
        <n v="0" u="1"/>
      </sharedItems>
    </cacheField>
    <cacheField name="سعــــــر_x000a_الصـــــرف" numFmtId="0">
      <sharedItems containsSemiMixedTypes="0" containsString="0" containsNumber="1" containsInteger="1" minValue="1" maxValue="405"/>
    </cacheField>
    <cacheField name="المبلغ مدين" numFmtId="1">
      <sharedItems containsSemiMixedTypes="0" containsString="0" containsNumber="1" containsInteger="1" minValue="0" maxValue="2025000"/>
    </cacheField>
    <cacheField name="المبلغ دائن" numFmtId="1">
      <sharedItems containsSemiMixedTypes="0" containsString="0" containsNumber="1" containsInteger="1" minValue="0" maxValue="4500000"/>
    </cacheField>
    <cacheField name="اجمالي مدين ريال سعودي" numFmtId="168">
      <sharedItems containsSemiMixedTypes="0" containsString="0" containsNumber="1" minValue="0" maxValue="29940"/>
    </cacheField>
    <cacheField name="اجمالي دائن ريال سعودي" numFmtId="168">
      <sharedItems containsSemiMixedTypes="0" containsString="0" containsNumber="1" minValue="0" maxValue="29940"/>
    </cacheField>
    <cacheField name="المستفيــــــــد" numFmtId="0">
      <sharedItems containsMixedTypes="1" containsNumber="1" containsInteger="1" minValue="0" maxValue="0"/>
    </cacheField>
    <cacheField name="المــــرجـــــــــع" numFmtId="0">
      <sharedItems containsMixedTypes="1" containsNumber="1" containsInteger="1" minValue="0" maxValue="0"/>
    </cacheField>
    <cacheField name="اســـــــم المــــرجــــع" numFmtId="0">
      <sharedItems containsMixedTypes="1" containsNumber="1" containsInteger="1" minValue="0" maxValue="0"/>
    </cacheField>
    <cacheField name="رقم المـــــرجـــع" numFmtId="0">
      <sharedItems containsMixedTypes="1" containsNumber="1" containsInteger="1" minValue="0" maxValue="799104565"/>
    </cacheField>
    <cacheField name="مركـــــــزالتكلفــــــة" numFmtId="0">
      <sharedItems/>
    </cacheField>
    <cacheField name="رقم مركز التكلفة" numFmtId="0">
      <sharedItems containsSemiMixedTypes="0" containsString="0" containsNumber="1" containsInteger="1" minValue="1" maxValue="8"/>
    </cacheField>
    <cacheField name="التاريخ." numFmtId="167">
      <sharedItems containsSemiMixedTypes="0" containsNonDate="0" containsDate="1" containsString="0" minDate="2026-06-01T00:00:00" maxDate="2026-06-23T00:00:00"/>
    </cacheField>
    <cacheField name="تاريخ الإضافة" numFmtId="172">
      <sharedItems containsNonDate="0" containsDate="1" containsString="0" containsBlank="1" minDate="2026-06-08T22:18:37" maxDate="2026-06-12T00:22:05"/>
    </cacheField>
    <cacheField name="تاريخ التعديل" numFmtId="0">
      <sharedItems containsBlank="1" containsMixedTypes="1" containsNumber="1" containsInteger="1" minValue="0" maxValue="0"/>
    </cacheField>
    <cacheField name="السنــــة" numFmtId="0">
      <sharedItems containsSemiMixedTypes="0" containsString="0" containsNumber="1" containsInteger="1" minValue="2026" maxValue="2026"/>
    </cacheField>
    <cacheField name="الشهــــر" numFmtId="0">
      <sharedItems containsSemiMixedTypes="0" containsString="0" containsNumber="1" containsInteger="1" minValue="1" maxValue="6" count="2">
        <n v="6"/>
        <n v="1" u="1"/>
      </sharedItems>
    </cacheField>
    <cacheField name="الـــــيوم" numFmtId="0">
      <sharedItems containsSemiMixedTypes="0" containsString="0" containsNumber="1" containsInteger="1" minValue="1" maxValue="22"/>
    </cacheField>
    <cacheField name="البيــــــــــــــــــــــــــــــــــــان." numFmtId="172">
      <sharedItems/>
    </cacheField>
    <cacheField name="جهة الامر" numFmtId="0">
      <sharedItems containsMixedTypes="1" containsNumber="1" containsInteger="1" minValue="0" maxValue="0"/>
    </cacheField>
    <cacheField name="الشهور (التاريخ)" numFmtId="0" databaseField="0">
      <fieldGroup base="2">
        <rangePr groupBy="months" startDate="2026-06-01T00:00:00" endDate="2026-06-23T00:00:00"/>
        <groupItems count="14">
          <s v="&lt;01/06/2026"/>
          <s v="يناير"/>
          <s v="فبراير"/>
          <s v="مارس"/>
          <s v="أبريل"/>
          <s v="مايو"/>
          <s v="يونيو"/>
          <s v="يوليو"/>
          <s v="أغسطس"/>
          <s v="سبتمبر"/>
          <s v="أكتوبر"/>
          <s v="نوفمبر"/>
          <s v="ديسمبر"/>
          <s v="&gt;23/06/2026"/>
        </groupItems>
      </fieldGroup>
    </cacheField>
    <cacheField name="الفترات الربع سنوية (التاريخ)" numFmtId="0" databaseField="0">
      <fieldGroup base="2">
        <rangePr groupBy="quarters" startDate="2026-06-01T00:00:00" endDate="2026-06-23T00:00:00"/>
        <groupItems count="6">
          <s v="&lt;01/06/2026"/>
          <s v="ربع1"/>
          <s v="ربع2"/>
          <s v="ربع3"/>
          <s v="ربع4"/>
          <s v="&gt;23/06/2026"/>
        </groupItems>
      </fieldGroup>
    </cacheField>
    <cacheField name="السنوات (التاريخ)" numFmtId="0" databaseField="0">
      <fieldGroup base="2">
        <rangePr groupBy="years" startDate="2026-06-01T00:00:00" endDate="2026-06-23T00:00:00"/>
        <groupItems count="3">
          <s v="&lt;01/06/2026"/>
          <s v="2026"/>
          <s v="&gt;23/06/2026"/>
        </groupItems>
      </fieldGroup>
    </cacheField>
  </cacheFields>
  <extLst>
    <ext xmlns:x14="http://schemas.microsoft.com/office/spreadsheetml/2009/9/main" uri="{725AE2AE-9491-48be-B2B4-4EB974FC3084}">
      <x14:pivotCacheDefinition pivotCacheId="3768888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4">
  <r>
    <n v="0"/>
    <s v="JV001"/>
    <x v="0"/>
    <s v="قيد يومية"/>
    <n v="11060202"/>
    <x v="0"/>
    <x v="0"/>
    <x v="0"/>
    <n v="405"/>
    <n v="779500"/>
    <n v="0"/>
    <n v="1924.6913580246915"/>
    <n v="0"/>
    <s v="عبدالمغني عبدالصمد"/>
    <s v="استلام نقدي"/>
    <s v="سند استلام"/>
    <n v="0"/>
    <s v="الفرقة الثالثة"/>
    <n v="1"/>
    <d v="2026-06-01T00:00:00"/>
    <d v="2026-06-08T22:18:37"/>
    <n v="0"/>
    <n v="2026"/>
    <x v="0"/>
    <n v="1"/>
    <s v="قيـد مقابـل:- (عهدة عبدالمغني - عبدالمغني عبدالصمد - الفرقة الثالثة)  - استلام نقدي رقم 0  سند استلام - اثبات رصد افتتاحي من 31 مايو 2026م بامر"/>
    <n v="0"/>
  </r>
  <r>
    <n v="1"/>
    <s v="JV001"/>
    <x v="0"/>
    <s v="قيد يومية"/>
    <n v="23010102"/>
    <x v="1"/>
    <x v="0"/>
    <x v="0"/>
    <n v="405"/>
    <n v="0"/>
    <n v="779500"/>
    <n v="0"/>
    <n v="1924.6913580246915"/>
    <s v="عبدالمغني عبدالصمد"/>
    <s v="استلام نقدي"/>
    <s v="سند استلام"/>
    <n v="0"/>
    <s v="الفرقة الثالثة"/>
    <n v="1"/>
    <d v="2026-06-01T00:00:00"/>
    <d v="2026-06-08T22:18:37"/>
    <n v="0"/>
    <n v="2026"/>
    <x v="0"/>
    <n v="1"/>
    <s v="قيـد مقابـل:- (عهدة عبدالمغني - عبدالمغني عبدالصمد - الفرقة الثالثة)  - استلام نقدي رقم 0  سند استلام - اثبات رصد افتتاحي من 31 مايو 2026م بامر"/>
    <n v="0"/>
  </r>
  <r>
    <n v="2"/>
    <s v="JV002"/>
    <x v="0"/>
    <s v="قيد عهده"/>
    <n v="31010101"/>
    <x v="2"/>
    <x v="1"/>
    <x v="0"/>
    <n v="405"/>
    <n v="33000"/>
    <n v="0"/>
    <n v="81.481481481481481"/>
    <n v="0"/>
    <s v="السيطرة والاتصالات"/>
    <s v="كشف صرف"/>
    <s v="كشف صرف"/>
    <n v="4"/>
    <s v="الفرقة الثالثة"/>
    <n v="1"/>
    <d v="2026-06-01T00:00:00"/>
    <d v="2026-06-08T22:29:48"/>
    <n v="0"/>
    <n v="2026"/>
    <x v="0"/>
    <n v="1"/>
    <s v="قيـد مقابـل:- (مصاريف  صرفة يومية للافراد  - السيطرة والاتصالات - الفرقة الثالثة)  - كشف صرف رقم 4  كشف صرف - صرف الصرفة اليومية للسيطرة والاتصالات لعدد 4  بامر"/>
    <n v="0"/>
  </r>
  <r>
    <n v="3"/>
    <s v="JV002"/>
    <x v="0"/>
    <s v="قيد عهده"/>
    <n v="11060202"/>
    <x v="0"/>
    <x v="1"/>
    <x v="0"/>
    <n v="405"/>
    <n v="0"/>
    <n v="33000"/>
    <n v="0"/>
    <n v="81.481481481481481"/>
    <s v="السيطرة والاتصالات"/>
    <s v="كشف صرف"/>
    <s v="كشف صرف"/>
    <n v="4"/>
    <s v="الفرقة الثالثة"/>
    <n v="1"/>
    <d v="2026-06-01T00:00:00"/>
    <d v="2026-06-08T22:29:48"/>
    <n v="0"/>
    <n v="2026"/>
    <x v="0"/>
    <n v="1"/>
    <s v="قيـد مقابـل:- (مصاريف  صرفة يومية للافراد  - السيطرة والاتصالات - الفرقة الثالثة)  - كشف صرف رقم 4  كشف صرف - صرف الصرفة اليومية للسيطرة والاتصالات لعدد 4  بامر"/>
    <n v="0"/>
  </r>
  <r>
    <n v="4"/>
    <s v="JV003"/>
    <x v="0"/>
    <s v="قيد عهده"/>
    <n v="31010101"/>
    <x v="2"/>
    <x v="2"/>
    <x v="0"/>
    <n v="405"/>
    <n v="132000"/>
    <n v="0"/>
    <n v="325.92592592592592"/>
    <n v="0"/>
    <s v="الامداد"/>
    <s v="كشف صرف"/>
    <s v="كشف صرف"/>
    <n v="12"/>
    <s v="الفرقة الثالثة"/>
    <n v="1"/>
    <d v="2026-06-01T00:00:00"/>
    <d v="2026-06-08T22:32:37"/>
    <n v="0"/>
    <n v="2026"/>
    <x v="0"/>
    <n v="1"/>
    <s v="قيـد مقابـل:- (مصاريف  صرفة يومية للافراد  - الامداد - الفرقة الثالثة)  - كشف صرف رقم 12  كشف صرف - صرف الصرفة اليومية  لافراد الامداد لعدد 12  بامر"/>
    <n v="0"/>
  </r>
  <r>
    <n v="5"/>
    <s v="JV003"/>
    <x v="0"/>
    <s v="قيد عهده"/>
    <n v="11060202"/>
    <x v="0"/>
    <x v="2"/>
    <x v="0"/>
    <n v="405"/>
    <n v="0"/>
    <n v="132000"/>
    <n v="0"/>
    <n v="325.92592592592592"/>
    <s v="الامداد"/>
    <s v="كشف صرف"/>
    <s v="كشف صرف"/>
    <n v="12"/>
    <s v="الفرقة الثالثة"/>
    <n v="1"/>
    <d v="2026-06-01T00:00:00"/>
    <d v="2026-06-08T22:32:37"/>
    <n v="0"/>
    <n v="2026"/>
    <x v="0"/>
    <n v="1"/>
    <s v="قيـد مقابـل:- (مصاريف  صرفة يومية للافراد  - الامداد - الفرقة الثالثة)  - كشف صرف رقم 12  كشف صرف - صرف الصرفة اليومية  لافراد الامداد لعدد 12  بامر"/>
    <n v="0"/>
  </r>
  <r>
    <n v="6"/>
    <s v="JV004"/>
    <x v="0"/>
    <s v="قيد عهده"/>
    <n v="31010101"/>
    <x v="2"/>
    <x v="3"/>
    <x v="0"/>
    <n v="405"/>
    <n v="30000"/>
    <n v="0"/>
    <n v="74.074074074074076"/>
    <n v="0"/>
    <s v="البشرية و الصراف"/>
    <s v="كشف صرف"/>
    <s v="كشف صرف"/>
    <n v="2"/>
    <s v="الفرقة الثالثة"/>
    <n v="1"/>
    <d v="2026-06-01T00:00:00"/>
    <d v="2026-06-08T22:34:40"/>
    <n v="0"/>
    <n v="2026"/>
    <x v="0"/>
    <n v="1"/>
    <s v="قيـد مقابـل:- (مصاريف  صرفة يومية للافراد  - البشرية و الصراف - الفرقة الثالثة)  - كشف صرف رقم 2  كشف صرف - صرف الصرفة اليومية  للبشرة والصراف عدد 2  بامر"/>
    <n v="0"/>
  </r>
  <r>
    <n v="7"/>
    <s v="JV004"/>
    <x v="0"/>
    <s v="قيد عهده"/>
    <n v="11060202"/>
    <x v="0"/>
    <x v="3"/>
    <x v="0"/>
    <n v="405"/>
    <n v="0"/>
    <n v="30000"/>
    <n v="0"/>
    <n v="74.074074074074076"/>
    <s v="البشرية و الصراف"/>
    <s v="كشف صرف"/>
    <s v="كشف صرف"/>
    <n v="2"/>
    <s v="الفرقة الثالثة"/>
    <n v="1"/>
    <d v="2026-06-01T00:00:00"/>
    <d v="2026-06-08T22:34:40"/>
    <n v="0"/>
    <n v="2026"/>
    <x v="0"/>
    <n v="1"/>
    <s v="قيـد مقابـل:- (مصاريف  صرفة يومية للافراد  - البشرية و الصراف - الفرقة الثالثة)  - كشف صرف رقم 2  كشف صرف - صرف الصرفة اليومية  للبشرة والصراف عدد 2  بامر"/>
    <n v="0"/>
  </r>
  <r>
    <n v="8"/>
    <s v="JV005"/>
    <x v="0"/>
    <s v="قيد عهده"/>
    <n v="31010101"/>
    <x v="2"/>
    <x v="4"/>
    <x v="0"/>
    <n v="405"/>
    <n v="65000"/>
    <n v="0"/>
    <n v="160.49382716049382"/>
    <n v="0"/>
    <s v="الاستخبارات"/>
    <s v="كشف صرف"/>
    <s v="كشف صرف"/>
    <n v="4"/>
    <s v="الفرقة الثالثة"/>
    <n v="1"/>
    <d v="2026-06-01T00:00:00"/>
    <d v="2026-06-08T22:36:36"/>
    <n v="0"/>
    <n v="2026"/>
    <x v="0"/>
    <n v="1"/>
    <s v="قيـد مقابـل:- (مصاريف  صرفة يومية للافراد  - الاستخبارات - الفرقة الثالثة)  - كشف صرف رقم 4  كشف صرف - صرف الصرفة اليومية  الاستخبارات لعدد 4 بامر"/>
    <n v="0"/>
  </r>
  <r>
    <n v="9"/>
    <s v="JV005"/>
    <x v="0"/>
    <s v="قيد عهده"/>
    <n v="11060202"/>
    <x v="0"/>
    <x v="4"/>
    <x v="0"/>
    <n v="405"/>
    <n v="0"/>
    <n v="65000"/>
    <n v="0"/>
    <n v="160.49382716049382"/>
    <s v="الاستخبارات"/>
    <s v="كشف صرف"/>
    <s v="كشف صرف"/>
    <n v="4"/>
    <s v="الفرقة الثالثة"/>
    <n v="1"/>
    <d v="2026-06-01T00:00:00"/>
    <d v="2026-06-08T22:36:36"/>
    <n v="0"/>
    <n v="2026"/>
    <x v="0"/>
    <n v="1"/>
    <s v="قيـد مقابـل:- (مصاريف  صرفة يومية للافراد  - الاستخبارات - الفرقة الثالثة)  - كشف صرف رقم 4  كشف صرف - صرف الصرفة اليومية  الاستخبارات لعدد 4 بامر"/>
    <n v="0"/>
  </r>
  <r>
    <n v="10"/>
    <s v="JV006"/>
    <x v="0"/>
    <s v="قيد عهده"/>
    <n v="31010101"/>
    <x v="2"/>
    <x v="5"/>
    <x v="0"/>
    <n v="405"/>
    <n v="32000"/>
    <n v="0"/>
    <n v="79.012345679012341"/>
    <n v="0"/>
    <s v="الطبية والمحاسبين"/>
    <s v="كشف صرف"/>
    <s v="كشف صرف"/>
    <n v="5"/>
    <s v="الفرقة الثالثة"/>
    <n v="1"/>
    <d v="2026-06-01T00:00:00"/>
    <d v="2026-06-08T22:38:39"/>
    <n v="0"/>
    <n v="2026"/>
    <x v="0"/>
    <n v="1"/>
    <s v="قيـد مقابـل:- (مصاريف  صرفة يومية للافراد  - الطبية والمحاسبين - الفرقة الثالثة)  - كشف صرف رقم 5  كشف صرف - صرف الصرفة اليومية للطبية والمحاسبين لعدد 5 بامر"/>
    <n v="0"/>
  </r>
  <r>
    <n v="11"/>
    <s v="JV006"/>
    <x v="0"/>
    <s v="قيد عهده"/>
    <n v="11060202"/>
    <x v="0"/>
    <x v="5"/>
    <x v="0"/>
    <n v="405"/>
    <n v="0"/>
    <n v="32000"/>
    <n v="0"/>
    <n v="79.012345679012341"/>
    <s v="الطبية والمحاسبين"/>
    <s v="كشف صرف"/>
    <s v="كشف صرف"/>
    <n v="5"/>
    <s v="الفرقة الثالثة"/>
    <n v="1"/>
    <d v="2026-06-01T00:00:00"/>
    <d v="2026-06-08T22:38:39"/>
    <n v="0"/>
    <n v="2026"/>
    <x v="0"/>
    <n v="1"/>
    <s v="قيـد مقابـل:- (مصاريف  صرفة يومية للافراد  - الطبية والمحاسبين - الفرقة الثالثة)  - كشف صرف رقم 5  كشف صرف - صرف الصرفة اليومية للطبية والمحاسبين لعدد 5 بامر"/>
    <n v="0"/>
  </r>
  <r>
    <n v="12"/>
    <s v="JV007"/>
    <x v="0"/>
    <s v="قيد عهده"/>
    <n v="31010101"/>
    <x v="2"/>
    <x v="6"/>
    <x v="0"/>
    <n v="405"/>
    <n v="75000"/>
    <n v="0"/>
    <n v="185.18518518518519"/>
    <n v="0"/>
    <s v="الضباط السابقين"/>
    <s v="كشف صرف"/>
    <s v="كشف صرف"/>
    <n v="7"/>
    <s v="الفرقة الثالثة"/>
    <n v="1"/>
    <d v="2026-06-01T00:00:00"/>
    <d v="2026-06-08T22:40:29"/>
    <n v="0"/>
    <n v="2026"/>
    <x v="0"/>
    <n v="1"/>
    <s v="قيـد مقابـل:- (مصاريف  صرفة يومية للافراد  - الضباط السابقين - الفرقة الثالثة)  - كشف صرف رقم 7  كشف صرف - صرف الصرفة اليومية ضباط سابقين لعدد 7 بامر"/>
    <n v="0"/>
  </r>
  <r>
    <n v="13"/>
    <s v="JV007"/>
    <x v="0"/>
    <s v="قيد عهده"/>
    <n v="11060202"/>
    <x v="0"/>
    <x v="6"/>
    <x v="0"/>
    <n v="405"/>
    <n v="0"/>
    <n v="75000"/>
    <n v="0"/>
    <n v="185.18518518518519"/>
    <s v="الضباط السابقين"/>
    <s v="كشف صرف"/>
    <s v="كشف صرف"/>
    <n v="7"/>
    <s v="الفرقة الثالثة"/>
    <n v="1"/>
    <d v="2026-06-01T00:00:00"/>
    <d v="2026-06-08T22:40:29"/>
    <n v="0"/>
    <n v="2026"/>
    <x v="0"/>
    <n v="1"/>
    <s v="قيـد مقابـل:- (مصاريف  صرفة يومية للافراد  - الضباط السابقين - الفرقة الثالثة)  - كشف صرف رقم 7  كشف صرف - صرف الصرفة اليومية ضباط سابقين لعدد 7 بامر"/>
    <n v="0"/>
  </r>
  <r>
    <n v="14"/>
    <s v="JV008"/>
    <x v="0"/>
    <s v="قيد عهده"/>
    <n v="31010101"/>
    <x v="2"/>
    <x v="7"/>
    <x v="0"/>
    <n v="405"/>
    <n v="75000"/>
    <n v="0"/>
    <n v="185.18518518518519"/>
    <n v="0"/>
    <s v="اخرون"/>
    <s v="كشف صرف"/>
    <s v="كشف صرف"/>
    <n v="10"/>
    <s v="الفرقة الثالثة"/>
    <n v="1"/>
    <d v="2026-06-01T00:00:00"/>
    <d v="2026-06-08T22:41:31"/>
    <n v="0"/>
    <n v="2026"/>
    <x v="0"/>
    <n v="1"/>
    <s v="قيـد مقابـل:- (مصاريف  صرفة يومية للافراد  - اخرون - الفرقة الثالثة)  - كشف صرف رقم 10  كشف صرف - صرف الصرفة اليومية اخورن بامر"/>
    <n v="0"/>
  </r>
  <r>
    <n v="15"/>
    <s v="JV008"/>
    <x v="0"/>
    <s v="قيد عهده"/>
    <n v="11060202"/>
    <x v="0"/>
    <x v="7"/>
    <x v="0"/>
    <n v="405"/>
    <n v="0"/>
    <n v="75000"/>
    <n v="0"/>
    <n v="185.18518518518519"/>
    <s v="اخرون"/>
    <s v="كشف صرف"/>
    <s v="كشف صرف"/>
    <n v="10"/>
    <s v="الفرقة الثالثة"/>
    <n v="1"/>
    <d v="2026-06-01T00:00:00"/>
    <d v="2026-06-08T22:41:31"/>
    <n v="0"/>
    <n v="2026"/>
    <x v="0"/>
    <n v="1"/>
    <s v="قيـد مقابـل:- (مصاريف  صرفة يومية للافراد  - اخرون - الفرقة الثالثة)  - كشف صرف رقم 10  كشف صرف - صرف الصرفة اليومية اخورن بامر"/>
    <n v="0"/>
  </r>
  <r>
    <n v="16"/>
    <s v="JV009"/>
    <x v="0"/>
    <s v="قيد عهده"/>
    <n v="31010101"/>
    <x v="2"/>
    <x v="8"/>
    <x v="0"/>
    <n v="405"/>
    <n v="42000"/>
    <n v="0"/>
    <n v="103.70370370370371"/>
    <n v="0"/>
    <s v="افراد طقم اللواء السابع مرافقين"/>
    <s v="كشف صرف"/>
    <s v="كشف صرف"/>
    <n v="7"/>
    <s v="الفرقة الثالثة"/>
    <n v="1"/>
    <d v="2026-06-01T00:00:00"/>
    <d v="2026-06-08T22:43:51"/>
    <n v="0"/>
    <n v="2026"/>
    <x v="0"/>
    <n v="1"/>
    <s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
    <n v="0"/>
  </r>
  <r>
    <n v="17"/>
    <s v="JV009"/>
    <x v="0"/>
    <s v="قيد عهده"/>
    <n v="11060202"/>
    <x v="0"/>
    <x v="8"/>
    <x v="0"/>
    <n v="405"/>
    <n v="0"/>
    <n v="42000"/>
    <n v="0"/>
    <n v="103.70370370370371"/>
    <s v="افراد طقم اللواء السابع مرافقين"/>
    <s v="كشف صرف"/>
    <s v="كشف صرف"/>
    <n v="7"/>
    <s v="الفرقة الثالثة"/>
    <n v="1"/>
    <d v="2026-06-01T00:00:00"/>
    <d v="2026-06-08T22:43:51"/>
    <n v="0"/>
    <n v="2026"/>
    <x v="0"/>
    <n v="1"/>
    <s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
    <n v="0"/>
  </r>
  <r>
    <n v="18"/>
    <s v="RC001"/>
    <x v="0"/>
    <s v="قبض عهدة"/>
    <n v="11060202"/>
    <x v="0"/>
    <x v="9"/>
    <x v="1"/>
    <n v="1"/>
    <n v="9980"/>
    <n v="0"/>
    <n v="9980"/>
    <n v="0"/>
    <s v="عبدالمغني عبدالصمد"/>
    <s v="استلام نقدي"/>
    <s v="سند استلام"/>
    <n v="0"/>
    <s v="الفرقة الثالثة"/>
    <n v="1"/>
    <d v="2026-06-01T00:00:00"/>
    <d v="2026-06-08T23:06:02"/>
    <n v="0"/>
    <n v="2026"/>
    <x v="0"/>
    <n v="1"/>
    <s v="قيـد مقابـل:- (عهدة عبدالمغني - عبدالمغني عبدالصمد - الفرقة الثالثة)  - استلام نقدي رقم 0  سند استلام - استلام عهدة بامر"/>
    <n v="0"/>
  </r>
  <r>
    <n v="19"/>
    <s v="RC001"/>
    <x v="0"/>
    <s v="قبض عهدة"/>
    <n v="11010101"/>
    <x v="3"/>
    <x v="9"/>
    <x v="1"/>
    <n v="1"/>
    <n v="0"/>
    <n v="9980"/>
    <n v="0"/>
    <n v="9980"/>
    <s v="عبدالمغني عبدالصمد"/>
    <s v="استلام نقدي"/>
    <s v="سند استلام"/>
    <n v="0"/>
    <s v="الفرقة الثالثة"/>
    <n v="1"/>
    <d v="2026-06-01T00:00:00"/>
    <d v="2026-06-08T23:06:02"/>
    <n v="0"/>
    <n v="2026"/>
    <x v="0"/>
    <n v="1"/>
    <s v="قيـد مقابـل:- (عهدة عبدالمغني - عبدالمغني عبدالصمد - الفرقة الثالثة)  - استلام نقدي رقم 0  سند استلام - استلام عهدة بامر"/>
    <n v="0"/>
  </r>
  <r>
    <n v="20"/>
    <s v="JV010"/>
    <x v="0"/>
    <s v="قيد عهده"/>
    <n v="31010101"/>
    <x v="2"/>
    <x v="10"/>
    <x v="0"/>
    <n v="405"/>
    <n v="40000"/>
    <n v="0"/>
    <n v="98.76543209876543"/>
    <n v="0"/>
    <s v="حسام طه غانم مقبل"/>
    <s v="استلام نقدي"/>
    <s v="سند استلام"/>
    <n v="0"/>
    <s v="الفرقة الثالثة"/>
    <n v="1"/>
    <d v="2026-06-01T00:00:00"/>
    <d v="2026-06-08T23:08:09"/>
    <s v="مدير  مكتب القائد"/>
    <n v="2026"/>
    <x v="0"/>
    <n v="1"/>
    <s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
    <s v="مدير  مكتب القائد"/>
  </r>
  <r>
    <n v="21"/>
    <s v="JV010"/>
    <x v="0"/>
    <s v="قيد عهده"/>
    <n v="11060202"/>
    <x v="0"/>
    <x v="10"/>
    <x v="0"/>
    <n v="405"/>
    <n v="0"/>
    <n v="40000"/>
    <n v="0"/>
    <n v="98.76543209876543"/>
    <s v="حسام طه غانم مقبل"/>
    <s v="استلام نقدي"/>
    <s v="سند استلام"/>
    <n v="0"/>
    <s v="الفرقة الثالثة"/>
    <n v="1"/>
    <d v="2026-06-01T00:00:00"/>
    <d v="2026-06-08T23:08:09"/>
    <s v="مدير  مكتب القائد"/>
    <n v="2026"/>
    <x v="0"/>
    <n v="1"/>
    <s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
    <s v="مدير  مكتب القائد"/>
  </r>
  <r>
    <n v="22"/>
    <s v="JV011"/>
    <x v="0"/>
    <s v="قيد عهده"/>
    <n v="31010114"/>
    <x v="4"/>
    <x v="11"/>
    <x v="1"/>
    <n v="1"/>
    <n v="1000"/>
    <n v="0"/>
    <n v="1000"/>
    <n v="0"/>
    <s v="محمد اليوسفي"/>
    <s v="استلام نقدي"/>
    <s v="سند استلام"/>
    <n v="0"/>
    <s v="الفرقة الثالثة"/>
    <n v="1"/>
    <d v="2026-06-01T00:00:00"/>
    <d v="2026-06-08T23:09:36"/>
    <s v="أسامة رزيق"/>
    <n v="2026"/>
    <x v="0"/>
    <n v="1"/>
    <s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
    <s v="أسامة رزيق"/>
  </r>
  <r>
    <n v="23"/>
    <s v="JV011"/>
    <x v="0"/>
    <s v="قيد عهده"/>
    <n v="11060202"/>
    <x v="0"/>
    <x v="11"/>
    <x v="1"/>
    <n v="1"/>
    <n v="0"/>
    <n v="1000"/>
    <n v="0"/>
    <n v="1000"/>
    <s v="محمد اليوسفي"/>
    <s v="استلام نقدي"/>
    <s v="سند استلام"/>
    <n v="0"/>
    <s v="الفرقة الثالثة"/>
    <n v="1"/>
    <d v="2026-06-01T00:00:00"/>
    <d v="2026-06-08T23:09:36"/>
    <s v="أسامة رزيق"/>
    <n v="2026"/>
    <x v="0"/>
    <n v="1"/>
    <s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
    <s v="أسامة رزيق"/>
  </r>
  <r>
    <n v="24"/>
    <s v="JV012"/>
    <x v="0"/>
    <s v="قيد عهده"/>
    <n v="31010101"/>
    <x v="2"/>
    <x v="12"/>
    <x v="0"/>
    <n v="405"/>
    <n v="53000"/>
    <n v="0"/>
    <n v="130.8641975308642"/>
    <n v="0"/>
    <s v="جمال مسدوس"/>
    <s v="استلام نقدي"/>
    <s v="سند استلام"/>
    <n v="0"/>
    <s v="الفرقة الثالثة"/>
    <n v="1"/>
    <d v="2026-06-01T00:00:00"/>
    <d v="2026-06-08T23:12:05"/>
    <s v="الأركان جمال مسدوس"/>
    <n v="2026"/>
    <x v="0"/>
    <n v="1"/>
    <s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
    <s v="الأركان جمال مسدوس"/>
  </r>
  <r>
    <n v="25"/>
    <s v="JV012"/>
    <x v="0"/>
    <s v="قيد عهده"/>
    <n v="11060202"/>
    <x v="0"/>
    <x v="12"/>
    <x v="0"/>
    <n v="405"/>
    <n v="0"/>
    <n v="53000"/>
    <n v="0"/>
    <n v="130.8641975308642"/>
    <s v="جمال مسدوس"/>
    <s v="استلام نقدي"/>
    <s v="سند استلام"/>
    <n v="0"/>
    <s v="الفرقة الثالثة"/>
    <n v="1"/>
    <d v="2026-06-01T00:00:00"/>
    <d v="2026-06-08T23:12:05"/>
    <s v="الأركان جمال مسدوس"/>
    <n v="2026"/>
    <x v="0"/>
    <n v="1"/>
    <s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
    <s v="الأركان جمال مسدوس"/>
  </r>
  <r>
    <n v="26"/>
    <s v="JV013"/>
    <x v="0"/>
    <s v="قيد عهده"/>
    <n v="31010101"/>
    <x v="2"/>
    <x v="13"/>
    <x v="0"/>
    <n v="405"/>
    <n v="50000"/>
    <n v="0"/>
    <n v="123.45679012345678"/>
    <n v="0"/>
    <s v="عمال الكهرباء يزد وماجد"/>
    <s v="استلام نقدي"/>
    <s v="سند استلام"/>
    <n v="0"/>
    <s v="الفرقة الثالثة"/>
    <n v="1"/>
    <d v="2026-06-01T00:00:00"/>
    <d v="2026-06-08T23:15:05"/>
    <s v="أسامة رزيق"/>
    <n v="2026"/>
    <x v="0"/>
    <n v="1"/>
    <s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
    <s v="أسامة رزيق"/>
  </r>
  <r>
    <n v="27"/>
    <s v="JV013"/>
    <x v="0"/>
    <s v="قيد عهده"/>
    <n v="11060202"/>
    <x v="0"/>
    <x v="13"/>
    <x v="0"/>
    <n v="405"/>
    <n v="0"/>
    <n v="50000"/>
    <n v="0"/>
    <n v="123.45679012345678"/>
    <s v="عمال الكهرباء يزد وماجد"/>
    <s v="استلام نقدي"/>
    <s v="سند استلام"/>
    <n v="0"/>
    <s v="الفرقة الثالثة"/>
    <n v="1"/>
    <d v="2026-06-01T00:00:00"/>
    <d v="2026-06-08T23:15:05"/>
    <s v="أسامة رزيق"/>
    <n v="2026"/>
    <x v="0"/>
    <n v="1"/>
    <s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
    <s v="أسامة رزيق"/>
  </r>
  <r>
    <n v="28"/>
    <s v="JV014"/>
    <x v="0"/>
    <s v="قيد عهده"/>
    <n v="31010101"/>
    <x v="2"/>
    <x v="14"/>
    <x v="0"/>
    <n v="405"/>
    <n v="180000"/>
    <n v="0"/>
    <n v="444.44444444444446"/>
    <n v="0"/>
    <s v="سرية اللواء السادس"/>
    <s v="كشف صرف"/>
    <s v="كشف صرف"/>
    <n v="45"/>
    <s v="اللواء السادس"/>
    <n v="7"/>
    <d v="2026-06-01T00:00:00"/>
    <d v="2026-06-08T23:16:31"/>
    <s v="القائد"/>
    <n v="2026"/>
    <x v="0"/>
    <n v="1"/>
    <s v="قيـد مقابـل:- (مصاريف  صرفة يومية للافراد  - سرية اللواء السادس - اللواء السادس)  - كشف صرف رقم 45  كشف صرف - مصاريف يومية سرية اللواء السادس عدد 45 بامرالقائد"/>
    <s v="القائد"/>
  </r>
  <r>
    <n v="29"/>
    <s v="JV014"/>
    <x v="0"/>
    <s v="قيد عهده"/>
    <n v="11060202"/>
    <x v="0"/>
    <x v="14"/>
    <x v="0"/>
    <n v="405"/>
    <n v="0"/>
    <n v="180000"/>
    <n v="0"/>
    <n v="444.44444444444446"/>
    <s v="سرية اللواء السادس"/>
    <s v="كشف صرف"/>
    <s v="كشف صرف"/>
    <n v="45"/>
    <s v="اللواء السادس"/>
    <n v="7"/>
    <d v="2026-06-01T00:00:00"/>
    <d v="2026-06-08T23:16:31"/>
    <s v="القائد"/>
    <n v="2026"/>
    <x v="0"/>
    <n v="1"/>
    <s v="قيـد مقابـل:- (مصاريف  صرفة يومية للافراد  - سرية اللواء السادس - اللواء السادس)  - كشف صرف رقم 45  كشف صرف - مصاريف يومية سرية اللواء السادس عدد 45 بامرالقائد"/>
    <s v="القائد"/>
  </r>
  <r>
    <n v="30"/>
    <s v="JV015"/>
    <x v="1"/>
    <s v="قيد عهده"/>
    <n v="31010101"/>
    <x v="2"/>
    <x v="1"/>
    <x v="0"/>
    <n v="405"/>
    <n v="33000"/>
    <n v="0"/>
    <n v="81.481481481481481"/>
    <n v="0"/>
    <s v="السيطرة والاتصالات"/>
    <s v="كشف صرف"/>
    <s v="كشف صرف"/>
    <n v="4"/>
    <s v="الفرقة الثالثة"/>
    <n v="1"/>
    <d v="2026-06-02T00:00:00"/>
    <d v="2026-06-09T00:01:40"/>
    <n v="0"/>
    <n v="2026"/>
    <x v="0"/>
    <n v="2"/>
    <s v="قيـد مقابـل:- (مصاريف  صرفة يومية للافراد  - السيطرة والاتصالات - الفرقة الثالثة)  - كشف صرف رقم 4  كشف صرف - صرف الصرفة اليومية للسيطرة والاتصالات لعدد 4  بامر"/>
    <n v="0"/>
  </r>
  <r>
    <n v="31"/>
    <s v="JV015"/>
    <x v="1"/>
    <s v="قيد عهده"/>
    <n v="11060202"/>
    <x v="0"/>
    <x v="1"/>
    <x v="0"/>
    <n v="405"/>
    <n v="0"/>
    <n v="33000"/>
    <n v="0"/>
    <n v="81.481481481481481"/>
    <s v="السيطرة والاتصالات"/>
    <s v="كشف صرف"/>
    <s v="كشف صرف"/>
    <n v="4"/>
    <s v="الفرقة الثالثة"/>
    <n v="1"/>
    <d v="2026-06-02T00:00:00"/>
    <d v="2026-06-09T00:01:40"/>
    <n v="0"/>
    <n v="2026"/>
    <x v="0"/>
    <n v="2"/>
    <s v="قيـد مقابـل:- (مصاريف  صرفة يومية للافراد  - السيطرة والاتصالات - الفرقة الثالثة)  - كشف صرف رقم 4  كشف صرف - صرف الصرفة اليومية للسيطرة والاتصالات لعدد 4  بامر"/>
    <n v="0"/>
  </r>
  <r>
    <n v="32"/>
    <s v="JV016"/>
    <x v="1"/>
    <s v="قيد عهده"/>
    <n v="31010101"/>
    <x v="2"/>
    <x v="15"/>
    <x v="0"/>
    <n v="405"/>
    <n v="132000"/>
    <n v="0"/>
    <n v="325.92592592592592"/>
    <n v="0"/>
    <s v="الامداد"/>
    <s v="كشف صرف"/>
    <s v="كشف صرف"/>
    <n v="12"/>
    <s v="الفرقة الثالثة"/>
    <n v="1"/>
    <d v="2026-06-02T00:00:00"/>
    <d v="2026-06-09T00:03:31"/>
    <n v="0"/>
    <n v="2026"/>
    <x v="0"/>
    <n v="2"/>
    <s v="قيـد مقابـل:- (مصاريف  صرفة يومية للافراد  - الامداد - الفرقة الثالثة)  - كشف صرف رقم 12  كشف صرف - صرف الصرفة اليومية  لافراد الامداد لعدد 12 فرد بامر"/>
    <n v="0"/>
  </r>
  <r>
    <n v="33"/>
    <s v="JV016"/>
    <x v="1"/>
    <s v="قيد عهده"/>
    <n v="11060202"/>
    <x v="0"/>
    <x v="15"/>
    <x v="0"/>
    <n v="405"/>
    <n v="0"/>
    <n v="132000"/>
    <n v="0"/>
    <n v="325.92592592592592"/>
    <s v="الامداد"/>
    <s v="كشف صرف"/>
    <s v="كشف صرف"/>
    <n v="12"/>
    <s v="الفرقة الثالثة"/>
    <n v="1"/>
    <d v="2026-06-02T00:00:00"/>
    <d v="2026-06-09T00:03:31"/>
    <n v="0"/>
    <n v="2026"/>
    <x v="0"/>
    <n v="2"/>
    <s v="قيـد مقابـل:- (مصاريف  صرفة يومية للافراد  - الامداد - الفرقة الثالثة)  - كشف صرف رقم 12  كشف صرف - صرف الصرفة اليومية  لافراد الامداد لعدد 12 فرد بامر"/>
    <n v="0"/>
  </r>
  <r>
    <n v="34"/>
    <s v="JV017"/>
    <x v="1"/>
    <s v="قيد عهده"/>
    <n v="31010101"/>
    <x v="2"/>
    <x v="3"/>
    <x v="0"/>
    <n v="405"/>
    <n v="30000"/>
    <n v="0"/>
    <n v="74.074074074074076"/>
    <n v="0"/>
    <s v="البشرية و الصراف"/>
    <s v="كشف صرف"/>
    <s v="كشف صرف"/>
    <n v="2"/>
    <s v="الفرقة الثالثة"/>
    <n v="1"/>
    <d v="2026-06-02T00:00:00"/>
    <d v="2026-06-09T00:06:06"/>
    <n v="0"/>
    <n v="2026"/>
    <x v="0"/>
    <n v="2"/>
    <s v="قيـد مقابـل:- (مصاريف  صرفة يومية للافراد  - البشرية و الصراف - الفرقة الثالثة)  - كشف صرف رقم 2  كشف صرف - صرف الصرفة اليومية  للبشرة والصراف عدد 2  بامر"/>
    <n v="0"/>
  </r>
  <r>
    <n v="35"/>
    <s v="JV017"/>
    <x v="1"/>
    <s v="قيد عهده"/>
    <n v="11060202"/>
    <x v="0"/>
    <x v="3"/>
    <x v="0"/>
    <n v="405"/>
    <n v="0"/>
    <n v="30000"/>
    <n v="0"/>
    <n v="74.074074074074076"/>
    <s v="البشرية و الصراف"/>
    <s v="كشف صرف"/>
    <s v="كشف صرف"/>
    <n v="2"/>
    <s v="الفرقة الثالثة"/>
    <n v="1"/>
    <d v="2026-06-02T00:00:00"/>
    <d v="2026-06-09T00:06:06"/>
    <n v="0"/>
    <n v="2026"/>
    <x v="0"/>
    <n v="2"/>
    <s v="قيـد مقابـل:- (مصاريف  صرفة يومية للافراد  - البشرية و الصراف - الفرقة الثالثة)  - كشف صرف رقم 2  كشف صرف - صرف الصرفة اليومية  للبشرة والصراف عدد 2  بامر"/>
    <n v="0"/>
  </r>
  <r>
    <n v="36"/>
    <s v="JV018"/>
    <x v="1"/>
    <s v="قيد عهده"/>
    <n v="31010101"/>
    <x v="2"/>
    <x v="4"/>
    <x v="0"/>
    <n v="405"/>
    <n v="65000"/>
    <n v="0"/>
    <n v="160.49382716049382"/>
    <n v="0"/>
    <s v="الاستخبارات"/>
    <s v="كشف صرف"/>
    <s v="كشف صرف"/>
    <n v="4"/>
    <s v="الفرقة الثالثة"/>
    <n v="1"/>
    <d v="2026-06-02T00:00:00"/>
    <d v="2026-06-09T00:19:17"/>
    <n v="0"/>
    <n v="2026"/>
    <x v="0"/>
    <n v="2"/>
    <s v="قيـد مقابـل:- (مصاريف  صرفة يومية للافراد  - الاستخبارات - الفرقة الثالثة)  - كشف صرف رقم 4  كشف صرف - صرف الصرفة اليومية  الاستخبارات لعدد 4 بامر"/>
    <n v="0"/>
  </r>
  <r>
    <n v="37"/>
    <s v="JV018"/>
    <x v="1"/>
    <s v="قيد عهده"/>
    <n v="11060202"/>
    <x v="0"/>
    <x v="4"/>
    <x v="0"/>
    <n v="405"/>
    <n v="0"/>
    <n v="65000"/>
    <n v="0"/>
    <n v="160.49382716049382"/>
    <s v="الاستخبارات"/>
    <s v="كشف صرف"/>
    <s v="كشف صرف"/>
    <n v="4"/>
    <s v="الفرقة الثالثة"/>
    <n v="1"/>
    <d v="2026-06-02T00:00:00"/>
    <d v="2026-06-09T00:19:17"/>
    <n v="0"/>
    <n v="2026"/>
    <x v="0"/>
    <n v="2"/>
    <s v="قيـد مقابـل:- (مصاريف  صرفة يومية للافراد  - الاستخبارات - الفرقة الثالثة)  - كشف صرف رقم 4  كشف صرف - صرف الصرفة اليومية  الاستخبارات لعدد 4 بامر"/>
    <n v="0"/>
  </r>
  <r>
    <n v="38"/>
    <s v="JV019"/>
    <x v="1"/>
    <s v="قيد عهده"/>
    <n v="31010101"/>
    <x v="2"/>
    <x v="16"/>
    <x v="0"/>
    <n v="405"/>
    <n v="30000"/>
    <n v="0"/>
    <n v="74.074074074074076"/>
    <n v="0"/>
    <s v="المستشارين والمساعدين"/>
    <s v="كشف صرف"/>
    <s v="كشف صرف"/>
    <n v="3"/>
    <s v="الفرقة الثالثة"/>
    <n v="1"/>
    <d v="2026-06-02T00:00:00"/>
    <d v="2026-06-09T00:26:15"/>
    <n v="0"/>
    <n v="2026"/>
    <x v="0"/>
    <n v="2"/>
    <s v="قيـد مقابـل:- (مصاريف  صرفة يومية للافراد  - المستشارين والمساعدين - الفرقة الثالثة)  - كشف صرف رقم 3  كشف صرف - صررف صرفة يومية للمستشارين والمساعدين 3 بامر"/>
    <n v="0"/>
  </r>
  <r>
    <n v="39"/>
    <s v="JV019"/>
    <x v="1"/>
    <s v="قيد عهده"/>
    <n v="11060202"/>
    <x v="0"/>
    <x v="16"/>
    <x v="0"/>
    <n v="405"/>
    <n v="0"/>
    <n v="30000"/>
    <n v="0"/>
    <n v="74.074074074074076"/>
    <s v="المستشارين والمساعدين"/>
    <s v="كشف صرف"/>
    <s v="كشف صرف"/>
    <n v="3"/>
    <s v="الفرقة الثالثة"/>
    <n v="1"/>
    <d v="2026-06-02T00:00:00"/>
    <d v="2026-06-09T00:26:15"/>
    <n v="0"/>
    <n v="2026"/>
    <x v="0"/>
    <n v="2"/>
    <s v="قيـد مقابـل:- (مصاريف  صرفة يومية للافراد  - المستشارين والمساعدين - الفرقة الثالثة)  - كشف صرف رقم 3  كشف صرف - صررف صرفة يومية للمستشارين والمساعدين 3 بامر"/>
    <n v="0"/>
  </r>
  <r>
    <n v="40"/>
    <s v="JV020"/>
    <x v="1"/>
    <s v="قيد عهده"/>
    <n v="31010101"/>
    <x v="2"/>
    <x v="5"/>
    <x v="0"/>
    <n v="405"/>
    <n v="32000"/>
    <n v="0"/>
    <n v="79.012345679012341"/>
    <n v="0"/>
    <s v="الطبية والمحاسبين"/>
    <s v="كشف صرف"/>
    <s v="كشف صرف"/>
    <n v="5"/>
    <s v="الفرقة الثالثة"/>
    <n v="1"/>
    <d v="2026-06-02T00:00:00"/>
    <d v="2026-06-09T00:36:28"/>
    <n v="0"/>
    <n v="2026"/>
    <x v="0"/>
    <n v="2"/>
    <s v="قيـد مقابـل:- (مصاريف  صرفة يومية للافراد  - الطبية والمحاسبين - الفرقة الثالثة)  - كشف صرف رقم 5  كشف صرف - صرف الصرفة اليومية للطبية والمحاسبين لعدد 5 بامر"/>
    <n v="0"/>
  </r>
  <r>
    <n v="41"/>
    <s v="JV020"/>
    <x v="1"/>
    <s v="قيد عهده"/>
    <n v="11060202"/>
    <x v="0"/>
    <x v="5"/>
    <x v="0"/>
    <n v="405"/>
    <n v="0"/>
    <n v="32000"/>
    <n v="0"/>
    <n v="79.012345679012341"/>
    <s v="الطبية والمحاسبين"/>
    <s v="كشف صرف"/>
    <s v="كشف صرف"/>
    <n v="5"/>
    <s v="الفرقة الثالثة"/>
    <n v="1"/>
    <d v="2026-06-02T00:00:00"/>
    <d v="2026-06-09T00:36:28"/>
    <n v="0"/>
    <n v="2026"/>
    <x v="0"/>
    <n v="2"/>
    <s v="قيـد مقابـل:- (مصاريف  صرفة يومية للافراد  - الطبية والمحاسبين - الفرقة الثالثة)  - كشف صرف رقم 5  كشف صرف - صرف الصرفة اليومية للطبية والمحاسبين لعدد 5 بامر"/>
    <n v="0"/>
  </r>
  <r>
    <n v="42"/>
    <s v="JV021"/>
    <x v="1"/>
    <s v="قيد عهده"/>
    <n v="31010101"/>
    <x v="2"/>
    <x v="17"/>
    <x v="0"/>
    <n v="405"/>
    <n v="135000"/>
    <n v="0"/>
    <n v="333.33333333333331"/>
    <n v="0"/>
    <s v="الضباط السابقين"/>
    <s v="كشف صرف"/>
    <s v="كشف صرف"/>
    <n v="8"/>
    <s v="الفرقة الثالثة"/>
    <n v="1"/>
    <d v="2026-06-02T00:00:00"/>
    <d v="2026-06-09T00:37:39"/>
    <n v="0"/>
    <n v="2026"/>
    <x v="0"/>
    <n v="2"/>
    <s v="قيـد مقابـل:- (مصاريف  صرفة يومية للافراد  - الضباط السابقين - الفرقة الثالثة)  - كشف صرف رقم 8  كشف صرف - صرف الصرفة اليومية ضباط سابقين لعدد 8 بامر"/>
    <n v="0"/>
  </r>
  <r>
    <n v="43"/>
    <s v="JV021"/>
    <x v="1"/>
    <s v="قيد عهده"/>
    <n v="11060202"/>
    <x v="0"/>
    <x v="17"/>
    <x v="0"/>
    <n v="405"/>
    <n v="0"/>
    <n v="135000"/>
    <n v="0"/>
    <n v="333.33333333333331"/>
    <s v="الضباط السابقين"/>
    <s v="كشف صرف"/>
    <s v="كشف صرف"/>
    <n v="8"/>
    <s v="الفرقة الثالثة"/>
    <n v="1"/>
    <d v="2026-06-02T00:00:00"/>
    <d v="2026-06-09T00:37:39"/>
    <n v="0"/>
    <n v="2026"/>
    <x v="0"/>
    <n v="2"/>
    <s v="قيـد مقابـل:- (مصاريف  صرفة يومية للافراد  - الضباط السابقين - الفرقة الثالثة)  - كشف صرف رقم 8  كشف صرف - صرف الصرفة اليومية ضباط سابقين لعدد 8 بامر"/>
    <n v="0"/>
  </r>
  <r>
    <n v="44"/>
    <s v="JV022"/>
    <x v="1"/>
    <s v="قيد عهده"/>
    <n v="31010101"/>
    <x v="2"/>
    <x v="18"/>
    <x v="0"/>
    <n v="405"/>
    <n v="50000"/>
    <n v="0"/>
    <n v="123.45679012345678"/>
    <n v="0"/>
    <s v="اخرون"/>
    <s v="كشف صرف"/>
    <s v="كشف صرف"/>
    <n v="7"/>
    <s v="الفرقة الثالثة"/>
    <n v="1"/>
    <d v="2026-06-02T00:00:00"/>
    <d v="2026-06-09T00:39:09"/>
    <n v="0"/>
    <n v="2026"/>
    <x v="0"/>
    <n v="2"/>
    <s v="قيـد مقابـل:- (مصاريف  صرفة يومية للافراد  - اخرون - الفرقة الثالثة)  - كشف صرف رقم 7  كشف صرف - الصرفة اليومية اخرون عدد 5 بامر"/>
    <n v="0"/>
  </r>
  <r>
    <n v="45"/>
    <s v="JV022"/>
    <x v="1"/>
    <s v="قيد عهده"/>
    <n v="11060202"/>
    <x v="0"/>
    <x v="18"/>
    <x v="0"/>
    <n v="405"/>
    <n v="0"/>
    <n v="50000"/>
    <n v="0"/>
    <n v="123.45679012345678"/>
    <s v="اخرون"/>
    <s v="كشف صرف"/>
    <s v="كشف صرف"/>
    <n v="7"/>
    <s v="الفرقة الثالثة"/>
    <n v="1"/>
    <d v="2026-06-02T00:00:00"/>
    <d v="2026-06-09T00:39:09"/>
    <n v="0"/>
    <n v="2026"/>
    <x v="0"/>
    <n v="2"/>
    <s v="قيـد مقابـل:- (مصاريف  صرفة يومية للافراد  - اخرون - الفرقة الثالثة)  - كشف صرف رقم 7  كشف صرف - الصرفة اليومية اخرون عدد 5 بامر"/>
    <n v="0"/>
  </r>
  <r>
    <n v="46"/>
    <s v="JV023"/>
    <x v="1"/>
    <s v="قيد عهده"/>
    <n v="31010101"/>
    <x v="2"/>
    <x v="8"/>
    <x v="0"/>
    <n v="405"/>
    <n v="42000"/>
    <n v="0"/>
    <n v="103.70370370370371"/>
    <n v="0"/>
    <s v="افراد طقم اللواء السابع مرافقين"/>
    <s v="كشف صرف"/>
    <s v="كشف صرف"/>
    <n v="7"/>
    <s v="الفرقة الثالثة"/>
    <n v="1"/>
    <d v="2026-06-02T00:00:00"/>
    <d v="2026-06-09T00:41:42"/>
    <n v="0"/>
    <n v="2026"/>
    <x v="0"/>
    <n v="2"/>
    <s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
    <n v="0"/>
  </r>
  <r>
    <n v="47"/>
    <s v="JV023"/>
    <x v="1"/>
    <s v="قيد عهده"/>
    <n v="11060202"/>
    <x v="0"/>
    <x v="8"/>
    <x v="0"/>
    <n v="405"/>
    <n v="0"/>
    <n v="42000"/>
    <n v="0"/>
    <n v="103.70370370370371"/>
    <s v="افراد طقم اللواء السابع مرافقين"/>
    <s v="كشف صرف"/>
    <s v="كشف صرف"/>
    <n v="7"/>
    <s v="الفرقة الثالثة"/>
    <n v="1"/>
    <d v="2026-06-02T00:00:00"/>
    <d v="2026-06-09T00:41:42"/>
    <n v="0"/>
    <n v="2026"/>
    <x v="0"/>
    <n v="2"/>
    <s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
    <n v="0"/>
  </r>
  <r>
    <n v="48"/>
    <s v="JV024"/>
    <x v="1"/>
    <s v="قيد عهده"/>
    <n v="31010134"/>
    <x v="5"/>
    <x v="19"/>
    <x v="1"/>
    <n v="1"/>
    <n v="1500"/>
    <n v="0"/>
    <n v="1500"/>
    <n v="0"/>
    <s v="مكرم عبد العزيز و مهند خالد والمرافق محمد عبدالسلام"/>
    <s v="استلام نقدي"/>
    <s v="سند استلام"/>
    <n v="0"/>
    <s v="اللواء السادس"/>
    <n v="7"/>
    <d v="2026-06-02T00:00:00"/>
    <d v="2026-06-09T00:46:32"/>
    <s v="أسامة رزيق"/>
    <n v="2026"/>
    <x v="0"/>
    <n v="2"/>
    <s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
    <s v="أسامة رزيق"/>
  </r>
  <r>
    <n v="49"/>
    <s v="JV024"/>
    <x v="1"/>
    <s v="قيد عهده"/>
    <n v="11060202"/>
    <x v="0"/>
    <x v="19"/>
    <x v="1"/>
    <n v="1"/>
    <n v="0"/>
    <n v="1500"/>
    <n v="0"/>
    <n v="1500"/>
    <s v="مكرم عبد العزيز و مهند خالد والمرافق محمد عبدالسلام"/>
    <s v="استلام نقدي"/>
    <s v="سند استلام"/>
    <n v="0"/>
    <s v="اللواء السادس"/>
    <n v="7"/>
    <d v="2026-06-02T00:00:00"/>
    <d v="2026-06-09T00:46:32"/>
    <s v="أسامة رزيق"/>
    <n v="2026"/>
    <x v="0"/>
    <n v="2"/>
    <s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
    <s v="أسامة رزيق"/>
  </r>
  <r>
    <n v="50"/>
    <s v="JV025"/>
    <x v="1"/>
    <s v="قيد عهده"/>
    <n v="31010134"/>
    <x v="5"/>
    <x v="20"/>
    <x v="0"/>
    <n v="405"/>
    <n v="500000"/>
    <n v="0"/>
    <n v="1234.5679012345679"/>
    <n v="0"/>
    <s v="مكرم عبدالعزي ومهند خالد"/>
    <s v="استلام نقدي"/>
    <s v="سند استلام"/>
    <n v="0"/>
    <s v="اللواء السادس"/>
    <n v="7"/>
    <d v="2026-06-02T00:00:00"/>
    <d v="2026-06-09T00:50:10"/>
    <s v="القائد"/>
    <n v="2026"/>
    <x v="0"/>
    <n v="2"/>
    <s v="قيـد مقابـل:- (مصاريف اكراميات جرحى - مكرم عبدالعزي ومهند خالد - اللواء السادس)  - استلام نقدي رقم 0  سند استلام - مصاريف سفر للجرحى امر القائد بامرالقائد"/>
    <s v="القائد"/>
  </r>
  <r>
    <n v="51"/>
    <s v="JV025"/>
    <x v="1"/>
    <s v="قيد عهده"/>
    <n v="11060202"/>
    <x v="0"/>
    <x v="20"/>
    <x v="0"/>
    <n v="405"/>
    <n v="0"/>
    <n v="500000"/>
    <n v="0"/>
    <n v="1234.5679012345679"/>
    <s v="مكرم عبدالعزي ومهند خالد"/>
    <s v="استلام نقدي"/>
    <s v="سند استلام"/>
    <n v="0"/>
    <s v="اللواء السادس"/>
    <n v="7"/>
    <d v="2026-06-02T00:00:00"/>
    <d v="2026-06-09T00:50:10"/>
    <s v="القائد"/>
    <n v="2026"/>
    <x v="0"/>
    <n v="2"/>
    <s v="قيـد مقابـل:- (مصاريف اكراميات جرحى - مكرم عبدالعزي ومهند خالد - اللواء السادس)  - استلام نقدي رقم 0  سند استلام - مصاريف سفر للجرحى امر القائد بامرالقائد"/>
    <s v="القائد"/>
  </r>
  <r>
    <n v="52"/>
    <s v="JV026"/>
    <x v="1"/>
    <s v="قيد عهده"/>
    <n v="31010116"/>
    <x v="6"/>
    <x v="21"/>
    <x v="0"/>
    <n v="405"/>
    <n v="300000"/>
    <n v="0"/>
    <n v="740.74074074074076"/>
    <n v="0"/>
    <s v="جمال مسدوس"/>
    <s v="استلام نقدي"/>
    <s v="سند استلام"/>
    <n v="0"/>
    <s v="الفرقة الثالثة"/>
    <n v="1"/>
    <d v="2026-06-02T00:00:00"/>
    <d v="2026-06-09T00:52:08"/>
    <s v="الأركان جمال مسدوس"/>
    <n v="2026"/>
    <x v="0"/>
    <n v="2"/>
    <s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
    <s v="الأركان جمال مسدوس"/>
  </r>
  <r>
    <n v="53"/>
    <s v="JV026"/>
    <x v="1"/>
    <s v="قيد عهده"/>
    <n v="11060202"/>
    <x v="0"/>
    <x v="21"/>
    <x v="0"/>
    <n v="405"/>
    <n v="0"/>
    <n v="300000"/>
    <n v="0"/>
    <n v="740.74074074074076"/>
    <s v="جمال مسدوس"/>
    <s v="استلام نقدي"/>
    <s v="سند استلام"/>
    <n v="0"/>
    <s v="الفرقة الثالثة"/>
    <n v="1"/>
    <d v="2026-06-02T00:00:00"/>
    <d v="2026-06-09T00:52:08"/>
    <s v="الأركان جمال مسدوس"/>
    <n v="2026"/>
    <x v="0"/>
    <n v="2"/>
    <s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
    <s v="الأركان جمال مسدوس"/>
  </r>
  <r>
    <n v="54"/>
    <s v="JV027"/>
    <x v="1"/>
    <s v="قيد عهده"/>
    <n v="31010114"/>
    <x v="4"/>
    <x v="22"/>
    <x v="0"/>
    <n v="405"/>
    <n v="10000"/>
    <n v="0"/>
    <n v="24.691358024691358"/>
    <n v="0"/>
    <s v="محمد السبع"/>
    <s v="استلام نقدي"/>
    <s v="سند استلام"/>
    <n v="0"/>
    <s v="الفرقة الثالثة"/>
    <n v="1"/>
    <d v="2026-06-02T00:00:00"/>
    <d v="2026-06-09T00:54:07"/>
    <s v="الأركان جمال مسدوس"/>
    <n v="2026"/>
    <x v="0"/>
    <n v="2"/>
    <s v="قيـد مقابـل:- (مصاريف حوافز ومكافئات  - محمد السبع - الفرقة الثالثة)  - استلام نقدي رقم 0  سند استلام - مصاريف اضافية  ل محمد السبع بامرالأركان جمال مسدوس"/>
    <s v="الأركان جمال مسدوس"/>
  </r>
  <r>
    <n v="55"/>
    <s v="JV027"/>
    <x v="1"/>
    <s v="قيد عهده"/>
    <n v="11060202"/>
    <x v="0"/>
    <x v="22"/>
    <x v="0"/>
    <n v="405"/>
    <n v="0"/>
    <n v="10000"/>
    <n v="0"/>
    <n v="24.691358024691358"/>
    <s v="محمد السبع"/>
    <s v="استلام نقدي"/>
    <s v="سند استلام"/>
    <n v="0"/>
    <s v="الفرقة الثالثة"/>
    <n v="1"/>
    <d v="2026-06-02T00:00:00"/>
    <d v="2026-06-09T00:54:07"/>
    <s v="الأركان جمال مسدوس"/>
    <n v="2026"/>
    <x v="0"/>
    <n v="2"/>
    <s v="قيـد مقابـل:- (مصاريف حوافز ومكافئات  - محمد السبع - الفرقة الثالثة)  - استلام نقدي رقم 0  سند استلام - مصاريف اضافية  ل محمد السبع بامرالأركان جمال مسدوس"/>
    <s v="الأركان جمال مسدوس"/>
  </r>
  <r>
    <n v="56"/>
    <s v="JV028"/>
    <x v="1"/>
    <s v="قيد عهده"/>
    <n v="31010106"/>
    <x v="7"/>
    <x v="23"/>
    <x v="0"/>
    <n v="405"/>
    <n v="15000"/>
    <n v="0"/>
    <n v="37.037037037037038"/>
    <n v="0"/>
    <s v="طقم القائد "/>
    <s v="فاتورة"/>
    <s v="مركز الوفاء التجاري"/>
    <n v="4324"/>
    <s v="الفرقة الثالثة"/>
    <n v="1"/>
    <d v="2026-06-02T00:00:00"/>
    <d v="2026-06-09T00:56:00"/>
    <s v="مدير  مكتب القائد"/>
    <n v="2026"/>
    <x v="0"/>
    <n v="2"/>
    <s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
    <s v="مدير  مكتب القائد"/>
  </r>
  <r>
    <n v="57"/>
    <s v="JV028"/>
    <x v="1"/>
    <s v="قيد عهده"/>
    <n v="11060202"/>
    <x v="0"/>
    <x v="23"/>
    <x v="0"/>
    <n v="405"/>
    <n v="0"/>
    <n v="15000"/>
    <n v="0"/>
    <n v="37.037037037037038"/>
    <s v="طقم القائد "/>
    <s v="فاتورة"/>
    <s v="مركز الوفاء التجاري"/>
    <n v="4324"/>
    <s v="الفرقة الثالثة"/>
    <n v="1"/>
    <d v="2026-06-02T00:00:00"/>
    <d v="2026-06-09T00:56:00"/>
    <s v="مدير  مكتب القائد"/>
    <n v="2026"/>
    <x v="0"/>
    <n v="2"/>
    <s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
    <s v="مدير  مكتب القائد"/>
  </r>
  <r>
    <n v="58"/>
    <s v="JV029"/>
    <x v="1"/>
    <s v="قيد عهده"/>
    <n v="31010106"/>
    <x v="7"/>
    <x v="24"/>
    <x v="0"/>
    <n v="405"/>
    <n v="25000"/>
    <n v="0"/>
    <n v="61.728395061728392"/>
    <n v="0"/>
    <s v="طقم القائد"/>
    <s v="فاتورة"/>
    <s v="ورشة مراد القدسي للحدادة العامة والكمانات"/>
    <n v="16"/>
    <s v="الفرقة الثالثة"/>
    <n v="1"/>
    <d v="2026-06-02T00:00:00"/>
    <d v="2026-06-09T00:59:15"/>
    <s v="مدير  مكتب القائد"/>
    <n v="2026"/>
    <x v="0"/>
    <n v="2"/>
    <s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
    <s v="مدير  مكتب القائد"/>
  </r>
  <r>
    <n v="59"/>
    <s v="JV029"/>
    <x v="1"/>
    <s v="قيد عهده"/>
    <n v="11060202"/>
    <x v="0"/>
    <x v="24"/>
    <x v="0"/>
    <n v="405"/>
    <n v="0"/>
    <n v="25000"/>
    <n v="0"/>
    <n v="61.728395061728392"/>
    <s v="طقم القائد"/>
    <s v="فاتورة"/>
    <s v="ورشة مراد القدسي للحدادة العامة والكمانات"/>
    <n v="16"/>
    <s v="الفرقة الثالثة"/>
    <n v="1"/>
    <d v="2026-06-02T00:00:00"/>
    <d v="2026-06-09T00:59:15"/>
    <s v="مدير  مكتب القائد"/>
    <n v="2026"/>
    <x v="0"/>
    <n v="2"/>
    <s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
    <s v="مدير  مكتب القائد"/>
  </r>
  <r>
    <n v="60"/>
    <s v="JV030"/>
    <x v="1"/>
    <s v="قيد عهده"/>
    <n v="31010126"/>
    <x v="8"/>
    <x v="25"/>
    <x v="0"/>
    <n v="405"/>
    <n v="20000"/>
    <n v="0"/>
    <n v="49.382716049382715"/>
    <n v="0"/>
    <s v="طقم القائد"/>
    <s v="فاتورة"/>
    <s v="مركز جبال ردفان"/>
    <n v="3430"/>
    <s v="الفرقة الثالثة"/>
    <n v="1"/>
    <d v="2026-06-02T00:00:00"/>
    <d v="2026-06-09T01:02:33"/>
    <s v="مدير  مكتب القائد"/>
    <n v="2026"/>
    <x v="0"/>
    <n v="2"/>
    <s v="قيـد مقابـل:- (مصاريف صيانة متنوعة  - طقم القائد - الفرقة الثالثة)  - فاتورة رقم 3430  مركز جبال ردفان - اجور غسل كامل لطقم القائد  بامرمدير  مكتب القائد"/>
    <s v="مدير  مكتب القائد"/>
  </r>
  <r>
    <n v="61"/>
    <s v="JV030"/>
    <x v="1"/>
    <s v="قيد عهده"/>
    <n v="11060202"/>
    <x v="0"/>
    <x v="25"/>
    <x v="0"/>
    <n v="405"/>
    <n v="0"/>
    <n v="20000"/>
    <n v="0"/>
    <n v="49.382716049382715"/>
    <s v="طقم القائد"/>
    <s v="فاتورة"/>
    <s v="مركز جبال ردفان"/>
    <n v="3430"/>
    <s v="الفرقة الثالثة"/>
    <n v="1"/>
    <d v="2026-06-02T00:00:00"/>
    <d v="2026-06-09T01:02:33"/>
    <s v="مدير  مكتب القائد"/>
    <n v="2026"/>
    <x v="0"/>
    <n v="2"/>
    <s v="قيـد مقابـل:- (مصاريف صيانة متنوعة  - طقم القائد - الفرقة الثالثة)  - فاتورة رقم 3430  مركز جبال ردفان - اجور غسل كامل لطقم القائد  بامرمدير  مكتب القائد"/>
    <s v="مدير  مكتب القائد"/>
  </r>
  <r>
    <n v="62"/>
    <s v="JV031"/>
    <x v="1"/>
    <s v="قيد عهده"/>
    <n v="31010101"/>
    <x v="2"/>
    <x v="26"/>
    <x v="0"/>
    <n v="405"/>
    <n v="188000"/>
    <n v="0"/>
    <n v="464.19753086419752"/>
    <n v="0"/>
    <s v="سرية اللواء السادس"/>
    <s v="كشف صرف"/>
    <s v="كشف صرف"/>
    <s v="47 فرد"/>
    <s v="اللواء السادس"/>
    <n v="7"/>
    <d v="2026-06-02T00:00:00"/>
    <d v="2026-06-09T01:04:04"/>
    <s v="القائد"/>
    <n v="2026"/>
    <x v="0"/>
    <n v="2"/>
    <s v="قيـد مقابـل:- (مصاريف  صرفة يومية للافراد  - سرية اللواء السادس - اللواء السادس)  - كشف صرف رقم 47 فرد  كشف صرف - مصاريف يومية سرية اللواء السادس عدد 47 بامرالقائد"/>
    <s v="القائد"/>
  </r>
  <r>
    <n v="63"/>
    <s v="JV031"/>
    <x v="1"/>
    <s v="قيد عهده"/>
    <n v="11060202"/>
    <x v="0"/>
    <x v="26"/>
    <x v="0"/>
    <n v="405"/>
    <n v="0"/>
    <n v="188000"/>
    <n v="0"/>
    <n v="464.19753086419752"/>
    <s v="سرية اللواء السادس"/>
    <s v="كشف صرف"/>
    <s v="كشف صرف"/>
    <s v="47 فرد"/>
    <s v="اللواء السادس"/>
    <n v="7"/>
    <d v="2026-06-02T00:00:00"/>
    <d v="2026-06-09T01:04:04"/>
    <s v="القائد"/>
    <n v="2026"/>
    <x v="0"/>
    <n v="2"/>
    <s v="قيـد مقابـل:- (مصاريف  صرفة يومية للافراد  - سرية اللواء السادس - اللواء السادس)  - كشف صرف رقم 47 فرد  كشف صرف - مصاريف يومية سرية اللواء السادس عدد 47 بامرالقائد"/>
    <s v="القائد"/>
  </r>
  <r>
    <n v="64"/>
    <s v="RC002"/>
    <x v="2"/>
    <s v="قبض عهدة"/>
    <n v="11060202"/>
    <x v="0"/>
    <x v="9"/>
    <x v="1"/>
    <n v="1"/>
    <n v="9980"/>
    <n v="0"/>
    <n v="9980"/>
    <n v="0"/>
    <s v="عبدالمغني عبدالصمد"/>
    <s v="استلام نقدي"/>
    <s v="سند استلام"/>
    <n v="0"/>
    <s v="الفرقة الثالثة"/>
    <n v="1"/>
    <d v="2026-06-03T00:00:00"/>
    <d v="2026-06-09T02:36:11"/>
    <n v="0"/>
    <n v="2026"/>
    <x v="0"/>
    <n v="3"/>
    <s v="قيـد مقابـل:- (عهدة عبدالمغني - عبدالمغني عبدالصمد - الفرقة الثالثة)  - استلام نقدي رقم 0  سند استلام - استلام عهدة بامر"/>
    <n v="0"/>
  </r>
  <r>
    <n v="65"/>
    <s v="RC002"/>
    <x v="2"/>
    <s v="قبض عهدة"/>
    <n v="11010101"/>
    <x v="3"/>
    <x v="9"/>
    <x v="1"/>
    <n v="1"/>
    <n v="0"/>
    <n v="9980"/>
    <n v="0"/>
    <n v="9980"/>
    <s v="عبدالمغني عبدالصمد"/>
    <s v="استلام نقدي"/>
    <s v="سند استلام"/>
    <n v="0"/>
    <s v="الفرقة الثالثة"/>
    <n v="1"/>
    <d v="2026-06-03T00:00:00"/>
    <d v="2026-06-09T02:36:11"/>
    <n v="0"/>
    <n v="2026"/>
    <x v="0"/>
    <n v="3"/>
    <s v="قيـد مقابـل:- (عهدة عبدالمغني - عبدالمغني عبدالصمد - الفرقة الثالثة)  - استلام نقدي رقم 0  سند استلام - استلام عهدة بامر"/>
    <n v="0"/>
  </r>
  <r>
    <n v="66"/>
    <s v="JV032"/>
    <x v="2"/>
    <s v="قيد عهده"/>
    <n v="31010101"/>
    <x v="2"/>
    <x v="1"/>
    <x v="0"/>
    <n v="405"/>
    <n v="33000"/>
    <n v="0"/>
    <n v="81.481481481481481"/>
    <n v="0"/>
    <s v="السيطرة والاتصالات"/>
    <s v="كشف صرف"/>
    <s v="كشف صرف"/>
    <n v="4"/>
    <s v="الفرقة الثالثة"/>
    <n v="1"/>
    <d v="2026-06-03T00:00:00"/>
    <d v="2026-06-09T02:38:53"/>
    <n v="0"/>
    <n v="2026"/>
    <x v="0"/>
    <n v="3"/>
    <s v="قيـد مقابـل:- (مصاريف  صرفة يومية للافراد  - السيطرة والاتصالات - الفرقة الثالثة)  - كشف صرف رقم 4  كشف صرف - صرف الصرفة اليومية للسيطرة والاتصالات لعدد 4  بامر"/>
    <n v="0"/>
  </r>
  <r>
    <n v="67"/>
    <s v="JV032"/>
    <x v="2"/>
    <s v="قيد عهده"/>
    <n v="11060202"/>
    <x v="0"/>
    <x v="1"/>
    <x v="0"/>
    <n v="405"/>
    <n v="0"/>
    <n v="33000"/>
    <n v="0"/>
    <n v="81.481481481481481"/>
    <s v="السيطرة والاتصالات"/>
    <s v="كشف صرف"/>
    <s v="كشف صرف"/>
    <n v="4"/>
    <s v="الفرقة الثالثة"/>
    <n v="1"/>
    <d v="2026-06-03T00:00:00"/>
    <d v="2026-06-09T02:38:53"/>
    <n v="0"/>
    <n v="2026"/>
    <x v="0"/>
    <n v="3"/>
    <s v="قيـد مقابـل:- (مصاريف  صرفة يومية للافراد  - السيطرة والاتصالات - الفرقة الثالثة)  - كشف صرف رقم 4  كشف صرف - صرف الصرفة اليومية للسيطرة والاتصالات لعدد 4  بامر"/>
    <n v="0"/>
  </r>
  <r>
    <n v="68"/>
    <s v="JV033"/>
    <x v="2"/>
    <s v="قيد عهده"/>
    <n v="31010101"/>
    <x v="2"/>
    <x v="2"/>
    <x v="0"/>
    <n v="405"/>
    <n v="132000"/>
    <n v="0"/>
    <n v="325.92592592592592"/>
    <n v="0"/>
    <s v="الامداد"/>
    <s v="كشف صرف"/>
    <s v="كشف صرف"/>
    <n v="12"/>
    <s v="الفرقة الثالثة"/>
    <n v="1"/>
    <d v="2026-06-03T00:00:00"/>
    <d v="2026-06-09T02:39:46"/>
    <n v="0"/>
    <n v="2026"/>
    <x v="0"/>
    <n v="3"/>
    <s v="قيـد مقابـل:- (مصاريف  صرفة يومية للافراد  - الامداد - الفرقة الثالثة)  - كشف صرف رقم 12  كشف صرف - صرف الصرفة اليومية  لافراد الامداد لعدد 12  بامر"/>
    <n v="0"/>
  </r>
  <r>
    <n v="69"/>
    <s v="JV033"/>
    <x v="2"/>
    <s v="قيد عهده"/>
    <n v="11060202"/>
    <x v="0"/>
    <x v="2"/>
    <x v="0"/>
    <n v="405"/>
    <n v="0"/>
    <n v="132000"/>
    <n v="0"/>
    <n v="325.92592592592592"/>
    <s v="الامداد"/>
    <s v="كشف صرف"/>
    <s v="كشف صرف"/>
    <n v="12"/>
    <s v="الفرقة الثالثة"/>
    <n v="1"/>
    <d v="2026-06-03T00:00:00"/>
    <d v="2026-06-09T02:39:46"/>
    <n v="0"/>
    <n v="2026"/>
    <x v="0"/>
    <n v="3"/>
    <s v="قيـد مقابـل:- (مصاريف  صرفة يومية للافراد  - الامداد - الفرقة الثالثة)  - كشف صرف رقم 12  كشف صرف - صرف الصرفة اليومية  لافراد الامداد لعدد 12  بامر"/>
    <n v="0"/>
  </r>
  <r>
    <n v="70"/>
    <s v="JV034"/>
    <x v="2"/>
    <s v="قيد عهده"/>
    <n v="31010101"/>
    <x v="2"/>
    <x v="3"/>
    <x v="0"/>
    <n v="405"/>
    <n v="30000"/>
    <n v="0"/>
    <n v="74.074074074074076"/>
    <n v="0"/>
    <s v="البشرية و الصراف"/>
    <s v="كشف صرف"/>
    <s v="كشف صرف"/>
    <n v="2"/>
    <s v="الفرقة الثالثة"/>
    <n v="1"/>
    <d v="2026-06-03T00:00:00"/>
    <d v="2026-06-09T02:41:27"/>
    <n v="0"/>
    <n v="2026"/>
    <x v="0"/>
    <n v="3"/>
    <s v="قيـد مقابـل:- (مصاريف  صرفة يومية للافراد  - البشرية و الصراف - الفرقة الثالثة)  - كشف صرف رقم 2  كشف صرف - صرف الصرفة اليومية  للبشرة والصراف عدد 2  بامر"/>
    <n v="0"/>
  </r>
  <r>
    <n v="71"/>
    <s v="JV034"/>
    <x v="2"/>
    <s v="قيد عهده"/>
    <n v="11060202"/>
    <x v="0"/>
    <x v="3"/>
    <x v="0"/>
    <n v="405"/>
    <n v="0"/>
    <n v="30000"/>
    <n v="0"/>
    <n v="74.074074074074076"/>
    <s v="البشرية و الصراف"/>
    <s v="كشف صرف"/>
    <s v="كشف صرف"/>
    <n v="2"/>
    <s v="الفرقة الثالثة"/>
    <n v="1"/>
    <d v="2026-06-03T00:00:00"/>
    <d v="2026-06-09T02:41:27"/>
    <n v="0"/>
    <n v="2026"/>
    <x v="0"/>
    <n v="3"/>
    <s v="قيـد مقابـل:- (مصاريف  صرفة يومية للافراد  - البشرية و الصراف - الفرقة الثالثة)  - كشف صرف رقم 2  كشف صرف - صرف الصرفة اليومية  للبشرة والصراف عدد 2  بامر"/>
    <n v="0"/>
  </r>
  <r>
    <n v="72"/>
    <s v="JV035"/>
    <x v="2"/>
    <s v="قيد عهده"/>
    <n v="31010101"/>
    <x v="2"/>
    <x v="4"/>
    <x v="0"/>
    <n v="405"/>
    <n v="65000"/>
    <n v="0"/>
    <n v="160.49382716049382"/>
    <n v="0"/>
    <s v="الاستخبارات"/>
    <s v="كشف صرف"/>
    <s v="كشف صرف"/>
    <n v="4"/>
    <s v="الفرقة الثالثة"/>
    <n v="1"/>
    <d v="2026-06-03T00:00:00"/>
    <d v="2026-06-09T02:42:22"/>
    <n v="0"/>
    <n v="2026"/>
    <x v="0"/>
    <n v="3"/>
    <s v="قيـد مقابـل:- (مصاريف  صرفة يومية للافراد  - الاستخبارات - الفرقة الثالثة)  - كشف صرف رقم 4  كشف صرف - صرف الصرفة اليومية  الاستخبارات لعدد 4 بامر"/>
    <n v="0"/>
  </r>
  <r>
    <n v="73"/>
    <s v="JV035"/>
    <x v="2"/>
    <s v="قيد عهده"/>
    <n v="11060202"/>
    <x v="0"/>
    <x v="4"/>
    <x v="0"/>
    <n v="405"/>
    <n v="0"/>
    <n v="65000"/>
    <n v="0"/>
    <n v="160.49382716049382"/>
    <s v="الاستخبارات"/>
    <s v="كشف صرف"/>
    <s v="كشف صرف"/>
    <n v="4"/>
    <s v="الفرقة الثالثة"/>
    <n v="1"/>
    <d v="2026-06-03T00:00:00"/>
    <d v="2026-06-09T02:42:22"/>
    <n v="0"/>
    <n v="2026"/>
    <x v="0"/>
    <n v="3"/>
    <s v="قيـد مقابـل:- (مصاريف  صرفة يومية للافراد  - الاستخبارات - الفرقة الثالثة)  - كشف صرف رقم 4  كشف صرف - صرف الصرفة اليومية  الاستخبارات لعدد 4 بامر"/>
    <n v="0"/>
  </r>
  <r>
    <n v="74"/>
    <s v="JV036"/>
    <x v="2"/>
    <s v="قيد عهده"/>
    <n v="31010101"/>
    <x v="2"/>
    <x v="27"/>
    <x v="0"/>
    <n v="405"/>
    <n v="30000"/>
    <n v="0"/>
    <n v="74.074074074074076"/>
    <n v="0"/>
    <s v="المستشارين والمساعدين"/>
    <s v="كشف صرف"/>
    <s v="كشف صرف"/>
    <n v="3"/>
    <s v="الفرقة الثالثة"/>
    <n v="1"/>
    <d v="2026-06-03T00:00:00"/>
    <d v="2026-06-09T02:43:45"/>
    <n v="0"/>
    <n v="2026"/>
    <x v="0"/>
    <n v="3"/>
    <s v="قيـد مقابـل:- (مصاريف  صرفة يومية للافراد  - المستشارين والمساعدين - الفرقة الثالثة)  - كشف صرف رقم 3  كشف صرف - صرف الصرفة اليومية للمستشارين والمساعدين عدد3 بامر"/>
    <n v="0"/>
  </r>
  <r>
    <n v="75"/>
    <s v="JV036"/>
    <x v="2"/>
    <s v="قيد عهده"/>
    <n v="11060202"/>
    <x v="0"/>
    <x v="27"/>
    <x v="0"/>
    <n v="405"/>
    <n v="0"/>
    <n v="30000"/>
    <n v="0"/>
    <n v="74.074074074074076"/>
    <s v="المستشارين والمساعدين"/>
    <s v="كشف صرف"/>
    <s v="كشف صرف"/>
    <n v="3"/>
    <s v="الفرقة الثالثة"/>
    <n v="1"/>
    <d v="2026-06-03T00:00:00"/>
    <d v="2026-06-09T02:43:45"/>
    <n v="0"/>
    <n v="2026"/>
    <x v="0"/>
    <n v="3"/>
    <s v="قيـد مقابـل:- (مصاريف  صرفة يومية للافراد  - المستشارين والمساعدين - الفرقة الثالثة)  - كشف صرف رقم 3  كشف صرف - صرف الصرفة اليومية للمستشارين والمساعدين عدد3 بامر"/>
    <n v="0"/>
  </r>
  <r>
    <n v="76"/>
    <s v="JV037"/>
    <x v="2"/>
    <s v="قيد عهده"/>
    <n v="31010101"/>
    <x v="2"/>
    <x v="5"/>
    <x v="0"/>
    <n v="405"/>
    <n v="32000"/>
    <n v="0"/>
    <n v="79.012345679012341"/>
    <n v="0"/>
    <s v="الطبية والمحاسبين"/>
    <s v="كشف صرف"/>
    <s v="كشف صرف"/>
    <n v="5"/>
    <s v="الفرقة الثالثة"/>
    <n v="1"/>
    <d v="2026-06-03T00:00:00"/>
    <d v="2026-06-09T02:45:05"/>
    <n v="0"/>
    <n v="2026"/>
    <x v="0"/>
    <n v="3"/>
    <s v="قيـد مقابـل:- (مصاريف  صرفة يومية للافراد  - الطبية والمحاسبين - الفرقة الثالثة)  - كشف صرف رقم 5  كشف صرف - صرف الصرفة اليومية للطبية والمحاسبين لعدد 5 بامر"/>
    <n v="0"/>
  </r>
  <r>
    <n v="77"/>
    <s v="JV037"/>
    <x v="2"/>
    <s v="قيد عهده"/>
    <n v="11060202"/>
    <x v="0"/>
    <x v="5"/>
    <x v="0"/>
    <n v="405"/>
    <n v="0"/>
    <n v="32000"/>
    <n v="0"/>
    <n v="79.012345679012341"/>
    <s v="الطبية والمحاسبين"/>
    <s v="كشف صرف"/>
    <s v="كشف صرف"/>
    <n v="5"/>
    <s v="الفرقة الثالثة"/>
    <n v="1"/>
    <d v="2026-06-03T00:00:00"/>
    <d v="2026-06-09T02:45:05"/>
    <n v="0"/>
    <n v="2026"/>
    <x v="0"/>
    <n v="3"/>
    <s v="قيـد مقابـل:- (مصاريف  صرفة يومية للافراد  - الطبية والمحاسبين - الفرقة الثالثة)  - كشف صرف رقم 5  كشف صرف - صرف الصرفة اليومية للطبية والمحاسبين لعدد 5 بامر"/>
    <n v="0"/>
  </r>
  <r>
    <n v="78"/>
    <s v="JV038"/>
    <x v="2"/>
    <s v="قيد عهده"/>
    <n v="31010101"/>
    <x v="2"/>
    <x v="17"/>
    <x v="0"/>
    <n v="405"/>
    <n v="60000"/>
    <n v="0"/>
    <n v="148.14814814814815"/>
    <n v="0"/>
    <s v="الضباط السابقين"/>
    <s v="كشف صرف"/>
    <s v="كشف صرف"/>
    <n v="8"/>
    <s v="الفرقة الثالثة"/>
    <n v="1"/>
    <d v="2026-06-03T00:00:00"/>
    <d v="2026-06-09T02:46:15"/>
    <n v="0"/>
    <n v="2026"/>
    <x v="0"/>
    <n v="3"/>
    <s v="قيـد مقابـل:- (مصاريف  صرفة يومية للافراد  - الضباط السابقين - الفرقة الثالثة)  - كشف صرف رقم 8  كشف صرف - صرف الصرفة اليومية ضباط سابقين لعدد 8 بامر"/>
    <n v="0"/>
  </r>
  <r>
    <n v="79"/>
    <s v="JV038"/>
    <x v="2"/>
    <s v="قيد عهده"/>
    <n v="11060202"/>
    <x v="0"/>
    <x v="17"/>
    <x v="0"/>
    <n v="405"/>
    <n v="0"/>
    <n v="60000"/>
    <n v="0"/>
    <n v="148.14814814814815"/>
    <s v="الضباط السابقين"/>
    <s v="كشف صرف"/>
    <s v="كشف صرف"/>
    <n v="8"/>
    <s v="الفرقة الثالثة"/>
    <n v="1"/>
    <d v="2026-06-03T00:00:00"/>
    <d v="2026-06-09T02:46:15"/>
    <n v="0"/>
    <n v="2026"/>
    <x v="0"/>
    <n v="3"/>
    <s v="قيـد مقابـل:- (مصاريف  صرفة يومية للافراد  - الضباط السابقين - الفرقة الثالثة)  - كشف صرف رقم 8  كشف صرف - صرف الصرفة اليومية ضباط سابقين لعدد 8 بامر"/>
    <n v="0"/>
  </r>
  <r>
    <n v="80"/>
    <s v="JV039"/>
    <x v="2"/>
    <s v="قيد عهده"/>
    <n v="31010101"/>
    <x v="2"/>
    <x v="28"/>
    <x v="0"/>
    <n v="405"/>
    <n v="70000"/>
    <n v="0"/>
    <n v="172.83950617283949"/>
    <n v="0"/>
    <s v="اخرون"/>
    <s v="كشف صرف"/>
    <s v="كشف صرف"/>
    <n v="9"/>
    <s v="الفرقة الثالثة"/>
    <n v="1"/>
    <d v="2026-06-03T00:00:00"/>
    <d v="2026-06-09T02:47:47"/>
    <n v="0"/>
    <n v="2026"/>
    <x v="0"/>
    <n v="3"/>
    <s v="قيـد مقابـل:- (مصاريف  صرفة يومية للافراد  - اخرون - الفرقة الثالثة)  - كشف صرف رقم 9  كشف صرف - صرف الصرفة اليومية اخورن عدد 9 بامر"/>
    <n v="0"/>
  </r>
  <r>
    <n v="81"/>
    <s v="JV039"/>
    <x v="2"/>
    <s v="قيد عهده"/>
    <n v="11060202"/>
    <x v="0"/>
    <x v="28"/>
    <x v="0"/>
    <n v="405"/>
    <n v="0"/>
    <n v="70000"/>
    <n v="0"/>
    <n v="172.83950617283949"/>
    <s v="اخرون"/>
    <s v="كشف صرف"/>
    <s v="كشف صرف"/>
    <n v="9"/>
    <s v="الفرقة الثالثة"/>
    <n v="1"/>
    <d v="2026-06-03T00:00:00"/>
    <d v="2026-06-09T02:47:47"/>
    <n v="0"/>
    <n v="2026"/>
    <x v="0"/>
    <n v="3"/>
    <s v="قيـد مقابـل:- (مصاريف  صرفة يومية للافراد  - اخرون - الفرقة الثالثة)  - كشف صرف رقم 9  كشف صرف - صرف الصرفة اليومية اخورن عدد 9 بامر"/>
    <n v="0"/>
  </r>
  <r>
    <n v="82"/>
    <s v="JV040"/>
    <x v="2"/>
    <s v="قيد عهده"/>
    <n v="31010129"/>
    <x v="9"/>
    <x v="29"/>
    <x v="0"/>
    <n v="405"/>
    <n v="2025000"/>
    <n v="0"/>
    <n v="5000"/>
    <n v="0"/>
    <s v="الشهيد كمال الرزيقي"/>
    <s v="استلام نقدي"/>
    <s v="سند استلام"/>
    <n v="0"/>
    <s v="اللواء الثاني"/>
    <n v="3"/>
    <d v="2026-06-03T00:00:00"/>
    <d v="2026-06-09T02:50:05"/>
    <s v="القائد"/>
    <n v="2026"/>
    <x v="0"/>
    <n v="3"/>
    <s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
    <s v="القائد"/>
  </r>
  <r>
    <n v="83"/>
    <s v="JV040"/>
    <x v="2"/>
    <s v="قيد عهده"/>
    <n v="11060202"/>
    <x v="0"/>
    <x v="29"/>
    <x v="0"/>
    <n v="405"/>
    <n v="0"/>
    <n v="2025000"/>
    <n v="0"/>
    <n v="5000"/>
    <s v="الشهيد كمال الرزيقي"/>
    <s v="استلام نقدي"/>
    <s v="سند استلام"/>
    <n v="0"/>
    <s v="اللواء الثاني"/>
    <n v="3"/>
    <d v="2026-06-03T00:00:00"/>
    <d v="2026-06-09T02:50:05"/>
    <s v="القائد"/>
    <n v="2026"/>
    <x v="0"/>
    <n v="3"/>
    <s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
    <s v="القائد"/>
  </r>
  <r>
    <n v="84"/>
    <s v="JV041"/>
    <x v="2"/>
    <s v="قيد عهده"/>
    <n v="31010134"/>
    <x v="5"/>
    <x v="30"/>
    <x v="0"/>
    <n v="405"/>
    <n v="500000"/>
    <n v="0"/>
    <n v="1234.5679012345679"/>
    <n v="0"/>
    <s v="اسماعيل سعيد عوض و محمد نعمان"/>
    <s v="استلام نقدي"/>
    <s v="سند استلام"/>
    <n v="0"/>
    <s v="اللواء السادس"/>
    <n v="7"/>
    <d v="2026-06-03T00:00:00"/>
    <d v="2026-06-09T02:52:33"/>
    <s v="القائد"/>
    <n v="2026"/>
    <x v="0"/>
    <n v="3"/>
    <s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
    <s v="القائد"/>
  </r>
  <r>
    <n v="85"/>
    <s v="JV041"/>
    <x v="2"/>
    <s v="قيد عهده"/>
    <n v="11060202"/>
    <x v="0"/>
    <x v="30"/>
    <x v="0"/>
    <n v="405"/>
    <n v="0"/>
    <n v="500000"/>
    <n v="0"/>
    <n v="1234.5679012345679"/>
    <s v="اسماعيل سعيد عوض و محمد نعمان"/>
    <s v="استلام نقدي"/>
    <s v="سند استلام"/>
    <n v="0"/>
    <s v="اللواء السادس"/>
    <n v="7"/>
    <d v="2026-06-03T00:00:00"/>
    <d v="2026-06-09T02:52:33"/>
    <s v="القائد"/>
    <n v="2026"/>
    <x v="0"/>
    <n v="3"/>
    <s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
    <s v="القائد"/>
  </r>
  <r>
    <n v="86"/>
    <s v="JV042"/>
    <x v="2"/>
    <s v="قيد عهده"/>
    <n v="31010101"/>
    <x v="2"/>
    <x v="31"/>
    <x v="0"/>
    <n v="405"/>
    <n v="188000"/>
    <n v="0"/>
    <n v="464.19753086419752"/>
    <n v="0"/>
    <s v="سرية اللواء السادس"/>
    <s v="كشف صرف"/>
    <s v="كشف صرف"/>
    <n v="47"/>
    <s v="اللواء السادس"/>
    <n v="7"/>
    <d v="2026-06-03T00:00:00"/>
    <d v="2026-06-09T02:53:47"/>
    <s v="القائد"/>
    <n v="2026"/>
    <x v="0"/>
    <n v="3"/>
    <s v="قيـد مقابـل:- (مصاريف  صرفة يومية للافراد  - سرية اللواء السادس - اللواء السادس)  - كشف صرف رقم 47  كشف صرف - مصاريف يومية سرية اللواء السادس عدد 47 بامرالقائد"/>
    <s v="القائد"/>
  </r>
  <r>
    <n v="87"/>
    <s v="JV042"/>
    <x v="2"/>
    <s v="قيد عهده"/>
    <n v="11060202"/>
    <x v="0"/>
    <x v="31"/>
    <x v="0"/>
    <n v="405"/>
    <n v="0"/>
    <n v="188000"/>
    <n v="0"/>
    <n v="464.19753086419752"/>
    <s v="سرية اللواء السادس"/>
    <s v="كشف صرف"/>
    <s v="كشف صرف"/>
    <n v="47"/>
    <s v="اللواء السادس"/>
    <n v="7"/>
    <d v="2026-06-03T00:00:00"/>
    <d v="2026-06-09T02:53:47"/>
    <s v="القائد"/>
    <n v="2026"/>
    <x v="0"/>
    <n v="3"/>
    <s v="قيـد مقابـل:- (مصاريف  صرفة يومية للافراد  - سرية اللواء السادس - اللواء السادس)  - كشف صرف رقم 47  كشف صرف - مصاريف يومية سرية اللواء السادس عدد 47 بامرالقائد"/>
    <s v="القائد"/>
  </r>
  <r>
    <n v="88"/>
    <s v="JV043"/>
    <x v="2"/>
    <s v="قيد عهده"/>
    <n v="31010103"/>
    <x v="10"/>
    <x v="32"/>
    <x v="0"/>
    <n v="405"/>
    <n v="8000"/>
    <n v="0"/>
    <n v="19.753086419753085"/>
    <n v="0"/>
    <s v="ميثاق عبده غالب"/>
    <s v="استلام نقدي"/>
    <s v="سند استلام"/>
    <n v="0"/>
    <s v="الفرقة الثالثة"/>
    <n v="1"/>
    <d v="2026-06-03T00:00:00"/>
    <d v="2026-06-09T02:55:35"/>
    <s v="مدير  مكتب القائد"/>
    <n v="2026"/>
    <x v="0"/>
    <n v="3"/>
    <s v="قيـد مقابـل:- (مصاريف طبية وعلاجات  - ميثاق عبده غالب - الفرقة الثالثة)  - استلام نقدي رقم 0  سند استلام - مصاريف جراحة  بامرمدير  مكتب القائد"/>
    <s v="مدير  مكتب القائد"/>
  </r>
  <r>
    <n v="89"/>
    <s v="JV043"/>
    <x v="2"/>
    <s v="قيد عهده"/>
    <n v="11060202"/>
    <x v="0"/>
    <x v="32"/>
    <x v="0"/>
    <n v="405"/>
    <n v="0"/>
    <n v="8000"/>
    <n v="0"/>
    <n v="19.753086419753085"/>
    <s v="ميثاق عبده غالب"/>
    <s v="استلام نقدي"/>
    <s v="سند استلام"/>
    <n v="0"/>
    <s v="الفرقة الثالثة"/>
    <n v="1"/>
    <d v="2026-06-03T00:00:00"/>
    <d v="2026-06-09T02:55:35"/>
    <s v="مدير  مكتب القائد"/>
    <n v="2026"/>
    <x v="0"/>
    <n v="3"/>
    <s v="قيـد مقابـل:- (مصاريف طبية وعلاجات  - ميثاق عبده غالب - الفرقة الثالثة)  - استلام نقدي رقم 0  سند استلام - مصاريف جراحة  بامرمدير  مكتب القائد"/>
    <s v="مدير  مكتب القائد"/>
  </r>
  <r>
    <n v="90"/>
    <s v="JV044"/>
    <x v="2"/>
    <s v="قيد عهده"/>
    <n v="31010114"/>
    <x v="4"/>
    <x v="33"/>
    <x v="0"/>
    <n v="405"/>
    <n v="160000"/>
    <n v="0"/>
    <n v="395.06172839506172"/>
    <n v="0"/>
    <s v="البشرية وضباط"/>
    <s v="استلام نقدي"/>
    <s v="سند استلام"/>
    <n v="0"/>
    <s v="الفرقة الثالثة"/>
    <n v="1"/>
    <d v="2026-06-03T00:00:00"/>
    <d v="2026-06-09T02:57:50"/>
    <s v="الأركان جمال مسدوس"/>
    <n v="2026"/>
    <x v="0"/>
    <n v="3"/>
    <s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
    <s v="الأركان جمال مسدوس"/>
  </r>
  <r>
    <n v="91"/>
    <s v="JV044"/>
    <x v="2"/>
    <s v="قيد عهده"/>
    <n v="11060202"/>
    <x v="0"/>
    <x v="33"/>
    <x v="0"/>
    <n v="405"/>
    <n v="0"/>
    <n v="160000"/>
    <n v="0"/>
    <n v="395.06172839506172"/>
    <s v="البشرية وضباط"/>
    <s v="استلام نقدي"/>
    <s v="سند استلام"/>
    <n v="0"/>
    <s v="الفرقة الثالثة"/>
    <n v="1"/>
    <d v="2026-06-03T00:00:00"/>
    <d v="2026-06-09T02:57:50"/>
    <s v="الأركان جمال مسدوس"/>
    <n v="2026"/>
    <x v="0"/>
    <n v="3"/>
    <s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
    <s v="الأركان جمال مسدوس"/>
  </r>
  <r>
    <n v="92"/>
    <s v="JV045"/>
    <x v="2"/>
    <s v="قيد عهده"/>
    <n v="11060203"/>
    <x v="11"/>
    <x v="34"/>
    <x v="1"/>
    <n v="1"/>
    <n v="2000"/>
    <n v="0"/>
    <n v="2000"/>
    <n v="0"/>
    <s v="امين القحطاني"/>
    <s v="حواله"/>
    <s v="شركة المقبولي للصرافة والتحويلات"/>
    <n v="799104565"/>
    <s v="الفرقة الثالثة"/>
    <n v="1"/>
    <d v="2026-06-03T00:00:00"/>
    <d v="2026-06-09T03:00:19"/>
    <s v="مدير  مكتب القائد"/>
    <n v="2026"/>
    <x v="0"/>
    <n v="3"/>
    <s v="قيـد مقابـل:- (عهدة امين القحطاني - امين القحطاني - الفرقة الثالثة)  - حواله رقم 799104565  شركة المقبولي للصرافة والتحويلات - مقابل صرف عهدة بامرمدير  مكتب القائد"/>
    <s v="مدير  مكتب القائد"/>
  </r>
  <r>
    <n v="93"/>
    <s v="JV045"/>
    <x v="2"/>
    <s v="قيد عهده"/>
    <n v="11060202"/>
    <x v="0"/>
    <x v="34"/>
    <x v="1"/>
    <n v="1"/>
    <n v="0"/>
    <n v="2000"/>
    <n v="0"/>
    <n v="2000"/>
    <s v="امين القحطاني"/>
    <s v="حواله"/>
    <s v="شركة المقبولي للصرافة والتحويلات"/>
    <n v="799104565"/>
    <s v="الفرقة الثالثة"/>
    <n v="1"/>
    <d v="2026-06-03T00:00:00"/>
    <d v="2026-06-09T03:00:19"/>
    <s v="مدير  مكتب القائد"/>
    <n v="2026"/>
    <x v="0"/>
    <n v="3"/>
    <s v="قيـد مقابـل:- (عهدة امين القحطاني - امين القحطاني - الفرقة الثالثة)  - حواله رقم 799104565  شركة المقبولي للصرافة والتحويلات - مقابل صرف عهدة بامرمدير  مكتب القائد"/>
    <s v="مدير  مكتب القائد"/>
  </r>
  <r>
    <n v="94"/>
    <s v="JV046"/>
    <x v="2"/>
    <s v="قيد عهده"/>
    <n v="31010114"/>
    <x v="4"/>
    <x v="35"/>
    <x v="0"/>
    <n v="405"/>
    <n v="36000"/>
    <n v="0"/>
    <n v="88.888888888888886"/>
    <n v="0"/>
    <s v="افراد اللواء السابع"/>
    <s v="استلام نقدي"/>
    <s v="سند استلام"/>
    <n v="7"/>
    <s v="اللواء السابع"/>
    <n v="8"/>
    <d v="2026-06-03T00:00:00"/>
    <d v="2026-06-09T03:02:03"/>
    <s v="الأركان جمال مسدوس"/>
    <n v="2026"/>
    <x v="0"/>
    <n v="3"/>
    <s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
    <s v="الأركان جمال مسدوس"/>
  </r>
  <r>
    <n v="95"/>
    <s v="JV046"/>
    <x v="2"/>
    <s v="قيد عهده"/>
    <n v="11060202"/>
    <x v="0"/>
    <x v="35"/>
    <x v="0"/>
    <n v="405"/>
    <n v="0"/>
    <n v="36000"/>
    <n v="0"/>
    <n v="88.888888888888886"/>
    <s v="افراد اللواء السابع"/>
    <s v="استلام نقدي"/>
    <s v="سند استلام"/>
    <n v="7"/>
    <s v="اللواء السابع"/>
    <n v="8"/>
    <d v="2026-06-03T00:00:00"/>
    <d v="2026-06-09T03:02:03"/>
    <s v="الأركان جمال مسدوس"/>
    <n v="2026"/>
    <x v="0"/>
    <n v="3"/>
    <s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
    <s v="الأركان جمال مسدوس"/>
  </r>
  <r>
    <n v="96"/>
    <s v="JV047"/>
    <x v="2"/>
    <s v="قيد عهده"/>
    <n v="31010109"/>
    <x v="12"/>
    <x v="36"/>
    <x v="0"/>
    <n v="405"/>
    <n v="20000"/>
    <n v="0"/>
    <n v="49.382716049382715"/>
    <n v="0"/>
    <s v="جمال مسدوس"/>
    <s v="استلام نقدي"/>
    <s v="سند استلام"/>
    <n v="0"/>
    <s v="الفرقة الثالثة"/>
    <n v="1"/>
    <d v="2026-06-03T00:00:00"/>
    <d v="2026-06-09T03:03:14"/>
    <s v="الأركان جمال مسدوس"/>
    <n v="2026"/>
    <x v="0"/>
    <n v="3"/>
    <s v="قيـد مقابـل:- (مصاريف نثريات أخرى - جمال مسدوس - الفرقة الثالثة)  - استلام نقدي رقم 0  سند استلام - مصاريف بيد الاركان جمال مسدوس بامرالأركان جمال مسدوس"/>
    <s v="الأركان جمال مسدوس"/>
  </r>
  <r>
    <n v="97"/>
    <s v="JV047"/>
    <x v="2"/>
    <s v="قيد عهده"/>
    <n v="11060202"/>
    <x v="0"/>
    <x v="36"/>
    <x v="0"/>
    <n v="405"/>
    <n v="0"/>
    <n v="20000"/>
    <n v="0"/>
    <n v="49.382716049382715"/>
    <s v="جمال مسدوس"/>
    <s v="استلام نقدي"/>
    <s v="سند استلام"/>
    <n v="0"/>
    <s v="الفرقة الثالثة"/>
    <n v="1"/>
    <d v="2026-06-03T00:00:00"/>
    <d v="2026-06-09T03:03:14"/>
    <s v="الأركان جمال مسدوس"/>
    <n v="2026"/>
    <x v="0"/>
    <n v="3"/>
    <s v="قيـد مقابـل:- (مصاريف نثريات أخرى - جمال مسدوس - الفرقة الثالثة)  - استلام نقدي رقم 0  سند استلام - مصاريف بيد الاركان جمال مسدوس بامرالأركان جمال مسدوس"/>
    <s v="الأركان جمال مسدوس"/>
  </r>
  <r>
    <n v="98"/>
    <s v="RC003"/>
    <x v="3"/>
    <s v="قبض عهدة"/>
    <n v="11060202"/>
    <x v="0"/>
    <x v="9"/>
    <x v="1"/>
    <n v="1"/>
    <n v="14970"/>
    <n v="0"/>
    <n v="14970"/>
    <n v="0"/>
    <s v="عبدالمغني عبدالصمد"/>
    <s v="استلام نقدي"/>
    <s v="سند استلام"/>
    <n v="0"/>
    <s v="الفرقة الثالثة"/>
    <n v="1"/>
    <d v="2026-06-04T00:00:00"/>
    <d v="2026-06-09T03:08:37"/>
    <n v="0"/>
    <n v="2026"/>
    <x v="0"/>
    <n v="4"/>
    <s v="قيـد مقابـل:- (عهدة عبدالمغني - عبدالمغني عبدالصمد - الفرقة الثالثة)  - استلام نقدي رقم 0  سند استلام - استلام عهدة بامر"/>
    <n v="0"/>
  </r>
  <r>
    <n v="99"/>
    <s v="RC003"/>
    <x v="3"/>
    <s v="قبض عهدة"/>
    <n v="11010101"/>
    <x v="3"/>
    <x v="9"/>
    <x v="1"/>
    <n v="1"/>
    <n v="0"/>
    <n v="14970"/>
    <n v="0"/>
    <n v="14970"/>
    <s v="عبدالمغني عبدالصمد"/>
    <s v="استلام نقدي"/>
    <s v="سند استلام"/>
    <n v="0"/>
    <s v="الفرقة الثالثة"/>
    <n v="1"/>
    <d v="2026-06-04T00:00:00"/>
    <d v="2026-06-09T03:08:37"/>
    <n v="0"/>
    <n v="2026"/>
    <x v="0"/>
    <n v="4"/>
    <s v="قيـد مقابـل:- (عهدة عبدالمغني - عبدالمغني عبدالصمد - الفرقة الثالثة)  - استلام نقدي رقم 0  سند استلام - استلام عهدة بامر"/>
    <n v="0"/>
  </r>
  <r>
    <n v="100"/>
    <s v="JV048"/>
    <x v="3"/>
    <s v="قيد عهده"/>
    <n v="31010101"/>
    <x v="2"/>
    <x v="37"/>
    <x v="0"/>
    <n v="405"/>
    <n v="43000"/>
    <n v="0"/>
    <n v="106.17283950617283"/>
    <n v="0"/>
    <s v="السيطرة والاتصالات"/>
    <s v="كشف صرف"/>
    <s v="كشف صرف"/>
    <n v="0"/>
    <s v="الفرقة الثالثة"/>
    <n v="1"/>
    <d v="2026-06-04T00:00:00"/>
    <d v="2026-06-11T23:57:28"/>
    <m/>
    <n v="2026"/>
    <x v="0"/>
    <n v="4"/>
    <s v="قيـد مقابـل:- (مصاريف  صرفة يومية للافراد  - السيطرة والاتصالات - الفرقة الثالثة)  - كشف صرف رقم   كشف صرف - صرف الصرفة اليومية للسيطرة والاتصالات لعدد 5 بامرالمالية"/>
    <s v="المالية"/>
  </r>
  <r>
    <n v="101"/>
    <s v="JV048"/>
    <x v="3"/>
    <s v="قيد عهده"/>
    <n v="11060202"/>
    <x v="0"/>
    <x v="37"/>
    <x v="0"/>
    <n v="405"/>
    <n v="0"/>
    <n v="43000"/>
    <n v="0"/>
    <n v="106.17283950617283"/>
    <s v="السيطرة والاتصالات"/>
    <s v="كشف صرف"/>
    <s v="كشف صرف"/>
    <n v="0"/>
    <s v="الفرقة الثالثة"/>
    <n v="1"/>
    <d v="2026-06-04T00:00:00"/>
    <d v="2026-06-11T23:57:28"/>
    <m/>
    <n v="2026"/>
    <x v="0"/>
    <n v="4"/>
    <s v="قيـد مقابـل:- (مصاريف  صرفة يومية للافراد  - السيطرة والاتصالات - الفرقة الثالثة)  - كشف صرف رقم   كشف صرف - صرف الصرفة اليومية للسيطرة والاتصالات لعدد 5 بامرالمالية"/>
    <s v="المالية"/>
  </r>
  <r>
    <n v="102"/>
    <s v="JV049"/>
    <x v="3"/>
    <s v="قيد عهده"/>
    <n v="31010101"/>
    <x v="2"/>
    <x v="38"/>
    <x v="0"/>
    <n v="405"/>
    <n v="132000"/>
    <n v="0"/>
    <n v="325.92592592592592"/>
    <n v="0"/>
    <s v="الامداد"/>
    <s v="كشف صرف"/>
    <s v="كشف صرف"/>
    <n v="0"/>
    <s v="الفرقة الثالثة"/>
    <n v="1"/>
    <d v="2026-06-04T00:00:00"/>
    <d v="2026-06-11T23:58:23"/>
    <m/>
    <n v="2026"/>
    <x v="0"/>
    <n v="4"/>
    <s v="قيـد مقابـل:- (مصاريف  صرفة يومية للافراد  - الامداد - الفرقة الثالثة)  - كشف صرف رقم   كشف صرف - صرف الصرفة اليومية  لافراد الامداد لعدد 12 بامرالمالية"/>
    <s v="المالية"/>
  </r>
  <r>
    <n v="103"/>
    <s v="JV049"/>
    <x v="3"/>
    <s v="قيد عهده"/>
    <n v="11060202"/>
    <x v="0"/>
    <x v="38"/>
    <x v="0"/>
    <n v="405"/>
    <n v="0"/>
    <n v="132000"/>
    <n v="0"/>
    <n v="325.92592592592592"/>
    <s v="الامداد"/>
    <s v="كشف صرف"/>
    <s v="كشف صرف"/>
    <n v="0"/>
    <s v="الفرقة الثالثة"/>
    <n v="1"/>
    <d v="2026-06-04T00:00:00"/>
    <d v="2026-06-11T23:58:23"/>
    <m/>
    <n v="2026"/>
    <x v="0"/>
    <n v="4"/>
    <s v="قيـد مقابـل:- (مصاريف  صرفة يومية للافراد  - الامداد - الفرقة الثالثة)  - كشف صرف رقم   كشف صرف - صرف الصرفة اليومية  لافراد الامداد لعدد 12 بامرالمالية"/>
    <s v="المالية"/>
  </r>
  <r>
    <n v="104"/>
    <s v="JV050"/>
    <x v="3"/>
    <s v="قيد عهده"/>
    <n v="31010101"/>
    <x v="2"/>
    <x v="39"/>
    <x v="0"/>
    <n v="405"/>
    <n v="660000"/>
    <n v="0"/>
    <n v="1629.6296296296296"/>
    <n v="0"/>
    <s v="سرية الشرطة"/>
    <s v="كشف صرف"/>
    <s v="كشف صرف"/>
    <n v="0"/>
    <s v="الفرقة الثالثة"/>
    <n v="1"/>
    <d v="2026-06-04T00:00:00"/>
    <d v="2026-06-12T00:00:34"/>
    <m/>
    <n v="2026"/>
    <x v="0"/>
    <n v="4"/>
    <s v="قيـد مقابـل:- (مصاريف  صرفة يومية للافراد  - سرية الشرطة - الفرقة الثالثة)  - كشف صرف رقم   كشف صرف - صرف الصرفة الاسبوعي سرية الشرطة لعدد 55 فرد بامرالمالية"/>
    <s v="المالية"/>
  </r>
  <r>
    <n v="105"/>
    <s v="JV050"/>
    <x v="3"/>
    <s v="قيد عهده"/>
    <n v="11060202"/>
    <x v="0"/>
    <x v="39"/>
    <x v="0"/>
    <n v="405"/>
    <n v="0"/>
    <n v="660000"/>
    <n v="0"/>
    <n v="1629.6296296296296"/>
    <s v="سرية الشرطة"/>
    <s v="كشف صرف"/>
    <s v="كشف صرف"/>
    <n v="0"/>
    <s v="الفرقة الثالثة"/>
    <n v="1"/>
    <d v="2026-06-04T00:00:00"/>
    <d v="2026-06-12T00:00:34"/>
    <m/>
    <n v="2026"/>
    <x v="0"/>
    <n v="4"/>
    <s v="قيـد مقابـل:- (مصاريف  صرفة يومية للافراد  - سرية الشرطة - الفرقة الثالثة)  - كشف صرف رقم   كشف صرف - صرف الصرفة الاسبوعي سرية الشرطة لعدد 55 فرد بامرالمالية"/>
    <s v="المالية"/>
  </r>
  <r>
    <n v="106"/>
    <s v="JV051"/>
    <x v="3"/>
    <s v="قيد عهده"/>
    <n v="31010101"/>
    <x v="2"/>
    <x v="40"/>
    <x v="0"/>
    <n v="405"/>
    <n v="30000"/>
    <n v="0"/>
    <n v="74.074074074074076"/>
    <n v="0"/>
    <s v="البشرية و الصراف"/>
    <s v="كشف صرف"/>
    <s v="كشف صرف"/>
    <n v="0"/>
    <s v="الفرقة الثالثة"/>
    <n v="1"/>
    <d v="2026-06-04T00:00:00"/>
    <d v="2026-06-12T00:02:51"/>
    <m/>
    <n v="2026"/>
    <x v="0"/>
    <n v="4"/>
    <s v="قيـد مقابـل:- (مصاريف  صرفة يومية للافراد  - البشرية و الصراف - الفرقة الثالثة)  - كشف صرف رقم   كشف صرف - صرف الصرفة اليومية  للبشرة والصراف عدد 2 بامرالمالية"/>
    <s v="المالية"/>
  </r>
  <r>
    <n v="107"/>
    <s v="JV051"/>
    <x v="3"/>
    <s v="قيد عهده"/>
    <n v="11060202"/>
    <x v="0"/>
    <x v="40"/>
    <x v="0"/>
    <n v="405"/>
    <n v="0"/>
    <n v="30000"/>
    <n v="0"/>
    <n v="74.074074074074076"/>
    <s v="البشرية و الصراف"/>
    <s v="كشف صرف"/>
    <s v="كشف صرف"/>
    <n v="0"/>
    <s v="الفرقة الثالثة"/>
    <n v="1"/>
    <d v="2026-06-04T00:00:00"/>
    <d v="2026-06-12T00:02:51"/>
    <m/>
    <n v="2026"/>
    <x v="0"/>
    <n v="4"/>
    <s v="قيـد مقابـل:- (مصاريف  صرفة يومية للافراد  - البشرية و الصراف - الفرقة الثالثة)  - كشف صرف رقم   كشف صرف - صرف الصرفة اليومية  للبشرة والصراف عدد 2 بامرالمالية"/>
    <s v="المالية"/>
  </r>
  <r>
    <n v="108"/>
    <s v="JV052"/>
    <x v="3"/>
    <s v="قيد عهده"/>
    <n v="31010101"/>
    <x v="2"/>
    <x v="41"/>
    <x v="0"/>
    <n v="405"/>
    <n v="65000"/>
    <n v="0"/>
    <n v="160.49382716049382"/>
    <n v="0"/>
    <s v="الاستخبارات"/>
    <s v="كشف صرف"/>
    <s v="كشف صرف"/>
    <n v="0"/>
    <s v="الفرقة الثالثة"/>
    <n v="1"/>
    <d v="2026-06-04T00:00:00"/>
    <d v="2026-06-12T00:03:54"/>
    <m/>
    <n v="2026"/>
    <x v="0"/>
    <n v="4"/>
    <s v="قيـد مقابـل:- (مصاريف  صرفة يومية للافراد  - الاستخبارات - الفرقة الثالثة)  - كشف صرف رقم   كشف صرف - صرف الصرفة اليومية  الاستخبارات لعدد 4 بامرالمالية"/>
    <s v="المالية"/>
  </r>
  <r>
    <n v="109"/>
    <s v="JV052"/>
    <x v="3"/>
    <s v="قيد عهده"/>
    <n v="11060202"/>
    <x v="0"/>
    <x v="41"/>
    <x v="0"/>
    <n v="405"/>
    <n v="0"/>
    <n v="65000"/>
    <n v="0"/>
    <n v="160.49382716049382"/>
    <s v="الاستخبارات"/>
    <s v="كشف صرف"/>
    <s v="كشف صرف"/>
    <n v="0"/>
    <s v="الفرقة الثالثة"/>
    <n v="1"/>
    <d v="2026-06-04T00:00:00"/>
    <d v="2026-06-12T00:03:54"/>
    <m/>
    <n v="2026"/>
    <x v="0"/>
    <n v="4"/>
    <s v="قيـد مقابـل:- (مصاريف  صرفة يومية للافراد  - الاستخبارات - الفرقة الثالثة)  - كشف صرف رقم   كشف صرف - صرف الصرفة اليومية  الاستخبارات لعدد 4 بامرالمالية"/>
    <s v="المالية"/>
  </r>
  <r>
    <n v="110"/>
    <s v="JV053"/>
    <x v="3"/>
    <s v="قيد عهده"/>
    <n v="31010101"/>
    <x v="2"/>
    <x v="42"/>
    <x v="0"/>
    <n v="405"/>
    <n v="50000"/>
    <n v="0"/>
    <n v="123.45679012345678"/>
    <n v="0"/>
    <s v="المستشارين والمساعدين"/>
    <s v="كشف صرف"/>
    <s v="كشف صرف"/>
    <n v="0"/>
    <s v="الفرقة الثالثة"/>
    <n v="1"/>
    <d v="2026-06-04T00:00:00"/>
    <d v="2026-06-12T00:05:00"/>
    <m/>
    <n v="2026"/>
    <x v="0"/>
    <n v="4"/>
    <s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
    <s v="المالية"/>
  </r>
  <r>
    <n v="111"/>
    <s v="JV053"/>
    <x v="3"/>
    <s v="قيد عهده"/>
    <n v="11060202"/>
    <x v="0"/>
    <x v="42"/>
    <x v="0"/>
    <n v="405"/>
    <n v="0"/>
    <n v="50000"/>
    <n v="0"/>
    <n v="123.45679012345678"/>
    <s v="المستشارين والمساعدين"/>
    <s v="كشف صرف"/>
    <s v="كشف صرف"/>
    <n v="0"/>
    <s v="الفرقة الثالثة"/>
    <n v="1"/>
    <d v="2026-06-04T00:00:00"/>
    <d v="2026-06-12T00:05:00"/>
    <m/>
    <n v="2026"/>
    <x v="0"/>
    <n v="4"/>
    <s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
    <s v="المالية"/>
  </r>
  <r>
    <n v="112"/>
    <s v="JV054"/>
    <x v="3"/>
    <s v="قيد عهده"/>
    <n v="31010101"/>
    <x v="2"/>
    <x v="43"/>
    <x v="0"/>
    <n v="405"/>
    <n v="32000"/>
    <n v="0"/>
    <n v="79.012345679012341"/>
    <n v="0"/>
    <s v="الطبية والمحاسبين"/>
    <s v="كشف صرف"/>
    <s v="كشف صرف"/>
    <n v="0"/>
    <s v="الفرقة الثالثة"/>
    <n v="1"/>
    <d v="2026-06-04T00:00:00"/>
    <d v="2026-06-12T00:06:39"/>
    <m/>
    <n v="2026"/>
    <x v="0"/>
    <n v="4"/>
    <s v="قيـد مقابـل:- (مصاريف  صرفة يومية للافراد  - الطبية والمحاسبين - الفرقة الثالثة)  - كشف صرف رقم   كشف صرف - صرف الصرفة اليومية للطبية والمحاسبين لعدد 5 بامرالمالية"/>
    <s v="المالية"/>
  </r>
  <r>
    <n v="113"/>
    <s v="JV054"/>
    <x v="3"/>
    <s v="قيد عهده"/>
    <n v="11060202"/>
    <x v="0"/>
    <x v="43"/>
    <x v="0"/>
    <n v="405"/>
    <n v="0"/>
    <n v="32000"/>
    <n v="0"/>
    <n v="79.012345679012341"/>
    <s v="الطبية والمحاسبين"/>
    <s v="كشف صرف"/>
    <s v="كشف صرف"/>
    <n v="0"/>
    <s v="الفرقة الثالثة"/>
    <n v="1"/>
    <d v="2026-06-04T00:00:00"/>
    <d v="2026-06-12T00:06:39"/>
    <m/>
    <n v="2026"/>
    <x v="0"/>
    <n v="4"/>
    <s v="قيـد مقابـل:- (مصاريف  صرفة يومية للافراد  - الطبية والمحاسبين - الفرقة الثالثة)  - كشف صرف رقم   كشف صرف - صرف الصرفة اليومية للطبية والمحاسبين لعدد 5 بامرالمالية"/>
    <s v="المالية"/>
  </r>
  <r>
    <n v="114"/>
    <s v="JV055"/>
    <x v="3"/>
    <s v="قيد عهده"/>
    <n v="31010101"/>
    <x v="2"/>
    <x v="44"/>
    <x v="0"/>
    <n v="405"/>
    <n v="60000"/>
    <n v="0"/>
    <n v="148.14814814814815"/>
    <n v="0"/>
    <s v="الضباط السابقين"/>
    <s v="كشف صرف"/>
    <s v="كشف صرف"/>
    <n v="0"/>
    <s v="الفرقة الثالثة"/>
    <n v="1"/>
    <d v="2026-06-04T00:00:00"/>
    <d v="2026-06-12T00:08:47"/>
    <m/>
    <n v="2026"/>
    <x v="0"/>
    <n v="4"/>
    <s v="قيـد مقابـل:- (مصاريف  صرفة يومية للافراد  - الضباط السابقين - الفرقة الثالثة)  - كشف صرف رقم   كشف صرف - صرف الصرفة اليومية ضباط سابقين لعدد 6 بامرالمالية"/>
    <s v="المالية"/>
  </r>
  <r>
    <n v="115"/>
    <s v="JV055"/>
    <x v="3"/>
    <s v="قيد عهده"/>
    <n v="11060202"/>
    <x v="0"/>
    <x v="44"/>
    <x v="0"/>
    <n v="405"/>
    <n v="0"/>
    <n v="60000"/>
    <n v="0"/>
    <n v="148.14814814814815"/>
    <s v="الضباط السابقين"/>
    <s v="كشف صرف"/>
    <s v="كشف صرف"/>
    <n v="0"/>
    <s v="الفرقة الثالثة"/>
    <n v="1"/>
    <d v="2026-06-04T00:00:00"/>
    <d v="2026-06-12T00:08:47"/>
    <m/>
    <n v="2026"/>
    <x v="0"/>
    <n v="4"/>
    <s v="قيـد مقابـل:- (مصاريف  صرفة يومية للافراد  - الضباط السابقين - الفرقة الثالثة)  - كشف صرف رقم   كشف صرف - صرف الصرفة اليومية ضباط سابقين لعدد 6 بامرالمالية"/>
    <s v="المالية"/>
  </r>
  <r>
    <n v="116"/>
    <s v="JV056"/>
    <x v="3"/>
    <s v="قيد عهده"/>
    <n v="31010101"/>
    <x v="2"/>
    <x v="45"/>
    <x v="0"/>
    <n v="405"/>
    <n v="75000"/>
    <n v="0"/>
    <n v="185.18518518518519"/>
    <n v="0"/>
    <s v="اخرون"/>
    <s v="كشف صرف"/>
    <s v="كشف صرف"/>
    <n v="0"/>
    <s v="الفرقة الثالثة"/>
    <n v="1"/>
    <d v="2026-06-04T00:00:00"/>
    <d v="2026-06-12T00:09:58"/>
    <m/>
    <n v="2026"/>
    <x v="0"/>
    <n v="4"/>
    <s v="قيـد مقابـل:- (مصاريف  صرفة يومية للافراد  - اخرون - الفرقة الثالثة)  - كشف صرف رقم   كشف صرف - صرف الصرفة اليومية اخورن عدد 10 بامرالمالية"/>
    <s v="المالية"/>
  </r>
  <r>
    <n v="117"/>
    <s v="JV056"/>
    <x v="3"/>
    <s v="قيد عهده"/>
    <n v="11060202"/>
    <x v="0"/>
    <x v="45"/>
    <x v="0"/>
    <n v="405"/>
    <n v="0"/>
    <n v="75000"/>
    <n v="0"/>
    <n v="185.18518518518519"/>
    <s v="اخرون"/>
    <s v="كشف صرف"/>
    <s v="كشف صرف"/>
    <n v="0"/>
    <s v="الفرقة الثالثة"/>
    <n v="1"/>
    <d v="2026-06-04T00:00:00"/>
    <d v="2026-06-12T00:09:58"/>
    <m/>
    <n v="2026"/>
    <x v="0"/>
    <n v="4"/>
    <s v="قيـد مقابـل:- (مصاريف  صرفة يومية للافراد  - اخرون - الفرقة الثالثة)  - كشف صرف رقم   كشف صرف - صرف الصرفة اليومية اخورن عدد 10 بامرالمالية"/>
    <s v="المالية"/>
  </r>
  <r>
    <n v="118"/>
    <s v="JV057"/>
    <x v="3"/>
    <s v="قيد عهده"/>
    <n v="31010101"/>
    <x v="2"/>
    <x v="46"/>
    <x v="0"/>
    <n v="405"/>
    <n v="28000"/>
    <n v="0"/>
    <n v="69.135802469135797"/>
    <n v="0"/>
    <s v="الاشغال"/>
    <s v="كشف صرف"/>
    <s v="كشف صرف"/>
    <n v="0"/>
    <s v="الفرقة الثالثة"/>
    <n v="1"/>
    <d v="2026-06-04T00:00:00"/>
    <d v="2026-06-12T00:10:52"/>
    <m/>
    <n v="2026"/>
    <x v="0"/>
    <n v="4"/>
    <s v="قيـد مقابـل:- (مصاريف  صرفة يومية للافراد  - الاشغال - الفرقة الثالثة)  - كشف صرف رقم   كشف صرف - صرف الصرفة اليومية للاشغال لعدد 3 بامرالمالية"/>
    <s v="المالية"/>
  </r>
  <r>
    <n v="119"/>
    <s v="JV057"/>
    <x v="3"/>
    <s v="قيد عهده"/>
    <n v="11060202"/>
    <x v="0"/>
    <x v="46"/>
    <x v="0"/>
    <n v="405"/>
    <n v="0"/>
    <n v="28000"/>
    <n v="0"/>
    <n v="69.135802469135797"/>
    <s v="الاشغال"/>
    <s v="كشف صرف"/>
    <s v="كشف صرف"/>
    <n v="0"/>
    <s v="الفرقة الثالثة"/>
    <n v="1"/>
    <d v="2026-06-04T00:00:00"/>
    <d v="2026-06-12T00:10:52"/>
    <m/>
    <n v="2026"/>
    <x v="0"/>
    <n v="4"/>
    <s v="قيـد مقابـل:- (مصاريف  صرفة يومية للافراد  - الاشغال - الفرقة الثالثة)  - كشف صرف رقم   كشف صرف - صرف الصرفة اليومية للاشغال لعدد 3 بامرالمالية"/>
    <s v="المالية"/>
  </r>
  <r>
    <n v="120"/>
    <s v="JV058"/>
    <x v="3"/>
    <s v="قيد عهده"/>
    <n v="11060204"/>
    <x v="13"/>
    <x v="47"/>
    <x v="0"/>
    <n v="405"/>
    <n v="700000"/>
    <n v="0"/>
    <n v="1728.3950617283951"/>
    <n v="0"/>
    <s v="حاتم عبده سيف"/>
    <s v="استلام نقدي"/>
    <s v="سند استلام"/>
    <s v="استلام خطي"/>
    <s v="اللواء السادس"/>
    <n v="7"/>
    <d v="2026-06-04T00:00:00"/>
    <d v="2026-06-12T00:14:53"/>
    <m/>
    <n v="2026"/>
    <x v="0"/>
    <n v="4"/>
    <s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
    <s v="القائد"/>
  </r>
  <r>
    <n v="121"/>
    <s v="JV058"/>
    <x v="3"/>
    <s v="قيد عهده"/>
    <n v="11060202"/>
    <x v="0"/>
    <x v="47"/>
    <x v="0"/>
    <n v="405"/>
    <n v="0"/>
    <n v="700000"/>
    <n v="0"/>
    <n v="1728.3950617283951"/>
    <s v="حاتم عبده سيف"/>
    <s v="استلام نقدي"/>
    <s v="سند استلام"/>
    <s v="استلام خطي"/>
    <s v="اللواء السادس"/>
    <n v="7"/>
    <d v="2026-06-04T00:00:00"/>
    <d v="2026-06-12T00:14:53"/>
    <m/>
    <n v="2026"/>
    <x v="0"/>
    <n v="4"/>
    <s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
    <s v="القائد"/>
  </r>
  <r>
    <n v="122"/>
    <s v="JV059"/>
    <x v="3"/>
    <s v="قيد عهده"/>
    <n v="31010134"/>
    <x v="5"/>
    <x v="48"/>
    <x v="0"/>
    <n v="405"/>
    <n v="300000"/>
    <n v="0"/>
    <n v="740.74074074074076"/>
    <n v="0"/>
    <s v="حازم عباس ناجي و نشوان احمد سعيد"/>
    <s v="استلام نقدي"/>
    <s v="سند استلام"/>
    <s v="استلام خطي"/>
    <s v="اللواء السادس"/>
    <n v="7"/>
    <d v="2026-06-04T00:00:00"/>
    <d v="2026-06-12T00:16:42"/>
    <m/>
    <n v="2026"/>
    <x v="0"/>
    <n v="4"/>
    <s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
    <s v="القائد"/>
  </r>
  <r>
    <n v="123"/>
    <s v="JV059"/>
    <x v="3"/>
    <s v="قيد عهده"/>
    <n v="11060202"/>
    <x v="0"/>
    <x v="48"/>
    <x v="0"/>
    <n v="405"/>
    <n v="0"/>
    <n v="300000"/>
    <n v="0"/>
    <n v="740.74074074074076"/>
    <s v="حازم عباس ناجي و نشوان احمد سعيد"/>
    <s v="استلام نقدي"/>
    <s v="سند استلام"/>
    <s v="استلام خطي"/>
    <s v="اللواء السادس"/>
    <n v="7"/>
    <d v="2026-06-04T00:00:00"/>
    <d v="2026-06-12T00:16:42"/>
    <m/>
    <n v="2026"/>
    <x v="0"/>
    <n v="4"/>
    <s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
    <s v="القائد"/>
  </r>
  <r>
    <n v="124"/>
    <s v="JV060"/>
    <x v="3"/>
    <s v="قيد عهده"/>
    <n v="31010101"/>
    <x v="2"/>
    <x v="49"/>
    <x v="0"/>
    <n v="405"/>
    <n v="168000"/>
    <n v="0"/>
    <n v="414.81481481481484"/>
    <n v="0"/>
    <s v="سرية اللواء السادس"/>
    <s v="كشف صرف"/>
    <s v="كشف صرف"/>
    <n v="0"/>
    <s v="اللواء السادس"/>
    <n v="7"/>
    <d v="2026-06-04T00:00:00"/>
    <d v="2026-06-12T00:19:07"/>
    <m/>
    <n v="2026"/>
    <x v="0"/>
    <n v="4"/>
    <s v="قيـد مقابـل:- (مصاريف  صرفة يومية للافراد  - سرية اللواء السادس - اللواء السادس)  - كشف صرف رقم   كشف صرف - مصاريف يومية سرية اللواء السادس عدد 42 بامرالقائد"/>
    <s v="القائد"/>
  </r>
  <r>
    <n v="125"/>
    <s v="JV060"/>
    <x v="3"/>
    <s v="قيد عهده"/>
    <n v="11060202"/>
    <x v="0"/>
    <x v="49"/>
    <x v="0"/>
    <n v="405"/>
    <n v="0"/>
    <n v="168000"/>
    <n v="0"/>
    <n v="414.81481481481484"/>
    <s v="سرية اللواء السادس"/>
    <s v="كشف صرف"/>
    <s v="كشف صرف"/>
    <n v="0"/>
    <s v="اللواء السادس"/>
    <n v="7"/>
    <d v="2026-06-04T00:00:00"/>
    <d v="2026-06-12T00:19:07"/>
    <m/>
    <n v="2026"/>
    <x v="0"/>
    <n v="4"/>
    <s v="قيـد مقابـل:- (مصاريف  صرفة يومية للافراد  - سرية اللواء السادس - اللواء السادس)  - كشف صرف رقم   كشف صرف - مصاريف يومية سرية اللواء السادس عدد 42 بامرالقائد"/>
    <s v="القائد"/>
  </r>
  <r>
    <n v="126"/>
    <s v="JV061"/>
    <x v="3"/>
    <s v="قيد عهده"/>
    <n v="31010134"/>
    <x v="5"/>
    <x v="50"/>
    <x v="0"/>
    <n v="405"/>
    <n v="60000"/>
    <n v="0"/>
    <n v="148.14814814814815"/>
    <n v="0"/>
    <s v="حازم عباس ناجي ونشوان احمد سعيد"/>
    <s v="استلام نقدي"/>
    <s v="سند استلام"/>
    <s v="استلام خطي"/>
    <s v="اللواء السادس"/>
    <n v="7"/>
    <d v="2026-06-04T00:00:00"/>
    <d v="2026-06-12T00:22:05"/>
    <m/>
    <n v="2026"/>
    <x v="0"/>
    <n v="4"/>
    <s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
    <s v="الأركان جمال مسدوس"/>
  </r>
  <r>
    <n v="127"/>
    <s v="JV061"/>
    <x v="3"/>
    <s v="قيد عهده"/>
    <n v="11060202"/>
    <x v="0"/>
    <x v="50"/>
    <x v="0"/>
    <n v="405"/>
    <n v="0"/>
    <n v="60000"/>
    <n v="0"/>
    <n v="148.14814814814815"/>
    <s v="حازم عباس ناجي ونشوان احمد سعيد"/>
    <s v="استلام نقدي"/>
    <s v="سند استلام"/>
    <s v="استلام خطي"/>
    <s v="اللواء السادس"/>
    <n v="7"/>
    <d v="2026-06-04T00:00:00"/>
    <d v="2026-06-12T00:22:05"/>
    <m/>
    <n v="2026"/>
    <x v="0"/>
    <n v="4"/>
    <s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
    <s v="الأركان جمال مسدوس"/>
  </r>
  <r>
    <n v="128"/>
    <s v="JV062"/>
    <x v="3"/>
    <s v="قيد عهده"/>
    <n v="31010135"/>
    <x v="14"/>
    <x v="51"/>
    <x v="0"/>
    <n v="405"/>
    <n v="60000"/>
    <n v="0"/>
    <n v="148.14814814814815"/>
    <n v="0"/>
    <s v="معسكر العفاريت"/>
    <s v="استلام نقدي"/>
    <s v="سند استلام"/>
    <s v="استلام خطي"/>
    <s v="الفرقة الثالثة"/>
    <n v="1"/>
    <d v="2026-06-04T00:00:00"/>
    <m/>
    <m/>
    <n v="2026"/>
    <x v="0"/>
    <n v="4"/>
    <s v="قيـد مقابـل:- (اجور يومية - معسكر العفاريت - الفرقة الثالثة)  - استلام نقدي رقم استلام خطي  سند استلام - اجور عمال لتنظيف مجاري الحمامات بامرالأركان جمال مسدوس"/>
    <s v="الأركان جمال مسدوس"/>
  </r>
  <r>
    <n v="129"/>
    <s v="JV062"/>
    <x v="3"/>
    <s v="قيد عهده"/>
    <n v="11060202"/>
    <x v="0"/>
    <x v="51"/>
    <x v="0"/>
    <n v="405"/>
    <n v="0"/>
    <n v="60000"/>
    <n v="0"/>
    <n v="148.14814814814815"/>
    <s v="معسكر العفاريت"/>
    <s v="استلام نقدي"/>
    <s v="سند استلام"/>
    <s v="استلام خطي"/>
    <s v="الفرقة الثالثة"/>
    <n v="1"/>
    <d v="2026-06-04T00:00:00"/>
    <m/>
    <m/>
    <n v="2026"/>
    <x v="0"/>
    <n v="4"/>
    <s v="قيـد مقابـل:- (اجور يومية - معسكر العفاريت - الفرقة الثالثة)  - استلام نقدي رقم استلام خطي  سند استلام - اجور عمال لتنظيف مجاري الحمامات بامرالأركان جمال مسدوس"/>
    <s v="الأركان جمال مسدوس"/>
  </r>
  <r>
    <n v="130"/>
    <s v="JV063"/>
    <x v="3"/>
    <s v="قيد عهده"/>
    <n v="31010109"/>
    <x v="12"/>
    <x v="52"/>
    <x v="0"/>
    <n v="405"/>
    <n v="100000"/>
    <n v="0"/>
    <n v="246.91358024691357"/>
    <n v="0"/>
    <s v="جمال مسدوس"/>
    <s v="استلام نقدي"/>
    <s v="سند استلام"/>
    <s v="استلام خطي"/>
    <s v="الفرقة الثالثة"/>
    <n v="1"/>
    <d v="2026-06-04T00:00:00"/>
    <m/>
    <m/>
    <n v="2026"/>
    <x v="0"/>
    <n v="4"/>
    <s v="قيـد مقابـل:- (مصاريف نثريات أخرى - جمال مسدوس - الفرقة الثالثة)  - استلام نقدي رقم استلام خطي  سند استلام - مصاريف بيد الاركان بامرالأركان جمال مسدوس"/>
    <s v="الأركان جمال مسدوس"/>
  </r>
  <r>
    <n v="131"/>
    <s v="JV063"/>
    <x v="3"/>
    <s v="قيد عهده"/>
    <n v="11060202"/>
    <x v="0"/>
    <x v="52"/>
    <x v="0"/>
    <n v="405"/>
    <n v="0"/>
    <n v="100000"/>
    <n v="0"/>
    <n v="246.91358024691357"/>
    <s v="جمال مسدوس"/>
    <s v="استلام نقدي"/>
    <s v="سند استلام"/>
    <s v="استلام خطي"/>
    <s v="الفرقة الثالثة"/>
    <n v="1"/>
    <d v="2026-06-04T00:00:00"/>
    <m/>
    <m/>
    <n v="2026"/>
    <x v="0"/>
    <n v="4"/>
    <s v="قيـد مقابـل:- (مصاريف نثريات أخرى - جمال مسدوس - الفرقة الثالثة)  - استلام نقدي رقم استلام خطي  سند استلام - مصاريف بيد الاركان بامرالأركان جمال مسدوس"/>
    <s v="الأركان جمال مسدوس"/>
  </r>
  <r>
    <n v="132"/>
    <s v="JV064"/>
    <x v="3"/>
    <s v="قيد عهده"/>
    <n v="31010114"/>
    <x v="4"/>
    <x v="53"/>
    <x v="0"/>
    <n v="405"/>
    <n v="40000"/>
    <n v="0"/>
    <n v="98.76543209876543"/>
    <n v="0"/>
    <s v="محمد البيحاني"/>
    <s v="استلام نقدي"/>
    <s v="سند استلام"/>
    <s v="استلام خطي"/>
    <s v="الفرقة الثالثة"/>
    <n v="1"/>
    <d v="2026-06-04T00:00:00"/>
    <m/>
    <m/>
    <n v="2026"/>
    <x v="0"/>
    <n v="4"/>
    <s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
    <s v="الأركان جمال مسدوس"/>
  </r>
  <r>
    <n v="133"/>
    <s v="JV064"/>
    <x v="3"/>
    <s v="قيد عهده"/>
    <n v="11060202"/>
    <x v="0"/>
    <x v="53"/>
    <x v="0"/>
    <n v="405"/>
    <n v="0"/>
    <n v="40000"/>
    <n v="0"/>
    <n v="98.76543209876543"/>
    <s v="محمد البيحاني"/>
    <s v="استلام نقدي"/>
    <s v="سند استلام"/>
    <s v="استلام خطي"/>
    <s v="الفرقة الثالثة"/>
    <n v="1"/>
    <d v="2026-06-04T00:00:00"/>
    <m/>
    <m/>
    <n v="2026"/>
    <x v="0"/>
    <n v="4"/>
    <s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
    <s v="الأركان جمال مسدوس"/>
  </r>
  <r>
    <n v="134"/>
    <s v="JV065"/>
    <x v="3"/>
    <s v="قيد عهده"/>
    <n v="31010114"/>
    <x v="4"/>
    <x v="54"/>
    <x v="0"/>
    <n v="405"/>
    <n v="100000"/>
    <n v="0"/>
    <n v="246.91358024691357"/>
    <n v="0"/>
    <s v="شفيع محمود"/>
    <s v="استلام نقدي"/>
    <s v="سند استلام"/>
    <s v="استلام خطي"/>
    <s v="الفرقة الثالثة"/>
    <n v="1"/>
    <d v="2026-06-04T00:00:00"/>
    <m/>
    <m/>
    <n v="2026"/>
    <x v="0"/>
    <n v="4"/>
    <s v="قيـد مقابـل:- (مصاريف حوافز ومكافئات  - شفيع محمود - الفرقة الثالثة)  - استلام نقدي رقم استلام خطي  سند استلام - مصاريف محولة ل شفيع محمود بامرالقائد"/>
    <s v="القائد"/>
  </r>
  <r>
    <n v="135"/>
    <s v="JV065"/>
    <x v="3"/>
    <s v="قيد عهده"/>
    <n v="11060202"/>
    <x v="0"/>
    <x v="54"/>
    <x v="0"/>
    <n v="405"/>
    <n v="0"/>
    <n v="100000"/>
    <n v="0"/>
    <n v="246.91358024691357"/>
    <s v="شفيع محمود"/>
    <s v="استلام نقدي"/>
    <s v="سند استلام"/>
    <s v="استلام خطي"/>
    <s v="الفرقة الثالثة"/>
    <n v="1"/>
    <d v="2026-06-04T00:00:00"/>
    <m/>
    <m/>
    <n v="2026"/>
    <x v="0"/>
    <n v="4"/>
    <s v="قيـد مقابـل:- (مصاريف حوافز ومكافئات  - شفيع محمود - الفرقة الثالثة)  - استلام نقدي رقم استلام خطي  سند استلام - مصاريف محولة ل شفيع محمود بامرالقائد"/>
    <s v="القائد"/>
  </r>
  <r>
    <n v="136"/>
    <s v="JV066"/>
    <x v="3"/>
    <s v="قيد عهده"/>
    <n v="31010122"/>
    <x v="15"/>
    <x v="55"/>
    <x v="0"/>
    <n v="405"/>
    <n v="80000"/>
    <n v="0"/>
    <n v="197.53086419753086"/>
    <n v="0"/>
    <s v="باسم البشرية"/>
    <s v="استلام نقدي"/>
    <s v="سند استلام"/>
    <s v="استلام خطي"/>
    <s v="الفرقة الثالثة"/>
    <n v="1"/>
    <d v="2026-06-04T00:00:00"/>
    <m/>
    <m/>
    <n v="2026"/>
    <x v="0"/>
    <n v="4"/>
    <s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
    <s v="الأركان جمال مسدوس"/>
  </r>
  <r>
    <n v="137"/>
    <s v="JV066"/>
    <x v="3"/>
    <s v="قيد عهده"/>
    <n v="11060202"/>
    <x v="0"/>
    <x v="55"/>
    <x v="0"/>
    <n v="405"/>
    <n v="0"/>
    <n v="80000"/>
    <n v="0"/>
    <n v="197.53086419753086"/>
    <s v="باسم البشرية"/>
    <s v="استلام نقدي"/>
    <s v="سند استلام"/>
    <s v="استلام خطي"/>
    <s v="الفرقة الثالثة"/>
    <n v="1"/>
    <d v="2026-06-04T00:00:00"/>
    <m/>
    <m/>
    <n v="2026"/>
    <x v="0"/>
    <n v="4"/>
    <s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
    <s v="الأركان جمال مسدوس"/>
  </r>
  <r>
    <n v="138"/>
    <s v="JV067"/>
    <x v="3"/>
    <s v="قيد عهده"/>
    <n v="31010103"/>
    <x v="10"/>
    <x v="56"/>
    <x v="0"/>
    <n v="405"/>
    <n v="250000"/>
    <n v="0"/>
    <n v="617.28395061728395"/>
    <n v="0"/>
    <s v="محمد ياسين سعيد "/>
    <s v="استلام نقدي"/>
    <s v="سند استلام"/>
    <n v="0"/>
    <s v="الفرقة الثالثة"/>
    <n v="1"/>
    <d v="2026-06-04T00:00:00"/>
    <m/>
    <m/>
    <n v="2026"/>
    <x v="0"/>
    <n v="4"/>
    <s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
    <s v="الأركان جمال مسدوس"/>
  </r>
  <r>
    <n v="139"/>
    <s v="JV067"/>
    <x v="3"/>
    <s v="قيد عهده"/>
    <n v="11060202"/>
    <x v="0"/>
    <x v="56"/>
    <x v="0"/>
    <n v="405"/>
    <n v="0"/>
    <n v="250000"/>
    <n v="0"/>
    <n v="617.28395061728395"/>
    <s v="محمد ياسين سعيد "/>
    <s v="استلام نقدي"/>
    <s v="سند استلام"/>
    <n v="0"/>
    <s v="الفرقة الثالثة"/>
    <n v="1"/>
    <d v="2026-06-04T00:00:00"/>
    <m/>
    <m/>
    <n v="2026"/>
    <x v="0"/>
    <n v="4"/>
    <s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
    <s v="الأركان جمال مسدوس"/>
  </r>
  <r>
    <n v="140"/>
    <s v="JV068"/>
    <x v="3"/>
    <s v="قيد عهده"/>
    <n v="31010122"/>
    <x v="15"/>
    <x v="57"/>
    <x v="0"/>
    <n v="405"/>
    <n v="340000"/>
    <n v="0"/>
    <n v="839.50617283950612"/>
    <n v="0"/>
    <s v="افراد اللواء السادس"/>
    <s v="استلام نقدي"/>
    <s v="سند استلام"/>
    <n v="0"/>
    <s v="اللواء السادس"/>
    <n v="7"/>
    <d v="2026-06-04T00:00:00"/>
    <m/>
    <m/>
    <n v="2026"/>
    <x v="0"/>
    <n v="4"/>
    <s v="قيـد مقابـل:- (مصاريف سفر وتنقلات  - افراد اللواء السادس - اللواء السادس)  - استلام نقدي رقم   سند استلام - مصاريف سفر 5 افراد  اللواء السادس بامرالأركان جمال مسدوس"/>
    <s v="الأركان جمال مسدوس"/>
  </r>
  <r>
    <n v="141"/>
    <s v="JV068"/>
    <x v="3"/>
    <s v="قيد عهده"/>
    <n v="11060202"/>
    <x v="0"/>
    <x v="57"/>
    <x v="0"/>
    <n v="405"/>
    <n v="0"/>
    <n v="340000"/>
    <n v="0"/>
    <n v="839.50617283950612"/>
    <s v="افراد اللواء السادس"/>
    <s v="استلام نقدي"/>
    <s v="سند استلام"/>
    <n v="0"/>
    <s v="اللواء السادس"/>
    <n v="7"/>
    <d v="2026-06-04T00:00:00"/>
    <m/>
    <m/>
    <n v="2026"/>
    <x v="0"/>
    <n v="4"/>
    <s v="قيـد مقابـل:- (مصاريف سفر وتنقلات  - افراد اللواء السادس - اللواء السادس)  - استلام نقدي رقم   سند استلام - مصاريف سفر 5 افراد  اللواء السادس بامرالأركان جمال مسدوس"/>
    <s v="الأركان جمال مسدوس"/>
  </r>
  <r>
    <n v="142"/>
    <s v="RC004"/>
    <x v="4"/>
    <s v="قبض عهدة"/>
    <n v="11060205"/>
    <x v="16"/>
    <x v="58"/>
    <x v="0"/>
    <n v="405"/>
    <n v="1006500"/>
    <n v="0"/>
    <n v="2485.1851851851852"/>
    <n v="0"/>
    <s v="عبدالحفيظ"/>
    <s v="استلام نقدي"/>
    <s v="سند استلام"/>
    <n v="0"/>
    <s v="الفرقة الثالثة"/>
    <n v="1"/>
    <d v="2026-06-07T00:00:00"/>
    <m/>
    <m/>
    <n v="2026"/>
    <x v="0"/>
    <n v="7"/>
    <s v="قيـد مقابـل:- (عهدة عبدالحفيظ - عبدالحفيظ - الفرقة الثالثة)  - استلام نقدي رقم   سند استلام - استلام عهدة من عهدة عبد المغني بامر"/>
    <n v="0"/>
  </r>
  <r>
    <n v="143"/>
    <s v="RC004"/>
    <x v="4"/>
    <s v="قبض عهدة"/>
    <n v="11060202"/>
    <x v="0"/>
    <x v="58"/>
    <x v="0"/>
    <n v="405"/>
    <n v="0"/>
    <n v="1006500"/>
    <n v="0"/>
    <n v="2485.1851851851852"/>
    <s v="عبدالحفيظ"/>
    <s v="استلام نقدي"/>
    <s v="سند استلام"/>
    <n v="0"/>
    <s v="الفرقة الثالثة"/>
    <n v="1"/>
    <d v="2026-06-07T00:00:00"/>
    <m/>
    <m/>
    <n v="2026"/>
    <x v="0"/>
    <n v="7"/>
    <s v="قيـد مقابـل:- (عهدة عبدالحفيظ - عبدالحفيظ - الفرقة الثالثة)  - استلام نقدي رقم   سند استلام - استلام عهدة من عهدة عبد المغني بامر"/>
    <n v="0"/>
  </r>
  <r>
    <n v="144"/>
    <s v="JV069"/>
    <x v="4"/>
    <s v="قيد عهده"/>
    <n v="31010101"/>
    <x v="2"/>
    <x v="59"/>
    <x v="0"/>
    <n v="405"/>
    <n v="43000"/>
    <n v="0"/>
    <n v="106.17283950617283"/>
    <n v="0"/>
    <s v="السيطرة والاتصالات"/>
    <s v="كشف صرف"/>
    <s v="كشف صرف"/>
    <n v="0"/>
    <s v="الفرقة الثالثة"/>
    <n v="1"/>
    <d v="2026-06-07T00:00:00"/>
    <m/>
    <m/>
    <n v="2026"/>
    <x v="0"/>
    <n v="7"/>
    <s v="قيـد مقابـل:- (مصاريف  صرفة يومية للافراد  - السيطرة والاتصالات - الفرقة الثالثة)  - كشف صرف رقم   كشف صرف - صرف الصرفة اليومية للسيطرة والاتصالات لعدد 5 بامر"/>
    <n v="0"/>
  </r>
  <r>
    <n v="145"/>
    <s v="JV069"/>
    <x v="4"/>
    <s v="قيد عهده"/>
    <n v="11060205"/>
    <x v="16"/>
    <x v="59"/>
    <x v="0"/>
    <n v="405"/>
    <n v="0"/>
    <n v="43000"/>
    <n v="0"/>
    <n v="106.17283950617283"/>
    <s v="السيطرة والاتصالات"/>
    <s v="كشف صرف"/>
    <s v="كشف صرف"/>
    <n v="0"/>
    <s v="الفرقة الثالثة"/>
    <n v="1"/>
    <d v="2026-06-07T00:00:00"/>
    <m/>
    <m/>
    <n v="2026"/>
    <x v="0"/>
    <n v="7"/>
    <s v="قيـد مقابـل:- (مصاريف  صرفة يومية للافراد  - السيطرة والاتصالات - الفرقة الثالثة)  - كشف صرف رقم   كشف صرف - صرف الصرفة اليومية للسيطرة والاتصالات لعدد 5 بامر"/>
    <n v="0"/>
  </r>
  <r>
    <n v="146"/>
    <s v="JV070"/>
    <x v="4"/>
    <s v="قيد عهده"/>
    <n v="31010101"/>
    <x v="2"/>
    <x v="60"/>
    <x v="0"/>
    <n v="405"/>
    <n v="30000"/>
    <n v="0"/>
    <n v="74.074074074074076"/>
    <n v="0"/>
    <s v="التوجيه"/>
    <s v="كشف صرف"/>
    <s v="كشف صرف"/>
    <n v="0"/>
    <s v="الفرقة الثالثة"/>
    <n v="1"/>
    <d v="2026-06-07T00:00:00"/>
    <m/>
    <m/>
    <n v="2026"/>
    <x v="0"/>
    <n v="7"/>
    <s v="قيـد مقابـل:- (مصاريف  صرفة يومية للافراد  - التوجيه - الفرقة الثالثة)  - كشف صرف رقم   كشف صرف - صرف الصرفة اليومية للتوجيه عدد 2  بامر"/>
    <n v="0"/>
  </r>
  <r>
    <n v="147"/>
    <s v="JV070"/>
    <x v="4"/>
    <s v="قيد عهده"/>
    <n v="11060205"/>
    <x v="16"/>
    <x v="60"/>
    <x v="0"/>
    <n v="405"/>
    <n v="0"/>
    <n v="30000"/>
    <n v="0"/>
    <n v="74.074074074074076"/>
    <s v="التوجيه"/>
    <s v="كشف صرف"/>
    <s v="كشف صرف"/>
    <n v="0"/>
    <s v="الفرقة الثالثة"/>
    <n v="1"/>
    <d v="2026-06-07T00:00:00"/>
    <m/>
    <m/>
    <n v="2026"/>
    <x v="0"/>
    <n v="7"/>
    <s v="قيـد مقابـل:- (مصاريف  صرفة يومية للافراد  - التوجيه - الفرقة الثالثة)  - كشف صرف رقم   كشف صرف - صرف الصرفة اليومية للتوجيه عدد 2  بامر"/>
    <n v="0"/>
  </r>
  <r>
    <n v="148"/>
    <s v="JV071"/>
    <x v="4"/>
    <s v="قيد عهده"/>
    <n v="31010101"/>
    <x v="2"/>
    <x v="61"/>
    <x v="0"/>
    <n v="405"/>
    <n v="128000"/>
    <n v="0"/>
    <n v="316.04938271604937"/>
    <n v="0"/>
    <s v="الامداد"/>
    <s v="كشف صرف"/>
    <s v="كشف صرف"/>
    <n v="0"/>
    <s v="الفرقة الثالثة"/>
    <n v="1"/>
    <d v="2026-06-07T00:00:00"/>
    <m/>
    <m/>
    <n v="2026"/>
    <x v="0"/>
    <n v="7"/>
    <s v="قيـد مقابـل:- (مصاريف  صرفة يومية للافراد  - الامداد - الفرقة الثالثة)  - كشف صرف رقم   كشف صرف - صرف الصرفة اليومية  لافراد الامداد لعدد 12 بامر"/>
    <n v="0"/>
  </r>
  <r>
    <n v="149"/>
    <s v="JV071"/>
    <x v="4"/>
    <s v="قيد عهده"/>
    <n v="11060205"/>
    <x v="16"/>
    <x v="61"/>
    <x v="0"/>
    <n v="405"/>
    <n v="0"/>
    <n v="128000"/>
    <n v="0"/>
    <n v="316.04938271604937"/>
    <s v="الامداد"/>
    <s v="كشف صرف"/>
    <s v="كشف صرف"/>
    <n v="0"/>
    <s v="الفرقة الثالثة"/>
    <n v="1"/>
    <d v="2026-06-07T00:00:00"/>
    <m/>
    <m/>
    <n v="2026"/>
    <x v="0"/>
    <n v="7"/>
    <s v="قيـد مقابـل:- (مصاريف  صرفة يومية للافراد  - الامداد - الفرقة الثالثة)  - كشف صرف رقم   كشف صرف - صرف الصرفة اليومية  لافراد الامداد لعدد 12 بامر"/>
    <n v="0"/>
  </r>
  <r>
    <n v="150"/>
    <s v="JV072"/>
    <x v="4"/>
    <s v="قيد عهده"/>
    <n v="31010101"/>
    <x v="2"/>
    <x v="62"/>
    <x v="0"/>
    <n v="405"/>
    <n v="15000"/>
    <n v="0"/>
    <n v="37.037037037037038"/>
    <n v="0"/>
    <s v="البشرية و الصراف"/>
    <s v="كشف صرف"/>
    <s v="كشف صرف"/>
    <n v="0"/>
    <s v="الفرقة الثالثة"/>
    <n v="1"/>
    <d v="2026-06-07T00:00:00"/>
    <m/>
    <m/>
    <n v="2026"/>
    <x v="0"/>
    <n v="7"/>
    <s v="قيـد مقابـل:- (مصاريف  صرفة يومية للافراد  - البشرية و الصراف - الفرقة الثالثة)  - كشف صرف رقم   كشف صرف - صرف الصرفة اليومية  للبشرة والصراف عدد 1 بامر"/>
    <n v="0"/>
  </r>
  <r>
    <n v="151"/>
    <s v="JV072"/>
    <x v="4"/>
    <s v="قيد عهده"/>
    <n v="11060205"/>
    <x v="16"/>
    <x v="62"/>
    <x v="0"/>
    <n v="405"/>
    <n v="0"/>
    <n v="15000"/>
    <n v="0"/>
    <n v="37.037037037037038"/>
    <s v="البشرية و الصراف"/>
    <s v="كشف صرف"/>
    <s v="كشف صرف"/>
    <n v="0"/>
    <s v="الفرقة الثالثة"/>
    <n v="1"/>
    <d v="2026-06-07T00:00:00"/>
    <m/>
    <m/>
    <n v="2026"/>
    <x v="0"/>
    <n v="7"/>
    <s v="قيـد مقابـل:- (مصاريف  صرفة يومية للافراد  - البشرية و الصراف - الفرقة الثالثة)  - كشف صرف رقم   كشف صرف - صرف الصرفة اليومية  للبشرة والصراف عدد 1 بامر"/>
    <n v="0"/>
  </r>
  <r>
    <n v="152"/>
    <s v="JV073"/>
    <x v="4"/>
    <s v="قيد عهده"/>
    <n v="31010101"/>
    <x v="2"/>
    <x v="63"/>
    <x v="0"/>
    <n v="405"/>
    <n v="65000"/>
    <n v="0"/>
    <n v="160.49382716049382"/>
    <n v="0"/>
    <s v="الاستخبارات"/>
    <s v="كشف صرف"/>
    <s v="كشف صرف"/>
    <n v="0"/>
    <s v="الفرقة الثالثة"/>
    <n v="1"/>
    <d v="2026-06-07T00:00:00"/>
    <m/>
    <m/>
    <n v="2026"/>
    <x v="0"/>
    <n v="7"/>
    <s v="قيـد مقابـل:- (مصاريف  صرفة يومية للافراد  - الاستخبارات - الفرقة الثالثة)  - كشف صرف رقم   كشف صرف - صرف الصرفة اليومية  الاستخبارات لعدد 4 بامر"/>
    <n v="0"/>
  </r>
  <r>
    <n v="153"/>
    <s v="JV073"/>
    <x v="4"/>
    <s v="قيد عهده"/>
    <n v="11060205"/>
    <x v="16"/>
    <x v="63"/>
    <x v="0"/>
    <n v="405"/>
    <n v="0"/>
    <n v="65000"/>
    <n v="0"/>
    <n v="160.49382716049382"/>
    <s v="الاستخبارات"/>
    <s v="كشف صرف"/>
    <s v="كشف صرف"/>
    <n v="0"/>
    <s v="الفرقة الثالثة"/>
    <n v="1"/>
    <d v="2026-06-07T00:00:00"/>
    <m/>
    <m/>
    <n v="2026"/>
    <x v="0"/>
    <n v="7"/>
    <s v="قيـد مقابـل:- (مصاريف  صرفة يومية للافراد  - الاستخبارات - الفرقة الثالثة)  - كشف صرف رقم   كشف صرف - صرف الصرفة اليومية  الاستخبارات لعدد 4 بامر"/>
    <n v="0"/>
  </r>
  <r>
    <n v="154"/>
    <s v="JV074"/>
    <x v="4"/>
    <s v="قيد عهده"/>
    <n v="31010101"/>
    <x v="2"/>
    <x v="64"/>
    <x v="0"/>
    <n v="405"/>
    <n v="60000"/>
    <n v="0"/>
    <n v="148.14814814814815"/>
    <n v="0"/>
    <s v="المستشارين والمساعدين"/>
    <s v="كشف صرف"/>
    <s v="كشف صرف"/>
    <n v="0"/>
    <s v="الفرقة الثالثة"/>
    <n v="1"/>
    <d v="2026-06-07T00:00:00"/>
    <m/>
    <m/>
    <n v="2026"/>
    <x v="0"/>
    <n v="7"/>
    <s v="قيـد مقابـل:- (مصاريف  صرفة يومية للافراد  - المستشارين والمساعدين - الفرقة الثالثة)  - كشف صرف رقم   كشف صرف - صرف الصرفة اليومية للمستشارين والمساعدين عدد 6 بامر"/>
    <n v="0"/>
  </r>
  <r>
    <n v="155"/>
    <s v="JV074"/>
    <x v="4"/>
    <s v="قيد عهده"/>
    <n v="11060205"/>
    <x v="16"/>
    <x v="64"/>
    <x v="0"/>
    <n v="405"/>
    <n v="0"/>
    <n v="60000"/>
    <n v="0"/>
    <n v="148.14814814814815"/>
    <s v="المستشارين والمساعدين"/>
    <s v="كشف صرف"/>
    <s v="كشف صرف"/>
    <n v="0"/>
    <s v="الفرقة الثالثة"/>
    <n v="1"/>
    <d v="2026-06-07T00:00:00"/>
    <m/>
    <m/>
    <n v="2026"/>
    <x v="0"/>
    <n v="7"/>
    <s v="قيـد مقابـل:- (مصاريف  صرفة يومية للافراد  - المستشارين والمساعدين - الفرقة الثالثة)  - كشف صرف رقم   كشف صرف - صرف الصرفة اليومية للمستشارين والمساعدين عدد 6 بامر"/>
    <n v="0"/>
  </r>
  <r>
    <n v="156"/>
    <s v="JV075"/>
    <x v="4"/>
    <s v="قيد عهده"/>
    <n v="31010101"/>
    <x v="2"/>
    <x v="65"/>
    <x v="0"/>
    <n v="405"/>
    <n v="32000"/>
    <n v="0"/>
    <n v="79.012345679012341"/>
    <n v="0"/>
    <s v="الطبية والمحاسبين"/>
    <s v="كشف صرف"/>
    <s v="كشف صرف"/>
    <n v="0"/>
    <s v="الفرقة الثالثة"/>
    <n v="1"/>
    <d v="2026-06-07T00:00:00"/>
    <m/>
    <m/>
    <n v="2026"/>
    <x v="0"/>
    <n v="7"/>
    <s v="قيـد مقابـل:- (مصاريف  صرفة يومية للافراد  - الطبية والمحاسبين - الفرقة الثالثة)  - كشف صرف رقم   كشف صرف - صرف الصرفة اليومية للطبية والمحاسبين لعدد 5 بامر"/>
    <n v="0"/>
  </r>
  <r>
    <n v="157"/>
    <s v="JV075"/>
    <x v="4"/>
    <s v="قيد عهده"/>
    <n v="11060205"/>
    <x v="16"/>
    <x v="65"/>
    <x v="0"/>
    <n v="405"/>
    <n v="0"/>
    <n v="32000"/>
    <n v="0"/>
    <n v="79.012345679012341"/>
    <s v="الطبية والمحاسبين"/>
    <s v="كشف صرف"/>
    <s v="كشف صرف"/>
    <n v="0"/>
    <s v="الفرقة الثالثة"/>
    <n v="1"/>
    <d v="2026-06-07T00:00:00"/>
    <m/>
    <m/>
    <n v="2026"/>
    <x v="0"/>
    <n v="7"/>
    <s v="قيـد مقابـل:- (مصاريف  صرفة يومية للافراد  - الطبية والمحاسبين - الفرقة الثالثة)  - كشف صرف رقم   كشف صرف - صرف الصرفة اليومية للطبية والمحاسبين لعدد 5 بامر"/>
    <n v="0"/>
  </r>
  <r>
    <n v="158"/>
    <s v="JV076"/>
    <x v="4"/>
    <s v="قيد عهده"/>
    <n v="31010101"/>
    <x v="2"/>
    <x v="66"/>
    <x v="0"/>
    <n v="405"/>
    <n v="70000"/>
    <n v="0"/>
    <n v="172.83950617283949"/>
    <n v="0"/>
    <s v="الضباط السابقين"/>
    <s v="كشف صرف"/>
    <s v="كشف صرف"/>
    <n v="0"/>
    <s v="الفرقة الثالثة"/>
    <n v="1"/>
    <d v="2026-06-07T00:00:00"/>
    <m/>
    <m/>
    <n v="2026"/>
    <x v="0"/>
    <n v="7"/>
    <s v="قيـد مقابـل:- (مصاريف  صرفة يومية للافراد  - الضباط السابقين - الفرقة الثالثة)  - كشف صرف رقم   كشف صرف - صرف الصرفة اليومية ضباط سابقين لعدد 7 بامر"/>
    <n v="0"/>
  </r>
  <r>
    <n v="159"/>
    <s v="JV076"/>
    <x v="4"/>
    <s v="قيد عهده"/>
    <n v="11060205"/>
    <x v="16"/>
    <x v="66"/>
    <x v="0"/>
    <n v="405"/>
    <n v="0"/>
    <n v="70000"/>
    <n v="0"/>
    <n v="172.83950617283949"/>
    <s v="الضباط السابقين"/>
    <s v="كشف صرف"/>
    <s v="كشف صرف"/>
    <n v="0"/>
    <s v="الفرقة الثالثة"/>
    <n v="1"/>
    <d v="2026-06-07T00:00:00"/>
    <m/>
    <m/>
    <n v="2026"/>
    <x v="0"/>
    <n v="7"/>
    <s v="قيـد مقابـل:- (مصاريف  صرفة يومية للافراد  - الضباط السابقين - الفرقة الثالثة)  - كشف صرف رقم   كشف صرف - صرف الصرفة اليومية ضباط سابقين لعدد 7 بامر"/>
    <n v="0"/>
  </r>
  <r>
    <n v="160"/>
    <s v="JV077"/>
    <x v="4"/>
    <s v="قيد عهده"/>
    <n v="31010101"/>
    <x v="2"/>
    <x v="67"/>
    <x v="0"/>
    <n v="405"/>
    <n v="60000"/>
    <n v="0"/>
    <n v="148.14814814814815"/>
    <n v="0"/>
    <s v="اخرون"/>
    <s v="كشف صرف"/>
    <s v="كشف صرف"/>
    <n v="0"/>
    <s v="الفرقة الثالثة"/>
    <n v="1"/>
    <d v="2026-06-07T00:00:00"/>
    <m/>
    <m/>
    <n v="2026"/>
    <x v="0"/>
    <n v="7"/>
    <s v="قيـد مقابـل:- (مصاريف  صرفة يومية للافراد  - اخرون - الفرقة الثالثة)  - كشف صرف رقم   كشف صرف - الصرفة اليومية اخرون عدد 6 بامر"/>
    <n v="0"/>
  </r>
  <r>
    <n v="161"/>
    <s v="JV077"/>
    <x v="4"/>
    <s v="قيد عهده"/>
    <n v="11060205"/>
    <x v="16"/>
    <x v="67"/>
    <x v="0"/>
    <n v="405"/>
    <n v="0"/>
    <n v="60000"/>
    <n v="0"/>
    <n v="148.14814814814815"/>
    <s v="اخرون"/>
    <s v="كشف صرف"/>
    <s v="كشف صرف"/>
    <n v="0"/>
    <s v="الفرقة الثالثة"/>
    <n v="1"/>
    <d v="2026-06-07T00:00:00"/>
    <m/>
    <m/>
    <n v="2026"/>
    <x v="0"/>
    <n v="7"/>
    <s v="قيـد مقابـل:- (مصاريف  صرفة يومية للافراد  - اخرون - الفرقة الثالثة)  - كشف صرف رقم   كشف صرف - الصرفة اليومية اخرون عدد 6 بامر"/>
    <n v="0"/>
  </r>
  <r>
    <n v="162"/>
    <s v="JV078"/>
    <x v="4"/>
    <s v="قيد عهده"/>
    <n v="31010101"/>
    <x v="2"/>
    <x v="68"/>
    <x v="0"/>
    <n v="405"/>
    <n v="6000"/>
    <n v="0"/>
    <n v="14.814814814814815"/>
    <n v="0"/>
    <s v="افراد طقم اللواء السابع مرافقين"/>
    <s v="كشف صرف"/>
    <s v="كشف صرف"/>
    <n v="0"/>
    <s v="الفرقة الثالثة"/>
    <n v="1"/>
    <d v="2026-06-07T00:00:00"/>
    <m/>
    <m/>
    <n v="2026"/>
    <x v="0"/>
    <n v="7"/>
    <s v="قيـد مقابـل:- (مصاريف  صرفة يومية للافراد  - افراد طقم اللواء السابع مرافقين - الفرقة الثالثة)  - كشف صرف رقم   كشف صرف - مصاريف 1 افراد من اللواء السابع بامر"/>
    <n v="0"/>
  </r>
  <r>
    <n v="163"/>
    <s v="JV078"/>
    <x v="4"/>
    <s v="قيد عهده"/>
    <n v="11060205"/>
    <x v="16"/>
    <x v="68"/>
    <x v="0"/>
    <n v="405"/>
    <n v="0"/>
    <n v="6000"/>
    <n v="0"/>
    <n v="14.814814814814815"/>
    <s v="افراد طقم اللواء السابع مرافقين"/>
    <s v="كشف صرف"/>
    <s v="كشف صرف"/>
    <n v="0"/>
    <s v="الفرقة الثالثة"/>
    <n v="1"/>
    <d v="2026-06-07T00:00:00"/>
    <m/>
    <m/>
    <n v="2026"/>
    <x v="0"/>
    <n v="7"/>
    <s v="قيـد مقابـل:- (مصاريف  صرفة يومية للافراد  - افراد طقم اللواء السابع مرافقين - الفرقة الثالثة)  - كشف صرف رقم   كشف صرف - مصاريف 1 افراد من اللواء السابع بامر"/>
    <n v="0"/>
  </r>
  <r>
    <n v="164"/>
    <s v="JV079"/>
    <x v="4"/>
    <s v="قيد عهده"/>
    <n v="31010101"/>
    <x v="2"/>
    <x v="69"/>
    <x v="0"/>
    <n v="405"/>
    <n v="28000"/>
    <n v="0"/>
    <n v="69.135802469135797"/>
    <n v="0"/>
    <s v="الاشغال"/>
    <s v="كشف صرف"/>
    <s v="كشف صرف"/>
    <n v="0"/>
    <s v="الفرقة الثالثة"/>
    <n v="1"/>
    <d v="2026-06-07T00:00:00"/>
    <m/>
    <m/>
    <n v="2026"/>
    <x v="0"/>
    <n v="7"/>
    <s v="قيـد مقابـل:- (مصاريف  صرفة يومية للافراد  - الاشغال - الفرقة الثالثة)  - كشف صرف رقم   كشف صرف - صرف الصرفة اليومية للاشغال لعدد 3 بامر"/>
    <n v="0"/>
  </r>
  <r>
    <n v="165"/>
    <s v="JV079"/>
    <x v="4"/>
    <s v="قيد عهده"/>
    <n v="11060205"/>
    <x v="16"/>
    <x v="69"/>
    <x v="0"/>
    <n v="405"/>
    <n v="0"/>
    <n v="28000"/>
    <n v="0"/>
    <n v="69.135802469135797"/>
    <s v="الاشغال"/>
    <s v="كشف صرف"/>
    <s v="كشف صرف"/>
    <n v="0"/>
    <s v="الفرقة الثالثة"/>
    <n v="1"/>
    <d v="2026-06-07T00:00:00"/>
    <m/>
    <m/>
    <n v="2026"/>
    <x v="0"/>
    <n v="7"/>
    <s v="قيـد مقابـل:- (مصاريف  صرفة يومية للافراد  - الاشغال - الفرقة الثالثة)  - كشف صرف رقم   كشف صرف - صرف الصرفة اليومية للاشغال لعدد 3 بامر"/>
    <n v="0"/>
  </r>
  <r>
    <n v="166"/>
    <s v="JV080"/>
    <x v="4"/>
    <s v="قيد عهده"/>
    <n v="31010101"/>
    <x v="2"/>
    <x v="70"/>
    <x v="0"/>
    <n v="405"/>
    <n v="176000"/>
    <n v="0"/>
    <n v="434.5679012345679"/>
    <n v="0"/>
    <s v="سرية اللواء السادس"/>
    <s v="كشف صرف"/>
    <s v="كشف صرف"/>
    <n v="0"/>
    <s v="اللواء السادس"/>
    <n v="7"/>
    <d v="2026-06-07T00:00:00"/>
    <m/>
    <m/>
    <n v="2026"/>
    <x v="0"/>
    <n v="7"/>
    <s v="قيـد مقابـل:- (مصاريف  صرفة يومية للافراد  - سرية اللواء السادس - اللواء السادس)  - كشف صرف رقم   كشف صرف - مصاريف يومية سرية اللواء السادس عدد 44 بامر"/>
    <n v="0"/>
  </r>
  <r>
    <n v="167"/>
    <s v="JV080"/>
    <x v="4"/>
    <s v="قيد عهده"/>
    <n v="11060205"/>
    <x v="16"/>
    <x v="70"/>
    <x v="0"/>
    <n v="405"/>
    <n v="0"/>
    <n v="176000"/>
    <n v="0"/>
    <n v="434.5679012345679"/>
    <s v="سرية اللواء السادس"/>
    <s v="كشف صرف"/>
    <s v="كشف صرف"/>
    <n v="0"/>
    <s v="اللواء السادس"/>
    <n v="7"/>
    <d v="2026-06-07T00:00:00"/>
    <m/>
    <m/>
    <n v="2026"/>
    <x v="0"/>
    <n v="7"/>
    <s v="قيـد مقابـل:- (مصاريف  صرفة يومية للافراد  - سرية اللواء السادس - اللواء السادس)  - كشف صرف رقم   كشف صرف - مصاريف يومية سرية اللواء السادس عدد 44 بامر"/>
    <n v="0"/>
  </r>
  <r>
    <n v="168"/>
    <s v="JV081"/>
    <x v="4"/>
    <s v="قيد عهده"/>
    <n v="31010116"/>
    <x v="6"/>
    <x v="71"/>
    <x v="0"/>
    <n v="405"/>
    <n v="200000"/>
    <n v="0"/>
    <n v="493.82716049382714"/>
    <n v="0"/>
    <s v="محمد سمير سعيد"/>
    <s v="استلام نقدي"/>
    <s v="سند استلام"/>
    <n v="0"/>
    <s v="الفرقة الثالثة"/>
    <n v="1"/>
    <d v="2026-06-07T00:00:00"/>
    <m/>
    <m/>
    <n v="2026"/>
    <x v="0"/>
    <n v="7"/>
    <s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
    <s v="القائد"/>
  </r>
  <r>
    <n v="169"/>
    <s v="JV081"/>
    <x v="4"/>
    <s v="قيد عهده"/>
    <n v="11060205"/>
    <x v="16"/>
    <x v="71"/>
    <x v="0"/>
    <n v="405"/>
    <n v="0"/>
    <n v="200000"/>
    <n v="0"/>
    <n v="493.82716049382714"/>
    <s v="محمد سمير سعيد"/>
    <s v="استلام نقدي"/>
    <s v="سند استلام"/>
    <n v="0"/>
    <s v="الفرقة الثالثة"/>
    <n v="1"/>
    <d v="2026-06-07T00:00:00"/>
    <m/>
    <m/>
    <n v="2026"/>
    <x v="0"/>
    <n v="7"/>
    <s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
    <s v="القائد"/>
  </r>
  <r>
    <n v="170"/>
    <s v="JV082"/>
    <x v="4"/>
    <s v="قيد عهده"/>
    <n v="31010114"/>
    <x v="4"/>
    <x v="72"/>
    <x v="0"/>
    <n v="405"/>
    <n v="96000"/>
    <n v="0"/>
    <n v="237.03703703703704"/>
    <n v="0"/>
    <s v="محمد فؤاد+ محمد سمير+محمد علي + كريم اكرم"/>
    <s v="استلام نقدي"/>
    <s v="سند استلام"/>
    <n v="0"/>
    <s v="الفرقة الثالثة"/>
    <n v="1"/>
    <d v="2026-06-07T00:00:00"/>
    <m/>
    <m/>
    <n v="2026"/>
    <x v="0"/>
    <n v="7"/>
    <s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
    <s v="الأركان جمال مسدوس"/>
  </r>
  <r>
    <n v="171"/>
    <s v="JV082"/>
    <x v="4"/>
    <s v="قيد عهده"/>
    <n v="11060205"/>
    <x v="16"/>
    <x v="72"/>
    <x v="0"/>
    <n v="405"/>
    <n v="0"/>
    <n v="96000"/>
    <n v="0"/>
    <n v="237.03703703703704"/>
    <s v="محمد فؤاد+ محمد سمير+محمد علي + كريم اكرم"/>
    <s v="استلام نقدي"/>
    <s v="سند استلام"/>
    <n v="0"/>
    <s v="الفرقة الثالثة"/>
    <n v="1"/>
    <d v="2026-06-07T00:00:00"/>
    <m/>
    <m/>
    <n v="2026"/>
    <x v="0"/>
    <n v="7"/>
    <s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
    <s v="الأركان جمال مسدوس"/>
  </r>
  <r>
    <n v="172"/>
    <s v="JV083"/>
    <x v="4"/>
    <s v="قيد عهده"/>
    <n v="31010101"/>
    <x v="2"/>
    <x v="73"/>
    <x v="0"/>
    <n v="405"/>
    <n v="20000"/>
    <n v="0"/>
    <n v="49.382716049382715"/>
    <n v="0"/>
    <s v="محمد عبدالصمد عبدالله"/>
    <s v="استلام نقدي"/>
    <s v="سند استلام"/>
    <n v="0"/>
    <s v="الفرقة الثالثة"/>
    <n v="1"/>
    <d v="2026-06-07T00:00:00"/>
    <m/>
    <m/>
    <n v="2026"/>
    <x v="0"/>
    <n v="7"/>
    <s v="قيـد مقابـل:- (مصاريف  صرفة يومية للافراد  - محمد عبدالصمد عبدالله - الفرقة الثالثة)  - استلام نقدي رقم   سند استلام - صرف صرفة يومية ليوم 6 و7  بامرالمالية"/>
    <s v="المالية"/>
  </r>
  <r>
    <n v="173"/>
    <s v="JV083"/>
    <x v="4"/>
    <s v="قيد عهده"/>
    <n v="11060205"/>
    <x v="16"/>
    <x v="73"/>
    <x v="0"/>
    <n v="405"/>
    <n v="0"/>
    <n v="20000"/>
    <n v="0"/>
    <n v="49.382716049382715"/>
    <s v="محمد عبدالصمد عبدالله"/>
    <s v="استلام نقدي"/>
    <s v="سند استلام"/>
    <n v="0"/>
    <s v="الفرقة الثالثة"/>
    <n v="1"/>
    <d v="2026-06-07T00:00:00"/>
    <m/>
    <m/>
    <n v="2026"/>
    <x v="0"/>
    <n v="7"/>
    <s v="قيـد مقابـل:- (مصاريف  صرفة يومية للافراد  - محمد عبدالصمد عبدالله - الفرقة الثالثة)  - استلام نقدي رقم   سند استلام - صرف صرفة يومية ليوم 6 و7  بامرالمالية"/>
    <s v="المالية"/>
  </r>
  <r>
    <n v="174"/>
    <s v="JV084"/>
    <x v="4"/>
    <s v="قيد عهده"/>
    <n v="31010109"/>
    <x v="12"/>
    <x v="74"/>
    <x v="0"/>
    <n v="405"/>
    <n v="7000"/>
    <n v="0"/>
    <n v="17.283950617283949"/>
    <n v="0"/>
    <s v="الامداد"/>
    <s v="فاتورة"/>
    <n v="0"/>
    <n v="123821"/>
    <s v="الفرقة الثالثة"/>
    <n v="1"/>
    <d v="2026-06-07T00:00:00"/>
    <m/>
    <m/>
    <n v="2026"/>
    <x v="0"/>
    <n v="7"/>
    <s v="قيـد مقابـل:- (مصاريف نثريات أخرى - الامداد - الفرقة الثالثة)  - فاتورة رقم 123821   - شراء مكانس ابو عصى و عصى مكانس بامرمدير  مكتب القائد"/>
    <s v="مدير  مكتب القائد"/>
  </r>
  <r>
    <n v="175"/>
    <s v="JV084"/>
    <x v="4"/>
    <s v="قيد عهده"/>
    <n v="11060205"/>
    <x v="16"/>
    <x v="74"/>
    <x v="0"/>
    <n v="405"/>
    <n v="0"/>
    <n v="7000"/>
    <n v="0"/>
    <n v="17.283950617283949"/>
    <s v="الامداد"/>
    <s v="فاتورة"/>
    <n v="0"/>
    <n v="123821"/>
    <s v="الفرقة الثالثة"/>
    <n v="1"/>
    <d v="2026-06-07T00:00:00"/>
    <m/>
    <m/>
    <n v="2026"/>
    <x v="0"/>
    <n v="7"/>
    <s v="قيـد مقابـل:- (مصاريف نثريات أخرى - الامداد - الفرقة الثالثة)  - فاتورة رقم 123821   - شراء مكانس ابو عصى و عصى مكانس بامرمدير  مكتب القائد"/>
    <s v="مدير  مكتب القائد"/>
  </r>
  <r>
    <n v="176"/>
    <s v="JV085"/>
    <x v="4"/>
    <s v="قيد عهده"/>
    <n v="31010109"/>
    <x v="12"/>
    <x v="75"/>
    <x v="0"/>
    <n v="405"/>
    <n v="100000"/>
    <n v="0"/>
    <n v="246.91358024691357"/>
    <n v="0"/>
    <s v="جمال مسدوس"/>
    <s v="استلام نقدي"/>
    <s v="سند استلام"/>
    <n v="0"/>
    <s v="الفرقة الثالثة"/>
    <n v="1"/>
    <d v="2026-06-07T00:00:00"/>
    <m/>
    <m/>
    <n v="2026"/>
    <x v="0"/>
    <n v="7"/>
    <s v="قيـد مقابـل:- (مصاريف نثريات أخرى - جمال مسدوس - الفرقة الثالثة)  - استلام نقدي رقم   سند استلام - صرف نثريات الاركان بامرالأركان جمال مسدوس"/>
    <s v="الأركان جمال مسدوس"/>
  </r>
  <r>
    <n v="177"/>
    <s v="JV085"/>
    <x v="4"/>
    <s v="قيد عهده"/>
    <n v="11060205"/>
    <x v="16"/>
    <x v="75"/>
    <x v="0"/>
    <n v="405"/>
    <n v="0"/>
    <n v="100000"/>
    <n v="0"/>
    <n v="246.91358024691357"/>
    <s v="جمال مسدوس"/>
    <s v="استلام نقدي"/>
    <s v="سند استلام"/>
    <n v="0"/>
    <s v="الفرقة الثالثة"/>
    <n v="1"/>
    <d v="2026-06-07T00:00:00"/>
    <m/>
    <m/>
    <n v="2026"/>
    <x v="0"/>
    <n v="7"/>
    <s v="قيـد مقابـل:- (مصاريف نثريات أخرى - جمال مسدوس - الفرقة الثالثة)  - استلام نقدي رقم   سند استلام - صرف نثريات الاركان بامرالأركان جمال مسدوس"/>
    <s v="الأركان جمال مسدوس"/>
  </r>
  <r>
    <n v="178"/>
    <s v="RC005"/>
    <x v="4"/>
    <s v="قبض عهدة"/>
    <n v="11060205"/>
    <x v="16"/>
    <x v="76"/>
    <x v="1"/>
    <n v="1"/>
    <n v="9980"/>
    <n v="0"/>
    <n v="9980"/>
    <n v="0"/>
    <s v="عبدالحفيظ"/>
    <s v="حواله"/>
    <s v="شركة العامري للصرافة"/>
    <n v="9732"/>
    <s v="الفرقة الثالثة"/>
    <n v="1"/>
    <d v="2026-06-07T00:00:00"/>
    <m/>
    <m/>
    <n v="2026"/>
    <x v="0"/>
    <n v="7"/>
    <s v="قيـد مقابـل:- (عهدة عبدالحفيظ - عبدالحفيظ - الفرقة الثالثة)  - حواله رقم 9732  شركة العامري للصرافة - استلام عهدة بامر"/>
    <n v="0"/>
  </r>
  <r>
    <n v="179"/>
    <s v="RC005"/>
    <x v="4"/>
    <s v="قبض عهدة"/>
    <n v="11010101"/>
    <x v="3"/>
    <x v="76"/>
    <x v="1"/>
    <n v="1"/>
    <n v="0"/>
    <n v="9980"/>
    <n v="0"/>
    <n v="9980"/>
    <s v="عبدالحفيظ"/>
    <s v="حواله"/>
    <s v="شركة العامري للصرافة"/>
    <n v="9732"/>
    <s v="الفرقة الثالثة"/>
    <n v="1"/>
    <d v="2026-06-07T00:00:00"/>
    <m/>
    <m/>
    <n v="2026"/>
    <x v="0"/>
    <n v="7"/>
    <s v="قيـد مقابـل:- (عهدة عبدالحفيظ - عبدالحفيظ - الفرقة الثالثة)  - حواله رقم 9732  شركة العامري للصرافة - استلام عهدة بامر"/>
    <n v="0"/>
  </r>
  <r>
    <n v="180"/>
    <s v="JV086"/>
    <x v="5"/>
    <s v="قيد عهده"/>
    <n v="31010101"/>
    <x v="2"/>
    <x v="77"/>
    <x v="0"/>
    <n v="405"/>
    <n v="43000"/>
    <n v="0"/>
    <n v="106.17283950617283"/>
    <n v="0"/>
    <s v="السيطرة والاتصالات"/>
    <s v="استلام نقدي"/>
    <s v="سند استلام"/>
    <n v="0"/>
    <s v="الفرقة الثالثة"/>
    <n v="1"/>
    <d v="2026-06-08T00:00:00"/>
    <m/>
    <m/>
    <n v="2026"/>
    <x v="0"/>
    <n v="8"/>
    <s v="قيـد مقابـل:- (مصاريف  صرفة يومية للافراد  - السيطرة والاتصالات - الفرقة الثالثة)  - استلام نقدي رقم   سند استلام - صرف الصرفة اليومية للسيطرة والاتصالات لعدد 5 بامر"/>
    <n v="0"/>
  </r>
  <r>
    <n v="181"/>
    <s v="JV086"/>
    <x v="5"/>
    <s v="قيد عهده"/>
    <n v="11060205"/>
    <x v="16"/>
    <x v="77"/>
    <x v="0"/>
    <n v="405"/>
    <n v="0"/>
    <n v="43000"/>
    <n v="0"/>
    <n v="106.17283950617283"/>
    <s v="السيطرة والاتصالات"/>
    <s v="استلام نقدي"/>
    <s v="سند استلام"/>
    <n v="0"/>
    <s v="الفرقة الثالثة"/>
    <n v="1"/>
    <d v="2026-06-08T00:00:00"/>
    <m/>
    <m/>
    <n v="2026"/>
    <x v="0"/>
    <n v="8"/>
    <s v="قيـد مقابـل:- (مصاريف  صرفة يومية للافراد  - السيطرة والاتصالات - الفرقة الثالثة)  - استلام نقدي رقم   سند استلام - صرف الصرفة اليومية للسيطرة والاتصالات لعدد 5 بامر"/>
    <n v="0"/>
  </r>
  <r>
    <n v="182"/>
    <s v="JV087"/>
    <x v="5"/>
    <s v="قيد عهده"/>
    <n v="31010101"/>
    <x v="2"/>
    <x v="78"/>
    <x v="0"/>
    <n v="405"/>
    <n v="30000"/>
    <n v="0"/>
    <n v="74.074074074074076"/>
    <n v="0"/>
    <s v="التوجيه"/>
    <s v="استلام نقدي"/>
    <s v="سند استلام"/>
    <n v="0"/>
    <s v="الفرقة الثالثة"/>
    <n v="1"/>
    <d v="2026-06-08T00:00:00"/>
    <m/>
    <m/>
    <n v="2026"/>
    <x v="0"/>
    <n v="8"/>
    <s v="قيـد مقابـل:- (مصاريف  صرفة يومية للافراد  - التوجيه - الفرقة الثالثة)  - استلام نقدي رقم   سند استلام - صرف الصرفة اليومية للتوجيه عدد 2 بامر"/>
    <n v="0"/>
  </r>
  <r>
    <n v="183"/>
    <s v="JV087"/>
    <x v="5"/>
    <s v="قيد عهده"/>
    <n v="11060205"/>
    <x v="16"/>
    <x v="78"/>
    <x v="0"/>
    <n v="405"/>
    <n v="0"/>
    <n v="30000"/>
    <n v="0"/>
    <n v="74.074074074074076"/>
    <s v="التوجيه"/>
    <s v="استلام نقدي"/>
    <s v="سند استلام"/>
    <n v="0"/>
    <s v="الفرقة الثالثة"/>
    <n v="1"/>
    <d v="2026-06-08T00:00:00"/>
    <m/>
    <m/>
    <n v="2026"/>
    <x v="0"/>
    <n v="8"/>
    <s v="قيـد مقابـل:- (مصاريف  صرفة يومية للافراد  - التوجيه - الفرقة الثالثة)  - استلام نقدي رقم   سند استلام - صرف الصرفة اليومية للتوجيه عدد 2 بامر"/>
    <n v="0"/>
  </r>
  <r>
    <n v="184"/>
    <s v="JV088"/>
    <x v="5"/>
    <s v="قيد عهده"/>
    <n v="31010101"/>
    <x v="2"/>
    <x v="79"/>
    <x v="0"/>
    <n v="405"/>
    <n v="128000"/>
    <n v="0"/>
    <n v="316.04938271604937"/>
    <n v="0"/>
    <s v="الامداد"/>
    <s v="استلام نقدي"/>
    <s v="سند استلام"/>
    <n v="0"/>
    <s v="الفرقة الثالثة"/>
    <n v="1"/>
    <d v="2026-06-08T00:00:00"/>
    <m/>
    <m/>
    <n v="2026"/>
    <x v="0"/>
    <n v="8"/>
    <s v="قيـد مقابـل:- (مصاريف  صرفة يومية للافراد  - الامداد - الفرقة الثالثة)  - استلام نقدي رقم   سند استلام - صرف الصرفة اليومية  لافراد الامداد لعدد 12 بامر"/>
    <n v="0"/>
  </r>
  <r>
    <n v="185"/>
    <s v="JV088"/>
    <x v="5"/>
    <s v="قيد عهده"/>
    <n v="11060205"/>
    <x v="16"/>
    <x v="79"/>
    <x v="0"/>
    <n v="405"/>
    <n v="0"/>
    <n v="128000"/>
    <n v="0"/>
    <n v="316.04938271604937"/>
    <s v="الامداد"/>
    <s v="استلام نقدي"/>
    <s v="سند استلام"/>
    <n v="0"/>
    <s v="الفرقة الثالثة"/>
    <n v="1"/>
    <d v="2026-06-08T00:00:00"/>
    <m/>
    <m/>
    <n v="2026"/>
    <x v="0"/>
    <n v="8"/>
    <s v="قيـد مقابـل:- (مصاريف  صرفة يومية للافراد  - الامداد - الفرقة الثالثة)  - استلام نقدي رقم   سند استلام - صرف الصرفة اليومية  لافراد الامداد لعدد 12 بامر"/>
    <n v="0"/>
  </r>
  <r>
    <n v="186"/>
    <s v="JV089"/>
    <x v="5"/>
    <s v="قيد عهده"/>
    <n v="31010101"/>
    <x v="2"/>
    <x v="80"/>
    <x v="0"/>
    <n v="405"/>
    <n v="15000"/>
    <n v="0"/>
    <n v="37.037037037037038"/>
    <n v="0"/>
    <s v="البشرية و الصراف"/>
    <s v="استلام نقدي"/>
    <s v="سند استلام"/>
    <n v="0"/>
    <s v="الفرقة الثالثة"/>
    <n v="1"/>
    <d v="2026-06-08T00:00:00"/>
    <m/>
    <m/>
    <n v="2026"/>
    <x v="0"/>
    <n v="8"/>
    <s v="قيـد مقابـل:- (مصاريف  صرفة يومية للافراد  - البشرية و الصراف - الفرقة الثالثة)  - استلام نقدي رقم   سند استلام - صرف الصرفة اليومية  للبشرة والصراف عدد 1 بامر"/>
    <n v="0"/>
  </r>
  <r>
    <n v="187"/>
    <s v="JV089"/>
    <x v="5"/>
    <s v="قيد عهده"/>
    <n v="11060205"/>
    <x v="16"/>
    <x v="80"/>
    <x v="0"/>
    <n v="405"/>
    <n v="0"/>
    <n v="15000"/>
    <n v="0"/>
    <n v="37.037037037037038"/>
    <s v="البشرية و الصراف"/>
    <s v="استلام نقدي"/>
    <s v="سند استلام"/>
    <n v="0"/>
    <s v="الفرقة الثالثة"/>
    <n v="1"/>
    <d v="2026-06-08T00:00:00"/>
    <m/>
    <m/>
    <n v="2026"/>
    <x v="0"/>
    <n v="8"/>
    <s v="قيـد مقابـل:- (مصاريف  صرفة يومية للافراد  - البشرية و الصراف - الفرقة الثالثة)  - استلام نقدي رقم   سند استلام - صرف الصرفة اليومية  للبشرة والصراف عدد 1 بامر"/>
    <n v="0"/>
  </r>
  <r>
    <n v="188"/>
    <s v="JV090"/>
    <x v="5"/>
    <s v="قيد عهده"/>
    <n v="31010101"/>
    <x v="2"/>
    <x v="81"/>
    <x v="0"/>
    <n v="405"/>
    <n v="65000"/>
    <n v="0"/>
    <n v="160.49382716049382"/>
    <n v="0"/>
    <s v="الاستخبارات"/>
    <s v="استلام نقدي"/>
    <s v="سند استلام"/>
    <n v="0"/>
    <s v="الفرقة الثالثة"/>
    <n v="1"/>
    <d v="2026-06-08T00:00:00"/>
    <m/>
    <m/>
    <n v="2026"/>
    <x v="0"/>
    <n v="8"/>
    <s v="قيـد مقابـل:- (مصاريف  صرفة يومية للافراد  - الاستخبارات - الفرقة الثالثة)  - استلام نقدي رقم   سند استلام - صرف الصرفة اليومية  الاستخبارات لعدد 4 بامر"/>
    <n v="0"/>
  </r>
  <r>
    <n v="189"/>
    <s v="JV090"/>
    <x v="5"/>
    <s v="قيد عهده"/>
    <n v="11060205"/>
    <x v="16"/>
    <x v="81"/>
    <x v="0"/>
    <n v="405"/>
    <n v="0"/>
    <n v="65000"/>
    <n v="0"/>
    <n v="160.49382716049382"/>
    <s v="الاستخبارات"/>
    <s v="استلام نقدي"/>
    <s v="سند استلام"/>
    <n v="0"/>
    <s v="الفرقة الثالثة"/>
    <n v="1"/>
    <d v="2026-06-08T00:00:00"/>
    <m/>
    <m/>
    <n v="2026"/>
    <x v="0"/>
    <n v="8"/>
    <s v="قيـد مقابـل:- (مصاريف  صرفة يومية للافراد  - الاستخبارات - الفرقة الثالثة)  - استلام نقدي رقم   سند استلام - صرف الصرفة اليومية  الاستخبارات لعدد 4 بامر"/>
    <n v="0"/>
  </r>
  <r>
    <n v="190"/>
    <s v="JV091"/>
    <x v="5"/>
    <s v="قيد عهده"/>
    <n v="31010101"/>
    <x v="2"/>
    <x v="82"/>
    <x v="0"/>
    <n v="405"/>
    <n v="10000"/>
    <n v="0"/>
    <n v="24.691358024691358"/>
    <n v="0"/>
    <s v="المدفعية"/>
    <s v="استلام نقدي"/>
    <s v="سند استلام"/>
    <n v="0"/>
    <s v="الفرقة الثالثة"/>
    <n v="1"/>
    <d v="2026-06-08T00:00:00"/>
    <m/>
    <m/>
    <n v="2026"/>
    <x v="0"/>
    <n v="8"/>
    <s v="قيـد مقابـل:- (مصاريف  صرفة يومية للافراد  - المدفعية - الفرقة الثالثة)  - استلام نقدي رقم   سند استلام - صرف الصرفة اليومية للمدفعية لعدد 1 بامر"/>
    <n v="0"/>
  </r>
  <r>
    <n v="191"/>
    <s v="JV091"/>
    <x v="5"/>
    <s v="قيد عهده"/>
    <n v="11060205"/>
    <x v="16"/>
    <x v="82"/>
    <x v="0"/>
    <n v="405"/>
    <n v="0"/>
    <n v="10000"/>
    <n v="0"/>
    <n v="24.691358024691358"/>
    <s v="المدفعية"/>
    <s v="استلام نقدي"/>
    <s v="سند استلام"/>
    <n v="0"/>
    <s v="الفرقة الثالثة"/>
    <n v="1"/>
    <d v="2026-06-08T00:00:00"/>
    <m/>
    <m/>
    <n v="2026"/>
    <x v="0"/>
    <n v="8"/>
    <s v="قيـد مقابـل:- (مصاريف  صرفة يومية للافراد  - المدفعية - الفرقة الثالثة)  - استلام نقدي رقم   سند استلام - صرف الصرفة اليومية للمدفعية لعدد 1 بامر"/>
    <n v="0"/>
  </r>
  <r>
    <n v="192"/>
    <s v="JV092"/>
    <x v="5"/>
    <s v="قيد عهده"/>
    <n v="31010101"/>
    <x v="2"/>
    <x v="83"/>
    <x v="0"/>
    <n v="405"/>
    <n v="60000"/>
    <n v="0"/>
    <n v="148.14814814814815"/>
    <n v="0"/>
    <s v="المستشارين والمساعدين"/>
    <s v="استلام نقدي"/>
    <s v="سند استلام"/>
    <n v="0"/>
    <s v="الفرقة الثالثة"/>
    <n v="1"/>
    <d v="2026-06-08T00:00:00"/>
    <m/>
    <m/>
    <n v="2026"/>
    <x v="0"/>
    <n v="8"/>
    <s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
    <n v="0"/>
  </r>
  <r>
    <n v="193"/>
    <s v="JV092"/>
    <x v="5"/>
    <s v="قيد عهده"/>
    <n v="11060205"/>
    <x v="16"/>
    <x v="83"/>
    <x v="0"/>
    <n v="405"/>
    <n v="0"/>
    <n v="60000"/>
    <n v="0"/>
    <n v="148.14814814814815"/>
    <s v="المستشارين والمساعدين"/>
    <s v="استلام نقدي"/>
    <s v="سند استلام"/>
    <n v="0"/>
    <s v="الفرقة الثالثة"/>
    <n v="1"/>
    <d v="2026-06-08T00:00:00"/>
    <m/>
    <m/>
    <n v="2026"/>
    <x v="0"/>
    <n v="8"/>
    <s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
    <n v="0"/>
  </r>
  <r>
    <n v="194"/>
    <s v="JV093"/>
    <x v="5"/>
    <s v="قيد عهده"/>
    <n v="31010101"/>
    <x v="2"/>
    <x v="84"/>
    <x v="0"/>
    <n v="405"/>
    <n v="32000"/>
    <n v="0"/>
    <n v="79.012345679012341"/>
    <n v="0"/>
    <s v="الطبية والمحاسبين"/>
    <s v="استلام نقدي"/>
    <s v="سند استلام"/>
    <n v="0"/>
    <s v="الفرقة الثالثة"/>
    <n v="1"/>
    <d v="2026-06-08T00:00:00"/>
    <m/>
    <m/>
    <n v="2026"/>
    <x v="0"/>
    <n v="8"/>
    <s v="قيـد مقابـل:- (مصاريف  صرفة يومية للافراد  - الطبية والمحاسبين - الفرقة الثالثة)  - استلام نقدي رقم   سند استلام - صرف الصرفة اليومية للطبية والمحاسبين لعدد 5 بامر"/>
    <n v="0"/>
  </r>
  <r>
    <n v="195"/>
    <s v="JV093"/>
    <x v="5"/>
    <s v="قيد عهده"/>
    <n v="11060205"/>
    <x v="16"/>
    <x v="84"/>
    <x v="0"/>
    <n v="405"/>
    <n v="0"/>
    <n v="32000"/>
    <n v="0"/>
    <n v="79.012345679012341"/>
    <s v="الطبية والمحاسبين"/>
    <s v="استلام نقدي"/>
    <s v="سند استلام"/>
    <n v="0"/>
    <s v="الفرقة الثالثة"/>
    <n v="1"/>
    <d v="2026-06-08T00:00:00"/>
    <m/>
    <m/>
    <n v="2026"/>
    <x v="0"/>
    <n v="8"/>
    <s v="قيـد مقابـل:- (مصاريف  صرفة يومية للافراد  - الطبية والمحاسبين - الفرقة الثالثة)  - استلام نقدي رقم   سند استلام - صرف الصرفة اليومية للطبية والمحاسبين لعدد 5 بامر"/>
    <n v="0"/>
  </r>
  <r>
    <n v="196"/>
    <s v="JV094"/>
    <x v="5"/>
    <s v="قيد عهده"/>
    <n v="31010101"/>
    <x v="2"/>
    <x v="85"/>
    <x v="0"/>
    <n v="405"/>
    <n v="70000"/>
    <n v="0"/>
    <n v="172.83950617283949"/>
    <n v="0"/>
    <s v="الضباط السابقين"/>
    <s v="استلام نقدي"/>
    <s v="سند استلام"/>
    <n v="0"/>
    <s v="الفرقة الثالثة"/>
    <n v="1"/>
    <d v="2026-06-08T00:00:00"/>
    <m/>
    <m/>
    <n v="2026"/>
    <x v="0"/>
    <n v="8"/>
    <s v="قيـد مقابـل:- (مصاريف  صرفة يومية للافراد  - الضباط السابقين - الفرقة الثالثة)  - استلام نقدي رقم   سند استلام - صرف الصرفة اليومية ضباط سابقين لعدد 7 بامر"/>
    <n v="0"/>
  </r>
  <r>
    <n v="197"/>
    <s v="JV094"/>
    <x v="5"/>
    <s v="قيد عهده"/>
    <n v="11060205"/>
    <x v="16"/>
    <x v="85"/>
    <x v="0"/>
    <n v="405"/>
    <n v="0"/>
    <n v="70000"/>
    <n v="0"/>
    <n v="172.83950617283949"/>
    <s v="الضباط السابقين"/>
    <s v="استلام نقدي"/>
    <s v="سند استلام"/>
    <n v="0"/>
    <s v="الفرقة الثالثة"/>
    <n v="1"/>
    <d v="2026-06-08T00:00:00"/>
    <m/>
    <m/>
    <n v="2026"/>
    <x v="0"/>
    <n v="8"/>
    <s v="قيـد مقابـل:- (مصاريف  صرفة يومية للافراد  - الضباط السابقين - الفرقة الثالثة)  - استلام نقدي رقم   سند استلام - صرف الصرفة اليومية ضباط سابقين لعدد 7 بامر"/>
    <n v="0"/>
  </r>
  <r>
    <n v="198"/>
    <s v="JV095"/>
    <x v="5"/>
    <s v="قيد عهده"/>
    <n v="31010101"/>
    <x v="2"/>
    <x v="86"/>
    <x v="0"/>
    <n v="405"/>
    <n v="105000"/>
    <n v="0"/>
    <n v="259.25925925925924"/>
    <n v="0"/>
    <s v="اخرون "/>
    <s v="استلام نقدي"/>
    <s v="سند استلام"/>
    <n v="0"/>
    <s v="الفرقة الثالثة"/>
    <n v="1"/>
    <d v="2026-06-08T00:00:00"/>
    <m/>
    <m/>
    <n v="2026"/>
    <x v="0"/>
    <n v="8"/>
    <s v="قيـد مقابـل:- (مصاريف  صرفة يومية للافراد  - اخرون  - الفرقة الثالثة)  - استلام نقدي رقم   سند استلام - صرف الصرفة اليومية ل اهرى 105000 بامرالقائد"/>
    <s v="القائد"/>
  </r>
  <r>
    <n v="199"/>
    <s v="JV095"/>
    <x v="5"/>
    <s v="قيد عهده"/>
    <n v="11060205"/>
    <x v="16"/>
    <x v="86"/>
    <x v="0"/>
    <n v="405"/>
    <n v="0"/>
    <n v="105000"/>
    <n v="0"/>
    <n v="259.25925925925924"/>
    <s v="اخرون "/>
    <s v="استلام نقدي"/>
    <s v="سند استلام"/>
    <n v="0"/>
    <s v="الفرقة الثالثة"/>
    <n v="1"/>
    <d v="2026-06-08T00:00:00"/>
    <m/>
    <m/>
    <n v="2026"/>
    <x v="0"/>
    <n v="8"/>
    <s v="قيـد مقابـل:- (مصاريف  صرفة يومية للافراد  - اخرون  - الفرقة الثالثة)  - استلام نقدي رقم   سند استلام - صرف الصرفة اليومية ل اهرى 105000 بامرالقائد"/>
    <s v="القائد"/>
  </r>
  <r>
    <n v="200"/>
    <s v="JV096"/>
    <x v="5"/>
    <s v="قيد عهده"/>
    <n v="31010101"/>
    <x v="2"/>
    <x v="87"/>
    <x v="0"/>
    <n v="405"/>
    <n v="28000"/>
    <n v="0"/>
    <n v="69.135802469135797"/>
    <n v="0"/>
    <s v="الاشغال"/>
    <s v="استلام نقدي"/>
    <s v="سند استلام"/>
    <n v="0"/>
    <s v="الفرقة الثالثة"/>
    <n v="1"/>
    <d v="2026-06-08T00:00:00"/>
    <m/>
    <m/>
    <n v="2026"/>
    <x v="0"/>
    <n v="8"/>
    <s v="قيـد مقابـل:- (مصاريف  صرفة يومية للافراد  - الاشغال - الفرقة الثالثة)  - استلام نقدي رقم   سند استلام - صرف الصرفة اليومية للاشغال لعدد 3 بامر"/>
    <n v="0"/>
  </r>
  <r>
    <n v="201"/>
    <s v="JV096"/>
    <x v="5"/>
    <s v="قيد عهده"/>
    <n v="11060205"/>
    <x v="16"/>
    <x v="87"/>
    <x v="0"/>
    <n v="405"/>
    <n v="0"/>
    <n v="28000"/>
    <n v="0"/>
    <n v="69.135802469135797"/>
    <s v="الاشغال"/>
    <s v="استلام نقدي"/>
    <s v="سند استلام"/>
    <n v="0"/>
    <s v="الفرقة الثالثة"/>
    <n v="1"/>
    <d v="2026-06-08T00:00:00"/>
    <m/>
    <m/>
    <n v="2026"/>
    <x v="0"/>
    <n v="8"/>
    <s v="قيـد مقابـل:- (مصاريف  صرفة يومية للافراد  - الاشغال - الفرقة الثالثة)  - استلام نقدي رقم   سند استلام - صرف الصرفة اليومية للاشغال لعدد 3 بامر"/>
    <n v="0"/>
  </r>
  <r>
    <n v="202"/>
    <s v="JV097"/>
    <x v="5"/>
    <s v="قيد عهده"/>
    <n v="31010101"/>
    <x v="2"/>
    <x v="88"/>
    <x v="0"/>
    <n v="405"/>
    <n v="176000"/>
    <n v="0"/>
    <n v="434.5679012345679"/>
    <n v="0"/>
    <s v="سرية اللواء السادس"/>
    <s v="استلام نقدي"/>
    <s v="سند استلام"/>
    <n v="0"/>
    <s v="اللواء السادس"/>
    <n v="7"/>
    <d v="2026-06-08T00:00:00"/>
    <m/>
    <m/>
    <n v="2026"/>
    <x v="0"/>
    <n v="8"/>
    <s v="قيـد مقابـل:- (مصاريف  صرفة يومية للافراد  - سرية اللواء السادس - اللواء السادس)  - استلام نقدي رقم   سند استلام - مصاريف يومية سرية اللواء السادس عدد 44 بامر"/>
    <n v="0"/>
  </r>
  <r>
    <n v="203"/>
    <s v="JV097"/>
    <x v="5"/>
    <s v="قيد عهده"/>
    <n v="11060205"/>
    <x v="16"/>
    <x v="88"/>
    <x v="0"/>
    <n v="405"/>
    <n v="0"/>
    <n v="176000"/>
    <n v="0"/>
    <n v="434.5679012345679"/>
    <s v="سرية اللواء السادس"/>
    <s v="استلام نقدي"/>
    <s v="سند استلام"/>
    <n v="0"/>
    <s v="اللواء السادس"/>
    <n v="7"/>
    <d v="2026-06-08T00:00:00"/>
    <m/>
    <m/>
    <n v="2026"/>
    <x v="0"/>
    <n v="8"/>
    <s v="قيـد مقابـل:- (مصاريف  صرفة يومية للافراد  - سرية اللواء السادس - اللواء السادس)  - استلام نقدي رقم   سند استلام - مصاريف يومية سرية اللواء السادس عدد 44 بامر"/>
    <n v="0"/>
  </r>
  <r>
    <n v="204"/>
    <s v="JV098"/>
    <x v="5"/>
    <s v="قيد عهده"/>
    <n v="31010122"/>
    <x v="15"/>
    <x v="89"/>
    <x v="0"/>
    <n v="405"/>
    <n v="200000"/>
    <n v="0"/>
    <n v="493.82716049382714"/>
    <n v="0"/>
    <s v="فريق المدفعية"/>
    <s v="استلام نقدي"/>
    <s v="سند استلام"/>
    <n v="0"/>
    <s v="الفرقة الثالثة"/>
    <n v="1"/>
    <d v="2026-06-08T00:00:00"/>
    <m/>
    <m/>
    <n v="2026"/>
    <x v="0"/>
    <n v="8"/>
    <s v="قيـد مقابـل:- (مصاريف سفر وتنقلات  - فريق المدفعية - الفرقة الثالثة)  - استلام نقدي رقم   سند استلام - مصاريف طريق لافراد المدفعية بامرالأركان جمال مسدوس"/>
    <s v="الأركان جمال مسدوس"/>
  </r>
  <r>
    <n v="205"/>
    <s v="JV098"/>
    <x v="5"/>
    <s v="قيد عهده"/>
    <n v="11060205"/>
    <x v="16"/>
    <x v="89"/>
    <x v="0"/>
    <n v="405"/>
    <n v="0"/>
    <n v="200000"/>
    <n v="0"/>
    <n v="493.82716049382714"/>
    <s v="فريق المدفعية"/>
    <s v="استلام نقدي"/>
    <s v="سند استلام"/>
    <n v="0"/>
    <s v="الفرقة الثالثة"/>
    <n v="1"/>
    <d v="2026-06-08T00:00:00"/>
    <m/>
    <m/>
    <n v="2026"/>
    <x v="0"/>
    <n v="8"/>
    <s v="قيـد مقابـل:- (مصاريف سفر وتنقلات  - فريق المدفعية - الفرقة الثالثة)  - استلام نقدي رقم   سند استلام - مصاريف طريق لافراد المدفعية بامرالأركان جمال مسدوس"/>
    <s v="الأركان جمال مسدوس"/>
  </r>
  <r>
    <n v="206"/>
    <s v="JV099"/>
    <x v="5"/>
    <s v="قيد عهده"/>
    <n v="31010114"/>
    <x v="4"/>
    <x v="90"/>
    <x v="0"/>
    <n v="405"/>
    <n v="12000"/>
    <n v="0"/>
    <n v="29.62962962962963"/>
    <n v="0"/>
    <s v="محمد فؤاد+ محمد سمير+محمد علي + كريم اكرم"/>
    <s v="استلام نقدي"/>
    <s v="سند استلام"/>
    <n v="0"/>
    <s v="الفرقة الثالثة"/>
    <n v="1"/>
    <d v="2026-06-08T00:00:00"/>
    <m/>
    <m/>
    <n v="2026"/>
    <x v="0"/>
    <n v="8"/>
    <s v="قيـد مقابـل:- (مصاريف حوافز ومكافئات  - محمد فؤاد+ محمد سمير+محمد علي + كريم اكرم - الفرقة الثالثة)  - استلام نقدي رقم   سند استلام - مصروف حافز لافراد السيطرة بامر"/>
    <n v="0"/>
  </r>
  <r>
    <n v="207"/>
    <s v="JV099"/>
    <x v="5"/>
    <s v="قيد عهده"/>
    <n v="11060205"/>
    <x v="16"/>
    <x v="90"/>
    <x v="0"/>
    <n v="405"/>
    <n v="0"/>
    <n v="12000"/>
    <n v="0"/>
    <n v="29.62962962962963"/>
    <s v="محمد فؤاد+ محمد سمير+محمد علي + كريم اكرم"/>
    <s v="استلام نقدي"/>
    <s v="سند استلام"/>
    <n v="0"/>
    <s v="الفرقة الثالثة"/>
    <n v="1"/>
    <d v="2026-06-08T00:00:00"/>
    <m/>
    <m/>
    <n v="2026"/>
    <x v="0"/>
    <n v="8"/>
    <s v="قيـد مقابـل:- (مصاريف حوافز ومكافئات  - محمد فؤاد+ محمد سمير+محمد علي + كريم اكرم - الفرقة الثالثة)  - استلام نقدي رقم   سند استلام - مصروف حافز لافراد السيطرة بامر"/>
    <n v="0"/>
  </r>
  <r>
    <n v="208"/>
    <s v="JV100"/>
    <x v="5"/>
    <s v="قيد عهده"/>
    <n v="31010101"/>
    <x v="2"/>
    <x v="91"/>
    <x v="0"/>
    <n v="405"/>
    <n v="20000"/>
    <n v="0"/>
    <n v="49.382716049382715"/>
    <n v="0"/>
    <s v="مجدي مسدوس و جميل جمال البجير"/>
    <s v="استلام نقدي"/>
    <s v="سند استلام"/>
    <n v="0"/>
    <s v="الفرقة الثالثة"/>
    <n v="1"/>
    <d v="2026-06-08T00:00:00"/>
    <m/>
    <m/>
    <n v="2026"/>
    <x v="0"/>
    <n v="8"/>
    <s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
    <s v="الأركان جمال مسدوس"/>
  </r>
  <r>
    <n v="209"/>
    <s v="JV100"/>
    <x v="5"/>
    <s v="قيد عهده"/>
    <n v="11060205"/>
    <x v="16"/>
    <x v="91"/>
    <x v="0"/>
    <n v="405"/>
    <n v="0"/>
    <n v="20000"/>
    <n v="0"/>
    <n v="49.382716049382715"/>
    <s v="مجدي مسدوس و جميل جمال البجير"/>
    <s v="استلام نقدي"/>
    <s v="سند استلام"/>
    <n v="0"/>
    <s v="الفرقة الثالثة"/>
    <n v="1"/>
    <d v="2026-06-08T00:00:00"/>
    <m/>
    <m/>
    <n v="2026"/>
    <x v="0"/>
    <n v="8"/>
    <s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
    <s v="الأركان جمال مسدوس"/>
  </r>
  <r>
    <n v="210"/>
    <s v="JV101"/>
    <x v="5"/>
    <s v="قيد عهده"/>
    <n v="31010122"/>
    <x v="15"/>
    <x v="92"/>
    <x v="0"/>
    <n v="405"/>
    <n v="80000"/>
    <n v="0"/>
    <n v="197.53086419753086"/>
    <n v="0"/>
    <s v="عبدالرحمن رسام "/>
    <s v="استلام نقدي"/>
    <s v="سند استلام"/>
    <n v="0"/>
    <s v="اللواء السادس"/>
    <n v="7"/>
    <d v="2026-06-08T00:00:00"/>
    <m/>
    <m/>
    <n v="2026"/>
    <x v="0"/>
    <n v="8"/>
    <s v="قيـد مقابـل:- (مصاريف سفر وتنقلات  - عبدالرحمن رسام  - اللواء السادس)  - استلام نقدي رقم   سند استلام - مصاريف سفر بامرالأركان جمال مسدوس"/>
    <s v="الأركان جمال مسدوس"/>
  </r>
  <r>
    <n v="211"/>
    <s v="JV101"/>
    <x v="5"/>
    <s v="قيد عهده"/>
    <n v="11060205"/>
    <x v="16"/>
    <x v="92"/>
    <x v="0"/>
    <n v="405"/>
    <n v="0"/>
    <n v="80000"/>
    <n v="0"/>
    <n v="197.53086419753086"/>
    <s v="عبدالرحمن رسام "/>
    <s v="استلام نقدي"/>
    <s v="سند استلام"/>
    <n v="0"/>
    <s v="اللواء السادس"/>
    <n v="7"/>
    <d v="2026-06-08T00:00:00"/>
    <m/>
    <m/>
    <n v="2026"/>
    <x v="0"/>
    <n v="8"/>
    <s v="قيـد مقابـل:- (مصاريف سفر وتنقلات  - عبدالرحمن رسام  - اللواء السادس)  - استلام نقدي رقم   سند استلام - مصاريف سفر بامرالأركان جمال مسدوس"/>
    <s v="الأركان جمال مسدوس"/>
  </r>
  <r>
    <n v="212"/>
    <s v="JV102"/>
    <x v="5"/>
    <s v="قيد عهده"/>
    <n v="31010114"/>
    <x v="4"/>
    <x v="93"/>
    <x v="0"/>
    <n v="405"/>
    <n v="50000"/>
    <n v="0"/>
    <n v="123.45679012345678"/>
    <n v="0"/>
    <s v="مجدي مسدوس"/>
    <s v="استلام نقدي"/>
    <s v="سند استلام"/>
    <n v="0"/>
    <s v="الفرقة الثالثة"/>
    <n v="1"/>
    <d v="2026-06-08T00:00:00"/>
    <m/>
    <m/>
    <n v="2026"/>
    <x v="0"/>
    <n v="8"/>
    <s v="قيـد مقابـل:- (مصاريف حوافز ومكافئات  - مجدي مسدوس - الفرقة الثالثة)  - استلام نقدي رقم   سند استلام - مصاريف ل مجدي مسدوس  بامرالأركان جمال مسدوس"/>
    <s v="الأركان جمال مسدوس"/>
  </r>
  <r>
    <n v="213"/>
    <s v="JV102"/>
    <x v="5"/>
    <s v="قيد عهده"/>
    <n v="11060205"/>
    <x v="16"/>
    <x v="93"/>
    <x v="0"/>
    <n v="405"/>
    <n v="0"/>
    <n v="50000"/>
    <n v="0"/>
    <n v="123.45679012345678"/>
    <s v="مجدي مسدوس"/>
    <s v="استلام نقدي"/>
    <s v="سند استلام"/>
    <n v="0"/>
    <s v="الفرقة الثالثة"/>
    <n v="1"/>
    <d v="2026-06-08T00:00:00"/>
    <m/>
    <m/>
    <n v="2026"/>
    <x v="0"/>
    <n v="8"/>
    <s v="قيـد مقابـل:- (مصاريف حوافز ومكافئات  - مجدي مسدوس - الفرقة الثالثة)  - استلام نقدي رقم   سند استلام - مصاريف ل مجدي مسدوس  بامرالأركان جمال مسدوس"/>
    <s v="الأركان جمال مسدوس"/>
  </r>
  <r>
    <n v="214"/>
    <s v="JV103"/>
    <x v="6"/>
    <s v="قيد عهده"/>
    <n v="31010101"/>
    <x v="2"/>
    <x v="59"/>
    <x v="0"/>
    <n v="405"/>
    <n v="43000"/>
    <n v="0"/>
    <n v="106.17283950617283"/>
    <n v="0"/>
    <s v="السيطرة والاتصالات"/>
    <s v="كشف صرف"/>
    <s v="كشف صرف"/>
    <n v="0"/>
    <s v="الفرقة الثالثة"/>
    <n v="1"/>
    <d v="2026-06-09T00:00:00"/>
    <m/>
    <m/>
    <n v="2026"/>
    <x v="0"/>
    <n v="9"/>
    <s v="قيـد مقابـل:- (مصاريف  صرفة يومية للافراد  - السيطرة والاتصالات - الفرقة الثالثة)  - كشف صرف رقم   كشف صرف - صرف الصرفة اليومية للسيطرة والاتصالات لعدد 5 بامر"/>
    <n v="0"/>
  </r>
  <r>
    <n v="215"/>
    <s v="JV103"/>
    <x v="6"/>
    <s v="قيد عهده"/>
    <n v="11060205"/>
    <x v="16"/>
    <x v="59"/>
    <x v="0"/>
    <n v="405"/>
    <n v="0"/>
    <n v="43000"/>
    <n v="0"/>
    <n v="106.17283950617283"/>
    <s v="السيطرة والاتصالات"/>
    <s v="كشف صرف"/>
    <s v="كشف صرف"/>
    <n v="0"/>
    <s v="الفرقة الثالثة"/>
    <n v="1"/>
    <d v="2026-06-09T00:00:00"/>
    <m/>
    <m/>
    <n v="2026"/>
    <x v="0"/>
    <n v="9"/>
    <s v="قيـد مقابـل:- (مصاريف  صرفة يومية للافراد  - السيطرة والاتصالات - الفرقة الثالثة)  - كشف صرف رقم   كشف صرف - صرف الصرفة اليومية للسيطرة والاتصالات لعدد 5 بامر"/>
    <n v="0"/>
  </r>
  <r>
    <n v="216"/>
    <s v="JV104"/>
    <x v="6"/>
    <s v="قيد عهده"/>
    <n v="31010101"/>
    <x v="2"/>
    <x v="94"/>
    <x v="0"/>
    <n v="405"/>
    <n v="30000"/>
    <n v="0"/>
    <n v="74.074074074074076"/>
    <n v="0"/>
    <s v="التوجيه"/>
    <s v="كشف صرف"/>
    <s v="كشف صرف"/>
    <n v="0"/>
    <s v="الفرقة الثالثة"/>
    <n v="1"/>
    <d v="2026-06-09T00:00:00"/>
    <m/>
    <m/>
    <n v="2026"/>
    <x v="0"/>
    <n v="9"/>
    <s v="قيـد مقابـل:- (مصاريف  صرفة يومية للافراد  - التوجيه - الفرقة الثالثة)  - كشف صرف رقم   كشف صرف - صرف الصرفة اليومية للتوجيه عدد 2 بامر"/>
    <n v="0"/>
  </r>
  <r>
    <n v="217"/>
    <s v="JV104"/>
    <x v="6"/>
    <s v="قيد عهده"/>
    <n v="11060205"/>
    <x v="16"/>
    <x v="94"/>
    <x v="0"/>
    <n v="405"/>
    <n v="0"/>
    <n v="30000"/>
    <n v="0"/>
    <n v="74.074074074074076"/>
    <s v="التوجيه"/>
    <s v="كشف صرف"/>
    <s v="كشف صرف"/>
    <n v="0"/>
    <s v="الفرقة الثالثة"/>
    <n v="1"/>
    <d v="2026-06-09T00:00:00"/>
    <m/>
    <m/>
    <n v="2026"/>
    <x v="0"/>
    <n v="9"/>
    <s v="قيـد مقابـل:- (مصاريف  صرفة يومية للافراد  - التوجيه - الفرقة الثالثة)  - كشف صرف رقم   كشف صرف - صرف الصرفة اليومية للتوجيه عدد 2 بامر"/>
    <n v="0"/>
  </r>
  <r>
    <n v="218"/>
    <s v="JV105"/>
    <x v="6"/>
    <s v="قيد عهده"/>
    <n v="31010101"/>
    <x v="2"/>
    <x v="61"/>
    <x v="0"/>
    <n v="405"/>
    <n v="128000"/>
    <n v="0"/>
    <n v="316.04938271604937"/>
    <n v="0"/>
    <s v="الامداد"/>
    <s v="كشف صرف"/>
    <s v="كشف صرف"/>
    <n v="0"/>
    <s v="الفرقة الثالثة"/>
    <n v="1"/>
    <d v="2026-06-09T00:00:00"/>
    <m/>
    <m/>
    <n v="2026"/>
    <x v="0"/>
    <n v="9"/>
    <s v="قيـد مقابـل:- (مصاريف  صرفة يومية للافراد  - الامداد - الفرقة الثالثة)  - كشف صرف رقم   كشف صرف - صرف الصرفة اليومية  لافراد الامداد لعدد 12 بامر"/>
    <n v="0"/>
  </r>
  <r>
    <n v="219"/>
    <s v="JV105"/>
    <x v="6"/>
    <s v="قيد عهده"/>
    <n v="11060205"/>
    <x v="16"/>
    <x v="61"/>
    <x v="0"/>
    <n v="405"/>
    <n v="0"/>
    <n v="128000"/>
    <n v="0"/>
    <n v="316.04938271604937"/>
    <s v="الامداد"/>
    <s v="كشف صرف"/>
    <s v="كشف صرف"/>
    <n v="0"/>
    <s v="الفرقة الثالثة"/>
    <n v="1"/>
    <d v="2026-06-09T00:00:00"/>
    <m/>
    <m/>
    <n v="2026"/>
    <x v="0"/>
    <n v="9"/>
    <s v="قيـد مقابـل:- (مصاريف  صرفة يومية للافراد  - الامداد - الفرقة الثالثة)  - كشف صرف رقم   كشف صرف - صرف الصرفة اليومية  لافراد الامداد لعدد 12 بامر"/>
    <n v="0"/>
  </r>
  <r>
    <n v="220"/>
    <s v="JV106"/>
    <x v="6"/>
    <s v="قيد عهده"/>
    <n v="31010101"/>
    <x v="2"/>
    <x v="95"/>
    <x v="0"/>
    <n v="405"/>
    <n v="15000"/>
    <n v="0"/>
    <n v="37.037037037037038"/>
    <n v="0"/>
    <s v="البشرية و الصراف"/>
    <s v="كشف صرف"/>
    <s v="كشف صرف"/>
    <n v="0"/>
    <s v="الفرقة الثالثة"/>
    <n v="1"/>
    <d v="2026-06-09T00:00:00"/>
    <m/>
    <m/>
    <n v="2026"/>
    <x v="0"/>
    <n v="9"/>
    <s v="قيـد مقابـل:- (مصاريف  صرفة يومية للافراد  - البشرية و الصراف - الفرقة الثالثة)  - كشف صرف رقم   كشف صرف - صرف الصرفة اليومية  للبشرة والصراف عدد 2 بامر"/>
    <n v="0"/>
  </r>
  <r>
    <n v="221"/>
    <s v="JV106"/>
    <x v="6"/>
    <s v="قيد عهده"/>
    <n v="11060205"/>
    <x v="16"/>
    <x v="95"/>
    <x v="0"/>
    <n v="405"/>
    <n v="0"/>
    <n v="15000"/>
    <n v="0"/>
    <n v="37.037037037037038"/>
    <s v="البشرية و الصراف"/>
    <s v="كشف صرف"/>
    <s v="كشف صرف"/>
    <n v="0"/>
    <s v="الفرقة الثالثة"/>
    <n v="1"/>
    <d v="2026-06-09T00:00:00"/>
    <m/>
    <m/>
    <n v="2026"/>
    <x v="0"/>
    <n v="9"/>
    <s v="قيـد مقابـل:- (مصاريف  صرفة يومية للافراد  - البشرية و الصراف - الفرقة الثالثة)  - كشف صرف رقم   كشف صرف - صرف الصرفة اليومية  للبشرة والصراف عدد 2 بامر"/>
    <n v="0"/>
  </r>
  <r>
    <n v="222"/>
    <s v="JV107"/>
    <x v="6"/>
    <s v="قيد عهده"/>
    <n v="31010101"/>
    <x v="2"/>
    <x v="63"/>
    <x v="0"/>
    <n v="405"/>
    <n v="65000"/>
    <n v="0"/>
    <n v="160.49382716049382"/>
    <n v="0"/>
    <s v="الاستخبارات"/>
    <s v="كشف صرف"/>
    <s v="كشف صرف"/>
    <n v="0"/>
    <s v="الفرقة الثالثة"/>
    <n v="1"/>
    <d v="2026-06-09T00:00:00"/>
    <m/>
    <m/>
    <n v="2026"/>
    <x v="0"/>
    <n v="9"/>
    <s v="قيـد مقابـل:- (مصاريف  صرفة يومية للافراد  - الاستخبارات - الفرقة الثالثة)  - كشف صرف رقم   كشف صرف - صرف الصرفة اليومية  الاستخبارات لعدد 4 بامر"/>
    <n v="0"/>
  </r>
  <r>
    <n v="223"/>
    <s v="JV107"/>
    <x v="6"/>
    <s v="قيد عهده"/>
    <n v="11060205"/>
    <x v="16"/>
    <x v="63"/>
    <x v="0"/>
    <n v="405"/>
    <n v="0"/>
    <n v="65000"/>
    <n v="0"/>
    <n v="160.49382716049382"/>
    <s v="الاستخبارات"/>
    <s v="كشف صرف"/>
    <s v="كشف صرف"/>
    <n v="0"/>
    <s v="الفرقة الثالثة"/>
    <n v="1"/>
    <d v="2026-06-09T00:00:00"/>
    <m/>
    <m/>
    <n v="2026"/>
    <x v="0"/>
    <n v="9"/>
    <s v="قيـد مقابـل:- (مصاريف  صرفة يومية للافراد  - الاستخبارات - الفرقة الثالثة)  - كشف صرف رقم   كشف صرف - صرف الصرفة اليومية  الاستخبارات لعدد 4 بامر"/>
    <n v="0"/>
  </r>
  <r>
    <n v="224"/>
    <s v="JV108"/>
    <x v="6"/>
    <s v="قيد عهده"/>
    <n v="31010101"/>
    <x v="2"/>
    <x v="96"/>
    <x v="0"/>
    <n v="405"/>
    <n v="30000"/>
    <n v="0"/>
    <n v="74.074074074074076"/>
    <n v="0"/>
    <s v="المدفعية"/>
    <s v="كشف صرف"/>
    <s v="كشف صرف"/>
    <n v="0"/>
    <s v="الفرقة الثالثة"/>
    <n v="1"/>
    <d v="2026-06-09T00:00:00"/>
    <m/>
    <m/>
    <n v="2026"/>
    <x v="0"/>
    <n v="9"/>
    <s v="قيـد مقابـل:- (مصاريف  صرفة يومية للافراد  - المدفعية - الفرقة الثالثة)  - كشف صرف رقم   كشف صرف - صرف الصرفة اليومية للمدفعية لعدد 3 بامر"/>
    <n v="0"/>
  </r>
  <r>
    <n v="225"/>
    <s v="JV108"/>
    <x v="6"/>
    <s v="قيد عهده"/>
    <n v="11060205"/>
    <x v="16"/>
    <x v="96"/>
    <x v="0"/>
    <n v="405"/>
    <n v="0"/>
    <n v="30000"/>
    <n v="0"/>
    <n v="74.074074074074076"/>
    <s v="المدفعية"/>
    <s v="كشف صرف"/>
    <s v="كشف صرف"/>
    <n v="0"/>
    <s v="الفرقة الثالثة"/>
    <n v="1"/>
    <d v="2026-06-09T00:00:00"/>
    <m/>
    <m/>
    <n v="2026"/>
    <x v="0"/>
    <n v="9"/>
    <s v="قيـد مقابـل:- (مصاريف  صرفة يومية للافراد  - المدفعية - الفرقة الثالثة)  - كشف صرف رقم   كشف صرف - صرف الصرفة اليومية للمدفعية لعدد 3 بامر"/>
    <n v="0"/>
  </r>
  <r>
    <n v="226"/>
    <s v="JV109"/>
    <x v="6"/>
    <s v="قيد عهده"/>
    <n v="31010101"/>
    <x v="2"/>
    <x v="97"/>
    <x v="0"/>
    <n v="405"/>
    <n v="70000"/>
    <n v="0"/>
    <n v="172.83950617283949"/>
    <n v="0"/>
    <s v="المستشارين والمساعدين"/>
    <s v="كشف صرف"/>
    <s v="كشف صرف"/>
    <n v="0"/>
    <s v="الفرقة الثالثة"/>
    <n v="1"/>
    <d v="2026-06-09T00:00:00"/>
    <m/>
    <m/>
    <n v="2026"/>
    <x v="0"/>
    <n v="9"/>
    <s v="قيـد مقابـل:- (مصاريف  صرفة يومية للافراد  - المستشارين والمساعدين - الفرقة الثالثة)  - كشف صرف رقم   كشف صرف - صرف الصرفة اليومية للمستشارين والمساعدين عدد 7 بامر"/>
    <n v="0"/>
  </r>
  <r>
    <n v="227"/>
    <s v="JV109"/>
    <x v="6"/>
    <s v="قيد عهده"/>
    <n v="11060205"/>
    <x v="16"/>
    <x v="97"/>
    <x v="0"/>
    <n v="405"/>
    <n v="0"/>
    <n v="70000"/>
    <n v="0"/>
    <n v="172.83950617283949"/>
    <s v="المستشارين والمساعدين"/>
    <s v="كشف صرف"/>
    <s v="كشف صرف"/>
    <n v="0"/>
    <s v="الفرقة الثالثة"/>
    <n v="1"/>
    <d v="2026-06-09T00:00:00"/>
    <m/>
    <m/>
    <n v="2026"/>
    <x v="0"/>
    <n v="9"/>
    <s v="قيـد مقابـل:- (مصاريف  صرفة يومية للافراد  - المستشارين والمساعدين - الفرقة الثالثة)  - كشف صرف رقم   كشف صرف - صرف الصرفة اليومية للمستشارين والمساعدين عدد 7 بامر"/>
    <n v="0"/>
  </r>
  <r>
    <n v="228"/>
    <s v="JV110"/>
    <x v="6"/>
    <s v="قيد عهده"/>
    <n v="31010101"/>
    <x v="2"/>
    <x v="65"/>
    <x v="0"/>
    <n v="405"/>
    <n v="32000"/>
    <n v="0"/>
    <n v="79.012345679012341"/>
    <n v="0"/>
    <s v="الطبية والمحاسبين"/>
    <s v="كشف صرف"/>
    <s v="كشف صرف"/>
    <n v="0"/>
    <s v="الفرقة الثالثة"/>
    <n v="1"/>
    <d v="2026-06-09T00:00:00"/>
    <m/>
    <m/>
    <n v="2026"/>
    <x v="0"/>
    <n v="9"/>
    <s v="قيـد مقابـل:- (مصاريف  صرفة يومية للافراد  - الطبية والمحاسبين - الفرقة الثالثة)  - كشف صرف رقم   كشف صرف - صرف الصرفة اليومية للطبية والمحاسبين لعدد 5 بامر"/>
    <n v="0"/>
  </r>
  <r>
    <n v="229"/>
    <s v="JV110"/>
    <x v="6"/>
    <s v="قيد عهده"/>
    <n v="11060205"/>
    <x v="16"/>
    <x v="65"/>
    <x v="0"/>
    <n v="405"/>
    <n v="0"/>
    <n v="32000"/>
    <n v="0"/>
    <n v="79.012345679012341"/>
    <s v="الطبية والمحاسبين"/>
    <s v="كشف صرف"/>
    <s v="كشف صرف"/>
    <n v="0"/>
    <s v="الفرقة الثالثة"/>
    <n v="1"/>
    <d v="2026-06-09T00:00:00"/>
    <m/>
    <m/>
    <n v="2026"/>
    <x v="0"/>
    <n v="9"/>
    <s v="قيـد مقابـل:- (مصاريف  صرفة يومية للافراد  - الطبية والمحاسبين - الفرقة الثالثة)  - كشف صرف رقم   كشف صرف - صرف الصرفة اليومية للطبية والمحاسبين لعدد 5 بامر"/>
    <n v="0"/>
  </r>
  <r>
    <n v="230"/>
    <s v="JV111"/>
    <x v="6"/>
    <s v="قيد عهده"/>
    <n v="31010101"/>
    <x v="2"/>
    <x v="66"/>
    <x v="0"/>
    <n v="405"/>
    <n v="70000"/>
    <n v="0"/>
    <n v="172.83950617283949"/>
    <n v="0"/>
    <s v="الضباط السابقين"/>
    <s v="كشف صرف"/>
    <s v="كشف صرف"/>
    <n v="0"/>
    <s v="الفرقة الثالثة"/>
    <n v="1"/>
    <d v="2026-06-09T00:00:00"/>
    <m/>
    <m/>
    <n v="2026"/>
    <x v="0"/>
    <n v="9"/>
    <s v="قيـد مقابـل:- (مصاريف  صرفة يومية للافراد  - الضباط السابقين - الفرقة الثالثة)  - كشف صرف رقم   كشف صرف - صرف الصرفة اليومية ضباط سابقين لعدد 7 بامر"/>
    <n v="0"/>
  </r>
  <r>
    <n v="231"/>
    <s v="JV111"/>
    <x v="6"/>
    <s v="قيد عهده"/>
    <n v="11060205"/>
    <x v="16"/>
    <x v="66"/>
    <x v="0"/>
    <n v="405"/>
    <n v="0"/>
    <n v="70000"/>
    <n v="0"/>
    <n v="172.83950617283949"/>
    <s v="الضباط السابقين"/>
    <s v="كشف صرف"/>
    <s v="كشف صرف"/>
    <n v="0"/>
    <s v="الفرقة الثالثة"/>
    <n v="1"/>
    <d v="2026-06-09T00:00:00"/>
    <m/>
    <m/>
    <n v="2026"/>
    <x v="0"/>
    <n v="9"/>
    <s v="قيـد مقابـل:- (مصاريف  صرفة يومية للافراد  - الضباط السابقين - الفرقة الثالثة)  - كشف صرف رقم   كشف صرف - صرف الصرفة اليومية ضباط سابقين لعدد 7 بامر"/>
    <n v="0"/>
  </r>
  <r>
    <n v="232"/>
    <s v="JV112"/>
    <x v="6"/>
    <s v="قيد عهده"/>
    <n v="31010101"/>
    <x v="2"/>
    <x v="98"/>
    <x v="0"/>
    <n v="405"/>
    <n v="99000"/>
    <n v="0"/>
    <n v="244.44444444444446"/>
    <n v="0"/>
    <s v="اخرون"/>
    <s v="كشف صرف"/>
    <s v="كشف صرف"/>
    <n v="0"/>
    <s v="الفرقة الثالثة"/>
    <n v="1"/>
    <d v="2026-06-09T00:00:00"/>
    <m/>
    <m/>
    <n v="2026"/>
    <x v="0"/>
    <n v="9"/>
    <s v="قيـد مقابـل:- (مصاريف  صرفة يومية للافراد  - اخرون - الفرقة الثالثة)  - كشف صرف رقم   كشف صرف - الصرفة اليومية اخرون عدد 13 بامر"/>
    <n v="0"/>
  </r>
  <r>
    <n v="233"/>
    <s v="JV112"/>
    <x v="6"/>
    <s v="قيد عهده"/>
    <n v="11060205"/>
    <x v="16"/>
    <x v="98"/>
    <x v="0"/>
    <n v="405"/>
    <n v="0"/>
    <n v="99000"/>
    <n v="0"/>
    <n v="244.44444444444446"/>
    <s v="اخرون"/>
    <s v="كشف صرف"/>
    <s v="كشف صرف"/>
    <n v="0"/>
    <s v="الفرقة الثالثة"/>
    <n v="1"/>
    <d v="2026-06-09T00:00:00"/>
    <m/>
    <m/>
    <n v="2026"/>
    <x v="0"/>
    <n v="9"/>
    <s v="قيـد مقابـل:- (مصاريف  صرفة يومية للافراد  - اخرون - الفرقة الثالثة)  - كشف صرف رقم   كشف صرف - الصرفة اليومية اخرون عدد 13 بامر"/>
    <n v="0"/>
  </r>
  <r>
    <n v="234"/>
    <s v="JV113"/>
    <x v="6"/>
    <s v="قيد عهده"/>
    <n v="31010101"/>
    <x v="2"/>
    <x v="99"/>
    <x v="0"/>
    <n v="405"/>
    <n v="12000"/>
    <n v="0"/>
    <n v="29.62962962962963"/>
    <n v="0"/>
    <s v="افراد طقم اللواء السابع مرافقين"/>
    <s v="كشف صرف"/>
    <s v="كشف صرف"/>
    <n v="0"/>
    <s v="الفرقة الثالثة"/>
    <n v="1"/>
    <d v="2026-06-09T00:00:00"/>
    <m/>
    <m/>
    <n v="2026"/>
    <x v="0"/>
    <n v="9"/>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
    <n v="0"/>
  </r>
  <r>
    <n v="235"/>
    <s v="JV113"/>
    <x v="6"/>
    <s v="قيد عهده"/>
    <n v="11060205"/>
    <x v="16"/>
    <x v="99"/>
    <x v="0"/>
    <n v="405"/>
    <n v="0"/>
    <n v="12000"/>
    <n v="0"/>
    <n v="29.62962962962963"/>
    <s v="افراد طقم اللواء السابع مرافقين"/>
    <s v="كشف صرف"/>
    <s v="كشف صرف"/>
    <n v="0"/>
    <s v="الفرقة الثالثة"/>
    <n v="1"/>
    <d v="2026-06-09T00:00:00"/>
    <m/>
    <m/>
    <n v="2026"/>
    <x v="0"/>
    <n v="9"/>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
    <n v="0"/>
  </r>
  <r>
    <n v="236"/>
    <s v="JV114"/>
    <x v="6"/>
    <s v="قيد عهده"/>
    <n v="31010101"/>
    <x v="2"/>
    <x v="69"/>
    <x v="0"/>
    <n v="405"/>
    <n v="28000"/>
    <n v="0"/>
    <n v="69.135802469135797"/>
    <n v="0"/>
    <s v="الاشغال"/>
    <s v="كشف صرف"/>
    <s v="كشف صرف"/>
    <n v="0"/>
    <s v="الفرقة الثالثة"/>
    <n v="1"/>
    <d v="2026-06-09T00:00:00"/>
    <m/>
    <m/>
    <n v="2026"/>
    <x v="0"/>
    <n v="9"/>
    <s v="قيـد مقابـل:- (مصاريف  صرفة يومية للافراد  - الاشغال - الفرقة الثالثة)  - كشف صرف رقم   كشف صرف - صرف الصرفة اليومية للاشغال لعدد 3 بامر"/>
    <n v="0"/>
  </r>
  <r>
    <n v="237"/>
    <s v="JV114"/>
    <x v="6"/>
    <s v="قيد عهده"/>
    <n v="11060205"/>
    <x v="16"/>
    <x v="69"/>
    <x v="0"/>
    <n v="405"/>
    <n v="0"/>
    <n v="28000"/>
    <n v="0"/>
    <n v="69.135802469135797"/>
    <s v="الاشغال"/>
    <s v="كشف صرف"/>
    <s v="كشف صرف"/>
    <n v="0"/>
    <s v="الفرقة الثالثة"/>
    <n v="1"/>
    <d v="2026-06-09T00:00:00"/>
    <m/>
    <m/>
    <n v="2026"/>
    <x v="0"/>
    <n v="9"/>
    <s v="قيـد مقابـل:- (مصاريف  صرفة يومية للافراد  - الاشغال - الفرقة الثالثة)  - كشف صرف رقم   كشف صرف - صرف الصرفة اليومية للاشغال لعدد 3 بامر"/>
    <n v="0"/>
  </r>
  <r>
    <n v="238"/>
    <s v="JV115"/>
    <x v="6"/>
    <s v="قيد عهده"/>
    <n v="31010101"/>
    <x v="2"/>
    <x v="100"/>
    <x v="0"/>
    <n v="405"/>
    <n v="156000"/>
    <n v="0"/>
    <n v="385.18518518518516"/>
    <n v="0"/>
    <s v="سرية اللواء السادس"/>
    <s v="كشف صرف"/>
    <s v="كشف صرف"/>
    <n v="0"/>
    <s v="الفرقة الثالثة"/>
    <n v="1"/>
    <d v="2026-06-09T00:00:00"/>
    <m/>
    <m/>
    <n v="2026"/>
    <x v="0"/>
    <n v="9"/>
    <s v="قيـد مقابـل:- (مصاريف  صرفة يومية للافراد  - سرية اللواء السادس - الفرقة الثالثة)  - كشف صرف رقم   كشف صرف - مصاريف يومية سرية اللواء السادس عدد 39 بامر"/>
    <n v="0"/>
  </r>
  <r>
    <n v="239"/>
    <s v="JV115"/>
    <x v="6"/>
    <s v="قيد عهده"/>
    <n v="11060205"/>
    <x v="16"/>
    <x v="100"/>
    <x v="0"/>
    <n v="405"/>
    <n v="0"/>
    <n v="156000"/>
    <n v="0"/>
    <n v="385.18518518518516"/>
    <s v="سرية اللواء السادس"/>
    <s v="كشف صرف"/>
    <s v="كشف صرف"/>
    <n v="0"/>
    <s v="الفرقة الثالثة"/>
    <n v="1"/>
    <d v="2026-06-09T00:00:00"/>
    <m/>
    <m/>
    <n v="2026"/>
    <x v="0"/>
    <n v="9"/>
    <s v="قيـد مقابـل:- (مصاريف  صرفة يومية للافراد  - سرية اللواء السادس - الفرقة الثالثة)  - كشف صرف رقم   كشف صرف - مصاريف يومية سرية اللواء السادس عدد 39 بامر"/>
    <n v="0"/>
  </r>
  <r>
    <n v="240"/>
    <s v="JV116"/>
    <x v="6"/>
    <s v="قيد عهده"/>
    <n v="31010114"/>
    <x v="4"/>
    <x v="101"/>
    <x v="0"/>
    <n v="405"/>
    <n v="20000"/>
    <n v="0"/>
    <n v="49.382716049382715"/>
    <n v="0"/>
    <s v="علي محمد سيف قائد الربيعي"/>
    <s v="استلام نقدي"/>
    <s v="سند استلام"/>
    <n v="0"/>
    <s v="الفرقة الثالثة"/>
    <n v="1"/>
    <d v="2026-06-09T00:00:00"/>
    <m/>
    <m/>
    <n v="2026"/>
    <x v="0"/>
    <n v="9"/>
    <s v="قيـد مقابـل:- (مصاريف حوافز ومكافئات  - علي محمد سيف قائد الربيعي - الفرقة الثالثة)  - استلام نقدي رقم   سند استلام - صرف حافز لقائد مركز السيطرة بامرالقائد"/>
    <s v="القائد"/>
  </r>
  <r>
    <n v="241"/>
    <s v="JV116"/>
    <x v="6"/>
    <s v="قيد عهده"/>
    <n v="11060205"/>
    <x v="16"/>
    <x v="101"/>
    <x v="0"/>
    <n v="405"/>
    <n v="0"/>
    <n v="20000"/>
    <n v="0"/>
    <n v="49.382716049382715"/>
    <s v="علي محمد سيف قائد الربيعي"/>
    <s v="استلام نقدي"/>
    <s v="سند استلام"/>
    <n v="0"/>
    <s v="الفرقة الثالثة"/>
    <n v="1"/>
    <d v="2026-06-09T00:00:00"/>
    <m/>
    <m/>
    <n v="2026"/>
    <x v="0"/>
    <n v="9"/>
    <s v="قيـد مقابـل:- (مصاريف حوافز ومكافئات  - علي محمد سيف قائد الربيعي - الفرقة الثالثة)  - استلام نقدي رقم   سند استلام - صرف حافز لقائد مركز السيطرة بامرالقائد"/>
    <s v="القائد"/>
  </r>
  <r>
    <n v="242"/>
    <s v="JV117"/>
    <x v="6"/>
    <s v="قيد عهده"/>
    <n v="31010114"/>
    <x v="4"/>
    <x v="102"/>
    <x v="0"/>
    <n v="405"/>
    <n v="200000"/>
    <n v="0"/>
    <n v="493.82716049382714"/>
    <n v="0"/>
    <s v="علي محمد ناصر فضل دهمس"/>
    <s v="استلام نقدي"/>
    <s v="سند استلام"/>
    <n v="0"/>
    <s v="الفرقة الثالثة"/>
    <n v="1"/>
    <d v="2026-06-09T00:00:00"/>
    <m/>
    <m/>
    <n v="2026"/>
    <x v="0"/>
    <n v="9"/>
    <s v="قيـد مقابـل:- (مصاريف حوافز ومكافئات  - علي محمد ناصر فضل دهمس - الفرقة الثالثة)  - استلام نقدي رقم   سند استلام - صرف حافز ل قائد مدفعية الفرقة بامر"/>
    <n v="0"/>
  </r>
  <r>
    <n v="243"/>
    <s v="JV117"/>
    <x v="6"/>
    <s v="قيد عهده"/>
    <n v="11060205"/>
    <x v="16"/>
    <x v="102"/>
    <x v="0"/>
    <n v="405"/>
    <n v="0"/>
    <n v="200000"/>
    <n v="0"/>
    <n v="493.82716049382714"/>
    <s v="علي محمد ناصر فضل دهمس"/>
    <s v="استلام نقدي"/>
    <s v="سند استلام"/>
    <n v="0"/>
    <s v="الفرقة الثالثة"/>
    <n v="1"/>
    <d v="2026-06-09T00:00:00"/>
    <m/>
    <m/>
    <n v="2026"/>
    <x v="0"/>
    <n v="9"/>
    <s v="قيـد مقابـل:- (مصاريف حوافز ومكافئات  - علي محمد ناصر فضل دهمس - الفرقة الثالثة)  - استلام نقدي رقم   سند استلام - صرف حافز ل قائد مدفعية الفرقة بامر"/>
    <n v="0"/>
  </r>
  <r>
    <n v="244"/>
    <s v="JV118"/>
    <x v="6"/>
    <s v="قيد عهده"/>
    <n v="31010101"/>
    <x v="2"/>
    <x v="103"/>
    <x v="0"/>
    <n v="405"/>
    <n v="60000"/>
    <n v="0"/>
    <n v="148.14814814814815"/>
    <n v="0"/>
    <s v="عبدالمغني عبدالصمد عبدالحميد الصلوي"/>
    <s v="حواله"/>
    <s v="الكريمي "/>
    <n v="4118096"/>
    <s v="الفرقة الثالثة"/>
    <n v="1"/>
    <d v="2026-06-09T00:00:00"/>
    <m/>
    <m/>
    <n v="2026"/>
    <x v="0"/>
    <n v="9"/>
    <s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
    <n v="0"/>
  </r>
  <r>
    <n v="245"/>
    <s v="JV118"/>
    <x v="6"/>
    <s v="قيد عهده"/>
    <n v="11060205"/>
    <x v="16"/>
    <x v="103"/>
    <x v="0"/>
    <n v="405"/>
    <n v="0"/>
    <n v="60000"/>
    <n v="0"/>
    <n v="148.14814814814815"/>
    <s v="عبدالمغني عبدالصمد عبدالحميد الصلوي"/>
    <s v="حواله"/>
    <s v="الكريمي "/>
    <n v="4118096"/>
    <s v="الفرقة الثالثة"/>
    <n v="1"/>
    <d v="2026-06-09T00:00:00"/>
    <m/>
    <m/>
    <n v="2026"/>
    <x v="0"/>
    <n v="9"/>
    <s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
    <n v="0"/>
  </r>
  <r>
    <n v="246"/>
    <s v="JV119"/>
    <x v="6"/>
    <s v="قيد عهده"/>
    <n v="11060209"/>
    <x v="17"/>
    <x v="104"/>
    <x v="1"/>
    <n v="1"/>
    <n v="2000"/>
    <n v="0"/>
    <n v="2000"/>
    <n v="0"/>
    <s v="مجدي محمد احمد مسدوس"/>
    <s v="استلام نقدي"/>
    <s v="سند استلام"/>
    <n v="0"/>
    <s v="الفرقة الثالثة"/>
    <n v="1"/>
    <d v="2026-06-09T00:00:00"/>
    <m/>
    <m/>
    <n v="2026"/>
    <x v="0"/>
    <n v="9"/>
    <s v="قيـد مقابـل:- (عهدة جمال مسدوس - مجدي محمد احمد مسدوس - الفرقة الثالثة)  - استلام نقدي رقم   سند استلام - صرف عهدة للتخطيط بامرالأركان جمال مسدوس"/>
    <s v="الأركان جمال مسدوس"/>
  </r>
  <r>
    <n v="247"/>
    <s v="JV119"/>
    <x v="6"/>
    <s v="قيد عهده"/>
    <n v="11060205"/>
    <x v="16"/>
    <x v="104"/>
    <x v="1"/>
    <n v="1"/>
    <n v="0"/>
    <n v="2000"/>
    <n v="0"/>
    <n v="2000"/>
    <s v="مجدي محمد احمد مسدوس"/>
    <s v="استلام نقدي"/>
    <s v="سند استلام"/>
    <n v="0"/>
    <s v="الفرقة الثالثة"/>
    <n v="1"/>
    <d v="2026-06-09T00:00:00"/>
    <m/>
    <m/>
    <n v="2026"/>
    <x v="0"/>
    <n v="9"/>
    <s v="قيـد مقابـل:- (عهدة جمال مسدوس - مجدي محمد احمد مسدوس - الفرقة الثالثة)  - استلام نقدي رقم   سند استلام - صرف عهدة للتخطيط بامرالأركان جمال مسدوس"/>
    <s v="الأركان جمال مسدوس"/>
  </r>
  <r>
    <n v="248"/>
    <s v="JV120"/>
    <x v="6"/>
    <s v="قيد عهده"/>
    <n v="31010116"/>
    <x v="6"/>
    <x v="105"/>
    <x v="1"/>
    <n v="1"/>
    <n v="600"/>
    <n v="0"/>
    <n v="600"/>
    <n v="0"/>
    <s v="مجدي محمد احمد مسدوس"/>
    <s v="استلام نقدي"/>
    <s v="سند استلام"/>
    <n v="0"/>
    <s v="الفرقة الثالثة"/>
    <n v="1"/>
    <d v="2026-06-09T00:00:00"/>
    <m/>
    <m/>
    <n v="2026"/>
    <x v="0"/>
    <n v="9"/>
    <s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
    <s v="الأركان جمال مسدوس"/>
  </r>
  <r>
    <n v="249"/>
    <s v="JV120"/>
    <x v="6"/>
    <s v="قيد عهده"/>
    <n v="11060205"/>
    <x v="16"/>
    <x v="105"/>
    <x v="1"/>
    <n v="1"/>
    <n v="0"/>
    <n v="600"/>
    <n v="0"/>
    <n v="600"/>
    <s v="مجدي محمد احمد مسدوس"/>
    <s v="استلام نقدي"/>
    <s v="سند استلام"/>
    <n v="0"/>
    <s v="الفرقة الثالثة"/>
    <n v="1"/>
    <d v="2026-06-09T00:00:00"/>
    <m/>
    <m/>
    <n v="2026"/>
    <x v="0"/>
    <n v="9"/>
    <s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
    <s v="الأركان جمال مسدوس"/>
  </r>
  <r>
    <n v="250"/>
    <s v="JV121"/>
    <x v="7"/>
    <s v="قيد عهده"/>
    <n v="31010101"/>
    <x v="2"/>
    <x v="59"/>
    <x v="0"/>
    <n v="405"/>
    <n v="43000"/>
    <n v="0"/>
    <n v="106.17283950617283"/>
    <n v="0"/>
    <s v="السيطرة والاتصالات"/>
    <s v="كشف صرف"/>
    <s v="كشف صرف"/>
    <n v="0"/>
    <s v="الفرقة الثالثة"/>
    <n v="1"/>
    <d v="2026-06-10T00:00:00"/>
    <m/>
    <m/>
    <n v="2026"/>
    <x v="0"/>
    <n v="10"/>
    <s v="قيـد مقابـل:- (مصاريف  صرفة يومية للافراد  - السيطرة والاتصالات - الفرقة الثالثة)  - كشف صرف رقم   كشف صرف - صرف الصرفة اليومية للسيطرة والاتصالات لعدد 5 بامر"/>
    <n v="0"/>
  </r>
  <r>
    <n v="251"/>
    <s v="JV121"/>
    <x v="7"/>
    <s v="قيد عهده"/>
    <n v="11060205"/>
    <x v="16"/>
    <x v="59"/>
    <x v="0"/>
    <n v="405"/>
    <n v="0"/>
    <n v="43000"/>
    <n v="0"/>
    <n v="106.17283950617283"/>
    <s v="السيطرة والاتصالات"/>
    <s v="كشف صرف"/>
    <s v="كشف صرف"/>
    <n v="0"/>
    <s v="الفرقة الثالثة"/>
    <n v="1"/>
    <d v="2026-06-10T00:00:00"/>
    <m/>
    <m/>
    <n v="2026"/>
    <x v="0"/>
    <n v="10"/>
    <s v="قيـد مقابـل:- (مصاريف  صرفة يومية للافراد  - السيطرة والاتصالات - الفرقة الثالثة)  - كشف صرف رقم   كشف صرف - صرف الصرفة اليومية للسيطرة والاتصالات لعدد 5 بامر"/>
    <n v="0"/>
  </r>
  <r>
    <n v="252"/>
    <s v="JV122"/>
    <x v="7"/>
    <s v="قيد عهده"/>
    <n v="31010101"/>
    <x v="2"/>
    <x v="94"/>
    <x v="0"/>
    <n v="405"/>
    <n v="30000"/>
    <n v="0"/>
    <n v="74.074074074074076"/>
    <n v="0"/>
    <s v="التوجيه"/>
    <s v="كشف صرف"/>
    <s v="كشف صرف"/>
    <n v="0"/>
    <s v="الفرقة الثالثة"/>
    <n v="1"/>
    <d v="2026-06-10T00:00:00"/>
    <m/>
    <m/>
    <n v="2026"/>
    <x v="0"/>
    <n v="10"/>
    <s v="قيـد مقابـل:- (مصاريف  صرفة يومية للافراد  - التوجيه - الفرقة الثالثة)  - كشف صرف رقم   كشف صرف - صرف الصرفة اليومية للتوجيه عدد 2 بامر"/>
    <n v="0"/>
  </r>
  <r>
    <n v="253"/>
    <s v="JV122"/>
    <x v="7"/>
    <s v="قيد عهده"/>
    <n v="11060205"/>
    <x v="16"/>
    <x v="94"/>
    <x v="0"/>
    <n v="405"/>
    <n v="0"/>
    <n v="30000"/>
    <n v="0"/>
    <n v="74.074074074074076"/>
    <s v="التوجيه"/>
    <s v="كشف صرف"/>
    <s v="كشف صرف"/>
    <n v="0"/>
    <s v="الفرقة الثالثة"/>
    <n v="1"/>
    <d v="2026-06-10T00:00:00"/>
    <m/>
    <m/>
    <n v="2026"/>
    <x v="0"/>
    <n v="10"/>
    <s v="قيـد مقابـل:- (مصاريف  صرفة يومية للافراد  - التوجيه - الفرقة الثالثة)  - كشف صرف رقم   كشف صرف - صرف الصرفة اليومية للتوجيه عدد 2 بامر"/>
    <n v="0"/>
  </r>
  <r>
    <n v="254"/>
    <s v="JV123"/>
    <x v="7"/>
    <s v="قيد عهده"/>
    <n v="31010101"/>
    <x v="2"/>
    <x v="62"/>
    <x v="0"/>
    <n v="405"/>
    <n v="15000"/>
    <n v="0"/>
    <n v="37.037037037037038"/>
    <n v="0"/>
    <s v="البشرية و الصراف"/>
    <s v="كشف صرف"/>
    <s v="كشف صرف"/>
    <n v="0"/>
    <s v="الفرقة الثالثة"/>
    <n v="1"/>
    <d v="2026-06-10T00:00:00"/>
    <m/>
    <m/>
    <n v="2026"/>
    <x v="0"/>
    <n v="10"/>
    <s v="قيـد مقابـل:- (مصاريف  صرفة يومية للافراد  - البشرية و الصراف - الفرقة الثالثة)  - كشف صرف رقم   كشف صرف - صرف الصرفة اليومية  للبشرة والصراف عدد 1 بامر"/>
    <n v="0"/>
  </r>
  <r>
    <n v="255"/>
    <s v="JV123"/>
    <x v="7"/>
    <s v="قيد عهده"/>
    <n v="11060205"/>
    <x v="16"/>
    <x v="62"/>
    <x v="0"/>
    <n v="405"/>
    <n v="0"/>
    <n v="15000"/>
    <n v="0"/>
    <n v="37.037037037037038"/>
    <s v="البشرية و الصراف"/>
    <s v="كشف صرف"/>
    <s v="كشف صرف"/>
    <n v="0"/>
    <s v="الفرقة الثالثة"/>
    <n v="1"/>
    <d v="2026-06-10T00:00:00"/>
    <m/>
    <m/>
    <n v="2026"/>
    <x v="0"/>
    <n v="10"/>
    <s v="قيـد مقابـل:- (مصاريف  صرفة يومية للافراد  - البشرية و الصراف - الفرقة الثالثة)  - كشف صرف رقم   كشف صرف - صرف الصرفة اليومية  للبشرة والصراف عدد 1 بامر"/>
    <n v="0"/>
  </r>
  <r>
    <n v="256"/>
    <s v="JV124"/>
    <x v="7"/>
    <s v="قيد عهده"/>
    <n v="31010101"/>
    <x v="2"/>
    <x v="63"/>
    <x v="0"/>
    <n v="405"/>
    <n v="65000"/>
    <n v="0"/>
    <n v="160.49382716049382"/>
    <n v="0"/>
    <s v="الاستخبارات"/>
    <s v="كشف صرف"/>
    <s v="كشف صرف"/>
    <n v="0"/>
    <s v="الفرقة الثالثة"/>
    <n v="1"/>
    <d v="2026-06-10T00:00:00"/>
    <m/>
    <m/>
    <n v="2026"/>
    <x v="0"/>
    <n v="10"/>
    <s v="قيـد مقابـل:- (مصاريف  صرفة يومية للافراد  - الاستخبارات - الفرقة الثالثة)  - كشف صرف رقم   كشف صرف - صرف الصرفة اليومية  الاستخبارات لعدد 4 بامر"/>
    <n v="0"/>
  </r>
  <r>
    <n v="257"/>
    <s v="JV124"/>
    <x v="7"/>
    <s v="قيد عهده"/>
    <n v="11060205"/>
    <x v="16"/>
    <x v="63"/>
    <x v="0"/>
    <n v="405"/>
    <n v="0"/>
    <n v="65000"/>
    <n v="0"/>
    <n v="160.49382716049382"/>
    <s v="الاستخبارات"/>
    <s v="كشف صرف"/>
    <s v="كشف صرف"/>
    <n v="0"/>
    <s v="الفرقة الثالثة"/>
    <n v="1"/>
    <d v="2026-06-10T00:00:00"/>
    <m/>
    <m/>
    <n v="2026"/>
    <x v="0"/>
    <n v="10"/>
    <s v="قيـد مقابـل:- (مصاريف  صرفة يومية للافراد  - الاستخبارات - الفرقة الثالثة)  - كشف صرف رقم   كشف صرف - صرف الصرفة اليومية  الاستخبارات لعدد 4 بامر"/>
    <n v="0"/>
  </r>
  <r>
    <n v="258"/>
    <s v="JV125"/>
    <x v="7"/>
    <s v="قيد عهده"/>
    <n v="31010101"/>
    <x v="2"/>
    <x v="96"/>
    <x v="0"/>
    <n v="405"/>
    <n v="30000"/>
    <n v="0"/>
    <n v="74.074074074074076"/>
    <n v="0"/>
    <s v="المدفعية"/>
    <s v="كشف صرف"/>
    <s v="كشف صرف"/>
    <n v="0"/>
    <s v="الفرقة الثالثة"/>
    <n v="1"/>
    <d v="2026-06-10T00:00:00"/>
    <m/>
    <m/>
    <n v="2026"/>
    <x v="0"/>
    <n v="10"/>
    <s v="قيـد مقابـل:- (مصاريف  صرفة يومية للافراد  - المدفعية - الفرقة الثالثة)  - كشف صرف رقم   كشف صرف - صرف الصرفة اليومية للمدفعية لعدد 3 بامر"/>
    <n v="0"/>
  </r>
  <r>
    <n v="259"/>
    <s v="JV125"/>
    <x v="7"/>
    <s v="قيد عهده"/>
    <n v="11060205"/>
    <x v="16"/>
    <x v="96"/>
    <x v="0"/>
    <n v="405"/>
    <n v="0"/>
    <n v="30000"/>
    <n v="0"/>
    <n v="74.074074074074076"/>
    <s v="المدفعية"/>
    <s v="كشف صرف"/>
    <s v="كشف صرف"/>
    <n v="0"/>
    <s v="الفرقة الثالثة"/>
    <n v="1"/>
    <d v="2026-06-10T00:00:00"/>
    <m/>
    <m/>
    <n v="2026"/>
    <x v="0"/>
    <n v="10"/>
    <s v="قيـد مقابـل:- (مصاريف  صرفة يومية للافراد  - المدفعية - الفرقة الثالثة)  - كشف صرف رقم   كشف صرف - صرف الصرفة اليومية للمدفعية لعدد 3 بامر"/>
    <n v="0"/>
  </r>
  <r>
    <n v="260"/>
    <s v="JV126"/>
    <x v="7"/>
    <s v="قيد عهده"/>
    <n v="31010101"/>
    <x v="2"/>
    <x v="106"/>
    <x v="0"/>
    <n v="405"/>
    <n v="95000"/>
    <n v="0"/>
    <n v="234.5679012345679"/>
    <n v="0"/>
    <s v="المستشارين والمساعدين"/>
    <s v="كشف صرف"/>
    <s v="كشف صرف"/>
    <n v="0"/>
    <s v="الفرقة الثالثة"/>
    <n v="1"/>
    <d v="2026-06-10T00:00:00"/>
    <m/>
    <m/>
    <n v="2026"/>
    <x v="0"/>
    <n v="10"/>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261"/>
    <s v="JV126"/>
    <x v="7"/>
    <s v="قيد عهده"/>
    <n v="11060205"/>
    <x v="16"/>
    <x v="106"/>
    <x v="0"/>
    <n v="405"/>
    <n v="0"/>
    <n v="95000"/>
    <n v="0"/>
    <n v="234.5679012345679"/>
    <s v="المستشارين والمساعدين"/>
    <s v="كشف صرف"/>
    <s v="كشف صرف"/>
    <n v="0"/>
    <s v="الفرقة الثالثة"/>
    <n v="1"/>
    <d v="2026-06-10T00:00:00"/>
    <m/>
    <m/>
    <n v="2026"/>
    <x v="0"/>
    <n v="10"/>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262"/>
    <s v="JV127"/>
    <x v="7"/>
    <s v="قيد عهده"/>
    <n v="31010101"/>
    <x v="2"/>
    <x v="107"/>
    <x v="0"/>
    <n v="405"/>
    <n v="20000"/>
    <n v="0"/>
    <n v="49.382716049382715"/>
    <n v="0"/>
    <s v="الطبية والمحاسبين"/>
    <s v="كشف صرف"/>
    <s v="كشف صرف"/>
    <n v="0"/>
    <s v="الفرقة الثالثة"/>
    <n v="1"/>
    <d v="2026-06-10T00:00:00"/>
    <m/>
    <m/>
    <n v="2026"/>
    <x v="0"/>
    <n v="10"/>
    <s v="قيـد مقابـل:- (مصاريف  صرفة يومية للافراد  - الطبية والمحاسبين - الفرقة الثالثة)  - كشف صرف رقم   كشف صرف - صرف الصرفة اليومية للطبية والمحاسبين لعدد 3 بامر"/>
    <n v="0"/>
  </r>
  <r>
    <n v="263"/>
    <s v="JV127"/>
    <x v="7"/>
    <s v="قيد عهده"/>
    <n v="11060205"/>
    <x v="16"/>
    <x v="107"/>
    <x v="0"/>
    <n v="405"/>
    <n v="0"/>
    <n v="20000"/>
    <n v="0"/>
    <n v="49.382716049382715"/>
    <s v="الطبية والمحاسبين"/>
    <s v="كشف صرف"/>
    <s v="كشف صرف"/>
    <n v="0"/>
    <s v="الفرقة الثالثة"/>
    <n v="1"/>
    <d v="2026-06-10T00:00:00"/>
    <m/>
    <m/>
    <n v="2026"/>
    <x v="0"/>
    <n v="10"/>
    <s v="قيـد مقابـل:- (مصاريف  صرفة يومية للافراد  - الطبية والمحاسبين - الفرقة الثالثة)  - كشف صرف رقم   كشف صرف - صرف الصرفة اليومية للطبية والمحاسبين لعدد 3 بامر"/>
    <n v="0"/>
  </r>
  <r>
    <n v="264"/>
    <s v="JV128"/>
    <x v="7"/>
    <s v="قيد عهده"/>
    <n v="31010101"/>
    <x v="2"/>
    <x v="66"/>
    <x v="0"/>
    <n v="405"/>
    <n v="70000"/>
    <n v="0"/>
    <n v="172.83950617283949"/>
    <n v="0"/>
    <s v="الضباط السابقين"/>
    <s v="كشف صرف"/>
    <s v="كشف صرف"/>
    <n v="0"/>
    <s v="الفرقة الثالثة"/>
    <n v="1"/>
    <d v="2026-06-10T00:00:00"/>
    <m/>
    <m/>
    <n v="2026"/>
    <x v="0"/>
    <n v="10"/>
    <s v="قيـد مقابـل:- (مصاريف  صرفة يومية للافراد  - الضباط السابقين - الفرقة الثالثة)  - كشف صرف رقم   كشف صرف - صرف الصرفة اليومية ضباط سابقين لعدد 7 بامر"/>
    <n v="0"/>
  </r>
  <r>
    <n v="265"/>
    <s v="JV128"/>
    <x v="7"/>
    <s v="قيد عهده"/>
    <n v="11060205"/>
    <x v="16"/>
    <x v="66"/>
    <x v="0"/>
    <n v="405"/>
    <n v="0"/>
    <n v="70000"/>
    <n v="0"/>
    <n v="172.83950617283949"/>
    <s v="الضباط السابقين"/>
    <s v="كشف صرف"/>
    <s v="كشف صرف"/>
    <n v="0"/>
    <s v="الفرقة الثالثة"/>
    <n v="1"/>
    <d v="2026-06-10T00:00:00"/>
    <m/>
    <m/>
    <n v="2026"/>
    <x v="0"/>
    <n v="10"/>
    <s v="قيـد مقابـل:- (مصاريف  صرفة يومية للافراد  - الضباط السابقين - الفرقة الثالثة)  - كشف صرف رقم   كشف صرف - صرف الصرفة اليومية ضباط سابقين لعدد 7 بامر"/>
    <n v="0"/>
  </r>
  <r>
    <n v="266"/>
    <s v="JV129"/>
    <x v="7"/>
    <s v="قيد عهده"/>
    <n v="31010101"/>
    <x v="2"/>
    <x v="108"/>
    <x v="0"/>
    <n v="405"/>
    <n v="74000"/>
    <n v="0"/>
    <n v="182.71604938271605"/>
    <n v="0"/>
    <s v="اخرون"/>
    <s v="كشف صرف"/>
    <s v="كشف صرف"/>
    <n v="0"/>
    <s v="الفرقة الثالثة"/>
    <n v="1"/>
    <d v="2026-06-10T00:00:00"/>
    <m/>
    <m/>
    <n v="2026"/>
    <x v="0"/>
    <n v="10"/>
    <s v="قيـد مقابـل:- (مصاريف  صرفة يومية للافراد  - اخرون - الفرقة الثالثة)  - كشف صرف رقم   كشف صرف - الصرفة اليومية اخرون عدد 8 بامر"/>
    <n v="0"/>
  </r>
  <r>
    <n v="267"/>
    <s v="JV129"/>
    <x v="7"/>
    <s v="قيد عهده"/>
    <n v="11060205"/>
    <x v="16"/>
    <x v="108"/>
    <x v="0"/>
    <n v="405"/>
    <n v="0"/>
    <n v="74000"/>
    <n v="0"/>
    <n v="182.71604938271605"/>
    <s v="اخرون"/>
    <s v="كشف صرف"/>
    <s v="كشف صرف"/>
    <n v="0"/>
    <s v="الفرقة الثالثة"/>
    <n v="1"/>
    <d v="2026-06-10T00:00:00"/>
    <m/>
    <m/>
    <n v="2026"/>
    <x v="0"/>
    <n v="10"/>
    <s v="قيـد مقابـل:- (مصاريف  صرفة يومية للافراد  - اخرون - الفرقة الثالثة)  - كشف صرف رقم   كشف صرف - الصرفة اليومية اخرون عدد 8 بامر"/>
    <n v="0"/>
  </r>
  <r>
    <n v="268"/>
    <s v="JV130"/>
    <x v="7"/>
    <s v="قيد عهده"/>
    <n v="31010101"/>
    <x v="2"/>
    <x v="109"/>
    <x v="0"/>
    <n v="405"/>
    <n v="20000"/>
    <n v="0"/>
    <n v="49.382716049382715"/>
    <n v="0"/>
    <s v="مرافقي الاركان"/>
    <s v="كشف صرف"/>
    <s v="كشف صرف"/>
    <n v="0"/>
    <s v="الفرقة الثالثة"/>
    <n v="1"/>
    <d v="2026-06-10T00:00:00"/>
    <m/>
    <m/>
    <n v="2026"/>
    <x v="0"/>
    <n v="10"/>
    <s v="قيـد مقابـل:- (مصاريف  صرفة يومية للافراد  - مرافقي الاركان - الفرقة الثالثة)  - كشف صرف رقم   كشف صرف - صرف الصرفة اليومية لمرافقي الاركان عدد 3 بامر"/>
    <n v="0"/>
  </r>
  <r>
    <n v="269"/>
    <s v="JV130"/>
    <x v="7"/>
    <s v="قيد عهده"/>
    <n v="11060205"/>
    <x v="16"/>
    <x v="109"/>
    <x v="0"/>
    <n v="405"/>
    <n v="0"/>
    <n v="20000"/>
    <n v="0"/>
    <n v="49.382716049382715"/>
    <s v="مرافقي الاركان"/>
    <s v="كشف صرف"/>
    <s v="كشف صرف"/>
    <n v="0"/>
    <s v="الفرقة الثالثة"/>
    <n v="1"/>
    <d v="2026-06-10T00:00:00"/>
    <m/>
    <m/>
    <n v="2026"/>
    <x v="0"/>
    <n v="10"/>
    <s v="قيـد مقابـل:- (مصاريف  صرفة يومية للافراد  - مرافقي الاركان - الفرقة الثالثة)  - كشف صرف رقم   كشف صرف - صرف الصرفة اليومية لمرافقي الاركان عدد 3 بامر"/>
    <n v="0"/>
  </r>
  <r>
    <n v="270"/>
    <s v="JV131"/>
    <x v="7"/>
    <s v="قيد عهده"/>
    <n v="31010101"/>
    <x v="2"/>
    <x v="69"/>
    <x v="0"/>
    <n v="405"/>
    <n v="28000"/>
    <n v="0"/>
    <n v="69.135802469135797"/>
    <n v="0"/>
    <s v="الاشغال"/>
    <s v="كشف صرف"/>
    <s v="كشف صرف"/>
    <n v="0"/>
    <s v="الفرقة الثالثة"/>
    <n v="1"/>
    <d v="2026-06-10T00:00:00"/>
    <m/>
    <m/>
    <n v="2026"/>
    <x v="0"/>
    <n v="10"/>
    <s v="قيـد مقابـل:- (مصاريف  صرفة يومية للافراد  - الاشغال - الفرقة الثالثة)  - كشف صرف رقم   كشف صرف - صرف الصرفة اليومية للاشغال لعدد 3 بامر"/>
    <n v="0"/>
  </r>
  <r>
    <n v="271"/>
    <s v="JV131"/>
    <x v="7"/>
    <s v="قيد عهده"/>
    <n v="11060205"/>
    <x v="16"/>
    <x v="69"/>
    <x v="0"/>
    <n v="405"/>
    <n v="0"/>
    <n v="28000"/>
    <n v="0"/>
    <n v="69.135802469135797"/>
    <s v="الاشغال"/>
    <s v="كشف صرف"/>
    <s v="كشف صرف"/>
    <n v="0"/>
    <s v="الفرقة الثالثة"/>
    <n v="1"/>
    <d v="2026-06-10T00:00:00"/>
    <m/>
    <m/>
    <n v="2026"/>
    <x v="0"/>
    <n v="10"/>
    <s v="قيـد مقابـل:- (مصاريف  صرفة يومية للافراد  - الاشغال - الفرقة الثالثة)  - كشف صرف رقم   كشف صرف - صرف الصرفة اليومية للاشغال لعدد 3 بامر"/>
    <n v="0"/>
  </r>
  <r>
    <n v="272"/>
    <s v="JV132"/>
    <x v="7"/>
    <s v="قيد عهده"/>
    <n v="31010101"/>
    <x v="2"/>
    <x v="110"/>
    <x v="0"/>
    <n v="405"/>
    <n v="152000"/>
    <n v="0"/>
    <n v="375.30864197530866"/>
    <n v="0"/>
    <s v="سرية اللواء السادس"/>
    <s v="كشف صرف"/>
    <s v="كشف صرف"/>
    <n v="0"/>
    <s v="اللواء السادس"/>
    <n v="7"/>
    <d v="2026-06-10T00:00:00"/>
    <m/>
    <m/>
    <n v="2026"/>
    <x v="0"/>
    <n v="10"/>
    <s v="قيـد مقابـل:- (مصاريف  صرفة يومية للافراد  - سرية اللواء السادس - اللواء السادس)  - كشف صرف رقم   كشف صرف - مصاريف يومية سرية اللواء السادس عدد 38 بامر"/>
    <n v="0"/>
  </r>
  <r>
    <n v="273"/>
    <s v="JV132"/>
    <x v="7"/>
    <s v="قيد عهده"/>
    <n v="11060205"/>
    <x v="16"/>
    <x v="110"/>
    <x v="0"/>
    <n v="405"/>
    <n v="0"/>
    <n v="152000"/>
    <n v="0"/>
    <n v="375.30864197530866"/>
    <s v="سرية اللواء السادس"/>
    <s v="كشف صرف"/>
    <s v="كشف صرف"/>
    <n v="0"/>
    <s v="اللواء السادس"/>
    <n v="7"/>
    <d v="2026-06-10T00:00:00"/>
    <m/>
    <m/>
    <n v="2026"/>
    <x v="0"/>
    <n v="10"/>
    <s v="قيـد مقابـل:- (مصاريف  صرفة يومية للافراد  - سرية اللواء السادس - اللواء السادس)  - كشف صرف رقم   كشف صرف - مصاريف يومية سرية اللواء السادس عدد 38 بامر"/>
    <n v="0"/>
  </r>
  <r>
    <n v="274"/>
    <s v="JV133"/>
    <x v="7"/>
    <s v="قيد عهده"/>
    <n v="31010101"/>
    <x v="2"/>
    <x v="61"/>
    <x v="0"/>
    <n v="405"/>
    <n v="128000"/>
    <n v="0"/>
    <n v="316.04938271604937"/>
    <n v="0"/>
    <s v="الامداد"/>
    <s v="كشف صرف"/>
    <s v="كشف صرف"/>
    <n v="0"/>
    <s v="الفرقة الثالثة"/>
    <n v="1"/>
    <d v="2026-06-10T00:00:00"/>
    <m/>
    <m/>
    <n v="2026"/>
    <x v="0"/>
    <n v="10"/>
    <s v="قيـد مقابـل:- (مصاريف  صرفة يومية للافراد  - الامداد - الفرقة الثالثة)  - كشف صرف رقم   كشف صرف - صرف الصرفة اليومية  لافراد الامداد لعدد 12 بامر"/>
    <n v="0"/>
  </r>
  <r>
    <n v="275"/>
    <s v="JV133"/>
    <x v="7"/>
    <s v="قيد عهده"/>
    <n v="11060205"/>
    <x v="16"/>
    <x v="61"/>
    <x v="0"/>
    <n v="405"/>
    <n v="0"/>
    <n v="128000"/>
    <n v="0"/>
    <n v="316.04938271604937"/>
    <s v="الامداد"/>
    <s v="كشف صرف"/>
    <s v="كشف صرف"/>
    <n v="0"/>
    <s v="الفرقة الثالثة"/>
    <n v="1"/>
    <d v="2026-06-10T00:00:00"/>
    <m/>
    <m/>
    <n v="2026"/>
    <x v="0"/>
    <n v="10"/>
    <s v="قيـد مقابـل:- (مصاريف  صرفة يومية للافراد  - الامداد - الفرقة الثالثة)  - كشف صرف رقم   كشف صرف - صرف الصرفة اليومية  لافراد الامداد لعدد 12 بامر"/>
    <n v="0"/>
  </r>
  <r>
    <n v="276"/>
    <s v="JV134"/>
    <x v="7"/>
    <s v="قيد عهده"/>
    <n v="31010135"/>
    <x v="14"/>
    <x v="111"/>
    <x v="0"/>
    <n v="405"/>
    <n v="30000"/>
    <n v="0"/>
    <n v="74.074074074074076"/>
    <n v="0"/>
    <s v="صالح عبدالله لدحل"/>
    <s v="استلام نقدي"/>
    <s v="سند استلام"/>
    <n v="0"/>
    <s v="الفرقة الثالثة"/>
    <n v="1"/>
    <d v="2026-06-10T00:00:00"/>
    <m/>
    <m/>
    <n v="2026"/>
    <x v="0"/>
    <n v="10"/>
    <s v="قيـد مقابـل:- (اجور يومية - صالح عبدالله لدحل - الفرقة الثالثة)  - استلام نقدي رقم   سند استلام - صرف اجور سائق قاطرة الماء بامرالمستشار المالي"/>
    <s v="المستشار المالي"/>
  </r>
  <r>
    <n v="277"/>
    <s v="JV134"/>
    <x v="7"/>
    <s v="قيد عهده"/>
    <n v="11060205"/>
    <x v="16"/>
    <x v="111"/>
    <x v="0"/>
    <n v="405"/>
    <n v="0"/>
    <n v="30000"/>
    <n v="0"/>
    <n v="74.074074074074076"/>
    <s v="صالح عبدالله لدحل"/>
    <s v="استلام نقدي"/>
    <s v="سند استلام"/>
    <n v="0"/>
    <s v="الفرقة الثالثة"/>
    <n v="1"/>
    <d v="2026-06-10T00:00:00"/>
    <m/>
    <m/>
    <n v="2026"/>
    <x v="0"/>
    <n v="10"/>
    <s v="قيـد مقابـل:- (اجور يومية - صالح عبدالله لدحل - الفرقة الثالثة)  - استلام نقدي رقم   سند استلام - صرف اجور سائق قاطرة الماء بامرالمستشار المالي"/>
    <s v="المستشار المالي"/>
  </r>
  <r>
    <n v="278"/>
    <s v="JV135"/>
    <x v="7"/>
    <s v="قيد عهده"/>
    <n v="31010101"/>
    <x v="2"/>
    <x v="112"/>
    <x v="0"/>
    <n v="405"/>
    <n v="12000"/>
    <n v="0"/>
    <n v="29.62962962962963"/>
    <n v="0"/>
    <s v="علي عارف علي راجح"/>
    <s v="استلام نقدي"/>
    <s v="سند استلام"/>
    <n v="0"/>
    <s v="الفرقة الثالثة"/>
    <n v="1"/>
    <d v="2026-06-10T00:00:00"/>
    <m/>
    <m/>
    <n v="2026"/>
    <x v="0"/>
    <n v="10"/>
    <s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
    <s v="المالية"/>
  </r>
  <r>
    <n v="279"/>
    <s v="JV135"/>
    <x v="7"/>
    <s v="قيد عهده"/>
    <n v="11060205"/>
    <x v="16"/>
    <x v="112"/>
    <x v="0"/>
    <n v="405"/>
    <n v="0"/>
    <n v="12000"/>
    <n v="0"/>
    <n v="29.62962962962963"/>
    <s v="علي عارف علي راجح"/>
    <s v="استلام نقدي"/>
    <s v="سند استلام"/>
    <n v="0"/>
    <s v="الفرقة الثالثة"/>
    <n v="1"/>
    <d v="2026-06-10T00:00:00"/>
    <m/>
    <m/>
    <n v="2026"/>
    <x v="0"/>
    <n v="10"/>
    <s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
    <s v="المالية"/>
  </r>
  <r>
    <n v="280"/>
    <s v="JV136"/>
    <x v="7"/>
    <s v="قيد عهده"/>
    <n v="31010114"/>
    <x v="4"/>
    <x v="113"/>
    <x v="0"/>
    <n v="405"/>
    <n v="21000"/>
    <n v="0"/>
    <n v="51.851851851851855"/>
    <n v="0"/>
    <s v="افراد السيطرة"/>
    <s v="استلام نقدي"/>
    <s v="سند استلام"/>
    <n v="0"/>
    <s v="الفرقة الثالثة"/>
    <n v="1"/>
    <d v="2026-06-10T00:00:00"/>
    <m/>
    <m/>
    <n v="2026"/>
    <x v="0"/>
    <n v="10"/>
    <s v="قيـد مقابـل:- (مصاريف حوافز ومكافئات  - افراد السيطرة - الفرقة الثالثة)  - استلام نقدي رقم   سند استلام - صرف حافز افراد علي عارف علي راجح بامرالمالية"/>
    <s v="المالية"/>
  </r>
  <r>
    <n v="281"/>
    <s v="JV136"/>
    <x v="7"/>
    <s v="قيد عهده"/>
    <n v="11060205"/>
    <x v="16"/>
    <x v="113"/>
    <x v="0"/>
    <n v="405"/>
    <n v="0"/>
    <n v="21000"/>
    <n v="0"/>
    <n v="51.851851851851855"/>
    <s v="افراد السيطرة"/>
    <s v="استلام نقدي"/>
    <s v="سند استلام"/>
    <n v="0"/>
    <s v="الفرقة الثالثة"/>
    <n v="1"/>
    <d v="2026-06-10T00:00:00"/>
    <m/>
    <m/>
    <n v="2026"/>
    <x v="0"/>
    <n v="10"/>
    <s v="قيـد مقابـل:- (مصاريف حوافز ومكافئات  - افراد السيطرة - الفرقة الثالثة)  - استلام نقدي رقم   سند استلام - صرف حافز افراد علي عارف علي راجح بامرالمالية"/>
    <s v="المالية"/>
  </r>
  <r>
    <n v="282"/>
    <s v="JV137"/>
    <x v="7"/>
    <s v="قيد عهده"/>
    <n v="31010101"/>
    <x v="2"/>
    <x v="114"/>
    <x v="0"/>
    <n v="405"/>
    <n v="20000"/>
    <n v="0"/>
    <n v="49.382716049382715"/>
    <n v="0"/>
    <s v="محمد عبدالصمد عبدالله"/>
    <s v="استلام نقدي"/>
    <s v="سند استلام"/>
    <n v="0"/>
    <s v="اللواء السادس"/>
    <n v="7"/>
    <d v="2026-06-10T00:00:00"/>
    <m/>
    <m/>
    <n v="2026"/>
    <x v="0"/>
    <n v="10"/>
    <s v="قيـد مقابـل:- (مصاريف  صرفة يومية للافراد  - محمد عبدالصمد عبدالله - اللواء السادس)  - استلام نقدي رقم   سند استلام - صرف الصرفة اليومية ليومي 9 و 10 بامر"/>
    <n v="0"/>
  </r>
  <r>
    <n v="283"/>
    <s v="JV137"/>
    <x v="7"/>
    <s v="قيد عهده"/>
    <n v="11060205"/>
    <x v="16"/>
    <x v="114"/>
    <x v="0"/>
    <n v="405"/>
    <n v="0"/>
    <n v="20000"/>
    <n v="0"/>
    <n v="49.382716049382715"/>
    <s v="محمد عبدالصمد عبدالله"/>
    <s v="استلام نقدي"/>
    <s v="سند استلام"/>
    <n v="0"/>
    <s v="اللواء السادس"/>
    <n v="7"/>
    <d v="2026-06-10T00:00:00"/>
    <m/>
    <m/>
    <n v="2026"/>
    <x v="0"/>
    <n v="10"/>
    <s v="قيـد مقابـل:- (مصاريف  صرفة يومية للافراد  - محمد عبدالصمد عبدالله - اللواء السادس)  - استلام نقدي رقم   سند استلام - صرف الصرفة اليومية ليومي 9 و 10 بامر"/>
    <n v="0"/>
  </r>
  <r>
    <n v="284"/>
    <s v="JV138"/>
    <x v="8"/>
    <s v="قيد عهده"/>
    <n v="31010101"/>
    <x v="2"/>
    <x v="115"/>
    <x v="0"/>
    <n v="405"/>
    <n v="40000"/>
    <n v="0"/>
    <n v="98.76543209876543"/>
    <n v="0"/>
    <s v="السيطرة والاتصالات"/>
    <s v="كشف صرف"/>
    <s v="كشف صرف"/>
    <n v="0"/>
    <s v="الفرقة الثالثة"/>
    <n v="1"/>
    <d v="2026-06-11T00:00:00"/>
    <m/>
    <m/>
    <n v="2026"/>
    <x v="0"/>
    <n v="11"/>
    <s v="قيـد مقابـل:- (مصاريف  صرفة يومية للافراد  - السيطرة والاتصالات - الفرقة الثالثة)  - كشف صرف رقم   كشف صرف - صرف الصرفة اليومية للسيطرة والاتصالات لعدد 7 بامر"/>
    <n v="0"/>
  </r>
  <r>
    <n v="285"/>
    <s v="JV138"/>
    <x v="8"/>
    <s v="قيد عهده"/>
    <n v="11060205"/>
    <x v="16"/>
    <x v="115"/>
    <x v="0"/>
    <n v="405"/>
    <n v="0"/>
    <n v="40000"/>
    <n v="0"/>
    <n v="98.76543209876543"/>
    <s v="السيطرة والاتصالات"/>
    <s v="كشف صرف"/>
    <s v="كشف صرف"/>
    <n v="0"/>
    <s v="الفرقة الثالثة"/>
    <n v="1"/>
    <d v="2026-06-11T00:00:00"/>
    <m/>
    <m/>
    <n v="2026"/>
    <x v="0"/>
    <n v="11"/>
    <s v="قيـد مقابـل:- (مصاريف  صرفة يومية للافراد  - السيطرة والاتصالات - الفرقة الثالثة)  - كشف صرف رقم   كشف صرف - صرف الصرفة اليومية للسيطرة والاتصالات لعدد 7 بامر"/>
    <n v="0"/>
  </r>
  <r>
    <n v="286"/>
    <s v="JV139"/>
    <x v="8"/>
    <s v="قيد عهده"/>
    <n v="31010101"/>
    <x v="2"/>
    <x v="94"/>
    <x v="0"/>
    <n v="405"/>
    <n v="30000"/>
    <n v="0"/>
    <n v="74.074074074074076"/>
    <n v="0"/>
    <s v="التوجيه"/>
    <s v="كشف صرف"/>
    <s v="كشف صرف"/>
    <n v="0"/>
    <s v="الفرقة الثالثة"/>
    <n v="1"/>
    <d v="2026-06-11T00:00:00"/>
    <m/>
    <m/>
    <n v="2026"/>
    <x v="0"/>
    <n v="11"/>
    <s v="قيـد مقابـل:- (مصاريف  صرفة يومية للافراد  - التوجيه - الفرقة الثالثة)  - كشف صرف رقم   كشف صرف - صرف الصرفة اليومية للتوجيه عدد 2 بامر"/>
    <n v="0"/>
  </r>
  <r>
    <n v="287"/>
    <s v="JV139"/>
    <x v="8"/>
    <s v="قيد عهده"/>
    <n v="11060205"/>
    <x v="16"/>
    <x v="94"/>
    <x v="0"/>
    <n v="405"/>
    <n v="0"/>
    <n v="30000"/>
    <n v="0"/>
    <n v="74.074074074074076"/>
    <s v="التوجيه"/>
    <s v="كشف صرف"/>
    <s v="كشف صرف"/>
    <n v="0"/>
    <s v="الفرقة الثالثة"/>
    <n v="1"/>
    <d v="2026-06-11T00:00:00"/>
    <m/>
    <m/>
    <n v="2026"/>
    <x v="0"/>
    <n v="11"/>
    <s v="قيـد مقابـل:- (مصاريف  صرفة يومية للافراد  - التوجيه - الفرقة الثالثة)  - كشف صرف رقم   كشف صرف - صرف الصرفة اليومية للتوجيه عدد 2 بامر"/>
    <n v="0"/>
  </r>
  <r>
    <n v="288"/>
    <s v="JV140"/>
    <x v="8"/>
    <s v="قيد عهده"/>
    <n v="31010101"/>
    <x v="2"/>
    <x v="116"/>
    <x v="0"/>
    <n v="405"/>
    <n v="116000"/>
    <n v="0"/>
    <n v="286.41975308641975"/>
    <n v="0"/>
    <s v="الامداد"/>
    <s v="كشف صرف"/>
    <s v="كشف صرف"/>
    <n v="0"/>
    <s v="الفرقة الثالثة"/>
    <n v="1"/>
    <d v="2026-06-11T00:00:00"/>
    <m/>
    <m/>
    <n v="2026"/>
    <x v="0"/>
    <n v="11"/>
    <s v="قيـد مقابـل:- (مصاريف  صرفة يومية للافراد  - الامداد - الفرقة الثالثة)  - كشف صرف رقم   كشف صرف - صرف الصرفة اليومية  لافراد الامداد لعدد 11 بامر"/>
    <n v="0"/>
  </r>
  <r>
    <n v="289"/>
    <s v="JV140"/>
    <x v="8"/>
    <s v="قيد عهده"/>
    <n v="11060205"/>
    <x v="16"/>
    <x v="116"/>
    <x v="0"/>
    <n v="405"/>
    <n v="0"/>
    <n v="116000"/>
    <n v="0"/>
    <n v="286.41975308641975"/>
    <s v="الامداد"/>
    <s v="كشف صرف"/>
    <s v="كشف صرف"/>
    <n v="0"/>
    <s v="الفرقة الثالثة"/>
    <n v="1"/>
    <d v="2026-06-11T00:00:00"/>
    <m/>
    <m/>
    <n v="2026"/>
    <x v="0"/>
    <n v="11"/>
    <s v="قيـد مقابـل:- (مصاريف  صرفة يومية للافراد  - الامداد - الفرقة الثالثة)  - كشف صرف رقم   كشف صرف - صرف الصرفة اليومية  لافراد الامداد لعدد 11 بامر"/>
    <n v="0"/>
  </r>
  <r>
    <n v="290"/>
    <s v="JV141"/>
    <x v="8"/>
    <s v="قيد عهده"/>
    <n v="31010101"/>
    <x v="2"/>
    <x v="117"/>
    <x v="0"/>
    <n v="405"/>
    <n v="690000"/>
    <n v="0"/>
    <n v="1703.7037037037037"/>
    <n v="0"/>
    <s v="سرية الشرطة"/>
    <s v="كشف صرف"/>
    <s v="كشف صرف"/>
    <n v="0"/>
    <s v="الفرقة الثالثة"/>
    <n v="1"/>
    <d v="2026-06-11T00:00:00"/>
    <m/>
    <m/>
    <n v="2026"/>
    <x v="0"/>
    <n v="11"/>
    <s v="قيـد مقابـل:- (مصاريف  صرفة يومية للافراد  - سرية الشرطة - الفرقة الثالثة)  - كشف صرف رقم   كشف صرف - صرف الصرفة الاسبوعية سرية الشرطة عدد 56 بامر"/>
    <n v="0"/>
  </r>
  <r>
    <n v="291"/>
    <s v="JV141"/>
    <x v="8"/>
    <s v="قيد عهده"/>
    <n v="11060205"/>
    <x v="16"/>
    <x v="117"/>
    <x v="0"/>
    <n v="405"/>
    <n v="0"/>
    <n v="690000"/>
    <n v="0"/>
    <n v="1703.7037037037037"/>
    <s v="سرية الشرطة"/>
    <s v="كشف صرف"/>
    <s v="كشف صرف"/>
    <n v="0"/>
    <s v="الفرقة الثالثة"/>
    <n v="1"/>
    <d v="2026-06-11T00:00:00"/>
    <m/>
    <m/>
    <n v="2026"/>
    <x v="0"/>
    <n v="11"/>
    <s v="قيـد مقابـل:- (مصاريف  صرفة يومية للافراد  - سرية الشرطة - الفرقة الثالثة)  - كشف صرف رقم   كشف صرف - صرف الصرفة الاسبوعية سرية الشرطة عدد 56 بامر"/>
    <n v="0"/>
  </r>
  <r>
    <n v="292"/>
    <s v="JV142"/>
    <x v="8"/>
    <s v="قيد عهده"/>
    <n v="31010101"/>
    <x v="2"/>
    <x v="95"/>
    <x v="0"/>
    <n v="405"/>
    <n v="30000"/>
    <n v="0"/>
    <n v="74.074074074074076"/>
    <n v="0"/>
    <s v="البشرية و الصراف"/>
    <s v="كشف صرف"/>
    <s v="كشف صرف"/>
    <n v="0"/>
    <s v="الفرقة الثالثة"/>
    <n v="1"/>
    <d v="2026-06-11T00:00:00"/>
    <m/>
    <m/>
    <n v="2026"/>
    <x v="0"/>
    <n v="11"/>
    <s v="قيـد مقابـل:- (مصاريف  صرفة يومية للافراد  - البشرية و الصراف - الفرقة الثالثة)  - كشف صرف رقم   كشف صرف - صرف الصرفة اليومية  للبشرة والصراف عدد 2 بامر"/>
    <n v="0"/>
  </r>
  <r>
    <n v="293"/>
    <s v="JV142"/>
    <x v="8"/>
    <s v="قيد عهده"/>
    <n v="11060205"/>
    <x v="16"/>
    <x v="95"/>
    <x v="0"/>
    <n v="405"/>
    <n v="0"/>
    <n v="30000"/>
    <n v="0"/>
    <n v="74.074074074074076"/>
    <s v="البشرية و الصراف"/>
    <s v="كشف صرف"/>
    <s v="كشف صرف"/>
    <n v="0"/>
    <s v="الفرقة الثالثة"/>
    <n v="1"/>
    <d v="2026-06-11T00:00:00"/>
    <m/>
    <m/>
    <n v="2026"/>
    <x v="0"/>
    <n v="11"/>
    <s v="قيـد مقابـل:- (مصاريف  صرفة يومية للافراد  - البشرية و الصراف - الفرقة الثالثة)  - كشف صرف رقم   كشف صرف - صرف الصرفة اليومية  للبشرة والصراف عدد 2 بامر"/>
    <n v="0"/>
  </r>
  <r>
    <n v="294"/>
    <s v="JV143"/>
    <x v="8"/>
    <s v="قيد عهده"/>
    <n v="31010101"/>
    <x v="2"/>
    <x v="63"/>
    <x v="0"/>
    <n v="405"/>
    <n v="65000"/>
    <n v="0"/>
    <n v="160.49382716049382"/>
    <n v="0"/>
    <s v="الاستخبارات"/>
    <s v="كشف صرف"/>
    <s v="كشف صرف"/>
    <n v="0"/>
    <s v="الفرقة الثالثة"/>
    <n v="1"/>
    <d v="2026-06-11T00:00:00"/>
    <m/>
    <m/>
    <n v="2026"/>
    <x v="0"/>
    <n v="11"/>
    <s v="قيـد مقابـل:- (مصاريف  صرفة يومية للافراد  - الاستخبارات - الفرقة الثالثة)  - كشف صرف رقم   كشف صرف - صرف الصرفة اليومية  الاستخبارات لعدد 4 بامر"/>
    <n v="0"/>
  </r>
  <r>
    <n v="295"/>
    <s v="JV143"/>
    <x v="8"/>
    <s v="قيد عهده"/>
    <n v="11060205"/>
    <x v="16"/>
    <x v="63"/>
    <x v="0"/>
    <n v="405"/>
    <n v="0"/>
    <n v="65000"/>
    <n v="0"/>
    <n v="160.49382716049382"/>
    <s v="الاستخبارات"/>
    <s v="كشف صرف"/>
    <s v="كشف صرف"/>
    <n v="0"/>
    <s v="الفرقة الثالثة"/>
    <n v="1"/>
    <d v="2026-06-11T00:00:00"/>
    <m/>
    <m/>
    <n v="2026"/>
    <x v="0"/>
    <n v="11"/>
    <s v="قيـد مقابـل:- (مصاريف  صرفة يومية للافراد  - الاستخبارات - الفرقة الثالثة)  - كشف صرف رقم   كشف صرف - صرف الصرفة اليومية  الاستخبارات لعدد 4 بامر"/>
    <n v="0"/>
  </r>
  <r>
    <n v="296"/>
    <s v="JV144"/>
    <x v="8"/>
    <s v="قيد عهده"/>
    <n v="31010101"/>
    <x v="2"/>
    <x v="96"/>
    <x v="0"/>
    <n v="405"/>
    <n v="30000"/>
    <n v="0"/>
    <n v="74.074074074074076"/>
    <n v="0"/>
    <s v="المدفعية"/>
    <s v="كشف صرف"/>
    <s v="كشف صرف"/>
    <n v="0"/>
    <s v="الفرقة الثالثة"/>
    <n v="1"/>
    <d v="2026-06-11T00:00:00"/>
    <m/>
    <m/>
    <n v="2026"/>
    <x v="0"/>
    <n v="11"/>
    <s v="قيـد مقابـل:- (مصاريف  صرفة يومية للافراد  - المدفعية - الفرقة الثالثة)  - كشف صرف رقم   كشف صرف - صرف الصرفة اليومية للمدفعية لعدد 3 بامر"/>
    <n v="0"/>
  </r>
  <r>
    <n v="297"/>
    <s v="JV144"/>
    <x v="8"/>
    <s v="قيد عهده"/>
    <n v="11060205"/>
    <x v="16"/>
    <x v="96"/>
    <x v="0"/>
    <n v="405"/>
    <n v="0"/>
    <n v="30000"/>
    <n v="0"/>
    <n v="74.074074074074076"/>
    <s v="المدفعية"/>
    <s v="كشف صرف"/>
    <s v="كشف صرف"/>
    <n v="0"/>
    <s v="الفرقة الثالثة"/>
    <n v="1"/>
    <d v="2026-06-11T00:00:00"/>
    <m/>
    <m/>
    <n v="2026"/>
    <x v="0"/>
    <n v="11"/>
    <s v="قيـد مقابـل:- (مصاريف  صرفة يومية للافراد  - المدفعية - الفرقة الثالثة)  - كشف صرف رقم   كشف صرف - صرف الصرفة اليومية للمدفعية لعدد 3 بامر"/>
    <n v="0"/>
  </r>
  <r>
    <n v="298"/>
    <s v="JV145"/>
    <x v="8"/>
    <s v="قيد عهده"/>
    <n v="31010101"/>
    <x v="2"/>
    <x v="106"/>
    <x v="0"/>
    <n v="405"/>
    <n v="95000"/>
    <n v="0"/>
    <n v="234.5679012345679"/>
    <n v="0"/>
    <s v="المستشارين والمساعدين"/>
    <s v="كشف صرف"/>
    <s v="كشف صرف"/>
    <n v="0"/>
    <s v="الفرقة الثالثة"/>
    <n v="1"/>
    <d v="2026-06-11T00:00:00"/>
    <m/>
    <m/>
    <n v="2026"/>
    <x v="0"/>
    <n v="11"/>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299"/>
    <s v="JV145"/>
    <x v="8"/>
    <s v="قيد عهده"/>
    <n v="11060205"/>
    <x v="16"/>
    <x v="106"/>
    <x v="0"/>
    <n v="405"/>
    <n v="0"/>
    <n v="95000"/>
    <n v="0"/>
    <n v="234.5679012345679"/>
    <s v="المستشارين والمساعدين"/>
    <s v="كشف صرف"/>
    <s v="كشف صرف"/>
    <n v="0"/>
    <s v="الفرقة الثالثة"/>
    <n v="1"/>
    <d v="2026-06-11T00:00:00"/>
    <m/>
    <m/>
    <n v="2026"/>
    <x v="0"/>
    <n v="11"/>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300"/>
    <s v="JV146"/>
    <x v="8"/>
    <s v="قيد عهده"/>
    <n v="31010101"/>
    <x v="2"/>
    <x v="118"/>
    <x v="0"/>
    <n v="405"/>
    <n v="14000"/>
    <n v="0"/>
    <n v="34.567901234567898"/>
    <n v="0"/>
    <s v="الطبية والمحاسبين"/>
    <s v="كشف صرف"/>
    <s v="كشف صرف"/>
    <n v="0"/>
    <s v="الفرقة الثالثة"/>
    <n v="1"/>
    <d v="2026-06-11T00:00:00"/>
    <m/>
    <m/>
    <n v="2026"/>
    <x v="0"/>
    <n v="11"/>
    <s v="قيـد مقابـل:- (مصاريف  صرفة يومية للافراد  - الطبية والمحاسبين - الفرقة الثالثة)  - كشف صرف رقم   كشف صرف - صرف الصرفة اليومية للطبية والمحاسبين لعدد 2 بامر"/>
    <n v="0"/>
  </r>
  <r>
    <n v="301"/>
    <s v="JV146"/>
    <x v="8"/>
    <s v="قيد عهده"/>
    <n v="11060205"/>
    <x v="16"/>
    <x v="118"/>
    <x v="0"/>
    <n v="405"/>
    <n v="0"/>
    <n v="14000"/>
    <n v="0"/>
    <n v="34.567901234567898"/>
    <s v="الطبية والمحاسبين"/>
    <s v="كشف صرف"/>
    <s v="كشف صرف"/>
    <n v="0"/>
    <s v="الفرقة الثالثة"/>
    <n v="1"/>
    <d v="2026-06-11T00:00:00"/>
    <m/>
    <m/>
    <n v="2026"/>
    <x v="0"/>
    <n v="11"/>
    <s v="قيـد مقابـل:- (مصاريف  صرفة يومية للافراد  - الطبية والمحاسبين - الفرقة الثالثة)  - كشف صرف رقم   كشف صرف - صرف الصرفة اليومية للطبية والمحاسبين لعدد 2 بامر"/>
    <n v="0"/>
  </r>
  <r>
    <n v="302"/>
    <s v="JV147"/>
    <x v="8"/>
    <s v="قيد عهده"/>
    <n v="31010101"/>
    <x v="2"/>
    <x v="66"/>
    <x v="0"/>
    <n v="405"/>
    <n v="70000"/>
    <n v="0"/>
    <n v="172.83950617283949"/>
    <n v="0"/>
    <s v="الضباط السابقين"/>
    <s v="كشف صرف"/>
    <s v="كشف صرف"/>
    <n v="0"/>
    <s v="الفرقة الثالثة"/>
    <n v="1"/>
    <d v="2026-06-11T00:00:00"/>
    <m/>
    <m/>
    <n v="2026"/>
    <x v="0"/>
    <n v="11"/>
    <s v="قيـد مقابـل:- (مصاريف  صرفة يومية للافراد  - الضباط السابقين - الفرقة الثالثة)  - كشف صرف رقم   كشف صرف - صرف الصرفة اليومية ضباط سابقين لعدد 7 بامر"/>
    <n v="0"/>
  </r>
  <r>
    <n v="303"/>
    <s v="JV147"/>
    <x v="8"/>
    <s v="قيد عهده"/>
    <n v="11060205"/>
    <x v="16"/>
    <x v="66"/>
    <x v="0"/>
    <n v="405"/>
    <n v="0"/>
    <n v="70000"/>
    <n v="0"/>
    <n v="172.83950617283949"/>
    <s v="الضباط السابقين"/>
    <s v="كشف صرف"/>
    <s v="كشف صرف"/>
    <n v="0"/>
    <s v="الفرقة الثالثة"/>
    <n v="1"/>
    <d v="2026-06-11T00:00:00"/>
    <m/>
    <m/>
    <n v="2026"/>
    <x v="0"/>
    <n v="11"/>
    <s v="قيـد مقابـل:- (مصاريف  صرفة يومية للافراد  - الضباط السابقين - الفرقة الثالثة)  - كشف صرف رقم   كشف صرف - صرف الصرفة اليومية ضباط سابقين لعدد 7 بامر"/>
    <n v="0"/>
  </r>
  <r>
    <n v="304"/>
    <s v="JV148"/>
    <x v="8"/>
    <s v="قيد عهده"/>
    <n v="31010101"/>
    <x v="2"/>
    <x v="108"/>
    <x v="0"/>
    <n v="405"/>
    <n v="74000"/>
    <n v="0"/>
    <n v="182.71604938271605"/>
    <n v="0"/>
    <s v="اخرون"/>
    <s v="كشف صرف"/>
    <s v="كشف صرف"/>
    <n v="0"/>
    <s v="الفرقة الثالثة"/>
    <n v="1"/>
    <d v="2026-06-11T00:00:00"/>
    <m/>
    <m/>
    <n v="2026"/>
    <x v="0"/>
    <n v="11"/>
    <s v="قيـد مقابـل:- (مصاريف  صرفة يومية للافراد  - اخرون - الفرقة الثالثة)  - كشف صرف رقم   كشف صرف - الصرفة اليومية اخرون عدد 8 بامر"/>
    <n v="0"/>
  </r>
  <r>
    <n v="305"/>
    <s v="JV148"/>
    <x v="8"/>
    <s v="قيد عهده"/>
    <n v="11060205"/>
    <x v="16"/>
    <x v="108"/>
    <x v="0"/>
    <n v="405"/>
    <n v="0"/>
    <n v="74000"/>
    <n v="0"/>
    <n v="182.71604938271605"/>
    <s v="اخرون"/>
    <s v="كشف صرف"/>
    <s v="كشف صرف"/>
    <n v="0"/>
    <s v="الفرقة الثالثة"/>
    <n v="1"/>
    <d v="2026-06-11T00:00:00"/>
    <m/>
    <m/>
    <n v="2026"/>
    <x v="0"/>
    <n v="11"/>
    <s v="قيـد مقابـل:- (مصاريف  صرفة يومية للافراد  - اخرون - الفرقة الثالثة)  - كشف صرف رقم   كشف صرف - الصرفة اليومية اخرون عدد 8 بامر"/>
    <n v="0"/>
  </r>
  <r>
    <n v="306"/>
    <s v="JV149"/>
    <x v="8"/>
    <s v="قيد عهده"/>
    <n v="31010101"/>
    <x v="2"/>
    <x v="109"/>
    <x v="0"/>
    <n v="405"/>
    <n v="25000"/>
    <n v="0"/>
    <n v="61.728395061728392"/>
    <n v="0"/>
    <s v="مرافقي الاركان"/>
    <s v="كشف صرف"/>
    <s v="كشف صرف"/>
    <n v="0"/>
    <s v="الفرقة الثالثة"/>
    <n v="1"/>
    <d v="2026-06-11T00:00:00"/>
    <m/>
    <m/>
    <n v="2026"/>
    <x v="0"/>
    <n v="11"/>
    <s v="قيـد مقابـل:- (مصاريف  صرفة يومية للافراد  - مرافقي الاركان - الفرقة الثالثة)  - كشف صرف رقم   كشف صرف - صرف الصرفة اليومية لمرافقي الاركان عدد 3 بامر"/>
    <n v="0"/>
  </r>
  <r>
    <n v="307"/>
    <s v="JV149"/>
    <x v="8"/>
    <s v="قيد عهده"/>
    <n v="11060205"/>
    <x v="16"/>
    <x v="109"/>
    <x v="0"/>
    <n v="405"/>
    <n v="0"/>
    <n v="25000"/>
    <n v="0"/>
    <n v="61.728395061728392"/>
    <s v="مرافقي الاركان"/>
    <s v="كشف صرف"/>
    <s v="كشف صرف"/>
    <n v="0"/>
    <s v="الفرقة الثالثة"/>
    <n v="1"/>
    <d v="2026-06-11T00:00:00"/>
    <m/>
    <m/>
    <n v="2026"/>
    <x v="0"/>
    <n v="11"/>
    <s v="قيـد مقابـل:- (مصاريف  صرفة يومية للافراد  - مرافقي الاركان - الفرقة الثالثة)  - كشف صرف رقم   كشف صرف - صرف الصرفة اليومية لمرافقي الاركان عدد 3 بامر"/>
    <n v="0"/>
  </r>
  <r>
    <n v="308"/>
    <s v="JV150"/>
    <x v="8"/>
    <s v="قيد عهده"/>
    <n v="31010101"/>
    <x v="2"/>
    <x v="69"/>
    <x v="0"/>
    <n v="405"/>
    <n v="28000"/>
    <n v="0"/>
    <n v="69.135802469135797"/>
    <n v="0"/>
    <s v="الاشغال"/>
    <s v="كشف صرف"/>
    <s v="كشف صرف"/>
    <n v="0"/>
    <s v="الفرقة الثالثة"/>
    <n v="1"/>
    <d v="2026-06-11T00:00:00"/>
    <m/>
    <m/>
    <n v="2026"/>
    <x v="0"/>
    <n v="11"/>
    <s v="قيـد مقابـل:- (مصاريف  صرفة يومية للافراد  - الاشغال - الفرقة الثالثة)  - كشف صرف رقم   كشف صرف - صرف الصرفة اليومية للاشغال لعدد 3 بامر"/>
    <n v="0"/>
  </r>
  <r>
    <n v="309"/>
    <s v="JV150"/>
    <x v="8"/>
    <s v="قيد عهده"/>
    <n v="11060205"/>
    <x v="16"/>
    <x v="69"/>
    <x v="0"/>
    <n v="405"/>
    <n v="0"/>
    <n v="28000"/>
    <n v="0"/>
    <n v="69.135802469135797"/>
    <s v="الاشغال"/>
    <s v="كشف صرف"/>
    <s v="كشف صرف"/>
    <n v="0"/>
    <s v="الفرقة الثالثة"/>
    <n v="1"/>
    <d v="2026-06-11T00:00:00"/>
    <m/>
    <m/>
    <n v="2026"/>
    <x v="0"/>
    <n v="11"/>
    <s v="قيـد مقابـل:- (مصاريف  صرفة يومية للافراد  - الاشغال - الفرقة الثالثة)  - كشف صرف رقم   كشف صرف - صرف الصرفة اليومية للاشغال لعدد 3 بامر"/>
    <n v="0"/>
  </r>
  <r>
    <n v="310"/>
    <s v="JV151"/>
    <x v="8"/>
    <s v="قيد عهده"/>
    <n v="31010101"/>
    <x v="2"/>
    <x v="100"/>
    <x v="0"/>
    <n v="405"/>
    <n v="156000"/>
    <n v="0"/>
    <n v="385.18518518518516"/>
    <n v="0"/>
    <s v="سرية اللواء السادس"/>
    <s v="كشف صرف"/>
    <s v="كشف صرف"/>
    <n v="0"/>
    <s v="الفرقة الثالثة"/>
    <n v="1"/>
    <d v="2026-06-11T00:00:00"/>
    <m/>
    <m/>
    <n v="2026"/>
    <x v="0"/>
    <n v="11"/>
    <s v="قيـد مقابـل:- (مصاريف  صرفة يومية للافراد  - سرية اللواء السادس - الفرقة الثالثة)  - كشف صرف رقم   كشف صرف - مصاريف يومية سرية اللواء السادس عدد 39 بامر"/>
    <n v="0"/>
  </r>
  <r>
    <n v="311"/>
    <s v="JV151"/>
    <x v="8"/>
    <s v="قيد عهده"/>
    <n v="11060205"/>
    <x v="16"/>
    <x v="100"/>
    <x v="0"/>
    <n v="405"/>
    <n v="0"/>
    <n v="156000"/>
    <n v="0"/>
    <n v="385.18518518518516"/>
    <s v="سرية اللواء السادس"/>
    <s v="كشف صرف"/>
    <s v="كشف صرف"/>
    <n v="0"/>
    <s v="الفرقة الثالثة"/>
    <n v="1"/>
    <d v="2026-06-11T00:00:00"/>
    <m/>
    <m/>
    <n v="2026"/>
    <x v="0"/>
    <n v="11"/>
    <s v="قيـد مقابـل:- (مصاريف  صرفة يومية للافراد  - سرية اللواء السادس - الفرقة الثالثة)  - كشف صرف رقم   كشف صرف - مصاريف يومية سرية اللواء السادس عدد 39 بامر"/>
    <n v="0"/>
  </r>
  <r>
    <n v="312"/>
    <s v="RC006"/>
    <x v="8"/>
    <s v="قبض عهدة"/>
    <n v="11060205"/>
    <x v="16"/>
    <x v="119"/>
    <x v="1"/>
    <n v="1"/>
    <n v="9980"/>
    <n v="0"/>
    <n v="9980"/>
    <n v="0"/>
    <s v="عبدالحفيظ"/>
    <s v="حواله"/>
    <s v="شركة المقبولي للصرافة والتحويلات"/>
    <n v="26371"/>
    <s v="الفرقة الثالثة"/>
    <n v="1"/>
    <d v="2026-06-11T00:00:00"/>
    <m/>
    <m/>
    <n v="2026"/>
    <x v="0"/>
    <n v="11"/>
    <s v="قيـد مقابـل:- (عهدة عبدالحفيظ - عبدالحفيظ - الفرقة الثالثة)  - حواله رقم 26371  شركة المقبولي للصرافة والتحويلات - استلام عهدة بامر"/>
    <n v="0"/>
  </r>
  <r>
    <n v="313"/>
    <s v="RC006"/>
    <x v="8"/>
    <s v="قبض عهدة"/>
    <n v="11010101"/>
    <x v="3"/>
    <x v="119"/>
    <x v="1"/>
    <n v="1"/>
    <n v="0"/>
    <n v="9980"/>
    <n v="0"/>
    <n v="9980"/>
    <s v="عبدالحفيظ"/>
    <s v="حواله"/>
    <s v="شركة المقبولي للصرافة والتحويلات"/>
    <n v="26371"/>
    <s v="الفرقة الثالثة"/>
    <n v="1"/>
    <d v="2026-06-11T00:00:00"/>
    <m/>
    <m/>
    <n v="2026"/>
    <x v="0"/>
    <n v="11"/>
    <s v="قيـد مقابـل:- (عهدة عبدالحفيظ - عبدالحفيظ - الفرقة الثالثة)  - حواله رقم 26371  شركة المقبولي للصرافة والتحويلات - استلام عهدة بامر"/>
    <n v="0"/>
  </r>
  <r>
    <n v="314"/>
    <s v="JV152"/>
    <x v="8"/>
    <s v="قيد عهده"/>
    <n v="31010135"/>
    <x v="14"/>
    <x v="120"/>
    <x v="0"/>
    <n v="405"/>
    <n v="200000"/>
    <n v="0"/>
    <n v="493.82716049382714"/>
    <n v="0"/>
    <s v="صالح عبدالله لدحل"/>
    <s v="استلام نقدي"/>
    <s v="سند استلام"/>
    <n v="0"/>
    <s v="الفرقة الثالثة"/>
    <n v="1"/>
    <d v="2026-06-11T00:00:00"/>
    <m/>
    <m/>
    <n v="2026"/>
    <x v="0"/>
    <n v="11"/>
    <s v="قيـد مقابـل:- (اجور يومية - صالح عبدالله لدحل - الفرقة الثالثة)  - استلام نقدي رقم   سند استلام - صرف اجور سائق قاطرة الماء للفترة السابقة بامرالمستشار المالي"/>
    <s v="المستشار المالي"/>
  </r>
  <r>
    <n v="315"/>
    <s v="JV152"/>
    <x v="8"/>
    <s v="قيد عهده"/>
    <n v="11060205"/>
    <x v="16"/>
    <x v="120"/>
    <x v="0"/>
    <n v="405"/>
    <n v="0"/>
    <n v="200000"/>
    <n v="0"/>
    <n v="493.82716049382714"/>
    <s v="صالح عبدالله لدحل"/>
    <s v="استلام نقدي"/>
    <s v="سند استلام"/>
    <n v="0"/>
    <s v="الفرقة الثالثة"/>
    <n v="1"/>
    <d v="2026-06-11T00:00:00"/>
    <m/>
    <m/>
    <n v="2026"/>
    <x v="0"/>
    <n v="11"/>
    <s v="قيـد مقابـل:- (اجور يومية - صالح عبدالله لدحل - الفرقة الثالثة)  - استلام نقدي رقم   سند استلام - صرف اجور سائق قاطرة الماء للفترة السابقة بامرالمستشار المالي"/>
    <s v="المستشار المالي"/>
  </r>
  <r>
    <n v="316"/>
    <s v="JV153"/>
    <x v="8"/>
    <s v="قيد عهده"/>
    <n v="31010135"/>
    <x v="14"/>
    <x v="121"/>
    <x v="0"/>
    <n v="405"/>
    <n v="100000"/>
    <n v="0"/>
    <n v="246.91358024691357"/>
    <n v="0"/>
    <s v="عمال"/>
    <s v="استلام نقدي"/>
    <s v="سند استلام"/>
    <n v="0"/>
    <s v="الفرقة الثالثة"/>
    <n v="1"/>
    <d v="2026-06-11T00:00:00"/>
    <m/>
    <m/>
    <n v="2026"/>
    <x v="0"/>
    <n v="11"/>
    <s v="قيـد مقابـل:- (اجور يومية - عمال - الفرقة الثالثة)  - استلام نقدي رقم   سند استلام - اجور عمال تركيب الخيم في الفرقة  بامرالأركان جمال مسدوس"/>
    <s v="الأركان جمال مسدوس"/>
  </r>
  <r>
    <n v="317"/>
    <s v="JV153"/>
    <x v="8"/>
    <s v="قيد عهده"/>
    <n v="11060205"/>
    <x v="16"/>
    <x v="121"/>
    <x v="0"/>
    <n v="405"/>
    <n v="0"/>
    <n v="100000"/>
    <n v="0"/>
    <n v="246.91358024691357"/>
    <s v="عمال"/>
    <s v="استلام نقدي"/>
    <s v="سند استلام"/>
    <n v="0"/>
    <s v="الفرقة الثالثة"/>
    <n v="1"/>
    <d v="2026-06-11T00:00:00"/>
    <m/>
    <m/>
    <n v="2026"/>
    <x v="0"/>
    <n v="11"/>
    <s v="قيـد مقابـل:- (اجور يومية - عمال - الفرقة الثالثة)  - استلام نقدي رقم   سند استلام - اجور عمال تركيب الخيم في الفرقة  بامرالأركان جمال مسدوس"/>
    <s v="الأركان جمال مسدوس"/>
  </r>
  <r>
    <n v="318"/>
    <s v="JV154"/>
    <x v="8"/>
    <s v="قيد عهده"/>
    <n v="31010114"/>
    <x v="4"/>
    <x v="122"/>
    <x v="0"/>
    <n v="405"/>
    <n v="200000"/>
    <n v="0"/>
    <n v="493.82716049382714"/>
    <n v="0"/>
    <s v="فريق دائرة الاعلام"/>
    <s v="استلام نقدي"/>
    <s v="سند استلام"/>
    <n v="0"/>
    <s v="الفرقة الثالثة"/>
    <n v="1"/>
    <d v="2026-06-11T00:00:00"/>
    <m/>
    <m/>
    <n v="2026"/>
    <x v="0"/>
    <n v="11"/>
    <s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
    <s v="القائد"/>
  </r>
  <r>
    <n v="319"/>
    <s v="JV154"/>
    <x v="8"/>
    <s v="قيد عهده"/>
    <n v="11060205"/>
    <x v="16"/>
    <x v="122"/>
    <x v="0"/>
    <n v="405"/>
    <n v="0"/>
    <n v="200000"/>
    <n v="0"/>
    <n v="493.82716049382714"/>
    <s v="فريق دائرة الاعلام"/>
    <s v="استلام نقدي"/>
    <s v="سند استلام"/>
    <n v="0"/>
    <s v="الفرقة الثالثة"/>
    <n v="1"/>
    <d v="2026-06-11T00:00:00"/>
    <m/>
    <m/>
    <n v="2026"/>
    <x v="0"/>
    <n v="11"/>
    <s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
    <s v="القائد"/>
  </r>
  <r>
    <n v="320"/>
    <s v="JV155"/>
    <x v="8"/>
    <s v="قيد عهده"/>
    <n v="31010101"/>
    <x v="2"/>
    <x v="123"/>
    <x v="0"/>
    <n v="405"/>
    <n v="10000"/>
    <n v="0"/>
    <n v="24.691358024691358"/>
    <n v="0"/>
    <s v="محمد عبدالصمد عبدالله"/>
    <s v="استلام نقدي"/>
    <s v="سند استلام"/>
    <n v="0"/>
    <s v="اللواء السادس"/>
    <n v="7"/>
    <d v="2026-06-11T00:00:00"/>
    <m/>
    <m/>
    <n v="2026"/>
    <x v="0"/>
    <n v="11"/>
    <s v="قيـد مقابـل:- (مصاريف  صرفة يومية للافراد  - محمد عبدالصمد عبدالله - اللواء السادس)  - استلام نقدي رقم   سند استلام - صرفة يومية ليوم 11 بامر"/>
    <n v="0"/>
  </r>
  <r>
    <n v="321"/>
    <s v="JV155"/>
    <x v="8"/>
    <s v="قيد عهده"/>
    <n v="11060205"/>
    <x v="16"/>
    <x v="123"/>
    <x v="0"/>
    <n v="405"/>
    <n v="0"/>
    <n v="10000"/>
    <n v="0"/>
    <n v="24.691358024691358"/>
    <s v="محمد عبدالصمد عبدالله"/>
    <s v="استلام نقدي"/>
    <s v="سند استلام"/>
    <n v="0"/>
    <s v="اللواء السادس"/>
    <n v="7"/>
    <d v="2026-06-11T00:00:00"/>
    <m/>
    <m/>
    <n v="2026"/>
    <x v="0"/>
    <n v="11"/>
    <s v="قيـد مقابـل:- (مصاريف  صرفة يومية للافراد  - محمد عبدالصمد عبدالله - اللواء السادس)  - استلام نقدي رقم   سند استلام - صرفة يومية ليوم 11 بامر"/>
    <n v="0"/>
  </r>
  <r>
    <n v="322"/>
    <s v="JV156"/>
    <x v="8"/>
    <s v="قيد عهده"/>
    <n v="31010103"/>
    <x v="10"/>
    <x v="124"/>
    <x v="0"/>
    <n v="405"/>
    <n v="70000"/>
    <n v="0"/>
    <n v="172.83950617283949"/>
    <n v="0"/>
    <s v="عبدالمغني عبدالصمد عبدالحميد الصلوي"/>
    <s v="استلام نقدي"/>
    <s v="سند استلام"/>
    <n v="0"/>
    <s v="الفرقة الثالثة"/>
    <n v="1"/>
    <d v="2026-06-11T00:00:00"/>
    <m/>
    <m/>
    <n v="2026"/>
    <x v="0"/>
    <n v="11"/>
    <s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
    <s v="المستشار المالي"/>
  </r>
  <r>
    <n v="323"/>
    <s v="JV156"/>
    <x v="8"/>
    <s v="قيد عهده"/>
    <n v="11060205"/>
    <x v="16"/>
    <x v="124"/>
    <x v="0"/>
    <n v="405"/>
    <n v="0"/>
    <n v="70000"/>
    <n v="0"/>
    <n v="172.83950617283949"/>
    <s v="عبدالمغني عبدالصمد عبدالحميد الصلوي"/>
    <s v="استلام نقدي"/>
    <s v="سند استلام"/>
    <n v="0"/>
    <s v="الفرقة الثالثة"/>
    <n v="1"/>
    <d v="2026-06-11T00:00:00"/>
    <m/>
    <m/>
    <n v="2026"/>
    <x v="0"/>
    <n v="11"/>
    <s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
    <s v="المستشار المالي"/>
  </r>
  <r>
    <n v="324"/>
    <s v="JV157"/>
    <x v="9"/>
    <s v="قيد عهده"/>
    <n v="31010101"/>
    <x v="2"/>
    <x v="125"/>
    <x v="0"/>
    <n v="405"/>
    <n v="52000"/>
    <n v="0"/>
    <n v="128.39506172839506"/>
    <n v="0"/>
    <s v="السيطرة والاتصالات"/>
    <s v="كشف صرف"/>
    <s v="كشف صرف"/>
    <n v="0"/>
    <s v="الفرقة الثالثة"/>
    <n v="1"/>
    <d v="2026-06-12T00:00:00"/>
    <m/>
    <m/>
    <n v="2026"/>
    <x v="0"/>
    <n v="12"/>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325"/>
    <s v="JV157"/>
    <x v="9"/>
    <s v="قيد عهده"/>
    <n v="11060205"/>
    <x v="16"/>
    <x v="125"/>
    <x v="0"/>
    <n v="405"/>
    <n v="0"/>
    <n v="52000"/>
    <n v="0"/>
    <n v="128.39506172839506"/>
    <s v="السيطرة والاتصالات"/>
    <s v="كشف صرف"/>
    <s v="كشف صرف"/>
    <n v="0"/>
    <s v="الفرقة الثالثة"/>
    <n v="1"/>
    <d v="2026-06-12T00:00:00"/>
    <m/>
    <m/>
    <n v="2026"/>
    <x v="0"/>
    <n v="12"/>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326"/>
    <s v="JV158"/>
    <x v="9"/>
    <s v="قيد عهده"/>
    <n v="31010101"/>
    <x v="2"/>
    <x v="116"/>
    <x v="0"/>
    <n v="405"/>
    <n v="116000"/>
    <n v="0"/>
    <n v="286.41975308641975"/>
    <n v="0"/>
    <s v="الامداد"/>
    <s v="كشف صرف"/>
    <s v="كشف صرف"/>
    <n v="0"/>
    <s v="الفرقة الثالثة"/>
    <n v="1"/>
    <d v="2026-06-12T00:00:00"/>
    <m/>
    <m/>
    <n v="2026"/>
    <x v="0"/>
    <n v="12"/>
    <s v="قيـد مقابـل:- (مصاريف  صرفة يومية للافراد  - الامداد - الفرقة الثالثة)  - كشف صرف رقم   كشف صرف - صرف الصرفة اليومية  لافراد الامداد لعدد 11 بامر"/>
    <n v="0"/>
  </r>
  <r>
    <n v="327"/>
    <s v="JV158"/>
    <x v="9"/>
    <s v="قيد عهده"/>
    <n v="11060205"/>
    <x v="16"/>
    <x v="116"/>
    <x v="0"/>
    <n v="405"/>
    <n v="0"/>
    <n v="116000"/>
    <n v="0"/>
    <n v="286.41975308641975"/>
    <s v="الامداد"/>
    <s v="كشف صرف"/>
    <s v="كشف صرف"/>
    <n v="0"/>
    <s v="الفرقة الثالثة"/>
    <n v="1"/>
    <d v="2026-06-12T00:00:00"/>
    <m/>
    <m/>
    <n v="2026"/>
    <x v="0"/>
    <n v="12"/>
    <s v="قيـد مقابـل:- (مصاريف  صرفة يومية للافراد  - الامداد - الفرقة الثالثة)  - كشف صرف رقم   كشف صرف - صرف الصرفة اليومية  لافراد الامداد لعدد 11 بامر"/>
    <n v="0"/>
  </r>
  <r>
    <n v="328"/>
    <s v="JV159"/>
    <x v="9"/>
    <s v="قيد عهده"/>
    <n v="31010101"/>
    <x v="2"/>
    <x v="94"/>
    <x v="0"/>
    <n v="405"/>
    <n v="30000"/>
    <n v="0"/>
    <n v="74.074074074074076"/>
    <n v="0"/>
    <s v="التوجيه"/>
    <s v="كشف صرف"/>
    <s v="كشف صرف"/>
    <n v="0"/>
    <s v="الفرقة الثالثة"/>
    <n v="1"/>
    <d v="2026-06-12T00:00:00"/>
    <m/>
    <m/>
    <n v="2026"/>
    <x v="0"/>
    <n v="12"/>
    <s v="قيـد مقابـل:- (مصاريف  صرفة يومية للافراد  - التوجيه - الفرقة الثالثة)  - كشف صرف رقم   كشف صرف - صرف الصرفة اليومية للتوجيه عدد 2 بامر"/>
    <n v="0"/>
  </r>
  <r>
    <n v="329"/>
    <s v="JV159"/>
    <x v="9"/>
    <s v="قيد عهده"/>
    <n v="11060205"/>
    <x v="16"/>
    <x v="94"/>
    <x v="0"/>
    <n v="405"/>
    <n v="0"/>
    <n v="30000"/>
    <n v="0"/>
    <n v="74.074074074074076"/>
    <s v="التوجيه"/>
    <s v="كشف صرف"/>
    <s v="كشف صرف"/>
    <n v="0"/>
    <s v="الفرقة الثالثة"/>
    <n v="1"/>
    <d v="2026-06-12T00:00:00"/>
    <m/>
    <m/>
    <n v="2026"/>
    <x v="0"/>
    <n v="12"/>
    <s v="قيـد مقابـل:- (مصاريف  صرفة يومية للافراد  - التوجيه - الفرقة الثالثة)  - كشف صرف رقم   كشف صرف - صرف الصرفة اليومية للتوجيه عدد 2 بامر"/>
    <n v="0"/>
  </r>
  <r>
    <n v="330"/>
    <s v="JV160"/>
    <x v="9"/>
    <s v="قيد عهده"/>
    <n v="31010101"/>
    <x v="2"/>
    <x v="95"/>
    <x v="0"/>
    <n v="405"/>
    <n v="30000"/>
    <n v="0"/>
    <n v="74.074074074074076"/>
    <n v="0"/>
    <s v="البشرية و الصراف"/>
    <s v="كشف صرف"/>
    <s v="كشف صرف"/>
    <n v="0"/>
    <s v="الفرقة الثالثة"/>
    <n v="1"/>
    <d v="2026-06-12T00:00:00"/>
    <m/>
    <m/>
    <n v="2026"/>
    <x v="0"/>
    <n v="12"/>
    <s v="قيـد مقابـل:- (مصاريف  صرفة يومية للافراد  - البشرية و الصراف - الفرقة الثالثة)  - كشف صرف رقم   كشف صرف - صرف الصرفة اليومية  للبشرة والصراف عدد 2 بامر"/>
    <n v="0"/>
  </r>
  <r>
    <n v="331"/>
    <s v="JV160"/>
    <x v="9"/>
    <s v="قيد عهده"/>
    <n v="11060205"/>
    <x v="16"/>
    <x v="95"/>
    <x v="0"/>
    <n v="405"/>
    <n v="0"/>
    <n v="30000"/>
    <n v="0"/>
    <n v="74.074074074074076"/>
    <s v="البشرية و الصراف"/>
    <s v="كشف صرف"/>
    <s v="كشف صرف"/>
    <n v="0"/>
    <s v="الفرقة الثالثة"/>
    <n v="1"/>
    <d v="2026-06-12T00:00:00"/>
    <m/>
    <m/>
    <n v="2026"/>
    <x v="0"/>
    <n v="12"/>
    <s v="قيـد مقابـل:- (مصاريف  صرفة يومية للافراد  - البشرية و الصراف - الفرقة الثالثة)  - كشف صرف رقم   كشف صرف - صرف الصرفة اليومية  للبشرة والصراف عدد 2 بامر"/>
    <n v="0"/>
  </r>
  <r>
    <n v="332"/>
    <s v="JV161"/>
    <x v="9"/>
    <s v="قيد عهده"/>
    <n v="31010101"/>
    <x v="2"/>
    <x v="63"/>
    <x v="0"/>
    <n v="405"/>
    <n v="65000"/>
    <n v="0"/>
    <n v="160.49382716049382"/>
    <n v="0"/>
    <s v="الاستخبارات"/>
    <s v="كشف صرف"/>
    <s v="كشف صرف"/>
    <n v="0"/>
    <s v="الفرقة الثالثة"/>
    <n v="1"/>
    <d v="2026-06-12T00:00:00"/>
    <m/>
    <m/>
    <n v="2026"/>
    <x v="0"/>
    <n v="12"/>
    <s v="قيـد مقابـل:- (مصاريف  صرفة يومية للافراد  - الاستخبارات - الفرقة الثالثة)  - كشف صرف رقم   كشف صرف - صرف الصرفة اليومية  الاستخبارات لعدد 4 بامر"/>
    <n v="0"/>
  </r>
  <r>
    <n v="333"/>
    <s v="JV161"/>
    <x v="9"/>
    <s v="قيد عهده"/>
    <n v="11060205"/>
    <x v="16"/>
    <x v="63"/>
    <x v="0"/>
    <n v="405"/>
    <n v="0"/>
    <n v="65000"/>
    <n v="0"/>
    <n v="160.49382716049382"/>
    <s v="الاستخبارات"/>
    <s v="كشف صرف"/>
    <s v="كشف صرف"/>
    <n v="0"/>
    <s v="الفرقة الثالثة"/>
    <n v="1"/>
    <d v="2026-06-12T00:00:00"/>
    <m/>
    <m/>
    <n v="2026"/>
    <x v="0"/>
    <n v="12"/>
    <s v="قيـد مقابـل:- (مصاريف  صرفة يومية للافراد  - الاستخبارات - الفرقة الثالثة)  - كشف صرف رقم   كشف صرف - صرف الصرفة اليومية  الاستخبارات لعدد 4 بامر"/>
    <n v="0"/>
  </r>
  <r>
    <n v="334"/>
    <s v="JV162"/>
    <x v="9"/>
    <s v="قيد عهده"/>
    <n v="31010101"/>
    <x v="2"/>
    <x v="126"/>
    <x v="0"/>
    <n v="405"/>
    <n v="45000"/>
    <n v="0"/>
    <n v="111.11111111111111"/>
    <n v="0"/>
    <s v="المدفعية"/>
    <s v="كشف صرف"/>
    <s v="كشف صرف"/>
    <n v="0"/>
    <s v="الفرقة الثالثة"/>
    <n v="1"/>
    <d v="2026-06-12T00:00:00"/>
    <m/>
    <m/>
    <n v="2026"/>
    <x v="0"/>
    <n v="12"/>
    <s v="قيـد مقابـل:- (مصاريف  صرفة يومية للافراد  - المدفعية - الفرقة الثالثة)  - كشف صرف رقم   كشف صرف - صرف الصرفة اليومية للمدفعية لعدد 5 بامر"/>
    <n v="0"/>
  </r>
  <r>
    <n v="335"/>
    <s v="JV162"/>
    <x v="9"/>
    <s v="قيد عهده"/>
    <n v="11060205"/>
    <x v="16"/>
    <x v="126"/>
    <x v="0"/>
    <n v="405"/>
    <n v="0"/>
    <n v="45000"/>
    <n v="0"/>
    <n v="111.11111111111111"/>
    <s v="المدفعية"/>
    <s v="كشف صرف"/>
    <s v="كشف صرف"/>
    <n v="0"/>
    <s v="الفرقة الثالثة"/>
    <n v="1"/>
    <d v="2026-06-12T00:00:00"/>
    <m/>
    <m/>
    <n v="2026"/>
    <x v="0"/>
    <n v="12"/>
    <s v="قيـد مقابـل:- (مصاريف  صرفة يومية للافراد  - المدفعية - الفرقة الثالثة)  - كشف صرف رقم   كشف صرف - صرف الصرفة اليومية للمدفعية لعدد 5 بامر"/>
    <n v="0"/>
  </r>
  <r>
    <n v="336"/>
    <s v="JV163"/>
    <x v="9"/>
    <s v="قيد عهده"/>
    <n v="31010101"/>
    <x v="2"/>
    <x v="106"/>
    <x v="0"/>
    <n v="405"/>
    <n v="95000"/>
    <n v="0"/>
    <n v="234.5679012345679"/>
    <n v="0"/>
    <s v="المستشارين والمساعدين"/>
    <s v="كشف صرف"/>
    <s v="كشف صرف"/>
    <n v="0"/>
    <s v="الفرقة الثالثة"/>
    <n v="1"/>
    <d v="2026-06-12T00:00:00"/>
    <m/>
    <m/>
    <n v="2026"/>
    <x v="0"/>
    <n v="12"/>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337"/>
    <s v="JV163"/>
    <x v="9"/>
    <s v="قيد عهده"/>
    <n v="11060205"/>
    <x v="16"/>
    <x v="106"/>
    <x v="0"/>
    <n v="405"/>
    <n v="0"/>
    <n v="95000"/>
    <n v="0"/>
    <n v="234.5679012345679"/>
    <s v="المستشارين والمساعدين"/>
    <s v="كشف صرف"/>
    <s v="كشف صرف"/>
    <n v="0"/>
    <s v="الفرقة الثالثة"/>
    <n v="1"/>
    <d v="2026-06-12T00:00:00"/>
    <m/>
    <m/>
    <n v="2026"/>
    <x v="0"/>
    <n v="12"/>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338"/>
    <s v="JV164"/>
    <x v="9"/>
    <s v="قيد عهده"/>
    <n v="31010101"/>
    <x v="2"/>
    <x v="118"/>
    <x v="0"/>
    <n v="405"/>
    <n v="14000"/>
    <n v="0"/>
    <n v="34.567901234567898"/>
    <n v="0"/>
    <s v="الطبية والمحاسبين"/>
    <s v="كشف صرف"/>
    <s v="كشف صرف"/>
    <n v="0"/>
    <s v="الفرقة الثالثة"/>
    <n v="1"/>
    <d v="2026-06-12T00:00:00"/>
    <m/>
    <m/>
    <n v="2026"/>
    <x v="0"/>
    <n v="12"/>
    <s v="قيـد مقابـل:- (مصاريف  صرفة يومية للافراد  - الطبية والمحاسبين - الفرقة الثالثة)  - كشف صرف رقم   كشف صرف - صرف الصرفة اليومية للطبية والمحاسبين لعدد 2 بامر"/>
    <n v="0"/>
  </r>
  <r>
    <n v="339"/>
    <s v="JV164"/>
    <x v="9"/>
    <s v="قيد عهده"/>
    <n v="11060205"/>
    <x v="16"/>
    <x v="118"/>
    <x v="0"/>
    <n v="405"/>
    <n v="0"/>
    <n v="14000"/>
    <n v="0"/>
    <n v="34.567901234567898"/>
    <s v="الطبية والمحاسبين"/>
    <s v="كشف صرف"/>
    <s v="كشف صرف"/>
    <n v="0"/>
    <s v="الفرقة الثالثة"/>
    <n v="1"/>
    <d v="2026-06-12T00:00:00"/>
    <m/>
    <m/>
    <n v="2026"/>
    <x v="0"/>
    <n v="12"/>
    <s v="قيـد مقابـل:- (مصاريف  صرفة يومية للافراد  - الطبية والمحاسبين - الفرقة الثالثة)  - كشف صرف رقم   كشف صرف - صرف الصرفة اليومية للطبية والمحاسبين لعدد 2 بامر"/>
    <n v="0"/>
  </r>
  <r>
    <n v="340"/>
    <s v="JV165"/>
    <x v="9"/>
    <s v="قيد عهده"/>
    <n v="31010101"/>
    <x v="2"/>
    <x v="127"/>
    <x v="0"/>
    <n v="405"/>
    <n v="90000"/>
    <n v="0"/>
    <n v="222.22222222222223"/>
    <n v="0"/>
    <s v="الضباط السابقين"/>
    <s v="كشف صرف"/>
    <s v="كشف صرف"/>
    <n v="0"/>
    <s v="الفرقة الثالثة"/>
    <n v="1"/>
    <d v="2026-06-12T00:00:00"/>
    <m/>
    <m/>
    <n v="2026"/>
    <x v="0"/>
    <n v="12"/>
    <s v="قيـد مقابـل:- (مصاريف  صرفة يومية للافراد  - الضباط السابقين - الفرقة الثالثة)  - كشف صرف رقم   كشف صرف - صرف الصرفة اليومية ضباط سابقين لعدد 9 بامر"/>
    <n v="0"/>
  </r>
  <r>
    <n v="341"/>
    <s v="JV165"/>
    <x v="9"/>
    <s v="قيد عهده"/>
    <n v="11060205"/>
    <x v="16"/>
    <x v="127"/>
    <x v="0"/>
    <n v="405"/>
    <n v="0"/>
    <n v="90000"/>
    <n v="0"/>
    <n v="222.22222222222223"/>
    <s v="الضباط السابقين"/>
    <s v="كشف صرف"/>
    <s v="كشف صرف"/>
    <n v="0"/>
    <s v="الفرقة الثالثة"/>
    <n v="1"/>
    <d v="2026-06-12T00:00:00"/>
    <m/>
    <m/>
    <n v="2026"/>
    <x v="0"/>
    <n v="12"/>
    <s v="قيـد مقابـل:- (مصاريف  صرفة يومية للافراد  - الضباط السابقين - الفرقة الثالثة)  - كشف صرف رقم   كشف صرف - صرف الصرفة اليومية ضباط سابقين لعدد 9 بامر"/>
    <n v="0"/>
  </r>
  <r>
    <n v="342"/>
    <s v="JV166"/>
    <x v="9"/>
    <s v="قيد عهده"/>
    <n v="31010101"/>
    <x v="2"/>
    <x v="128"/>
    <x v="0"/>
    <n v="405"/>
    <n v="70000"/>
    <n v="0"/>
    <n v="172.83950617283949"/>
    <n v="0"/>
    <s v="اخرون"/>
    <s v="كشف صرف"/>
    <s v="كشف صرف"/>
    <n v="0"/>
    <s v="الفرقة الثالثة"/>
    <n v="1"/>
    <d v="2026-06-12T00:00:00"/>
    <m/>
    <m/>
    <n v="2026"/>
    <x v="0"/>
    <n v="12"/>
    <s v="قيـد مقابـل:- (مصاريف  صرفة يومية للافراد  - اخرون - الفرقة الثالثة)  - كشف صرف رقم   كشف صرف - الصرفة اليومية اخرون عدد 7 بامر"/>
    <n v="0"/>
  </r>
  <r>
    <n v="343"/>
    <s v="JV166"/>
    <x v="9"/>
    <s v="قيد عهده"/>
    <n v="11060205"/>
    <x v="16"/>
    <x v="128"/>
    <x v="0"/>
    <n v="405"/>
    <n v="0"/>
    <n v="70000"/>
    <n v="0"/>
    <n v="172.83950617283949"/>
    <s v="اخرون"/>
    <s v="كشف صرف"/>
    <s v="كشف صرف"/>
    <n v="0"/>
    <s v="الفرقة الثالثة"/>
    <n v="1"/>
    <d v="2026-06-12T00:00:00"/>
    <m/>
    <m/>
    <n v="2026"/>
    <x v="0"/>
    <n v="12"/>
    <s v="قيـد مقابـل:- (مصاريف  صرفة يومية للافراد  - اخرون - الفرقة الثالثة)  - كشف صرف رقم   كشف صرف - الصرفة اليومية اخرون عدد 7 بامر"/>
    <n v="0"/>
  </r>
  <r>
    <n v="344"/>
    <s v="JV167"/>
    <x v="9"/>
    <s v="قيد عهده"/>
    <n v="31010101"/>
    <x v="2"/>
    <x v="129"/>
    <x v="0"/>
    <n v="405"/>
    <n v="25000"/>
    <n v="0"/>
    <n v="61.728395061728392"/>
    <n v="0"/>
    <s v="مرافقي الاركان"/>
    <s v="كشف صرف"/>
    <s v="كشف صرف"/>
    <n v="0"/>
    <s v="الفرقة الثالثة"/>
    <n v="1"/>
    <d v="2026-06-12T00:00:00"/>
    <m/>
    <m/>
    <n v="2026"/>
    <x v="0"/>
    <n v="12"/>
    <s v="قيـد مقابـل:- (مصاريف  صرفة يومية للافراد  - مرافقي الاركان - الفرقة الثالثة)  - كشف صرف رقم   كشف صرف - صرف الصرفة اليومية لمرافقي الاركان عدد 4 بامر"/>
    <n v="0"/>
  </r>
  <r>
    <n v="345"/>
    <s v="JV167"/>
    <x v="9"/>
    <s v="قيد عهده"/>
    <n v="11060205"/>
    <x v="16"/>
    <x v="129"/>
    <x v="0"/>
    <n v="405"/>
    <n v="0"/>
    <n v="25000"/>
    <n v="0"/>
    <n v="61.728395061728392"/>
    <s v="مرافقي الاركان"/>
    <s v="كشف صرف"/>
    <s v="كشف صرف"/>
    <n v="0"/>
    <s v="الفرقة الثالثة"/>
    <n v="1"/>
    <d v="2026-06-12T00:00:00"/>
    <m/>
    <m/>
    <n v="2026"/>
    <x v="0"/>
    <n v="12"/>
    <s v="قيـد مقابـل:- (مصاريف  صرفة يومية للافراد  - مرافقي الاركان - الفرقة الثالثة)  - كشف صرف رقم   كشف صرف - صرف الصرفة اليومية لمرافقي الاركان عدد 4 بامر"/>
    <n v="0"/>
  </r>
  <r>
    <n v="346"/>
    <s v="JV168"/>
    <x v="9"/>
    <s v="قيد عهده"/>
    <n v="31010101"/>
    <x v="2"/>
    <x v="130"/>
    <x v="0"/>
    <n v="405"/>
    <n v="18000"/>
    <n v="0"/>
    <n v="44.444444444444443"/>
    <n v="0"/>
    <s v="افراد طقم اللواء السابع مرافقين"/>
    <s v="كشف صرف"/>
    <s v="كشف صرف"/>
    <n v="0"/>
    <s v="الفرقة الثالثة"/>
    <n v="1"/>
    <d v="2026-06-12T00:00:00"/>
    <m/>
    <m/>
    <n v="2026"/>
    <x v="0"/>
    <n v="12"/>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347"/>
    <s v="JV168"/>
    <x v="9"/>
    <s v="قيد عهده"/>
    <n v="11060205"/>
    <x v="16"/>
    <x v="130"/>
    <x v="0"/>
    <n v="405"/>
    <n v="0"/>
    <n v="18000"/>
    <n v="0"/>
    <n v="44.444444444444443"/>
    <s v="افراد طقم اللواء السابع مرافقين"/>
    <s v="كشف صرف"/>
    <s v="كشف صرف"/>
    <n v="0"/>
    <s v="الفرقة الثالثة"/>
    <n v="1"/>
    <d v="2026-06-12T00:00:00"/>
    <m/>
    <m/>
    <n v="2026"/>
    <x v="0"/>
    <n v="12"/>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348"/>
    <s v="JV169"/>
    <x v="9"/>
    <s v="قيد عهده"/>
    <n v="31010101"/>
    <x v="2"/>
    <x v="69"/>
    <x v="0"/>
    <n v="405"/>
    <n v="28000"/>
    <n v="0"/>
    <n v="69.135802469135797"/>
    <n v="0"/>
    <s v="الاشغال"/>
    <s v="كشف صرف"/>
    <s v="كشف صرف"/>
    <n v="0"/>
    <s v="الفرقة الثالثة"/>
    <n v="1"/>
    <d v="2026-06-12T00:00:00"/>
    <m/>
    <m/>
    <n v="2026"/>
    <x v="0"/>
    <n v="12"/>
    <s v="قيـد مقابـل:- (مصاريف  صرفة يومية للافراد  - الاشغال - الفرقة الثالثة)  - كشف صرف رقم   كشف صرف - صرف الصرفة اليومية للاشغال لعدد 3 بامر"/>
    <n v="0"/>
  </r>
  <r>
    <n v="349"/>
    <s v="JV169"/>
    <x v="9"/>
    <s v="قيد عهده"/>
    <n v="11060205"/>
    <x v="16"/>
    <x v="69"/>
    <x v="0"/>
    <n v="405"/>
    <n v="0"/>
    <n v="28000"/>
    <n v="0"/>
    <n v="69.135802469135797"/>
    <s v="الاشغال"/>
    <s v="كشف صرف"/>
    <s v="كشف صرف"/>
    <n v="0"/>
    <s v="الفرقة الثالثة"/>
    <n v="1"/>
    <d v="2026-06-12T00:00:00"/>
    <m/>
    <m/>
    <n v="2026"/>
    <x v="0"/>
    <n v="12"/>
    <s v="قيـد مقابـل:- (مصاريف  صرفة يومية للافراد  - الاشغال - الفرقة الثالثة)  - كشف صرف رقم   كشف صرف - صرف الصرفة اليومية للاشغال لعدد 3 بامر"/>
    <n v="0"/>
  </r>
  <r>
    <n v="350"/>
    <s v="JV170"/>
    <x v="9"/>
    <s v="قيد عهده"/>
    <n v="31010101"/>
    <x v="2"/>
    <x v="131"/>
    <x v="0"/>
    <n v="405"/>
    <n v="148000"/>
    <n v="0"/>
    <n v="365.4320987654321"/>
    <n v="0"/>
    <s v="سرية اللواء السادس"/>
    <s v="كشف صرف"/>
    <s v="كشف صرف"/>
    <n v="0"/>
    <s v="اللواء السادس"/>
    <n v="7"/>
    <d v="2026-06-12T00:00:00"/>
    <m/>
    <m/>
    <n v="2026"/>
    <x v="0"/>
    <n v="12"/>
    <s v="قيـد مقابـل:- (مصاريف  صرفة يومية للافراد  - سرية اللواء السادس - اللواء السادس)  - كشف صرف رقم   كشف صرف - مصاريف يومية سرية اللواء السادس عدد 37 بامر"/>
    <n v="0"/>
  </r>
  <r>
    <n v="351"/>
    <s v="JV170"/>
    <x v="9"/>
    <s v="قيد عهده"/>
    <n v="11060205"/>
    <x v="16"/>
    <x v="131"/>
    <x v="0"/>
    <n v="405"/>
    <n v="0"/>
    <n v="148000"/>
    <n v="0"/>
    <n v="365.4320987654321"/>
    <s v="سرية اللواء السادس"/>
    <s v="كشف صرف"/>
    <s v="كشف صرف"/>
    <n v="0"/>
    <s v="اللواء السادس"/>
    <n v="7"/>
    <d v="2026-06-12T00:00:00"/>
    <m/>
    <m/>
    <n v="2026"/>
    <x v="0"/>
    <n v="12"/>
    <s v="قيـد مقابـل:- (مصاريف  صرفة يومية للافراد  - سرية اللواء السادس - اللواء السادس)  - كشف صرف رقم   كشف صرف - مصاريف يومية سرية اللواء السادس عدد 37 بامر"/>
    <n v="0"/>
  </r>
  <r>
    <n v="352"/>
    <s v="JV171"/>
    <x v="9"/>
    <s v="قيد عهده"/>
    <n v="31010135"/>
    <x v="14"/>
    <x v="132"/>
    <x v="0"/>
    <n v="405"/>
    <n v="25000"/>
    <n v="0"/>
    <n v="61.728395061728392"/>
    <n v="0"/>
    <s v="عمال"/>
    <s v="استلام نقدي"/>
    <s v="سند استلام"/>
    <n v="0"/>
    <s v="الفرقة الثالثة"/>
    <n v="1"/>
    <d v="2026-06-12T00:00:00"/>
    <m/>
    <m/>
    <n v="2026"/>
    <x v="0"/>
    <n v="12"/>
    <s v="قيـد مقابـل:- (اجور يومية - عمال - الفرقة الثالثة)  - استلام نقدي رقم   سند استلام - صرف اجور 5 عمال انزال الخيم الى مستودعات الامداد بامرمدير  مكتب القائد"/>
    <s v="مدير  مكتب القائد"/>
  </r>
  <r>
    <n v="353"/>
    <s v="JV171"/>
    <x v="9"/>
    <s v="قيد عهده"/>
    <n v="11060205"/>
    <x v="16"/>
    <x v="132"/>
    <x v="0"/>
    <n v="405"/>
    <n v="0"/>
    <n v="25000"/>
    <n v="0"/>
    <n v="61.728395061728392"/>
    <s v="عمال"/>
    <s v="استلام نقدي"/>
    <s v="سند استلام"/>
    <n v="0"/>
    <s v="الفرقة الثالثة"/>
    <n v="1"/>
    <d v="2026-06-12T00:00:00"/>
    <m/>
    <m/>
    <n v="2026"/>
    <x v="0"/>
    <n v="12"/>
    <s v="قيـد مقابـل:- (اجور يومية - عمال - الفرقة الثالثة)  - استلام نقدي رقم   سند استلام - صرف اجور 5 عمال انزال الخيم الى مستودعات الامداد بامرمدير  مكتب القائد"/>
    <s v="مدير  مكتب القائد"/>
  </r>
  <r>
    <n v="354"/>
    <s v="JV172"/>
    <x v="9"/>
    <s v="قيد عهده"/>
    <n v="31010101"/>
    <x v="2"/>
    <x v="133"/>
    <x v="0"/>
    <n v="405"/>
    <n v="10000"/>
    <n v="0"/>
    <n v="24.691358024691358"/>
    <n v="0"/>
    <s v="محمد عبدالصمد عبدالله"/>
    <s v="استلام نقدي"/>
    <s v="سند استلام"/>
    <n v="0"/>
    <s v="اللواء السادس"/>
    <n v="7"/>
    <d v="2026-06-12T00:00:00"/>
    <m/>
    <m/>
    <n v="2026"/>
    <x v="0"/>
    <n v="12"/>
    <s v="قيـد مقابـل:- (مصاريف  صرفة يومية للافراد  - محمد عبدالصمد عبدالله - اللواء السادس)  - استلام نقدي رقم   سند استلام - صرف صرفة يومية ليوم 12 بامر"/>
    <n v="0"/>
  </r>
  <r>
    <n v="355"/>
    <s v="JV172"/>
    <x v="9"/>
    <s v="قيد عهده"/>
    <n v="11060205"/>
    <x v="16"/>
    <x v="133"/>
    <x v="0"/>
    <n v="405"/>
    <n v="0"/>
    <n v="10000"/>
    <n v="0"/>
    <n v="24.691358024691358"/>
    <s v="محمد عبدالصمد عبدالله"/>
    <s v="استلام نقدي"/>
    <s v="سند استلام"/>
    <n v="0"/>
    <s v="اللواء السادس"/>
    <n v="7"/>
    <d v="2026-06-12T00:00:00"/>
    <m/>
    <m/>
    <n v="2026"/>
    <x v="0"/>
    <n v="12"/>
    <s v="قيـد مقابـل:- (مصاريف  صرفة يومية للافراد  - محمد عبدالصمد عبدالله - اللواء السادس)  - استلام نقدي رقم   سند استلام - صرف صرفة يومية ليوم 12 بامر"/>
    <n v="0"/>
  </r>
  <r>
    <n v="356"/>
    <s v="RC007"/>
    <x v="10"/>
    <s v="قبض عهدة"/>
    <n v="11060205"/>
    <x v="16"/>
    <x v="134"/>
    <x v="1"/>
    <n v="1"/>
    <n v="14970"/>
    <n v="0"/>
    <n v="14970"/>
    <n v="0"/>
    <s v="عبدالحفيظ"/>
    <s v="حواله"/>
    <s v="شركة المقبولي للصرافة والتحويلات"/>
    <n v="26718"/>
    <s v="الفرقة الثالثة"/>
    <n v="1"/>
    <d v="2026-06-13T00:00:00"/>
    <m/>
    <m/>
    <n v="2026"/>
    <x v="0"/>
    <n v="13"/>
    <s v="قيـد مقابـل:- (عهدة عبدالحفيظ - عبدالحفيظ - الفرقة الثالثة)  - حواله رقم 26718  شركة المقبولي للصرافة والتحويلات - استلام عهدة بامر"/>
    <n v="0"/>
  </r>
  <r>
    <n v="357"/>
    <s v="RC007"/>
    <x v="10"/>
    <s v="قبض عهدة"/>
    <n v="11010101"/>
    <x v="3"/>
    <x v="134"/>
    <x v="1"/>
    <n v="1"/>
    <n v="0"/>
    <n v="14970"/>
    <n v="0"/>
    <n v="14970"/>
    <s v="عبدالحفيظ"/>
    <s v="حواله"/>
    <s v="شركة المقبولي للصرافة والتحويلات"/>
    <n v="26718"/>
    <s v="الفرقة الثالثة"/>
    <n v="1"/>
    <d v="2026-06-13T00:00:00"/>
    <m/>
    <m/>
    <n v="2026"/>
    <x v="0"/>
    <n v="13"/>
    <s v="قيـد مقابـل:- (عهدة عبدالحفيظ - عبدالحفيظ - الفرقة الثالثة)  - حواله رقم 26718  شركة المقبولي للصرافة والتحويلات - استلام عهدة بامر"/>
    <n v="0"/>
  </r>
  <r>
    <n v="358"/>
    <s v="JV173"/>
    <x v="10"/>
    <s v="قيد عهده"/>
    <n v="31010101"/>
    <x v="2"/>
    <x v="125"/>
    <x v="0"/>
    <n v="405"/>
    <n v="52000"/>
    <n v="0"/>
    <n v="128.39506172839506"/>
    <n v="0"/>
    <s v="السيطرة والاتصالات"/>
    <s v="كشف صرف"/>
    <s v="كشف صرف"/>
    <n v="0"/>
    <s v="الفرقة الثالثة"/>
    <n v="1"/>
    <d v="2026-06-13T00:00:00"/>
    <m/>
    <m/>
    <n v="2026"/>
    <x v="0"/>
    <n v="13"/>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359"/>
    <s v="JV173"/>
    <x v="10"/>
    <s v="قيد عهده"/>
    <n v="11060205"/>
    <x v="16"/>
    <x v="125"/>
    <x v="0"/>
    <n v="405"/>
    <n v="0"/>
    <n v="52000"/>
    <n v="0"/>
    <n v="128.39506172839506"/>
    <s v="السيطرة والاتصالات"/>
    <s v="كشف صرف"/>
    <s v="كشف صرف"/>
    <n v="0"/>
    <s v="الفرقة الثالثة"/>
    <n v="1"/>
    <d v="2026-06-13T00:00:00"/>
    <m/>
    <m/>
    <n v="2026"/>
    <x v="0"/>
    <n v="13"/>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360"/>
    <s v="JV174"/>
    <x v="10"/>
    <s v="قيد عهده"/>
    <n v="31010101"/>
    <x v="2"/>
    <x v="94"/>
    <x v="0"/>
    <n v="405"/>
    <n v="30000"/>
    <n v="0"/>
    <n v="74.074074074074076"/>
    <n v="0"/>
    <s v="التوجيه"/>
    <s v="كشف صرف"/>
    <s v="كشف صرف"/>
    <n v="0"/>
    <s v="الفرقة الثالثة"/>
    <n v="1"/>
    <d v="2026-06-13T00:00:00"/>
    <m/>
    <m/>
    <n v="2026"/>
    <x v="0"/>
    <n v="13"/>
    <s v="قيـد مقابـل:- (مصاريف  صرفة يومية للافراد  - التوجيه - الفرقة الثالثة)  - كشف صرف رقم   كشف صرف - صرف الصرفة اليومية للتوجيه عدد 2 بامر"/>
    <n v="0"/>
  </r>
  <r>
    <n v="361"/>
    <s v="JV174"/>
    <x v="10"/>
    <s v="قيد عهده"/>
    <n v="11060205"/>
    <x v="16"/>
    <x v="94"/>
    <x v="0"/>
    <n v="405"/>
    <n v="0"/>
    <n v="30000"/>
    <n v="0"/>
    <n v="74.074074074074076"/>
    <s v="التوجيه"/>
    <s v="كشف صرف"/>
    <s v="كشف صرف"/>
    <n v="0"/>
    <s v="الفرقة الثالثة"/>
    <n v="1"/>
    <d v="2026-06-13T00:00:00"/>
    <m/>
    <m/>
    <n v="2026"/>
    <x v="0"/>
    <n v="13"/>
    <s v="قيـد مقابـل:- (مصاريف  صرفة يومية للافراد  - التوجيه - الفرقة الثالثة)  - كشف صرف رقم   كشف صرف - صرف الصرفة اليومية للتوجيه عدد 2 بامر"/>
    <n v="0"/>
  </r>
  <r>
    <n v="362"/>
    <s v="JV175"/>
    <x v="10"/>
    <s v="قيد عهده"/>
    <n v="31010101"/>
    <x v="2"/>
    <x v="116"/>
    <x v="0"/>
    <n v="405"/>
    <n v="116000"/>
    <n v="0"/>
    <n v="286.41975308641975"/>
    <n v="0"/>
    <s v="الامداد"/>
    <s v="كشف صرف"/>
    <s v="كشف صرف"/>
    <n v="0"/>
    <s v="الفرقة الثالثة"/>
    <n v="1"/>
    <d v="2026-06-13T00:00:00"/>
    <m/>
    <m/>
    <n v="2026"/>
    <x v="0"/>
    <n v="13"/>
    <s v="قيـد مقابـل:- (مصاريف  صرفة يومية للافراد  - الامداد - الفرقة الثالثة)  - كشف صرف رقم   كشف صرف - صرف الصرفة اليومية  لافراد الامداد لعدد 11 بامر"/>
    <n v="0"/>
  </r>
  <r>
    <n v="363"/>
    <s v="JV175"/>
    <x v="10"/>
    <s v="قيد عهده"/>
    <n v="11060205"/>
    <x v="16"/>
    <x v="116"/>
    <x v="0"/>
    <n v="405"/>
    <n v="0"/>
    <n v="116000"/>
    <n v="0"/>
    <n v="286.41975308641975"/>
    <s v="الامداد"/>
    <s v="كشف صرف"/>
    <s v="كشف صرف"/>
    <n v="0"/>
    <s v="الفرقة الثالثة"/>
    <n v="1"/>
    <d v="2026-06-13T00:00:00"/>
    <m/>
    <m/>
    <n v="2026"/>
    <x v="0"/>
    <n v="13"/>
    <s v="قيـد مقابـل:- (مصاريف  صرفة يومية للافراد  - الامداد - الفرقة الثالثة)  - كشف صرف رقم   كشف صرف - صرف الصرفة اليومية  لافراد الامداد لعدد 11 بامر"/>
    <n v="0"/>
  </r>
  <r>
    <n v="364"/>
    <s v="JV176"/>
    <x v="10"/>
    <s v="قيد عهده"/>
    <n v="31010101"/>
    <x v="2"/>
    <x v="62"/>
    <x v="0"/>
    <n v="405"/>
    <n v="15000"/>
    <n v="0"/>
    <n v="37.037037037037038"/>
    <n v="0"/>
    <s v="البشرية و الصراف"/>
    <s v="كشف صرف"/>
    <s v="كشف صرف"/>
    <n v="0"/>
    <s v="الفرقة الثالثة"/>
    <n v="1"/>
    <d v="2026-06-13T00:00:00"/>
    <m/>
    <m/>
    <n v="2026"/>
    <x v="0"/>
    <n v="13"/>
    <s v="قيـد مقابـل:- (مصاريف  صرفة يومية للافراد  - البشرية و الصراف - الفرقة الثالثة)  - كشف صرف رقم   كشف صرف - صرف الصرفة اليومية  للبشرة والصراف عدد 1 بامر"/>
    <n v="0"/>
  </r>
  <r>
    <n v="365"/>
    <s v="JV176"/>
    <x v="10"/>
    <s v="قيد عهده"/>
    <n v="11060205"/>
    <x v="16"/>
    <x v="62"/>
    <x v="0"/>
    <n v="405"/>
    <n v="0"/>
    <n v="15000"/>
    <n v="0"/>
    <n v="37.037037037037038"/>
    <s v="البشرية و الصراف"/>
    <s v="كشف صرف"/>
    <s v="كشف صرف"/>
    <n v="0"/>
    <s v="الفرقة الثالثة"/>
    <n v="1"/>
    <d v="2026-06-13T00:00:00"/>
    <m/>
    <m/>
    <n v="2026"/>
    <x v="0"/>
    <n v="13"/>
    <s v="قيـد مقابـل:- (مصاريف  صرفة يومية للافراد  - البشرية و الصراف - الفرقة الثالثة)  - كشف صرف رقم   كشف صرف - صرف الصرفة اليومية  للبشرة والصراف عدد 1 بامر"/>
    <n v="0"/>
  </r>
  <r>
    <n v="366"/>
    <s v="JV177"/>
    <x v="10"/>
    <s v="قيد عهده"/>
    <n v="31010101"/>
    <x v="2"/>
    <x v="63"/>
    <x v="0"/>
    <n v="405"/>
    <n v="65000"/>
    <n v="0"/>
    <n v="160.49382716049382"/>
    <n v="0"/>
    <s v="الاستخبارات"/>
    <s v="كشف صرف"/>
    <s v="كشف صرف"/>
    <n v="0"/>
    <s v="الفرقة الثالثة"/>
    <n v="1"/>
    <d v="2026-06-13T00:00:00"/>
    <m/>
    <m/>
    <n v="2026"/>
    <x v="0"/>
    <n v="13"/>
    <s v="قيـد مقابـل:- (مصاريف  صرفة يومية للافراد  - الاستخبارات - الفرقة الثالثة)  - كشف صرف رقم   كشف صرف - صرف الصرفة اليومية  الاستخبارات لعدد 4 بامر"/>
    <n v="0"/>
  </r>
  <r>
    <n v="367"/>
    <s v="JV177"/>
    <x v="10"/>
    <s v="قيد عهده"/>
    <n v="11060205"/>
    <x v="16"/>
    <x v="63"/>
    <x v="0"/>
    <n v="405"/>
    <n v="0"/>
    <n v="65000"/>
    <n v="0"/>
    <n v="160.49382716049382"/>
    <s v="الاستخبارات"/>
    <s v="كشف صرف"/>
    <s v="كشف صرف"/>
    <n v="0"/>
    <s v="الفرقة الثالثة"/>
    <n v="1"/>
    <d v="2026-06-13T00:00:00"/>
    <m/>
    <m/>
    <n v="2026"/>
    <x v="0"/>
    <n v="13"/>
    <s v="قيـد مقابـل:- (مصاريف  صرفة يومية للافراد  - الاستخبارات - الفرقة الثالثة)  - كشف صرف رقم   كشف صرف - صرف الصرفة اليومية  الاستخبارات لعدد 4 بامر"/>
    <n v="0"/>
  </r>
  <r>
    <n v="368"/>
    <s v="JV178"/>
    <x v="10"/>
    <s v="قيد عهده"/>
    <n v="31010101"/>
    <x v="2"/>
    <x v="126"/>
    <x v="0"/>
    <n v="405"/>
    <n v="45000"/>
    <n v="0"/>
    <n v="111.11111111111111"/>
    <n v="0"/>
    <s v="المدفعية"/>
    <s v="كشف صرف"/>
    <s v="كشف صرف"/>
    <n v="0"/>
    <s v="الفرقة الثالثة"/>
    <n v="1"/>
    <d v="2026-06-13T00:00:00"/>
    <m/>
    <m/>
    <n v="2026"/>
    <x v="0"/>
    <n v="13"/>
    <s v="قيـد مقابـل:- (مصاريف  صرفة يومية للافراد  - المدفعية - الفرقة الثالثة)  - كشف صرف رقم   كشف صرف - صرف الصرفة اليومية للمدفعية لعدد 5 بامر"/>
    <n v="0"/>
  </r>
  <r>
    <n v="369"/>
    <s v="JV178"/>
    <x v="10"/>
    <s v="قيد عهده"/>
    <n v="11060205"/>
    <x v="16"/>
    <x v="126"/>
    <x v="0"/>
    <n v="405"/>
    <n v="0"/>
    <n v="45000"/>
    <n v="0"/>
    <n v="111.11111111111111"/>
    <s v="المدفعية"/>
    <s v="كشف صرف"/>
    <s v="كشف صرف"/>
    <n v="0"/>
    <s v="الفرقة الثالثة"/>
    <n v="1"/>
    <d v="2026-06-13T00:00:00"/>
    <m/>
    <m/>
    <n v="2026"/>
    <x v="0"/>
    <n v="13"/>
    <s v="قيـد مقابـل:- (مصاريف  صرفة يومية للافراد  - المدفعية - الفرقة الثالثة)  - كشف صرف رقم   كشف صرف - صرف الصرفة اليومية للمدفعية لعدد 5 بامر"/>
    <n v="0"/>
  </r>
  <r>
    <n v="370"/>
    <s v="JV179"/>
    <x v="10"/>
    <s v="قيد عهده"/>
    <n v="31010101"/>
    <x v="2"/>
    <x v="97"/>
    <x v="0"/>
    <n v="405"/>
    <n v="75000"/>
    <n v="0"/>
    <n v="185.18518518518519"/>
    <n v="0"/>
    <s v="المستشارين والمساعدين"/>
    <s v="كشف صرف"/>
    <s v="كشف صرف"/>
    <n v="0"/>
    <s v="الفرقة الثالثة"/>
    <n v="1"/>
    <d v="2026-06-13T00:00:00"/>
    <m/>
    <m/>
    <n v="2026"/>
    <x v="0"/>
    <n v="13"/>
    <s v="قيـد مقابـل:- (مصاريف  صرفة يومية للافراد  - المستشارين والمساعدين - الفرقة الثالثة)  - كشف صرف رقم   كشف صرف - صرف الصرفة اليومية للمستشارين والمساعدين عدد 7 بامر"/>
    <n v="0"/>
  </r>
  <r>
    <n v="371"/>
    <s v="JV179"/>
    <x v="10"/>
    <s v="قيد عهده"/>
    <n v="11060205"/>
    <x v="16"/>
    <x v="97"/>
    <x v="0"/>
    <n v="405"/>
    <n v="0"/>
    <n v="75000"/>
    <n v="0"/>
    <n v="185.18518518518519"/>
    <s v="المستشارين والمساعدين"/>
    <s v="كشف صرف"/>
    <s v="كشف صرف"/>
    <n v="0"/>
    <s v="الفرقة الثالثة"/>
    <n v="1"/>
    <d v="2026-06-13T00:00:00"/>
    <m/>
    <m/>
    <n v="2026"/>
    <x v="0"/>
    <n v="13"/>
    <s v="قيـد مقابـل:- (مصاريف  صرفة يومية للافراد  - المستشارين والمساعدين - الفرقة الثالثة)  - كشف صرف رقم   كشف صرف - صرف الصرفة اليومية للمستشارين والمساعدين عدد 7 بامر"/>
    <n v="0"/>
  </r>
  <r>
    <n v="372"/>
    <s v="JV180"/>
    <x v="10"/>
    <s v="قيد عهده"/>
    <n v="31010101"/>
    <x v="2"/>
    <x v="118"/>
    <x v="0"/>
    <n v="405"/>
    <n v="14000"/>
    <n v="0"/>
    <n v="34.567901234567898"/>
    <n v="0"/>
    <s v="الطبية والمحاسبين"/>
    <s v="كشف صرف"/>
    <s v="كشف صرف"/>
    <n v="0"/>
    <s v="الفرقة الثالثة"/>
    <n v="1"/>
    <d v="2026-06-13T00:00:00"/>
    <m/>
    <m/>
    <n v="2026"/>
    <x v="0"/>
    <n v="13"/>
    <s v="قيـد مقابـل:- (مصاريف  صرفة يومية للافراد  - الطبية والمحاسبين - الفرقة الثالثة)  - كشف صرف رقم   كشف صرف - صرف الصرفة اليومية للطبية والمحاسبين لعدد 2 بامر"/>
    <n v="0"/>
  </r>
  <r>
    <n v="373"/>
    <s v="JV180"/>
    <x v="10"/>
    <s v="قيد عهده"/>
    <n v="11060205"/>
    <x v="16"/>
    <x v="118"/>
    <x v="0"/>
    <n v="405"/>
    <n v="0"/>
    <n v="14000"/>
    <n v="0"/>
    <n v="34.567901234567898"/>
    <s v="الطبية والمحاسبين"/>
    <s v="كشف صرف"/>
    <s v="كشف صرف"/>
    <n v="0"/>
    <s v="الفرقة الثالثة"/>
    <n v="1"/>
    <d v="2026-06-13T00:00:00"/>
    <m/>
    <m/>
    <n v="2026"/>
    <x v="0"/>
    <n v="13"/>
    <s v="قيـد مقابـل:- (مصاريف  صرفة يومية للافراد  - الطبية والمحاسبين - الفرقة الثالثة)  - كشف صرف رقم   كشف صرف - صرف الصرفة اليومية للطبية والمحاسبين لعدد 2 بامر"/>
    <n v="0"/>
  </r>
  <r>
    <n v="374"/>
    <s v="JV181"/>
    <x v="10"/>
    <s v="قيد عهده"/>
    <n v="31010101"/>
    <x v="2"/>
    <x v="135"/>
    <x v="0"/>
    <n v="405"/>
    <n v="100000"/>
    <n v="0"/>
    <n v="246.91358024691357"/>
    <n v="0"/>
    <s v="الضباط السابقين"/>
    <s v="كشف صرف"/>
    <s v="كشف صرف"/>
    <n v="0"/>
    <s v="الفرقة الثالثة"/>
    <n v="1"/>
    <d v="2026-06-13T00:00:00"/>
    <m/>
    <m/>
    <n v="2026"/>
    <x v="0"/>
    <n v="13"/>
    <s v="قيـد مقابـل:- (مصاريف  صرفة يومية للافراد  - الضباط السابقين - الفرقة الثالثة)  - كشف صرف رقم   كشف صرف - صرف الصرفة اليومية ضباط سابقين لعدد 10 بامر"/>
    <n v="0"/>
  </r>
  <r>
    <n v="375"/>
    <s v="JV181"/>
    <x v="10"/>
    <s v="قيد عهده"/>
    <n v="11060205"/>
    <x v="16"/>
    <x v="135"/>
    <x v="0"/>
    <n v="405"/>
    <n v="0"/>
    <n v="100000"/>
    <n v="0"/>
    <n v="246.91358024691357"/>
    <s v="الضباط السابقين"/>
    <s v="كشف صرف"/>
    <s v="كشف صرف"/>
    <n v="0"/>
    <s v="الفرقة الثالثة"/>
    <n v="1"/>
    <d v="2026-06-13T00:00:00"/>
    <m/>
    <m/>
    <n v="2026"/>
    <x v="0"/>
    <n v="13"/>
    <s v="قيـد مقابـل:- (مصاريف  صرفة يومية للافراد  - الضباط السابقين - الفرقة الثالثة)  - كشف صرف رقم   كشف صرف - صرف الصرفة اليومية ضباط سابقين لعدد 10 بامر"/>
    <n v="0"/>
  </r>
  <r>
    <n v="376"/>
    <s v="JV182"/>
    <x v="10"/>
    <s v="قيد عهده"/>
    <n v="31010101"/>
    <x v="2"/>
    <x v="108"/>
    <x v="0"/>
    <n v="405"/>
    <n v="74000"/>
    <n v="0"/>
    <n v="182.71604938271605"/>
    <n v="0"/>
    <s v="اخرون"/>
    <s v="كشف صرف"/>
    <s v="كشف صرف"/>
    <n v="0"/>
    <s v="الفرقة الثالثة"/>
    <n v="1"/>
    <d v="2026-06-13T00:00:00"/>
    <m/>
    <m/>
    <n v="2026"/>
    <x v="0"/>
    <n v="13"/>
    <s v="قيـد مقابـل:- (مصاريف  صرفة يومية للافراد  - اخرون - الفرقة الثالثة)  - كشف صرف رقم   كشف صرف - الصرفة اليومية اخرون عدد 8 بامر"/>
    <n v="0"/>
  </r>
  <r>
    <n v="377"/>
    <s v="JV182"/>
    <x v="10"/>
    <s v="قيد عهده"/>
    <n v="11060205"/>
    <x v="16"/>
    <x v="108"/>
    <x v="0"/>
    <n v="405"/>
    <n v="0"/>
    <n v="74000"/>
    <n v="0"/>
    <n v="182.71604938271605"/>
    <s v="اخرون"/>
    <s v="كشف صرف"/>
    <s v="كشف صرف"/>
    <n v="0"/>
    <s v="الفرقة الثالثة"/>
    <n v="1"/>
    <d v="2026-06-13T00:00:00"/>
    <m/>
    <m/>
    <n v="2026"/>
    <x v="0"/>
    <n v="13"/>
    <s v="قيـد مقابـل:- (مصاريف  صرفة يومية للافراد  - اخرون - الفرقة الثالثة)  - كشف صرف رقم   كشف صرف - الصرفة اليومية اخرون عدد 8 بامر"/>
    <n v="0"/>
  </r>
  <r>
    <n v="378"/>
    <s v="JV183"/>
    <x v="10"/>
    <s v="قيد عهده"/>
    <n v="31010101"/>
    <x v="2"/>
    <x v="129"/>
    <x v="0"/>
    <n v="405"/>
    <n v="25000"/>
    <n v="0"/>
    <n v="61.728395061728392"/>
    <n v="0"/>
    <s v="مرافقي الاركان"/>
    <s v="كشف صرف"/>
    <s v="كشف صرف"/>
    <n v="0"/>
    <s v="الفرقة الثالثة"/>
    <n v="1"/>
    <d v="2026-06-13T00:00:00"/>
    <m/>
    <m/>
    <n v="2026"/>
    <x v="0"/>
    <n v="13"/>
    <s v="قيـد مقابـل:- (مصاريف  صرفة يومية للافراد  - مرافقي الاركان - الفرقة الثالثة)  - كشف صرف رقم   كشف صرف - صرف الصرفة اليومية لمرافقي الاركان عدد 4 بامر"/>
    <n v="0"/>
  </r>
  <r>
    <n v="379"/>
    <s v="JV183"/>
    <x v="10"/>
    <s v="قيد عهده"/>
    <n v="11060205"/>
    <x v="16"/>
    <x v="129"/>
    <x v="0"/>
    <n v="405"/>
    <n v="0"/>
    <n v="25000"/>
    <n v="0"/>
    <n v="61.728395061728392"/>
    <s v="مرافقي الاركان"/>
    <s v="كشف صرف"/>
    <s v="كشف صرف"/>
    <n v="0"/>
    <s v="الفرقة الثالثة"/>
    <n v="1"/>
    <d v="2026-06-13T00:00:00"/>
    <m/>
    <m/>
    <n v="2026"/>
    <x v="0"/>
    <n v="13"/>
    <s v="قيـد مقابـل:- (مصاريف  صرفة يومية للافراد  - مرافقي الاركان - الفرقة الثالثة)  - كشف صرف رقم   كشف صرف - صرف الصرفة اليومية لمرافقي الاركان عدد 4 بامر"/>
    <n v="0"/>
  </r>
  <r>
    <n v="380"/>
    <s v="JV184"/>
    <x v="10"/>
    <s v="قيد عهده"/>
    <n v="31010101"/>
    <x v="2"/>
    <x v="130"/>
    <x v="0"/>
    <n v="405"/>
    <n v="18000"/>
    <n v="0"/>
    <n v="44.444444444444443"/>
    <n v="0"/>
    <s v="افراد طقم اللواء السابع مرافقين"/>
    <s v="كشف صرف"/>
    <s v="كشف صرف"/>
    <n v="0"/>
    <s v="الفرقة الثالثة"/>
    <n v="1"/>
    <d v="2026-06-13T00:00:00"/>
    <m/>
    <m/>
    <n v="2026"/>
    <x v="0"/>
    <n v="13"/>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381"/>
    <s v="JV184"/>
    <x v="10"/>
    <s v="قيد عهده"/>
    <n v="11060205"/>
    <x v="16"/>
    <x v="130"/>
    <x v="0"/>
    <n v="405"/>
    <n v="0"/>
    <n v="18000"/>
    <n v="0"/>
    <n v="44.444444444444443"/>
    <s v="افراد طقم اللواء السابع مرافقين"/>
    <s v="كشف صرف"/>
    <s v="كشف صرف"/>
    <n v="0"/>
    <s v="الفرقة الثالثة"/>
    <n v="1"/>
    <d v="2026-06-13T00:00:00"/>
    <m/>
    <m/>
    <n v="2026"/>
    <x v="0"/>
    <n v="13"/>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382"/>
    <s v="JV185"/>
    <x v="10"/>
    <s v="قيد عهده"/>
    <n v="31010101"/>
    <x v="2"/>
    <x v="69"/>
    <x v="0"/>
    <n v="405"/>
    <n v="28000"/>
    <n v="0"/>
    <n v="69.135802469135797"/>
    <n v="0"/>
    <s v="الاشغال"/>
    <s v="كشف صرف"/>
    <s v="كشف صرف"/>
    <n v="0"/>
    <s v="الفرقة الثالثة"/>
    <n v="1"/>
    <d v="2026-06-13T00:00:00"/>
    <m/>
    <m/>
    <n v="2026"/>
    <x v="0"/>
    <n v="13"/>
    <s v="قيـد مقابـل:- (مصاريف  صرفة يومية للافراد  - الاشغال - الفرقة الثالثة)  - كشف صرف رقم   كشف صرف - صرف الصرفة اليومية للاشغال لعدد 3 بامر"/>
    <n v="0"/>
  </r>
  <r>
    <n v="383"/>
    <s v="JV185"/>
    <x v="10"/>
    <s v="قيد عهده"/>
    <n v="11060205"/>
    <x v="16"/>
    <x v="69"/>
    <x v="0"/>
    <n v="405"/>
    <n v="0"/>
    <n v="28000"/>
    <n v="0"/>
    <n v="69.135802469135797"/>
    <s v="الاشغال"/>
    <s v="كشف صرف"/>
    <s v="كشف صرف"/>
    <n v="0"/>
    <s v="الفرقة الثالثة"/>
    <n v="1"/>
    <d v="2026-06-13T00:00:00"/>
    <m/>
    <m/>
    <n v="2026"/>
    <x v="0"/>
    <n v="13"/>
    <s v="قيـد مقابـل:- (مصاريف  صرفة يومية للافراد  - الاشغال - الفرقة الثالثة)  - كشف صرف رقم   كشف صرف - صرف الصرفة اليومية للاشغال لعدد 3 بامر"/>
    <n v="0"/>
  </r>
  <r>
    <n v="384"/>
    <s v="JV186"/>
    <x v="10"/>
    <s v="قيد عهده"/>
    <n v="31010101"/>
    <x v="2"/>
    <x v="100"/>
    <x v="0"/>
    <n v="405"/>
    <n v="156000"/>
    <n v="0"/>
    <n v="385.18518518518516"/>
    <n v="0"/>
    <s v="سرية اللواء السادس"/>
    <s v="كشف صرف"/>
    <s v="كشف صرف"/>
    <n v="0"/>
    <s v="الفرقة الثالثة"/>
    <n v="1"/>
    <d v="2026-06-13T00:00:00"/>
    <m/>
    <m/>
    <n v="2026"/>
    <x v="0"/>
    <n v="13"/>
    <s v="قيـد مقابـل:- (مصاريف  صرفة يومية للافراد  - سرية اللواء السادس - الفرقة الثالثة)  - كشف صرف رقم   كشف صرف - مصاريف يومية سرية اللواء السادس عدد 39 بامر"/>
    <n v="0"/>
  </r>
  <r>
    <n v="385"/>
    <s v="JV186"/>
    <x v="10"/>
    <s v="قيد عهده"/>
    <n v="11060205"/>
    <x v="16"/>
    <x v="100"/>
    <x v="0"/>
    <n v="405"/>
    <n v="0"/>
    <n v="156000"/>
    <n v="0"/>
    <n v="385.18518518518516"/>
    <s v="سرية اللواء السادس"/>
    <s v="كشف صرف"/>
    <s v="كشف صرف"/>
    <n v="0"/>
    <s v="الفرقة الثالثة"/>
    <n v="1"/>
    <d v="2026-06-13T00:00:00"/>
    <m/>
    <m/>
    <n v="2026"/>
    <x v="0"/>
    <n v="13"/>
    <s v="قيـد مقابـل:- (مصاريف  صرفة يومية للافراد  - سرية اللواء السادس - الفرقة الثالثة)  - كشف صرف رقم   كشف صرف - مصاريف يومية سرية اللواء السادس عدد 39 بامر"/>
    <n v="0"/>
  </r>
  <r>
    <n v="386"/>
    <s v="JV187"/>
    <x v="10"/>
    <s v="قيد عهده"/>
    <n v="31010116"/>
    <x v="6"/>
    <x v="136"/>
    <x v="0"/>
    <n v="405"/>
    <n v="200000"/>
    <n v="0"/>
    <n v="493.82716049382714"/>
    <n v="0"/>
    <n v="0"/>
    <s v="استلام نقدي"/>
    <s v="سند استلام"/>
    <n v="0"/>
    <s v="الفرقة الثالثة"/>
    <n v="1"/>
    <d v="2026-06-13T00:00:00"/>
    <m/>
    <m/>
    <n v="2026"/>
    <x v="0"/>
    <n v="13"/>
    <s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
    <s v="القائد"/>
  </r>
  <r>
    <n v="387"/>
    <s v="JV187"/>
    <x v="10"/>
    <s v="قيد عهده"/>
    <n v="11060205"/>
    <x v="16"/>
    <x v="136"/>
    <x v="0"/>
    <n v="405"/>
    <n v="0"/>
    <n v="200000"/>
    <n v="0"/>
    <n v="493.82716049382714"/>
    <n v="0"/>
    <s v="استلام نقدي"/>
    <s v="سند استلام"/>
    <n v="0"/>
    <s v="الفرقة الثالثة"/>
    <n v="1"/>
    <d v="2026-06-13T00:00:00"/>
    <m/>
    <m/>
    <n v="2026"/>
    <x v="0"/>
    <n v="13"/>
    <s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
    <s v="القائد"/>
  </r>
  <r>
    <n v="388"/>
    <s v="JV188"/>
    <x v="10"/>
    <s v="قيد عهده"/>
    <n v="31010115"/>
    <x v="18"/>
    <x v="137"/>
    <x v="0"/>
    <n v="405"/>
    <n v="100000"/>
    <n v="0"/>
    <n v="246.91358024691357"/>
    <n v="0"/>
    <s v="الفرقة"/>
    <s v="استلام نقدي"/>
    <s v="سند استلام"/>
    <n v="0"/>
    <s v="الفرقة الثالثة"/>
    <n v="1"/>
    <d v="2026-06-13T00:00:00"/>
    <m/>
    <m/>
    <n v="2026"/>
    <x v="0"/>
    <n v="13"/>
    <s v="قيـد مقابـل:- (مصاريف مياة - الفرقة - الفرقة الثالثة)  - استلام نقدي رقم   سند استلام - شراء قاطرة ماء ومصاريف لسائق القاطرة والمرافق بامرالمستشار المالي"/>
    <s v="المستشار المالي"/>
  </r>
  <r>
    <n v="389"/>
    <s v="JV188"/>
    <x v="10"/>
    <s v="قيد عهده"/>
    <n v="11060205"/>
    <x v="16"/>
    <x v="137"/>
    <x v="0"/>
    <n v="405"/>
    <n v="0"/>
    <n v="100000"/>
    <n v="0"/>
    <n v="246.91358024691357"/>
    <s v="الفرقة"/>
    <s v="استلام نقدي"/>
    <s v="سند استلام"/>
    <n v="0"/>
    <s v="الفرقة الثالثة"/>
    <n v="1"/>
    <d v="2026-06-13T00:00:00"/>
    <m/>
    <m/>
    <n v="2026"/>
    <x v="0"/>
    <n v="13"/>
    <s v="قيـد مقابـل:- (مصاريف مياة - الفرقة - الفرقة الثالثة)  - استلام نقدي رقم   سند استلام - شراء قاطرة ماء ومصاريف لسائق القاطرة والمرافق بامرالمستشار المالي"/>
    <s v="المستشار المالي"/>
  </r>
  <r>
    <n v="390"/>
    <s v="JV189"/>
    <x v="10"/>
    <s v="قيد عهده"/>
    <n v="31010135"/>
    <x v="14"/>
    <x v="138"/>
    <x v="0"/>
    <n v="405"/>
    <n v="25000"/>
    <n v="0"/>
    <n v="61.728395061728392"/>
    <n v="0"/>
    <s v="عمال"/>
    <s v="استلام نقدي"/>
    <s v="سند استلام"/>
    <n v="0"/>
    <s v="الفرقة الثالثة"/>
    <n v="1"/>
    <d v="2026-06-13T00:00:00"/>
    <m/>
    <m/>
    <n v="2026"/>
    <x v="0"/>
    <n v="13"/>
    <s v="قيـد مقابـل:- (اجور يومية - عمال - الفرقة الثالثة)  - استلام نقدي رقم   سند استلام - اجور  عمال لانزال الخيم الى مستودعات الامداد بامر"/>
    <n v="0"/>
  </r>
  <r>
    <n v="391"/>
    <s v="JV189"/>
    <x v="10"/>
    <s v="قيد عهده"/>
    <n v="11060205"/>
    <x v="16"/>
    <x v="138"/>
    <x v="0"/>
    <n v="405"/>
    <n v="0"/>
    <n v="25000"/>
    <n v="0"/>
    <n v="61.728395061728392"/>
    <s v="عمال"/>
    <s v="استلام نقدي"/>
    <s v="سند استلام"/>
    <n v="0"/>
    <s v="الفرقة الثالثة"/>
    <n v="1"/>
    <d v="2026-06-13T00:00:00"/>
    <m/>
    <m/>
    <n v="2026"/>
    <x v="0"/>
    <n v="13"/>
    <s v="قيـد مقابـل:- (اجور يومية - عمال - الفرقة الثالثة)  - استلام نقدي رقم   سند استلام - اجور  عمال لانزال الخيم الى مستودعات الامداد بامر"/>
    <n v="0"/>
  </r>
  <r>
    <n v="392"/>
    <s v="JV190"/>
    <x v="10"/>
    <s v="قيد عهده"/>
    <n v="31010101"/>
    <x v="2"/>
    <x v="139"/>
    <x v="0"/>
    <n v="405"/>
    <n v="45000"/>
    <n v="0"/>
    <n v="111.11111111111111"/>
    <n v="0"/>
    <s v="عبدالمغني عبدالصمد عبدالحميد الصلوي"/>
    <s v="استلام نقدي"/>
    <s v="سند استلام"/>
    <n v="477"/>
    <s v="الفرقة الثالثة"/>
    <n v="1"/>
    <d v="2026-06-13T00:00:00"/>
    <m/>
    <m/>
    <n v="2026"/>
    <x v="0"/>
    <n v="13"/>
    <s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
    <n v="0"/>
  </r>
  <r>
    <n v="393"/>
    <s v="JV190"/>
    <x v="10"/>
    <s v="قيد عهده"/>
    <n v="11060205"/>
    <x v="16"/>
    <x v="139"/>
    <x v="0"/>
    <n v="405"/>
    <n v="0"/>
    <n v="45000"/>
    <n v="0"/>
    <n v="111.11111111111111"/>
    <s v="عبدالمغني عبدالصمد عبدالحميد الصلوي"/>
    <s v="استلام نقدي"/>
    <s v="سند استلام"/>
    <n v="477"/>
    <s v="الفرقة الثالثة"/>
    <n v="1"/>
    <d v="2026-06-13T00:00:00"/>
    <m/>
    <m/>
    <n v="2026"/>
    <x v="0"/>
    <n v="13"/>
    <s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
    <n v="0"/>
  </r>
  <r>
    <n v="394"/>
    <s v="JV191"/>
    <x v="10"/>
    <s v="قيد عهده"/>
    <n v="31010101"/>
    <x v="2"/>
    <x v="140"/>
    <x v="0"/>
    <n v="405"/>
    <n v="10000"/>
    <n v="0"/>
    <n v="24.691358024691358"/>
    <n v="0"/>
    <s v="محمد عبدالصمد عبدالله"/>
    <s v="استلام نقدي"/>
    <s v="سند استلام"/>
    <n v="0"/>
    <s v="اللواء السادس"/>
    <n v="7"/>
    <d v="2026-06-13T00:00:00"/>
    <m/>
    <m/>
    <n v="2026"/>
    <x v="0"/>
    <n v="13"/>
    <s v="قيـد مقابـل:- (مصاريف  صرفة يومية للافراد  - محمد عبدالصمد عبدالله - اللواء السادس)  - استلام نقدي رقم   سند استلام - صرف صرفة يومية ليوم 13 بامر"/>
    <n v="0"/>
  </r>
  <r>
    <n v="395"/>
    <s v="JV191"/>
    <x v="10"/>
    <s v="قيد عهده"/>
    <n v="11060205"/>
    <x v="16"/>
    <x v="140"/>
    <x v="0"/>
    <n v="405"/>
    <n v="0"/>
    <n v="10000"/>
    <n v="0"/>
    <n v="24.691358024691358"/>
    <s v="محمد عبدالصمد عبدالله"/>
    <s v="استلام نقدي"/>
    <s v="سند استلام"/>
    <n v="0"/>
    <s v="اللواء السادس"/>
    <n v="7"/>
    <d v="2026-06-13T00:00:00"/>
    <m/>
    <m/>
    <n v="2026"/>
    <x v="0"/>
    <n v="13"/>
    <s v="قيـد مقابـل:- (مصاريف  صرفة يومية للافراد  - محمد عبدالصمد عبدالله - اللواء السادس)  - استلام نقدي رقم   سند استلام - صرف صرفة يومية ليوم 13 بامر"/>
    <n v="0"/>
  </r>
  <r>
    <n v="396"/>
    <s v="JV192"/>
    <x v="11"/>
    <s v="قيد عهده"/>
    <n v="31010101"/>
    <x v="2"/>
    <x v="125"/>
    <x v="0"/>
    <n v="405"/>
    <n v="52000"/>
    <n v="0"/>
    <n v="128.39506172839506"/>
    <n v="0"/>
    <s v="السيطرة والاتصالات"/>
    <s v="كشف صرف"/>
    <s v="كشف صرف"/>
    <n v="0"/>
    <s v="الفرقة الثالثة"/>
    <n v="1"/>
    <d v="2026-06-14T00:00:00"/>
    <m/>
    <m/>
    <n v="2026"/>
    <x v="0"/>
    <n v="14"/>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397"/>
    <s v="JV192"/>
    <x v="11"/>
    <s v="قيد عهده"/>
    <n v="11060205"/>
    <x v="16"/>
    <x v="125"/>
    <x v="0"/>
    <n v="405"/>
    <n v="0"/>
    <n v="52000"/>
    <n v="0"/>
    <n v="128.39506172839506"/>
    <s v="السيطرة والاتصالات"/>
    <s v="كشف صرف"/>
    <s v="كشف صرف"/>
    <n v="0"/>
    <s v="الفرقة الثالثة"/>
    <n v="1"/>
    <d v="2026-06-14T00:00:00"/>
    <m/>
    <m/>
    <n v="2026"/>
    <x v="0"/>
    <n v="14"/>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398"/>
    <s v="JV193"/>
    <x v="11"/>
    <s v="قيد عهده"/>
    <n v="31010101"/>
    <x v="2"/>
    <x v="94"/>
    <x v="0"/>
    <n v="405"/>
    <n v="30000"/>
    <n v="0"/>
    <n v="74.074074074074076"/>
    <n v="0"/>
    <s v="التوجيه"/>
    <s v="كشف صرف"/>
    <s v="كشف صرف"/>
    <n v="0"/>
    <s v="الفرقة الثالثة"/>
    <n v="1"/>
    <d v="2026-06-14T00:00:00"/>
    <m/>
    <m/>
    <n v="2026"/>
    <x v="0"/>
    <n v="14"/>
    <s v="قيـد مقابـل:- (مصاريف  صرفة يومية للافراد  - التوجيه - الفرقة الثالثة)  - كشف صرف رقم   كشف صرف - صرف الصرفة اليومية للتوجيه عدد 2 بامر"/>
    <n v="0"/>
  </r>
  <r>
    <n v="399"/>
    <s v="JV193"/>
    <x v="11"/>
    <s v="قيد عهده"/>
    <n v="11060205"/>
    <x v="16"/>
    <x v="94"/>
    <x v="0"/>
    <n v="405"/>
    <n v="0"/>
    <n v="30000"/>
    <n v="0"/>
    <n v="74.074074074074076"/>
    <s v="التوجيه"/>
    <s v="كشف صرف"/>
    <s v="كشف صرف"/>
    <n v="0"/>
    <s v="الفرقة الثالثة"/>
    <n v="1"/>
    <d v="2026-06-14T00:00:00"/>
    <m/>
    <m/>
    <n v="2026"/>
    <x v="0"/>
    <n v="14"/>
    <s v="قيـد مقابـل:- (مصاريف  صرفة يومية للافراد  - التوجيه - الفرقة الثالثة)  - كشف صرف رقم   كشف صرف - صرف الصرفة اليومية للتوجيه عدد 2 بامر"/>
    <n v="0"/>
  </r>
  <r>
    <n v="400"/>
    <s v="JV194"/>
    <x v="11"/>
    <s v="قيد عهده"/>
    <n v="31010101"/>
    <x v="2"/>
    <x v="116"/>
    <x v="0"/>
    <n v="405"/>
    <n v="116000"/>
    <n v="0"/>
    <n v="286.41975308641975"/>
    <n v="0"/>
    <s v="الامداد"/>
    <s v="كشف صرف"/>
    <s v="كشف صرف"/>
    <n v="0"/>
    <s v="الفرقة الثالثة"/>
    <n v="1"/>
    <d v="2026-06-14T00:00:00"/>
    <m/>
    <m/>
    <n v="2026"/>
    <x v="0"/>
    <n v="14"/>
    <s v="قيـد مقابـل:- (مصاريف  صرفة يومية للافراد  - الامداد - الفرقة الثالثة)  - كشف صرف رقم   كشف صرف - صرف الصرفة اليومية  لافراد الامداد لعدد 11 بامر"/>
    <n v="0"/>
  </r>
  <r>
    <n v="401"/>
    <s v="JV194"/>
    <x v="11"/>
    <s v="قيد عهده"/>
    <n v="11060205"/>
    <x v="16"/>
    <x v="116"/>
    <x v="0"/>
    <n v="405"/>
    <n v="0"/>
    <n v="116000"/>
    <n v="0"/>
    <n v="286.41975308641975"/>
    <s v="الامداد"/>
    <s v="كشف صرف"/>
    <s v="كشف صرف"/>
    <n v="0"/>
    <s v="الفرقة الثالثة"/>
    <n v="1"/>
    <d v="2026-06-14T00:00:00"/>
    <m/>
    <m/>
    <n v="2026"/>
    <x v="0"/>
    <n v="14"/>
    <s v="قيـد مقابـل:- (مصاريف  صرفة يومية للافراد  - الامداد - الفرقة الثالثة)  - كشف صرف رقم   كشف صرف - صرف الصرفة اليومية  لافراد الامداد لعدد 11 بامر"/>
    <n v="0"/>
  </r>
  <r>
    <n v="402"/>
    <s v="JV195"/>
    <x v="11"/>
    <s v="قيد عهده"/>
    <n v="31010101"/>
    <x v="2"/>
    <x v="95"/>
    <x v="0"/>
    <n v="405"/>
    <n v="30000"/>
    <n v="0"/>
    <n v="74.074074074074076"/>
    <n v="0"/>
    <s v="البشرية و الصراف"/>
    <s v="كشف صرف"/>
    <s v="كشف صرف"/>
    <n v="0"/>
    <s v="الفرقة الثالثة"/>
    <n v="1"/>
    <d v="2026-06-14T00:00:00"/>
    <m/>
    <m/>
    <n v="2026"/>
    <x v="0"/>
    <n v="14"/>
    <s v="قيـد مقابـل:- (مصاريف  صرفة يومية للافراد  - البشرية و الصراف - الفرقة الثالثة)  - كشف صرف رقم   كشف صرف - صرف الصرفة اليومية  للبشرة والصراف عدد 2 بامر"/>
    <n v="0"/>
  </r>
  <r>
    <n v="403"/>
    <s v="JV195"/>
    <x v="11"/>
    <s v="قيد عهده"/>
    <n v="11060205"/>
    <x v="16"/>
    <x v="95"/>
    <x v="0"/>
    <n v="405"/>
    <n v="0"/>
    <n v="30000"/>
    <n v="0"/>
    <n v="74.074074074074076"/>
    <s v="البشرية و الصراف"/>
    <s v="كشف صرف"/>
    <s v="كشف صرف"/>
    <n v="0"/>
    <s v="الفرقة الثالثة"/>
    <n v="1"/>
    <d v="2026-06-14T00:00:00"/>
    <m/>
    <m/>
    <n v="2026"/>
    <x v="0"/>
    <n v="14"/>
    <s v="قيـد مقابـل:- (مصاريف  صرفة يومية للافراد  - البشرية و الصراف - الفرقة الثالثة)  - كشف صرف رقم   كشف صرف - صرف الصرفة اليومية  للبشرة والصراف عدد 2 بامر"/>
    <n v="0"/>
  </r>
  <r>
    <n v="404"/>
    <s v="JV196"/>
    <x v="11"/>
    <s v="قيد عهده"/>
    <n v="31010101"/>
    <x v="2"/>
    <x v="63"/>
    <x v="0"/>
    <n v="405"/>
    <n v="65000"/>
    <n v="0"/>
    <n v="160.49382716049382"/>
    <n v="0"/>
    <s v="الاستخبارات"/>
    <s v="كشف صرف"/>
    <s v="كشف صرف"/>
    <n v="0"/>
    <s v="الفرقة الثالثة"/>
    <n v="1"/>
    <d v="2026-06-14T00:00:00"/>
    <m/>
    <m/>
    <n v="2026"/>
    <x v="0"/>
    <n v="14"/>
    <s v="قيـد مقابـل:- (مصاريف  صرفة يومية للافراد  - الاستخبارات - الفرقة الثالثة)  - كشف صرف رقم   كشف صرف - صرف الصرفة اليومية  الاستخبارات لعدد 4 بامر"/>
    <n v="0"/>
  </r>
  <r>
    <n v="405"/>
    <s v="JV196"/>
    <x v="11"/>
    <s v="قيد عهده"/>
    <n v="11060205"/>
    <x v="16"/>
    <x v="63"/>
    <x v="0"/>
    <n v="405"/>
    <n v="0"/>
    <n v="65000"/>
    <n v="0"/>
    <n v="160.49382716049382"/>
    <s v="الاستخبارات"/>
    <s v="كشف صرف"/>
    <s v="كشف صرف"/>
    <n v="0"/>
    <s v="الفرقة الثالثة"/>
    <n v="1"/>
    <d v="2026-06-14T00:00:00"/>
    <m/>
    <m/>
    <n v="2026"/>
    <x v="0"/>
    <n v="14"/>
    <s v="قيـد مقابـل:- (مصاريف  صرفة يومية للافراد  - الاستخبارات - الفرقة الثالثة)  - كشف صرف رقم   كشف صرف - صرف الصرفة اليومية  الاستخبارات لعدد 4 بامر"/>
    <n v="0"/>
  </r>
  <r>
    <n v="406"/>
    <s v="JV197"/>
    <x v="11"/>
    <s v="قيد عهده"/>
    <n v="31010101"/>
    <x v="2"/>
    <x v="126"/>
    <x v="0"/>
    <n v="405"/>
    <n v="45000"/>
    <n v="0"/>
    <n v="111.11111111111111"/>
    <n v="0"/>
    <s v="المدفعية"/>
    <s v="كشف صرف"/>
    <s v="كشف صرف"/>
    <n v="0"/>
    <s v="الفرقة الثالثة"/>
    <n v="1"/>
    <d v="2026-06-14T00:00:00"/>
    <m/>
    <m/>
    <n v="2026"/>
    <x v="0"/>
    <n v="14"/>
    <s v="قيـد مقابـل:- (مصاريف  صرفة يومية للافراد  - المدفعية - الفرقة الثالثة)  - كشف صرف رقم   كشف صرف - صرف الصرفة اليومية للمدفعية لعدد 5 بامر"/>
    <n v="0"/>
  </r>
  <r>
    <n v="407"/>
    <s v="JV197"/>
    <x v="11"/>
    <s v="قيد عهده"/>
    <n v="11060205"/>
    <x v="16"/>
    <x v="126"/>
    <x v="0"/>
    <n v="405"/>
    <n v="0"/>
    <n v="45000"/>
    <n v="0"/>
    <n v="111.11111111111111"/>
    <s v="المدفعية"/>
    <s v="كشف صرف"/>
    <s v="كشف صرف"/>
    <n v="0"/>
    <s v="الفرقة الثالثة"/>
    <n v="1"/>
    <d v="2026-06-14T00:00:00"/>
    <m/>
    <m/>
    <n v="2026"/>
    <x v="0"/>
    <n v="14"/>
    <s v="قيـد مقابـل:- (مصاريف  صرفة يومية للافراد  - المدفعية - الفرقة الثالثة)  - كشف صرف رقم   كشف صرف - صرف الصرفة اليومية للمدفعية لعدد 5 بامر"/>
    <n v="0"/>
  </r>
  <r>
    <n v="408"/>
    <s v="JV198"/>
    <x v="11"/>
    <s v="قيد عهده"/>
    <n v="31010101"/>
    <x v="2"/>
    <x v="106"/>
    <x v="0"/>
    <n v="405"/>
    <n v="115000"/>
    <n v="0"/>
    <n v="283.95061728395063"/>
    <n v="0"/>
    <s v="المستشارين والمساعدين"/>
    <s v="كشف صرف"/>
    <s v="كشف صرف"/>
    <n v="0"/>
    <s v="الفرقة الثالثة"/>
    <n v="1"/>
    <d v="2026-06-14T00:00:00"/>
    <m/>
    <m/>
    <n v="2026"/>
    <x v="0"/>
    <n v="14"/>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409"/>
    <s v="JV198"/>
    <x v="11"/>
    <s v="قيد عهده"/>
    <n v="11060205"/>
    <x v="16"/>
    <x v="106"/>
    <x v="0"/>
    <n v="405"/>
    <n v="0"/>
    <n v="115000"/>
    <n v="0"/>
    <n v="283.95061728395063"/>
    <s v="المستشارين والمساعدين"/>
    <s v="كشف صرف"/>
    <s v="كشف صرف"/>
    <n v="0"/>
    <s v="الفرقة الثالثة"/>
    <n v="1"/>
    <d v="2026-06-14T00:00:00"/>
    <m/>
    <m/>
    <n v="2026"/>
    <x v="0"/>
    <n v="14"/>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410"/>
    <s v="JV199"/>
    <x v="11"/>
    <s v="قيد عهده"/>
    <n v="31010101"/>
    <x v="2"/>
    <x v="118"/>
    <x v="0"/>
    <n v="405"/>
    <n v="14000"/>
    <n v="0"/>
    <n v="34.567901234567898"/>
    <n v="0"/>
    <s v="الطبية والمحاسبين"/>
    <s v="كشف صرف"/>
    <s v="كشف صرف"/>
    <n v="0"/>
    <s v="الفرقة الثالثة"/>
    <n v="1"/>
    <d v="2026-06-14T00:00:00"/>
    <m/>
    <m/>
    <n v="2026"/>
    <x v="0"/>
    <n v="14"/>
    <s v="قيـد مقابـل:- (مصاريف  صرفة يومية للافراد  - الطبية والمحاسبين - الفرقة الثالثة)  - كشف صرف رقم   كشف صرف - صرف الصرفة اليومية للطبية والمحاسبين لعدد 2 بامر"/>
    <n v="0"/>
  </r>
  <r>
    <n v="411"/>
    <s v="JV199"/>
    <x v="11"/>
    <s v="قيد عهده"/>
    <n v="11060205"/>
    <x v="16"/>
    <x v="118"/>
    <x v="0"/>
    <n v="405"/>
    <n v="0"/>
    <n v="14000"/>
    <n v="0"/>
    <n v="34.567901234567898"/>
    <s v="الطبية والمحاسبين"/>
    <s v="كشف صرف"/>
    <s v="كشف صرف"/>
    <n v="0"/>
    <s v="الفرقة الثالثة"/>
    <n v="1"/>
    <d v="2026-06-14T00:00:00"/>
    <m/>
    <m/>
    <n v="2026"/>
    <x v="0"/>
    <n v="14"/>
    <s v="قيـد مقابـل:- (مصاريف  صرفة يومية للافراد  - الطبية والمحاسبين - الفرقة الثالثة)  - كشف صرف رقم   كشف صرف - صرف الصرفة اليومية للطبية والمحاسبين لعدد 2 بامر"/>
    <n v="0"/>
  </r>
  <r>
    <n v="412"/>
    <s v="JV200"/>
    <x v="11"/>
    <s v="قيد عهده"/>
    <n v="31010101"/>
    <x v="2"/>
    <x v="135"/>
    <x v="0"/>
    <n v="405"/>
    <n v="100000"/>
    <n v="0"/>
    <n v="246.91358024691357"/>
    <n v="0"/>
    <s v="الضباط السابقين"/>
    <s v="كشف صرف"/>
    <s v="كشف صرف"/>
    <n v="0"/>
    <s v="الفرقة الثالثة"/>
    <n v="1"/>
    <d v="2026-06-14T00:00:00"/>
    <m/>
    <m/>
    <n v="2026"/>
    <x v="0"/>
    <n v="14"/>
    <s v="قيـد مقابـل:- (مصاريف  صرفة يومية للافراد  - الضباط السابقين - الفرقة الثالثة)  - كشف صرف رقم   كشف صرف - صرف الصرفة اليومية ضباط سابقين لعدد 10 بامر"/>
    <n v="0"/>
  </r>
  <r>
    <n v="413"/>
    <s v="JV200"/>
    <x v="11"/>
    <s v="قيد عهده"/>
    <n v="11060205"/>
    <x v="16"/>
    <x v="135"/>
    <x v="0"/>
    <n v="405"/>
    <n v="0"/>
    <n v="100000"/>
    <n v="0"/>
    <n v="246.91358024691357"/>
    <s v="الضباط السابقين"/>
    <s v="كشف صرف"/>
    <s v="كشف صرف"/>
    <n v="0"/>
    <s v="الفرقة الثالثة"/>
    <n v="1"/>
    <d v="2026-06-14T00:00:00"/>
    <m/>
    <m/>
    <n v="2026"/>
    <x v="0"/>
    <n v="14"/>
    <s v="قيـد مقابـل:- (مصاريف  صرفة يومية للافراد  - الضباط السابقين - الفرقة الثالثة)  - كشف صرف رقم   كشف صرف - صرف الصرفة اليومية ضباط سابقين لعدد 10 بامر"/>
    <n v="0"/>
  </r>
  <r>
    <n v="414"/>
    <s v="JV201"/>
    <x v="11"/>
    <s v="قيد عهده"/>
    <n v="31010101"/>
    <x v="2"/>
    <x v="128"/>
    <x v="0"/>
    <n v="405"/>
    <n v="70000"/>
    <n v="0"/>
    <n v="172.83950617283949"/>
    <n v="0"/>
    <s v="اخرون"/>
    <s v="كشف صرف"/>
    <s v="كشف صرف"/>
    <n v="0"/>
    <s v="الفرقة الثالثة"/>
    <n v="1"/>
    <d v="2026-06-14T00:00:00"/>
    <m/>
    <m/>
    <n v="2026"/>
    <x v="0"/>
    <n v="14"/>
    <s v="قيـد مقابـل:- (مصاريف  صرفة يومية للافراد  - اخرون - الفرقة الثالثة)  - كشف صرف رقم   كشف صرف - الصرفة اليومية اخرون عدد 7 بامر"/>
    <n v="0"/>
  </r>
  <r>
    <n v="415"/>
    <s v="JV201"/>
    <x v="11"/>
    <s v="قيد عهده"/>
    <n v="11060205"/>
    <x v="16"/>
    <x v="128"/>
    <x v="0"/>
    <n v="405"/>
    <n v="0"/>
    <n v="70000"/>
    <n v="0"/>
    <n v="172.83950617283949"/>
    <s v="اخرون"/>
    <s v="كشف صرف"/>
    <s v="كشف صرف"/>
    <n v="0"/>
    <s v="الفرقة الثالثة"/>
    <n v="1"/>
    <d v="2026-06-14T00:00:00"/>
    <m/>
    <m/>
    <n v="2026"/>
    <x v="0"/>
    <n v="14"/>
    <s v="قيـد مقابـل:- (مصاريف  صرفة يومية للافراد  - اخرون - الفرقة الثالثة)  - كشف صرف رقم   كشف صرف - الصرفة اليومية اخرون عدد 7 بامر"/>
    <n v="0"/>
  </r>
  <r>
    <n v="416"/>
    <s v="JV202"/>
    <x v="11"/>
    <s v="قيد عهده"/>
    <n v="31010101"/>
    <x v="2"/>
    <x v="129"/>
    <x v="0"/>
    <n v="405"/>
    <n v="25000"/>
    <n v="0"/>
    <n v="61.728395061728392"/>
    <n v="0"/>
    <s v="مرافقي الاركان"/>
    <s v="كشف صرف"/>
    <s v="كشف صرف"/>
    <n v="0"/>
    <s v="الفرقة الثالثة"/>
    <n v="1"/>
    <d v="2026-06-14T00:00:00"/>
    <m/>
    <m/>
    <n v="2026"/>
    <x v="0"/>
    <n v="14"/>
    <s v="قيـد مقابـل:- (مصاريف  صرفة يومية للافراد  - مرافقي الاركان - الفرقة الثالثة)  - كشف صرف رقم   كشف صرف - صرف الصرفة اليومية لمرافقي الاركان عدد 4 بامر"/>
    <n v="0"/>
  </r>
  <r>
    <n v="417"/>
    <s v="JV202"/>
    <x v="11"/>
    <s v="قيد عهده"/>
    <n v="11060205"/>
    <x v="16"/>
    <x v="129"/>
    <x v="0"/>
    <n v="405"/>
    <n v="0"/>
    <n v="25000"/>
    <n v="0"/>
    <n v="61.728395061728392"/>
    <s v="مرافقي الاركان"/>
    <s v="كشف صرف"/>
    <s v="كشف صرف"/>
    <n v="0"/>
    <s v="الفرقة الثالثة"/>
    <n v="1"/>
    <d v="2026-06-14T00:00:00"/>
    <m/>
    <m/>
    <n v="2026"/>
    <x v="0"/>
    <n v="14"/>
    <s v="قيـد مقابـل:- (مصاريف  صرفة يومية للافراد  - مرافقي الاركان - الفرقة الثالثة)  - كشف صرف رقم   كشف صرف - صرف الصرفة اليومية لمرافقي الاركان عدد 4 بامر"/>
    <n v="0"/>
  </r>
  <r>
    <n v="418"/>
    <s v="JV203"/>
    <x v="11"/>
    <s v="قيد عهده"/>
    <n v="31010101"/>
    <x v="2"/>
    <x v="130"/>
    <x v="0"/>
    <n v="405"/>
    <n v="18000"/>
    <n v="0"/>
    <n v="44.444444444444443"/>
    <n v="0"/>
    <s v="افراد طقم اللواء السابع مرافقين"/>
    <s v="كشف صرف"/>
    <s v="كشف صرف"/>
    <n v="0"/>
    <s v="الفرقة الثالثة"/>
    <n v="1"/>
    <d v="2026-06-14T00:00:00"/>
    <m/>
    <m/>
    <n v="2026"/>
    <x v="0"/>
    <n v="14"/>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419"/>
    <s v="JV203"/>
    <x v="11"/>
    <s v="قيد عهده"/>
    <n v="11060205"/>
    <x v="16"/>
    <x v="130"/>
    <x v="0"/>
    <n v="405"/>
    <n v="0"/>
    <n v="18000"/>
    <n v="0"/>
    <n v="44.444444444444443"/>
    <s v="افراد طقم اللواء السابع مرافقين"/>
    <s v="كشف صرف"/>
    <s v="كشف صرف"/>
    <n v="0"/>
    <s v="الفرقة الثالثة"/>
    <n v="1"/>
    <d v="2026-06-14T00:00:00"/>
    <m/>
    <m/>
    <n v="2026"/>
    <x v="0"/>
    <n v="14"/>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420"/>
    <s v="JV204"/>
    <x v="11"/>
    <s v="قيد عهده"/>
    <n v="31010101"/>
    <x v="2"/>
    <x v="69"/>
    <x v="0"/>
    <n v="405"/>
    <n v="28000"/>
    <n v="0"/>
    <n v="69.135802469135797"/>
    <n v="0"/>
    <s v="الاشغال"/>
    <s v="كشف صرف"/>
    <s v="كشف صرف"/>
    <n v="0"/>
    <s v="الفرقة الثالثة"/>
    <n v="1"/>
    <d v="2026-06-14T00:00:00"/>
    <m/>
    <m/>
    <n v="2026"/>
    <x v="0"/>
    <n v="14"/>
    <s v="قيـد مقابـل:- (مصاريف  صرفة يومية للافراد  - الاشغال - الفرقة الثالثة)  - كشف صرف رقم   كشف صرف - صرف الصرفة اليومية للاشغال لعدد 3 بامر"/>
    <n v="0"/>
  </r>
  <r>
    <n v="421"/>
    <s v="JV204"/>
    <x v="11"/>
    <s v="قيد عهده"/>
    <n v="11060205"/>
    <x v="16"/>
    <x v="69"/>
    <x v="0"/>
    <n v="405"/>
    <n v="0"/>
    <n v="28000"/>
    <n v="0"/>
    <n v="69.135802469135797"/>
    <s v="الاشغال"/>
    <s v="كشف صرف"/>
    <s v="كشف صرف"/>
    <n v="0"/>
    <s v="الفرقة الثالثة"/>
    <n v="1"/>
    <d v="2026-06-14T00:00:00"/>
    <m/>
    <m/>
    <n v="2026"/>
    <x v="0"/>
    <n v="14"/>
    <s v="قيـد مقابـل:- (مصاريف  صرفة يومية للافراد  - الاشغال - الفرقة الثالثة)  - كشف صرف رقم   كشف صرف - صرف الصرفة اليومية للاشغال لعدد 3 بامر"/>
    <n v="0"/>
  </r>
  <r>
    <n v="422"/>
    <s v="JV205"/>
    <x v="11"/>
    <s v="قيد عهده"/>
    <n v="31010101"/>
    <x v="2"/>
    <x v="141"/>
    <x v="0"/>
    <n v="405"/>
    <n v="156000"/>
    <n v="0"/>
    <n v="385.18518518518516"/>
    <n v="0"/>
    <s v="سرية اللواء السادس"/>
    <s v="كشف صرف"/>
    <s v="كشف صرف"/>
    <n v="0"/>
    <s v="اللواء السادس"/>
    <n v="7"/>
    <d v="2026-06-14T00:00:00"/>
    <m/>
    <m/>
    <n v="2026"/>
    <x v="0"/>
    <n v="14"/>
    <s v="قيـد مقابـل:- (مصاريف  صرفة يومية للافراد  - سرية اللواء السادس - اللواء السادس)  - كشف صرف رقم   كشف صرف - مصاريف يومية سرية اللواء السادس عدد 39 بامر"/>
    <n v="0"/>
  </r>
  <r>
    <n v="423"/>
    <s v="JV205"/>
    <x v="11"/>
    <s v="قيد عهده"/>
    <n v="11060205"/>
    <x v="16"/>
    <x v="141"/>
    <x v="0"/>
    <n v="405"/>
    <n v="0"/>
    <n v="156000"/>
    <n v="0"/>
    <n v="385.18518518518516"/>
    <s v="سرية اللواء السادس"/>
    <s v="كشف صرف"/>
    <s v="كشف صرف"/>
    <n v="0"/>
    <s v="اللواء السادس"/>
    <n v="7"/>
    <d v="2026-06-14T00:00:00"/>
    <m/>
    <m/>
    <n v="2026"/>
    <x v="0"/>
    <n v="14"/>
    <s v="قيـد مقابـل:- (مصاريف  صرفة يومية للافراد  - سرية اللواء السادس - اللواء السادس)  - كشف صرف رقم   كشف صرف - مصاريف يومية سرية اللواء السادس عدد 39 بامر"/>
    <n v="0"/>
  </r>
  <r>
    <n v="424"/>
    <s v="JV206"/>
    <x v="11"/>
    <s v="قيد عهده"/>
    <n v="11060207"/>
    <x v="19"/>
    <x v="142"/>
    <x v="1"/>
    <n v="1"/>
    <n v="1500"/>
    <n v="0"/>
    <n v="1500"/>
    <n v="0"/>
    <s v="محمد ياسين سعيد"/>
    <s v="استلام نقدي"/>
    <s v="سند استلام"/>
    <n v="470"/>
    <s v="الفرقة الثالثة"/>
    <n v="1"/>
    <d v="2026-06-14T00:00:00"/>
    <m/>
    <m/>
    <n v="2026"/>
    <x v="0"/>
    <n v="14"/>
    <s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
    <s v="المستشار المالي"/>
  </r>
  <r>
    <n v="425"/>
    <s v="JV206"/>
    <x v="11"/>
    <s v="قيد عهده"/>
    <n v="11060205"/>
    <x v="16"/>
    <x v="142"/>
    <x v="1"/>
    <n v="1"/>
    <n v="0"/>
    <n v="1500"/>
    <n v="0"/>
    <n v="1500"/>
    <s v="محمد ياسين سعيد"/>
    <s v="استلام نقدي"/>
    <s v="سند استلام"/>
    <n v="470"/>
    <s v="الفرقة الثالثة"/>
    <n v="1"/>
    <d v="2026-06-14T00:00:00"/>
    <m/>
    <m/>
    <n v="2026"/>
    <x v="0"/>
    <n v="14"/>
    <s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
    <s v="المستشار المالي"/>
  </r>
  <r>
    <n v="426"/>
    <s v="JV207"/>
    <x v="11"/>
    <s v="قيد عهده"/>
    <n v="31010104"/>
    <x v="20"/>
    <x v="143"/>
    <x v="0"/>
    <n v="405"/>
    <n v="8000"/>
    <n v="0"/>
    <n v="19.753086419753085"/>
    <n v="0"/>
    <s v="وايت الماء"/>
    <s v="فاتورة"/>
    <s v="محطة مجمع العروبة التجاري الدولي"/>
    <n v="5414"/>
    <s v="الفرقة الثالثة"/>
    <n v="1"/>
    <d v="2026-06-14T00:00:00"/>
    <m/>
    <m/>
    <n v="2026"/>
    <x v="0"/>
    <n v="14"/>
    <s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
    <s v="مدير  مكتب القائد"/>
  </r>
  <r>
    <n v="427"/>
    <s v="JV207"/>
    <x v="11"/>
    <s v="قيد عهده"/>
    <n v="11060205"/>
    <x v="16"/>
    <x v="143"/>
    <x v="0"/>
    <n v="405"/>
    <n v="0"/>
    <n v="8000"/>
    <n v="0"/>
    <n v="19.753086419753085"/>
    <s v="وايت الماء"/>
    <s v="فاتورة"/>
    <s v="محطة مجمع العروبة التجاري الدولي"/>
    <n v="5414"/>
    <s v="الفرقة الثالثة"/>
    <n v="1"/>
    <d v="2026-06-14T00:00:00"/>
    <m/>
    <m/>
    <n v="2026"/>
    <x v="0"/>
    <n v="14"/>
    <s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
    <s v="مدير  مكتب القائد"/>
  </r>
  <r>
    <n v="428"/>
    <s v="JV208"/>
    <x v="11"/>
    <s v="قيد عهده"/>
    <n v="31010101"/>
    <x v="2"/>
    <x v="144"/>
    <x v="0"/>
    <n v="405"/>
    <n v="10000"/>
    <n v="0"/>
    <n v="24.691358024691358"/>
    <n v="0"/>
    <s v="محمد عبدالصمد عبدالله"/>
    <s v="استلام نقدي"/>
    <s v="سند استلام"/>
    <n v="0"/>
    <s v="اللواء السادس"/>
    <n v="7"/>
    <d v="2026-06-14T00:00:00"/>
    <m/>
    <m/>
    <n v="2026"/>
    <x v="0"/>
    <n v="14"/>
    <s v="قيـد مقابـل:- (مصاريف  صرفة يومية للافراد  - محمد عبدالصمد عبدالله - اللواء السادس)  - استلام نقدي رقم   سند استلام - صرف صرفة يومية ليوم 14 بامر"/>
    <n v="0"/>
  </r>
  <r>
    <n v="429"/>
    <s v="JV208"/>
    <x v="11"/>
    <s v="قيد عهده"/>
    <n v="11060205"/>
    <x v="16"/>
    <x v="144"/>
    <x v="0"/>
    <n v="405"/>
    <n v="0"/>
    <n v="10000"/>
    <n v="0"/>
    <n v="24.691358024691358"/>
    <s v="محمد عبدالصمد عبدالله"/>
    <s v="استلام نقدي"/>
    <s v="سند استلام"/>
    <n v="0"/>
    <s v="اللواء السادس"/>
    <n v="7"/>
    <d v="2026-06-14T00:00:00"/>
    <m/>
    <m/>
    <n v="2026"/>
    <x v="0"/>
    <n v="14"/>
    <s v="قيـد مقابـل:- (مصاريف  صرفة يومية للافراد  - محمد عبدالصمد عبدالله - اللواء السادس)  - استلام نقدي رقم   سند استلام - صرف صرفة يومية ليوم 14 بامر"/>
    <n v="0"/>
  </r>
  <r>
    <n v="430"/>
    <s v="JV209"/>
    <x v="11"/>
    <s v="قيد عهده"/>
    <n v="11060208"/>
    <x v="21"/>
    <x v="145"/>
    <x v="1"/>
    <n v="1"/>
    <n v="2000"/>
    <n v="0"/>
    <n v="2000"/>
    <n v="0"/>
    <s v="الفنية"/>
    <s v="استلام نقدي"/>
    <s v="سند استلام"/>
    <n v="0"/>
    <s v="الفرقة الثالثة"/>
    <n v="1"/>
    <d v="2026-06-14T00:00:00"/>
    <m/>
    <m/>
    <n v="2026"/>
    <x v="0"/>
    <n v="14"/>
    <s v="قيـد مقابـل:- (عهدة الفنية - الفنية - الفرقة الثالثة)  - استلام نقدي رقم   سند استلام - عهدة للفنية بامرالمستشار المالي"/>
    <s v="المستشار المالي"/>
  </r>
  <r>
    <n v="431"/>
    <s v="JV209"/>
    <x v="11"/>
    <s v="قيد عهده"/>
    <n v="11060205"/>
    <x v="16"/>
    <x v="145"/>
    <x v="1"/>
    <n v="1"/>
    <n v="0"/>
    <n v="2000"/>
    <n v="0"/>
    <n v="2000"/>
    <s v="الفنية"/>
    <s v="استلام نقدي"/>
    <s v="سند استلام"/>
    <n v="0"/>
    <s v="الفرقة الثالثة"/>
    <n v="1"/>
    <d v="2026-06-14T00:00:00"/>
    <m/>
    <m/>
    <n v="2026"/>
    <x v="0"/>
    <n v="14"/>
    <s v="قيـد مقابـل:- (عهدة الفنية - الفنية - الفرقة الثالثة)  - استلام نقدي رقم   سند استلام - عهدة للفنية بامرالمستشار المالي"/>
    <s v="المستشار المالي"/>
  </r>
  <r>
    <n v="432"/>
    <s v="JV210"/>
    <x v="11"/>
    <s v="قيد عهده"/>
    <n v="31010103"/>
    <x v="10"/>
    <x v="146"/>
    <x v="0"/>
    <n v="405"/>
    <n v="449000"/>
    <n v="0"/>
    <n v="1108.641975308642"/>
    <n v="0"/>
    <s v="الجرحى"/>
    <s v="استلام نقدي"/>
    <s v="سند استلام"/>
    <n v="0"/>
    <s v="الفرقة الثالثة"/>
    <n v="1"/>
    <d v="2026-06-14T00:00:00"/>
    <m/>
    <m/>
    <n v="2026"/>
    <x v="0"/>
    <n v="14"/>
    <s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
    <n v="0"/>
  </r>
  <r>
    <n v="433"/>
    <s v="JV210"/>
    <x v="11"/>
    <s v="قيد عهده"/>
    <n v="11060205"/>
    <x v="16"/>
    <x v="146"/>
    <x v="0"/>
    <n v="405"/>
    <n v="0"/>
    <n v="449000"/>
    <n v="0"/>
    <n v="1108.641975308642"/>
    <s v="الجرحى"/>
    <s v="استلام نقدي"/>
    <s v="سند استلام"/>
    <n v="0"/>
    <s v="الفرقة الثالثة"/>
    <n v="1"/>
    <d v="2026-06-14T00:00:00"/>
    <m/>
    <m/>
    <n v="2026"/>
    <x v="0"/>
    <n v="14"/>
    <s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
    <n v="0"/>
  </r>
  <r>
    <n v="434"/>
    <s v="JV211"/>
    <x v="12"/>
    <s v="قيد عهده"/>
    <n v="31010101"/>
    <x v="2"/>
    <x v="125"/>
    <x v="0"/>
    <n v="405"/>
    <n v="52000"/>
    <n v="0"/>
    <n v="128.39506172839506"/>
    <n v="0"/>
    <s v="السيطرة والاتصالات"/>
    <s v="كشف صرف"/>
    <s v="كشف صرف"/>
    <n v="0"/>
    <s v="الفرقة الثالثة"/>
    <n v="1"/>
    <d v="2026-06-15T00:00:00"/>
    <m/>
    <m/>
    <n v="2026"/>
    <x v="0"/>
    <n v="15"/>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435"/>
    <s v="JV211"/>
    <x v="12"/>
    <s v="قيد عهده"/>
    <n v="11060205"/>
    <x v="16"/>
    <x v="125"/>
    <x v="0"/>
    <n v="405"/>
    <n v="0"/>
    <n v="52000"/>
    <n v="0"/>
    <n v="128.39506172839506"/>
    <s v="السيطرة والاتصالات"/>
    <s v="كشف صرف"/>
    <s v="كشف صرف"/>
    <n v="0"/>
    <s v="الفرقة الثالثة"/>
    <n v="1"/>
    <d v="2026-06-15T00:00:00"/>
    <m/>
    <m/>
    <n v="2026"/>
    <x v="0"/>
    <n v="15"/>
    <s v="قيـد مقابـل:- (مصاريف  صرفة يومية للافراد  - السيطرة والاتصالات - الفرقة الثالثة)  - كشف صرف رقم   كشف صرف - صرف الصرفة اليومية للسيطرة والاتصالات لعدد 8 بامر"/>
    <n v="0"/>
  </r>
  <r>
    <n v="436"/>
    <s v="JV212"/>
    <x v="12"/>
    <s v="قيد عهده"/>
    <n v="31010101"/>
    <x v="2"/>
    <x v="94"/>
    <x v="0"/>
    <n v="405"/>
    <n v="30000"/>
    <n v="0"/>
    <n v="74.074074074074076"/>
    <n v="0"/>
    <s v="التوجيه"/>
    <s v="كشف صرف"/>
    <s v="كشف صرف"/>
    <n v="0"/>
    <s v="الفرقة الثالثة"/>
    <n v="1"/>
    <d v="2026-06-15T00:00:00"/>
    <m/>
    <m/>
    <n v="2026"/>
    <x v="0"/>
    <n v="15"/>
    <s v="قيـد مقابـل:- (مصاريف  صرفة يومية للافراد  - التوجيه - الفرقة الثالثة)  - كشف صرف رقم   كشف صرف - صرف الصرفة اليومية للتوجيه عدد 2 بامر"/>
    <n v="0"/>
  </r>
  <r>
    <n v="437"/>
    <s v="JV212"/>
    <x v="12"/>
    <s v="قيد عهده"/>
    <n v="11060205"/>
    <x v="16"/>
    <x v="94"/>
    <x v="0"/>
    <n v="405"/>
    <n v="0"/>
    <n v="30000"/>
    <n v="0"/>
    <n v="74.074074074074076"/>
    <s v="التوجيه"/>
    <s v="كشف صرف"/>
    <s v="كشف صرف"/>
    <n v="0"/>
    <s v="الفرقة الثالثة"/>
    <n v="1"/>
    <d v="2026-06-15T00:00:00"/>
    <m/>
    <m/>
    <n v="2026"/>
    <x v="0"/>
    <n v="15"/>
    <s v="قيـد مقابـل:- (مصاريف  صرفة يومية للافراد  - التوجيه - الفرقة الثالثة)  - كشف صرف رقم   كشف صرف - صرف الصرفة اليومية للتوجيه عدد 2 بامر"/>
    <n v="0"/>
  </r>
  <r>
    <n v="438"/>
    <s v="JV213"/>
    <x v="12"/>
    <s v="قيد عهده"/>
    <n v="31010101"/>
    <x v="2"/>
    <x v="147"/>
    <x v="0"/>
    <n v="405"/>
    <n v="70000"/>
    <n v="0"/>
    <n v="172.83950617283949"/>
    <n v="0"/>
    <s v="الامداد"/>
    <s v="كشف صرف"/>
    <s v="كشف صرف"/>
    <n v="0"/>
    <s v="الفرقة الثالثة"/>
    <n v="1"/>
    <d v="2026-06-15T00:00:00"/>
    <m/>
    <m/>
    <n v="2026"/>
    <x v="0"/>
    <n v="15"/>
    <s v="قيـد مقابـل:- (مصاريف  صرفة يومية للافراد  - الامداد - الفرقة الثالثة)  - كشف صرف رقم   كشف صرف - صرف الصرفة اليومية  لافراد الامداد لعدد 6 بامر"/>
    <n v="0"/>
  </r>
  <r>
    <n v="439"/>
    <s v="JV213"/>
    <x v="12"/>
    <s v="قيد عهده"/>
    <n v="11060205"/>
    <x v="16"/>
    <x v="147"/>
    <x v="0"/>
    <n v="405"/>
    <n v="0"/>
    <n v="70000"/>
    <n v="0"/>
    <n v="172.83950617283949"/>
    <s v="الامداد"/>
    <s v="كشف صرف"/>
    <s v="كشف صرف"/>
    <n v="0"/>
    <s v="الفرقة الثالثة"/>
    <n v="1"/>
    <d v="2026-06-15T00:00:00"/>
    <m/>
    <m/>
    <n v="2026"/>
    <x v="0"/>
    <n v="15"/>
    <s v="قيـد مقابـل:- (مصاريف  صرفة يومية للافراد  - الامداد - الفرقة الثالثة)  - كشف صرف رقم   كشف صرف - صرف الصرفة اليومية  لافراد الامداد لعدد 6 بامر"/>
    <n v="0"/>
  </r>
  <r>
    <n v="440"/>
    <s v="JV214"/>
    <x v="12"/>
    <s v="قيد عهده"/>
    <n v="31010101"/>
    <x v="2"/>
    <x v="62"/>
    <x v="0"/>
    <n v="405"/>
    <n v="15000"/>
    <n v="0"/>
    <n v="37.037037037037038"/>
    <n v="0"/>
    <s v="البشرية و الصراف"/>
    <s v="كشف صرف"/>
    <s v="كشف صرف"/>
    <n v="0"/>
    <s v="الفرقة الثالثة"/>
    <n v="1"/>
    <d v="2026-06-15T00:00:00"/>
    <m/>
    <m/>
    <n v="2026"/>
    <x v="0"/>
    <n v="15"/>
    <s v="قيـد مقابـل:- (مصاريف  صرفة يومية للافراد  - البشرية و الصراف - الفرقة الثالثة)  - كشف صرف رقم   كشف صرف - صرف الصرفة اليومية  للبشرة والصراف عدد 1 بامر"/>
    <n v="0"/>
  </r>
  <r>
    <n v="441"/>
    <s v="JV214"/>
    <x v="12"/>
    <s v="قيد عهده"/>
    <n v="11060205"/>
    <x v="16"/>
    <x v="62"/>
    <x v="0"/>
    <n v="405"/>
    <n v="0"/>
    <n v="15000"/>
    <n v="0"/>
    <n v="37.037037037037038"/>
    <s v="البشرية و الصراف"/>
    <s v="كشف صرف"/>
    <s v="كشف صرف"/>
    <n v="0"/>
    <s v="الفرقة الثالثة"/>
    <n v="1"/>
    <d v="2026-06-15T00:00:00"/>
    <m/>
    <m/>
    <n v="2026"/>
    <x v="0"/>
    <n v="15"/>
    <s v="قيـد مقابـل:- (مصاريف  صرفة يومية للافراد  - البشرية و الصراف - الفرقة الثالثة)  - كشف صرف رقم   كشف صرف - صرف الصرفة اليومية  للبشرة والصراف عدد 1 بامر"/>
    <n v="0"/>
  </r>
  <r>
    <n v="442"/>
    <s v="JV215"/>
    <x v="12"/>
    <s v="قيد عهده"/>
    <n v="31010101"/>
    <x v="2"/>
    <x v="63"/>
    <x v="0"/>
    <n v="405"/>
    <n v="65000"/>
    <n v="0"/>
    <n v="160.49382716049382"/>
    <n v="0"/>
    <s v="الاستخبارات"/>
    <s v="كشف صرف"/>
    <s v="كشف صرف"/>
    <n v="0"/>
    <s v="الفرقة الثالثة"/>
    <n v="1"/>
    <d v="2026-06-15T00:00:00"/>
    <m/>
    <m/>
    <n v="2026"/>
    <x v="0"/>
    <n v="15"/>
    <s v="قيـد مقابـل:- (مصاريف  صرفة يومية للافراد  - الاستخبارات - الفرقة الثالثة)  - كشف صرف رقم   كشف صرف - صرف الصرفة اليومية  الاستخبارات لعدد 4 بامر"/>
    <n v="0"/>
  </r>
  <r>
    <n v="443"/>
    <s v="JV215"/>
    <x v="12"/>
    <s v="قيد عهده"/>
    <n v="11060205"/>
    <x v="16"/>
    <x v="63"/>
    <x v="0"/>
    <n v="405"/>
    <n v="0"/>
    <n v="65000"/>
    <n v="0"/>
    <n v="160.49382716049382"/>
    <s v="الاستخبارات"/>
    <s v="كشف صرف"/>
    <s v="كشف صرف"/>
    <n v="0"/>
    <s v="الفرقة الثالثة"/>
    <n v="1"/>
    <d v="2026-06-15T00:00:00"/>
    <m/>
    <m/>
    <n v="2026"/>
    <x v="0"/>
    <n v="15"/>
    <s v="قيـد مقابـل:- (مصاريف  صرفة يومية للافراد  - الاستخبارات - الفرقة الثالثة)  - كشف صرف رقم   كشف صرف - صرف الصرفة اليومية  الاستخبارات لعدد 4 بامر"/>
    <n v="0"/>
  </r>
  <r>
    <n v="444"/>
    <s v="JV216"/>
    <x v="12"/>
    <s v="قيد عهده"/>
    <n v="31010101"/>
    <x v="2"/>
    <x v="126"/>
    <x v="0"/>
    <n v="405"/>
    <n v="45000"/>
    <n v="0"/>
    <n v="111.11111111111111"/>
    <n v="0"/>
    <s v="المدفعية"/>
    <s v="كشف صرف"/>
    <s v="كشف صرف"/>
    <n v="0"/>
    <s v="الفرقة الثالثة"/>
    <n v="1"/>
    <d v="2026-06-15T00:00:00"/>
    <m/>
    <m/>
    <n v="2026"/>
    <x v="0"/>
    <n v="15"/>
    <s v="قيـد مقابـل:- (مصاريف  صرفة يومية للافراد  - المدفعية - الفرقة الثالثة)  - كشف صرف رقم   كشف صرف - صرف الصرفة اليومية للمدفعية لعدد 5 بامر"/>
    <n v="0"/>
  </r>
  <r>
    <n v="445"/>
    <s v="JV216"/>
    <x v="12"/>
    <s v="قيد عهده"/>
    <n v="11060205"/>
    <x v="16"/>
    <x v="126"/>
    <x v="0"/>
    <n v="405"/>
    <n v="0"/>
    <n v="45000"/>
    <n v="0"/>
    <n v="111.11111111111111"/>
    <s v="المدفعية"/>
    <s v="كشف صرف"/>
    <s v="كشف صرف"/>
    <n v="0"/>
    <s v="الفرقة الثالثة"/>
    <n v="1"/>
    <d v="2026-06-15T00:00:00"/>
    <m/>
    <m/>
    <n v="2026"/>
    <x v="0"/>
    <n v="15"/>
    <s v="قيـد مقابـل:- (مصاريف  صرفة يومية للافراد  - المدفعية - الفرقة الثالثة)  - كشف صرف رقم   كشف صرف - صرف الصرفة اليومية للمدفعية لعدد 5 بامر"/>
    <n v="0"/>
  </r>
  <r>
    <n v="446"/>
    <s v="JV217"/>
    <x v="12"/>
    <s v="قيد عهده"/>
    <n v="31010101"/>
    <x v="2"/>
    <x v="106"/>
    <x v="0"/>
    <n v="405"/>
    <n v="95000"/>
    <n v="0"/>
    <n v="234.5679012345679"/>
    <n v="0"/>
    <s v="المستشارين والمساعدين"/>
    <s v="كشف صرف"/>
    <s v="كشف صرف"/>
    <n v="0"/>
    <s v="الفرقة الثالثة"/>
    <n v="1"/>
    <d v="2026-06-15T00:00:00"/>
    <m/>
    <m/>
    <n v="2026"/>
    <x v="0"/>
    <n v="15"/>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447"/>
    <s v="JV217"/>
    <x v="12"/>
    <s v="قيد عهده"/>
    <n v="11060205"/>
    <x v="16"/>
    <x v="106"/>
    <x v="0"/>
    <n v="405"/>
    <n v="0"/>
    <n v="95000"/>
    <n v="0"/>
    <n v="234.5679012345679"/>
    <s v="المستشارين والمساعدين"/>
    <s v="كشف صرف"/>
    <s v="كشف صرف"/>
    <n v="0"/>
    <s v="الفرقة الثالثة"/>
    <n v="1"/>
    <d v="2026-06-15T00:00:00"/>
    <m/>
    <m/>
    <n v="2026"/>
    <x v="0"/>
    <n v="15"/>
    <s v="قيـد مقابـل:- (مصاريف  صرفة يومية للافراد  - المستشارين والمساعدين - الفرقة الثالثة)  - كشف صرف رقم   كشف صرف - صرف الصرفة اليومية للمستشارين والمساعدين عدد 9 بامر"/>
    <n v="0"/>
  </r>
  <r>
    <n v="448"/>
    <s v="JV218"/>
    <x v="12"/>
    <s v="قيد عهده"/>
    <n v="31010101"/>
    <x v="2"/>
    <x v="118"/>
    <x v="0"/>
    <n v="405"/>
    <n v="14000"/>
    <n v="0"/>
    <n v="34.567901234567898"/>
    <n v="0"/>
    <s v="الطبية والمحاسبين"/>
    <s v="كشف صرف"/>
    <s v="كشف صرف"/>
    <n v="0"/>
    <s v="الفرقة الثالثة"/>
    <n v="1"/>
    <d v="2026-06-15T00:00:00"/>
    <m/>
    <m/>
    <n v="2026"/>
    <x v="0"/>
    <n v="15"/>
    <s v="قيـد مقابـل:- (مصاريف  صرفة يومية للافراد  - الطبية والمحاسبين - الفرقة الثالثة)  - كشف صرف رقم   كشف صرف - صرف الصرفة اليومية للطبية والمحاسبين لعدد 2 بامر"/>
    <n v="0"/>
  </r>
  <r>
    <n v="449"/>
    <s v="JV218"/>
    <x v="12"/>
    <s v="قيد عهده"/>
    <n v="11060205"/>
    <x v="16"/>
    <x v="118"/>
    <x v="0"/>
    <n v="405"/>
    <n v="0"/>
    <n v="14000"/>
    <n v="0"/>
    <n v="34.567901234567898"/>
    <s v="الطبية والمحاسبين"/>
    <s v="كشف صرف"/>
    <s v="كشف صرف"/>
    <n v="0"/>
    <s v="الفرقة الثالثة"/>
    <n v="1"/>
    <d v="2026-06-15T00:00:00"/>
    <m/>
    <m/>
    <n v="2026"/>
    <x v="0"/>
    <n v="15"/>
    <s v="قيـد مقابـل:- (مصاريف  صرفة يومية للافراد  - الطبية والمحاسبين - الفرقة الثالثة)  - كشف صرف رقم   كشف صرف - صرف الصرفة اليومية للطبية والمحاسبين لعدد 2 بامر"/>
    <n v="0"/>
  </r>
  <r>
    <n v="450"/>
    <s v="JV219"/>
    <x v="12"/>
    <s v="قيد عهده"/>
    <n v="31010101"/>
    <x v="2"/>
    <x v="135"/>
    <x v="0"/>
    <n v="405"/>
    <n v="100000"/>
    <n v="0"/>
    <n v="246.91358024691357"/>
    <n v="0"/>
    <s v="الضباط السابقين"/>
    <s v="كشف صرف"/>
    <s v="كشف صرف"/>
    <n v="0"/>
    <s v="الفرقة الثالثة"/>
    <n v="1"/>
    <d v="2026-06-15T00:00:00"/>
    <m/>
    <m/>
    <n v="2026"/>
    <x v="0"/>
    <n v="15"/>
    <s v="قيـد مقابـل:- (مصاريف  صرفة يومية للافراد  - الضباط السابقين - الفرقة الثالثة)  - كشف صرف رقم   كشف صرف - صرف الصرفة اليومية ضباط سابقين لعدد 10 بامر"/>
    <n v="0"/>
  </r>
  <r>
    <n v="451"/>
    <s v="JV219"/>
    <x v="12"/>
    <s v="قيد عهده"/>
    <n v="11060205"/>
    <x v="16"/>
    <x v="135"/>
    <x v="0"/>
    <n v="405"/>
    <n v="0"/>
    <n v="100000"/>
    <n v="0"/>
    <n v="246.91358024691357"/>
    <s v="الضباط السابقين"/>
    <s v="كشف صرف"/>
    <s v="كشف صرف"/>
    <n v="0"/>
    <s v="الفرقة الثالثة"/>
    <n v="1"/>
    <d v="2026-06-15T00:00:00"/>
    <m/>
    <m/>
    <n v="2026"/>
    <x v="0"/>
    <n v="15"/>
    <s v="قيـد مقابـل:- (مصاريف  صرفة يومية للافراد  - الضباط السابقين - الفرقة الثالثة)  - كشف صرف رقم   كشف صرف - صرف الصرفة اليومية ضباط سابقين لعدد 10 بامر"/>
    <n v="0"/>
  </r>
  <r>
    <n v="452"/>
    <s v="JV220"/>
    <x v="12"/>
    <s v="قيد عهده"/>
    <n v="31010101"/>
    <x v="2"/>
    <x v="148"/>
    <x v="0"/>
    <n v="405"/>
    <n v="126000"/>
    <n v="0"/>
    <n v="311.11111111111109"/>
    <n v="0"/>
    <s v="اخرون"/>
    <s v="كشف صرف"/>
    <s v="كشف صرف"/>
    <n v="0"/>
    <s v="الفرقة الثالثة"/>
    <n v="1"/>
    <d v="2026-06-15T00:00:00"/>
    <m/>
    <m/>
    <n v="2026"/>
    <x v="0"/>
    <n v="15"/>
    <s v="قيـد مقابـل:- (مصاريف  صرفة يومية للافراد  - اخرون - الفرقة الثالثة)  - كشف صرف رقم   كشف صرف - الصرفة اليومية اخرون عدد 12 بامر"/>
    <n v="0"/>
  </r>
  <r>
    <n v="453"/>
    <s v="JV220"/>
    <x v="12"/>
    <s v="قيد عهده"/>
    <n v="11060205"/>
    <x v="16"/>
    <x v="148"/>
    <x v="0"/>
    <n v="405"/>
    <n v="0"/>
    <n v="126000"/>
    <n v="0"/>
    <n v="311.11111111111109"/>
    <s v="اخرون"/>
    <s v="كشف صرف"/>
    <s v="كشف صرف"/>
    <n v="0"/>
    <s v="الفرقة الثالثة"/>
    <n v="1"/>
    <d v="2026-06-15T00:00:00"/>
    <m/>
    <m/>
    <n v="2026"/>
    <x v="0"/>
    <n v="15"/>
    <s v="قيـد مقابـل:- (مصاريف  صرفة يومية للافراد  - اخرون - الفرقة الثالثة)  - كشف صرف رقم   كشف صرف - الصرفة اليومية اخرون عدد 12 بامر"/>
    <n v="0"/>
  </r>
  <r>
    <n v="454"/>
    <s v="JV221"/>
    <x v="12"/>
    <s v="قيد عهده"/>
    <n v="31010101"/>
    <x v="2"/>
    <x v="129"/>
    <x v="0"/>
    <n v="405"/>
    <n v="25000"/>
    <n v="0"/>
    <n v="61.728395061728392"/>
    <n v="0"/>
    <s v="مرافقي الاركان"/>
    <s v="كشف صرف"/>
    <s v="كشف صرف"/>
    <n v="0"/>
    <s v="الفرقة الثالثة"/>
    <n v="1"/>
    <d v="2026-06-15T00:00:00"/>
    <m/>
    <m/>
    <n v="2026"/>
    <x v="0"/>
    <n v="15"/>
    <s v="قيـد مقابـل:- (مصاريف  صرفة يومية للافراد  - مرافقي الاركان - الفرقة الثالثة)  - كشف صرف رقم   كشف صرف - صرف الصرفة اليومية لمرافقي الاركان عدد 4 بامر"/>
    <n v="0"/>
  </r>
  <r>
    <n v="455"/>
    <s v="JV221"/>
    <x v="12"/>
    <s v="قيد عهده"/>
    <n v="11060205"/>
    <x v="16"/>
    <x v="129"/>
    <x v="0"/>
    <n v="405"/>
    <n v="0"/>
    <n v="25000"/>
    <n v="0"/>
    <n v="61.728395061728392"/>
    <s v="مرافقي الاركان"/>
    <s v="كشف صرف"/>
    <s v="كشف صرف"/>
    <n v="0"/>
    <s v="الفرقة الثالثة"/>
    <n v="1"/>
    <d v="2026-06-15T00:00:00"/>
    <m/>
    <m/>
    <n v="2026"/>
    <x v="0"/>
    <n v="15"/>
    <s v="قيـد مقابـل:- (مصاريف  صرفة يومية للافراد  - مرافقي الاركان - الفرقة الثالثة)  - كشف صرف رقم   كشف صرف - صرف الصرفة اليومية لمرافقي الاركان عدد 4 بامر"/>
    <n v="0"/>
  </r>
  <r>
    <n v="456"/>
    <s v="JV222"/>
    <x v="12"/>
    <s v="قيد عهده"/>
    <n v="31010101"/>
    <x v="2"/>
    <x v="130"/>
    <x v="0"/>
    <n v="405"/>
    <n v="36000"/>
    <n v="0"/>
    <n v="88.888888888888886"/>
    <n v="0"/>
    <s v="افراد طقم اللواء السابع مرافقين"/>
    <s v="كشف صرف"/>
    <s v="كشف صرف"/>
    <n v="0"/>
    <s v="الفرقة الثالثة"/>
    <n v="1"/>
    <d v="2026-06-15T00:00:00"/>
    <m/>
    <m/>
    <n v="2026"/>
    <x v="0"/>
    <n v="15"/>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457"/>
    <s v="JV222"/>
    <x v="12"/>
    <s v="قيد عهده"/>
    <n v="11060205"/>
    <x v="16"/>
    <x v="130"/>
    <x v="0"/>
    <n v="405"/>
    <n v="0"/>
    <n v="36000"/>
    <n v="0"/>
    <n v="88.888888888888886"/>
    <s v="افراد طقم اللواء السابع مرافقين"/>
    <s v="كشف صرف"/>
    <s v="كشف صرف"/>
    <n v="0"/>
    <s v="الفرقة الثالثة"/>
    <n v="1"/>
    <d v="2026-06-15T00:00:00"/>
    <m/>
    <m/>
    <n v="2026"/>
    <x v="0"/>
    <n v="15"/>
    <s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
    <n v="0"/>
  </r>
  <r>
    <n v="458"/>
    <s v="JV223"/>
    <x v="12"/>
    <s v="قيد عهده"/>
    <n v="31010101"/>
    <x v="2"/>
    <x v="69"/>
    <x v="0"/>
    <n v="405"/>
    <n v="28000"/>
    <n v="0"/>
    <n v="69.135802469135797"/>
    <n v="0"/>
    <s v="الاشغال"/>
    <s v="كشف صرف"/>
    <s v="كشف صرف"/>
    <n v="0"/>
    <s v="الفرقة الثالثة"/>
    <n v="1"/>
    <d v="2026-06-15T00:00:00"/>
    <m/>
    <m/>
    <n v="2026"/>
    <x v="0"/>
    <n v="15"/>
    <s v="قيـد مقابـل:- (مصاريف  صرفة يومية للافراد  - الاشغال - الفرقة الثالثة)  - كشف صرف رقم   كشف صرف - صرف الصرفة اليومية للاشغال لعدد 3 بامر"/>
    <n v="0"/>
  </r>
  <r>
    <n v="459"/>
    <s v="JV223"/>
    <x v="12"/>
    <s v="قيد عهده"/>
    <n v="11060205"/>
    <x v="16"/>
    <x v="69"/>
    <x v="0"/>
    <n v="405"/>
    <n v="0"/>
    <n v="28000"/>
    <n v="0"/>
    <n v="69.135802469135797"/>
    <s v="الاشغال"/>
    <s v="كشف صرف"/>
    <s v="كشف صرف"/>
    <n v="0"/>
    <s v="الفرقة الثالثة"/>
    <n v="1"/>
    <d v="2026-06-15T00:00:00"/>
    <m/>
    <m/>
    <n v="2026"/>
    <x v="0"/>
    <n v="15"/>
    <s v="قيـد مقابـل:- (مصاريف  صرفة يومية للافراد  - الاشغال - الفرقة الثالثة)  - كشف صرف رقم   كشف صرف - صرف الصرفة اليومية للاشغال لعدد 3 بامر"/>
    <n v="0"/>
  </r>
  <r>
    <n v="460"/>
    <s v="JV224"/>
    <x v="12"/>
    <s v="قيد عهده"/>
    <n v="31010101"/>
    <x v="2"/>
    <x v="149"/>
    <x v="0"/>
    <n v="405"/>
    <n v="132000"/>
    <n v="0"/>
    <n v="325.92592592592592"/>
    <n v="0"/>
    <s v="سرية اللواء السادس"/>
    <s v="كشف صرف"/>
    <s v="كشف صرف"/>
    <n v="0"/>
    <s v="اللواء السادس"/>
    <n v="7"/>
    <d v="2026-06-15T00:00:00"/>
    <m/>
    <m/>
    <n v="2026"/>
    <x v="0"/>
    <n v="15"/>
    <s v="قيـد مقابـل:- (مصاريف  صرفة يومية للافراد  - سرية اللواء السادس - اللواء السادس)  - كشف صرف رقم   كشف صرف - مصاريف يومية سرية اللواء السادس عدد 33 بامر"/>
    <n v="0"/>
  </r>
  <r>
    <n v="461"/>
    <s v="JV224"/>
    <x v="12"/>
    <s v="قيد عهده"/>
    <n v="11060205"/>
    <x v="16"/>
    <x v="149"/>
    <x v="0"/>
    <n v="405"/>
    <n v="0"/>
    <n v="132000"/>
    <n v="0"/>
    <n v="325.92592592592592"/>
    <s v="سرية اللواء السادس"/>
    <s v="كشف صرف"/>
    <s v="كشف صرف"/>
    <n v="0"/>
    <s v="اللواء السادس"/>
    <n v="7"/>
    <d v="2026-06-15T00:00:00"/>
    <m/>
    <m/>
    <n v="2026"/>
    <x v="0"/>
    <n v="15"/>
    <s v="قيـد مقابـل:- (مصاريف  صرفة يومية للافراد  - سرية اللواء السادس - اللواء السادس)  - كشف صرف رقم   كشف صرف - مصاريف يومية سرية اللواء السادس عدد 33 بامر"/>
    <n v="0"/>
  </r>
  <r>
    <n v="462"/>
    <s v="JV225"/>
    <x v="12"/>
    <s v="قيد عهده"/>
    <n v="31010116"/>
    <x v="6"/>
    <x v="150"/>
    <x v="1"/>
    <n v="1"/>
    <n v="1000"/>
    <n v="0"/>
    <n v="1000"/>
    <n v="0"/>
    <s v="جمال مسدوس"/>
    <s v="استلام نقدي"/>
    <s v="سند استلام"/>
    <n v="0"/>
    <s v="اللواء السابع"/>
    <n v="8"/>
    <d v="2026-06-15T00:00:00"/>
    <m/>
    <m/>
    <n v="2026"/>
    <x v="0"/>
    <n v="15"/>
    <s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
    <n v="0"/>
  </r>
  <r>
    <n v="463"/>
    <s v="JV225"/>
    <x v="12"/>
    <s v="قيد عهده"/>
    <n v="11060205"/>
    <x v="16"/>
    <x v="150"/>
    <x v="1"/>
    <n v="1"/>
    <n v="0"/>
    <n v="1000"/>
    <n v="0"/>
    <n v="1000"/>
    <s v="جمال مسدوس"/>
    <s v="استلام نقدي"/>
    <s v="سند استلام"/>
    <n v="0"/>
    <s v="اللواء السابع"/>
    <n v="8"/>
    <d v="2026-06-15T00:00:00"/>
    <m/>
    <m/>
    <n v="2026"/>
    <x v="0"/>
    <n v="15"/>
    <s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
    <n v="0"/>
  </r>
  <r>
    <n v="464"/>
    <s v="JV226"/>
    <x v="12"/>
    <s v="قيد عهده"/>
    <n v="31010101"/>
    <x v="2"/>
    <x v="151"/>
    <x v="0"/>
    <n v="405"/>
    <n v="45000"/>
    <n v="0"/>
    <n v="111.11111111111111"/>
    <n v="0"/>
    <s v="مرافقي الاركان"/>
    <s v="استلام نقدي"/>
    <s v="سند استلام"/>
    <n v="0"/>
    <s v="الفرقة الثالثة"/>
    <n v="1"/>
    <d v="2026-06-15T00:00:00"/>
    <m/>
    <m/>
    <n v="2026"/>
    <x v="0"/>
    <n v="15"/>
    <s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
    <n v="0"/>
  </r>
  <r>
    <n v="465"/>
    <s v="JV226"/>
    <x v="12"/>
    <s v="قيد عهده"/>
    <n v="11060205"/>
    <x v="16"/>
    <x v="151"/>
    <x v="0"/>
    <n v="405"/>
    <n v="0"/>
    <n v="45000"/>
    <n v="0"/>
    <n v="111.11111111111111"/>
    <s v="مرافقي الاركان"/>
    <s v="استلام نقدي"/>
    <s v="سند استلام"/>
    <n v="0"/>
    <s v="الفرقة الثالثة"/>
    <n v="1"/>
    <d v="2026-06-15T00:00:00"/>
    <m/>
    <m/>
    <n v="2026"/>
    <x v="0"/>
    <n v="15"/>
    <s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
    <n v="0"/>
  </r>
  <r>
    <n v="466"/>
    <s v="JV227"/>
    <x v="12"/>
    <s v="قيد عهده"/>
    <n v="31010126"/>
    <x v="8"/>
    <x v="152"/>
    <x v="1"/>
    <n v="1"/>
    <n v="140"/>
    <n v="0"/>
    <n v="140"/>
    <n v="0"/>
    <n v="0"/>
    <s v="فاتورة"/>
    <s v="اصول التقنية للتجارة"/>
    <n v="724"/>
    <s v="الفرقة الثالثة"/>
    <n v="1"/>
    <d v="2026-06-15T00:00:00"/>
    <m/>
    <m/>
    <n v="2026"/>
    <x v="0"/>
    <n v="15"/>
    <s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
    <s v="المستشار المالي"/>
  </r>
  <r>
    <n v="467"/>
    <s v="JV227"/>
    <x v="12"/>
    <s v="قيد عهده"/>
    <n v="11060205"/>
    <x v="16"/>
    <x v="152"/>
    <x v="1"/>
    <n v="1"/>
    <n v="0"/>
    <n v="140"/>
    <n v="0"/>
    <n v="140"/>
    <n v="0"/>
    <s v="فاتورة"/>
    <s v="اصول التقنية للتجارة"/>
    <n v="724"/>
    <s v="الفرقة الثالثة"/>
    <n v="1"/>
    <d v="2026-06-15T00:00:00"/>
    <m/>
    <m/>
    <n v="2026"/>
    <x v="0"/>
    <n v="15"/>
    <s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
    <s v="المستشار المالي"/>
  </r>
  <r>
    <n v="468"/>
    <s v="JV228"/>
    <x v="12"/>
    <s v="قيد عهده"/>
    <n v="31010101"/>
    <x v="2"/>
    <x v="153"/>
    <x v="0"/>
    <n v="405"/>
    <n v="10000"/>
    <n v="0"/>
    <n v="24.691358024691358"/>
    <n v="0"/>
    <s v="محمد عبدالصمد عبدالله"/>
    <s v="استلام نقدي"/>
    <s v="سند استلام"/>
    <n v="0"/>
    <s v="اللواء السادس"/>
    <n v="7"/>
    <d v="2026-06-15T00:00:00"/>
    <m/>
    <m/>
    <n v="2026"/>
    <x v="0"/>
    <n v="15"/>
    <s v="قيـد مقابـل:- (مصاريف  صرفة يومية للافراد  - محمد عبدالصمد عبدالله - اللواء السادس)  - استلام نقدي رقم   سند استلام - صرف صرفة يومية ليوم 15 بامر"/>
    <n v="0"/>
  </r>
  <r>
    <n v="469"/>
    <s v="JV228"/>
    <x v="12"/>
    <s v="قيد عهده"/>
    <n v="11060205"/>
    <x v="16"/>
    <x v="153"/>
    <x v="0"/>
    <n v="405"/>
    <n v="0"/>
    <n v="10000"/>
    <n v="0"/>
    <n v="24.691358024691358"/>
    <s v="محمد عبدالصمد عبدالله"/>
    <s v="استلام نقدي"/>
    <s v="سند استلام"/>
    <n v="0"/>
    <s v="اللواء السادس"/>
    <n v="7"/>
    <d v="2026-06-15T00:00:00"/>
    <m/>
    <m/>
    <n v="2026"/>
    <x v="0"/>
    <n v="15"/>
    <s v="قيـد مقابـل:- (مصاريف  صرفة يومية للافراد  - محمد عبدالصمد عبدالله - اللواء السادس)  - استلام نقدي رقم   سند استلام - صرف صرفة يومية ليوم 15 بامر"/>
    <n v="0"/>
  </r>
  <r>
    <n v="470"/>
    <s v="RC008"/>
    <x v="5"/>
    <s v="قبض عهدة"/>
    <n v="11060205"/>
    <x v="16"/>
    <x v="154"/>
    <x v="1"/>
    <n v="1"/>
    <n v="3000"/>
    <n v="0"/>
    <n v="3000"/>
    <n v="0"/>
    <s v="عبدالحفيظ"/>
    <s v="استلام نقدي"/>
    <s v="سند استلام"/>
    <n v="0"/>
    <s v="الفرقة الثالثة"/>
    <n v="1"/>
    <d v="2026-06-08T00:00:00"/>
    <m/>
    <m/>
    <n v="2026"/>
    <x v="0"/>
    <n v="8"/>
    <s v="قيـد مقابـل:- (عهدة عبدالحفيظ - عبدالحفيظ - الفرقة الثالثة)  - استلام نقدي رقم   سند استلام - إستلام عهدة من عبدالله باعمر  بامر"/>
    <n v="0"/>
  </r>
  <r>
    <n v="471"/>
    <s v="RC008"/>
    <x v="5"/>
    <s v="قبض عهدة"/>
    <n v="11010101"/>
    <x v="3"/>
    <x v="154"/>
    <x v="1"/>
    <n v="1"/>
    <n v="0"/>
    <n v="3000"/>
    <n v="0"/>
    <n v="3000"/>
    <s v="عبدالحفيظ"/>
    <s v="استلام نقدي"/>
    <s v="سند استلام"/>
    <n v="0"/>
    <s v="الفرقة الثالثة"/>
    <n v="1"/>
    <d v="2026-06-08T00:00:00"/>
    <m/>
    <m/>
    <n v="2026"/>
    <x v="0"/>
    <n v="8"/>
    <s v="قيـد مقابـل:- (عهدة عبدالحفيظ - عبدالحفيظ - الفرقة الثالثة)  - استلام نقدي رقم   سند استلام - إستلام عهدة من عبدالله باعمر  بامر"/>
    <n v="0"/>
  </r>
  <r>
    <n v="472"/>
    <s v="JV229"/>
    <x v="13"/>
    <s v="قيد عهده"/>
    <n v="31010101"/>
    <x v="2"/>
    <x v="155"/>
    <x v="0"/>
    <n v="405"/>
    <n v="55000"/>
    <n v="0"/>
    <n v="135.80246913580248"/>
    <n v="0"/>
    <s v="السيطرة والاتصالات"/>
    <s v="كشف صرف"/>
    <s v="كشف صرف"/>
    <n v="0"/>
    <s v="الفرقة الثالثة"/>
    <n v="1"/>
    <d v="2026-06-16T00:00:00"/>
    <m/>
    <m/>
    <n v="2026"/>
    <x v="0"/>
    <n v="16"/>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473"/>
    <s v="JV229"/>
    <x v="13"/>
    <s v="قيد عهده"/>
    <n v="11060205"/>
    <x v="16"/>
    <x v="155"/>
    <x v="0"/>
    <n v="405"/>
    <n v="0"/>
    <n v="55000"/>
    <n v="0"/>
    <n v="135.80246913580248"/>
    <s v="السيطرة والاتصالات"/>
    <s v="كشف صرف"/>
    <s v="كشف صرف"/>
    <n v="0"/>
    <s v="الفرقة الثالثة"/>
    <n v="1"/>
    <d v="2026-06-16T00:00:00"/>
    <m/>
    <m/>
    <n v="2026"/>
    <x v="0"/>
    <n v="16"/>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474"/>
    <s v="JV230"/>
    <x v="13"/>
    <s v="قيد عهده"/>
    <n v="31010101"/>
    <x v="2"/>
    <x v="156"/>
    <x v="0"/>
    <n v="405"/>
    <n v="70000"/>
    <n v="0"/>
    <n v="172.83950617283949"/>
    <n v="0"/>
    <s v="الامداد"/>
    <s v="كشف صرف"/>
    <s v="كشف صرف"/>
    <n v="0"/>
    <s v="الفرقة الثالثة"/>
    <n v="1"/>
    <d v="2026-06-16T00:00:00"/>
    <m/>
    <m/>
    <n v="2026"/>
    <x v="0"/>
    <n v="16"/>
    <s v="قيـد مقابـل:- (مصاريف  صرفة يومية للافراد  - الامداد - الفرقة الثالثة)  - كشف صرف رقم   كشف صرف - صرف الصرفة اليومية  لافراد الامداد لعدد 6 فرد بامر"/>
    <n v="0"/>
  </r>
  <r>
    <n v="475"/>
    <s v="JV230"/>
    <x v="13"/>
    <s v="قيد عهده"/>
    <n v="11060205"/>
    <x v="16"/>
    <x v="156"/>
    <x v="0"/>
    <n v="405"/>
    <n v="0"/>
    <n v="70000"/>
    <n v="0"/>
    <n v="172.83950617283949"/>
    <s v="الامداد"/>
    <s v="كشف صرف"/>
    <s v="كشف صرف"/>
    <n v="0"/>
    <s v="الفرقة الثالثة"/>
    <n v="1"/>
    <d v="2026-06-16T00:00:00"/>
    <m/>
    <m/>
    <n v="2026"/>
    <x v="0"/>
    <n v="16"/>
    <s v="قيـد مقابـل:- (مصاريف  صرفة يومية للافراد  - الامداد - الفرقة الثالثة)  - كشف صرف رقم   كشف صرف - صرف الصرفة اليومية  لافراد الامداد لعدد 6 فرد بامر"/>
    <n v="0"/>
  </r>
  <r>
    <n v="476"/>
    <s v="JV231"/>
    <x v="13"/>
    <s v="قيد عهده"/>
    <n v="31010101"/>
    <x v="2"/>
    <x v="157"/>
    <x v="0"/>
    <n v="405"/>
    <n v="15000"/>
    <n v="0"/>
    <n v="37.037037037037038"/>
    <n v="0"/>
    <s v="البشرية و الصراف"/>
    <s v="كشف صرف"/>
    <s v="كشف صرف"/>
    <n v="0"/>
    <s v="الفرقة الثالثة"/>
    <n v="1"/>
    <d v="2026-06-16T00:00:00"/>
    <m/>
    <m/>
    <n v="2026"/>
    <x v="0"/>
    <n v="16"/>
    <s v="قيـد مقابـل:- (مصاريف  صرفة يومية للافراد  - البشرية و الصراف - الفرقة الثالثة)  - كشف صرف رقم   كشف صرف - صرف الصرفة اليومية  للبشرية والصراف عدد 1 بامر"/>
    <n v="0"/>
  </r>
  <r>
    <n v="477"/>
    <s v="JV231"/>
    <x v="13"/>
    <s v="قيد عهده"/>
    <n v="11060205"/>
    <x v="16"/>
    <x v="157"/>
    <x v="0"/>
    <n v="405"/>
    <n v="0"/>
    <n v="15000"/>
    <n v="0"/>
    <n v="37.037037037037038"/>
    <s v="البشرية و الصراف"/>
    <s v="كشف صرف"/>
    <s v="كشف صرف"/>
    <n v="0"/>
    <s v="الفرقة الثالثة"/>
    <n v="1"/>
    <d v="2026-06-16T00:00:00"/>
    <m/>
    <m/>
    <n v="2026"/>
    <x v="0"/>
    <n v="16"/>
    <s v="قيـد مقابـل:- (مصاريف  صرفة يومية للافراد  - البشرية و الصراف - الفرقة الثالثة)  - كشف صرف رقم   كشف صرف - صرف الصرفة اليومية  للبشرية والصراف عدد 1 بامر"/>
    <n v="0"/>
  </r>
  <r>
    <n v="478"/>
    <s v="JV232"/>
    <x v="13"/>
    <s v="قيد عهده"/>
    <n v="31010101"/>
    <x v="2"/>
    <x v="158"/>
    <x v="0"/>
    <n v="405"/>
    <n v="110000"/>
    <n v="0"/>
    <n v="271.60493827160496"/>
    <n v="0"/>
    <s v="الاستخبارات"/>
    <n v="0"/>
    <n v="0"/>
    <n v="0"/>
    <s v="الفرقة الثالثة"/>
    <n v="1"/>
    <d v="2026-06-16T00:00:00"/>
    <m/>
    <m/>
    <n v="2026"/>
    <x v="0"/>
    <n v="16"/>
    <s v="قيـد مقابـل:- (مصاريف  صرفة يومية للافراد  - الاستخبارات - الفرقة الثالثة)  -  رقم    - صرف الصرفة اليومية  الاستخبارات لعدد 7 بامر"/>
    <n v="0"/>
  </r>
  <r>
    <n v="479"/>
    <s v="JV232"/>
    <x v="13"/>
    <s v="قيد عهده"/>
    <n v="11060205"/>
    <x v="16"/>
    <x v="158"/>
    <x v="0"/>
    <n v="405"/>
    <n v="0"/>
    <n v="110000"/>
    <n v="0"/>
    <n v="271.60493827160496"/>
    <s v="الاستخبارات"/>
    <n v="0"/>
    <n v="0"/>
    <n v="0"/>
    <s v="الفرقة الثالثة"/>
    <n v="1"/>
    <d v="2026-06-16T00:00:00"/>
    <m/>
    <m/>
    <n v="2026"/>
    <x v="0"/>
    <n v="16"/>
    <s v="قيـد مقابـل:- (مصاريف  صرفة يومية للافراد  - الاستخبارات - الفرقة الثالثة)  -  رقم    - صرف الصرفة اليومية  الاستخبارات لعدد 7 بامر"/>
    <n v="0"/>
  </r>
  <r>
    <n v="480"/>
    <s v="JV233"/>
    <x v="13"/>
    <s v="قيد عهده"/>
    <n v="31010101"/>
    <x v="2"/>
    <x v="159"/>
    <x v="0"/>
    <n v="405"/>
    <n v="25000"/>
    <n v="0"/>
    <n v="61.728395061728392"/>
    <n v="0"/>
    <s v="المدفعية"/>
    <n v="0"/>
    <n v="0"/>
    <n v="0"/>
    <s v="الفرقة الثالثة"/>
    <n v="1"/>
    <d v="2026-06-16T00:00:00"/>
    <m/>
    <m/>
    <n v="2026"/>
    <x v="0"/>
    <n v="16"/>
    <s v="قيـد مقابـل:- (مصاريف  صرفة يومية للافراد  - المدفعية - الفرقة الثالثة)  -  رقم    - صرف الصرفة اليومية للمدفعية لعدد 3 بامر"/>
    <n v="0"/>
  </r>
  <r>
    <n v="481"/>
    <s v="JV233"/>
    <x v="13"/>
    <s v="قيد عهده"/>
    <n v="11060205"/>
    <x v="16"/>
    <x v="159"/>
    <x v="0"/>
    <n v="405"/>
    <n v="0"/>
    <n v="25000"/>
    <n v="0"/>
    <n v="61.728395061728392"/>
    <s v="المدفعية"/>
    <n v="0"/>
    <n v="0"/>
    <n v="0"/>
    <s v="الفرقة الثالثة"/>
    <n v="1"/>
    <d v="2026-06-16T00:00:00"/>
    <m/>
    <m/>
    <n v="2026"/>
    <x v="0"/>
    <n v="16"/>
    <s v="قيـد مقابـل:- (مصاريف  صرفة يومية للافراد  - المدفعية - الفرقة الثالثة)  -  رقم    - صرف الصرفة اليومية للمدفعية لعدد 3 بامر"/>
    <n v="0"/>
  </r>
  <r>
    <n v="482"/>
    <s v="JV234"/>
    <x v="13"/>
    <s v="قيد عهده"/>
    <n v="31010101"/>
    <x v="2"/>
    <x v="160"/>
    <x v="0"/>
    <n v="405"/>
    <n v="112000"/>
    <n v="0"/>
    <n v="276.54320987654319"/>
    <n v="0"/>
    <s v="المستشارين والمساعدين"/>
    <n v="0"/>
    <n v="0"/>
    <n v="0"/>
    <s v="الفرقة الثالثة"/>
    <n v="1"/>
    <d v="2026-06-16T00:00:00"/>
    <m/>
    <m/>
    <n v="2026"/>
    <x v="0"/>
    <n v="16"/>
    <s v="قيـد مقابـل:- (مصاريف  صرفة يومية للافراد  - المستشارين والمساعدين - الفرقة الثالثة)  -  رقم    - صرف الصرفة اليومية للمستشارين والمساعدين عدد 11 بامر"/>
    <n v="0"/>
  </r>
  <r>
    <n v="483"/>
    <s v="JV234"/>
    <x v="13"/>
    <s v="قيد عهده"/>
    <n v="11060205"/>
    <x v="16"/>
    <x v="160"/>
    <x v="0"/>
    <n v="405"/>
    <n v="0"/>
    <n v="112000"/>
    <n v="0"/>
    <n v="276.54320987654319"/>
    <s v="المستشارين والمساعدين"/>
    <n v="0"/>
    <n v="0"/>
    <n v="0"/>
    <s v="الفرقة الثالثة"/>
    <n v="1"/>
    <d v="2026-06-16T00:00:00"/>
    <m/>
    <m/>
    <n v="2026"/>
    <x v="0"/>
    <n v="16"/>
    <s v="قيـد مقابـل:- (مصاريف  صرفة يومية للافراد  - المستشارين والمساعدين - الفرقة الثالثة)  -  رقم    - صرف الصرفة اليومية للمستشارين والمساعدين عدد 11 بامر"/>
    <n v="0"/>
  </r>
  <r>
    <n v="484"/>
    <s v="JV235"/>
    <x v="13"/>
    <s v="قيد عهده"/>
    <n v="31010101"/>
    <x v="2"/>
    <x v="161"/>
    <x v="0"/>
    <n v="405"/>
    <n v="28000"/>
    <n v="0"/>
    <n v="69.135802469135797"/>
    <n v="0"/>
    <s v="الاشغال"/>
    <n v="0"/>
    <n v="0"/>
    <n v="0"/>
    <s v="الفرقة الثالثة"/>
    <n v="1"/>
    <d v="2026-06-16T00:00:00"/>
    <m/>
    <m/>
    <n v="2026"/>
    <x v="0"/>
    <n v="16"/>
    <s v="قيـد مقابـل:- (مصاريف  صرفة يومية للافراد  - الاشغال - الفرقة الثالثة)  -  رقم    - صرف الصرفة اليومية للاشغال لعدد 3 بامر"/>
    <n v="0"/>
  </r>
  <r>
    <n v="485"/>
    <s v="JV235"/>
    <x v="13"/>
    <s v="قيد عهده"/>
    <n v="11060205"/>
    <x v="16"/>
    <x v="161"/>
    <x v="0"/>
    <n v="405"/>
    <n v="0"/>
    <n v="28000"/>
    <n v="0"/>
    <n v="69.135802469135797"/>
    <s v="الاشغال"/>
    <n v="0"/>
    <n v="0"/>
    <n v="0"/>
    <s v="الفرقة الثالثة"/>
    <n v="1"/>
    <d v="2026-06-16T00:00:00"/>
    <m/>
    <m/>
    <n v="2026"/>
    <x v="0"/>
    <n v="16"/>
    <s v="قيـد مقابـل:- (مصاريف  صرفة يومية للافراد  - الاشغال - الفرقة الثالثة)  -  رقم    - صرف الصرفة اليومية للاشغال لعدد 3 بامر"/>
    <n v="0"/>
  </r>
  <r>
    <n v="486"/>
    <s v="JV236"/>
    <x v="13"/>
    <s v="قيد عهده"/>
    <n v="31010101"/>
    <x v="2"/>
    <x v="162"/>
    <x v="0"/>
    <n v="405"/>
    <n v="18000"/>
    <n v="0"/>
    <n v="44.444444444444443"/>
    <n v="0"/>
    <s v="افراد طقم اللواء السابع مرافقين"/>
    <n v="0"/>
    <n v="0"/>
    <n v="0"/>
    <s v="الفرقة الثالثة"/>
    <n v="1"/>
    <d v="2026-06-16T00:00:00"/>
    <m/>
    <m/>
    <n v="2026"/>
    <x v="0"/>
    <n v="16"/>
    <s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
    <n v="0"/>
  </r>
  <r>
    <n v="487"/>
    <s v="JV236"/>
    <x v="13"/>
    <s v="قيد عهده"/>
    <n v="11060205"/>
    <x v="16"/>
    <x v="162"/>
    <x v="0"/>
    <n v="405"/>
    <n v="0"/>
    <n v="18000"/>
    <n v="0"/>
    <n v="44.444444444444443"/>
    <s v="افراد طقم اللواء السابع مرافقين"/>
    <n v="0"/>
    <n v="0"/>
    <n v="0"/>
    <s v="الفرقة الثالثة"/>
    <n v="1"/>
    <d v="2026-06-16T00:00:00"/>
    <m/>
    <m/>
    <n v="2026"/>
    <x v="0"/>
    <n v="16"/>
    <s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
    <n v="0"/>
  </r>
  <r>
    <n v="488"/>
    <s v="JV237"/>
    <x v="13"/>
    <s v="قيد عهده"/>
    <n v="31010101"/>
    <x v="2"/>
    <x v="163"/>
    <x v="0"/>
    <n v="405"/>
    <n v="100000"/>
    <n v="0"/>
    <n v="246.91358024691357"/>
    <n v="0"/>
    <s v="الضباط السابقين"/>
    <n v="0"/>
    <n v="0"/>
    <n v="0"/>
    <s v="الفرقة الثالثة"/>
    <n v="1"/>
    <d v="2026-06-16T00:00:00"/>
    <m/>
    <m/>
    <n v="2026"/>
    <x v="0"/>
    <n v="16"/>
    <s v="قيـد مقابـل:- (مصاريف  صرفة يومية للافراد  - الضباط السابقين - الفرقة الثالثة)  -  رقم    - صرف الصرفة اليومية ضباط سابقين لعدد 10 بامر"/>
    <n v="0"/>
  </r>
  <r>
    <n v="489"/>
    <s v="JV237"/>
    <x v="13"/>
    <s v="قيد عهده"/>
    <n v="11060205"/>
    <x v="16"/>
    <x v="163"/>
    <x v="0"/>
    <n v="405"/>
    <n v="0"/>
    <n v="100000"/>
    <n v="0"/>
    <n v="246.91358024691357"/>
    <s v="الضباط السابقين"/>
    <n v="0"/>
    <n v="0"/>
    <n v="0"/>
    <s v="الفرقة الثالثة"/>
    <n v="1"/>
    <d v="2026-06-16T00:00:00"/>
    <m/>
    <m/>
    <n v="2026"/>
    <x v="0"/>
    <n v="16"/>
    <s v="قيـد مقابـل:- (مصاريف  صرفة يومية للافراد  - الضباط السابقين - الفرقة الثالثة)  -  رقم    - صرف الصرفة اليومية ضباط سابقين لعدد 10 بامر"/>
    <n v="0"/>
  </r>
  <r>
    <n v="490"/>
    <s v="JV238"/>
    <x v="13"/>
    <s v="قيد عهده"/>
    <n v="31010101"/>
    <x v="2"/>
    <x v="164"/>
    <x v="0"/>
    <n v="405"/>
    <n v="78000"/>
    <n v="0"/>
    <n v="192.59259259259258"/>
    <n v="0"/>
    <s v="اخرون"/>
    <n v="0"/>
    <n v="0"/>
    <n v="0"/>
    <s v="الفرقة الثالثة"/>
    <n v="1"/>
    <d v="2026-06-16T00:00:00"/>
    <m/>
    <m/>
    <n v="2026"/>
    <x v="0"/>
    <n v="16"/>
    <s v="قيـد مقابـل:- (مصاريف  صرفة يومية للافراد  - اخرون - الفرقة الثالثة)  -  رقم    - الصرفة اليومية اخرون عدد 9 بامر"/>
    <n v="0"/>
  </r>
  <r>
    <n v="491"/>
    <s v="JV238"/>
    <x v="13"/>
    <s v="قيد عهده"/>
    <n v="11060205"/>
    <x v="16"/>
    <x v="164"/>
    <x v="0"/>
    <n v="405"/>
    <n v="0"/>
    <n v="78000"/>
    <n v="0"/>
    <n v="192.59259259259258"/>
    <s v="اخرون"/>
    <n v="0"/>
    <n v="0"/>
    <n v="0"/>
    <s v="الفرقة الثالثة"/>
    <n v="1"/>
    <d v="2026-06-16T00:00:00"/>
    <m/>
    <m/>
    <n v="2026"/>
    <x v="0"/>
    <n v="16"/>
    <s v="قيـد مقابـل:- (مصاريف  صرفة يومية للافراد  - اخرون - الفرقة الثالثة)  -  رقم    - الصرفة اليومية اخرون عدد 9 بامر"/>
    <n v="0"/>
  </r>
  <r>
    <n v="492"/>
    <s v="JV239"/>
    <x v="13"/>
    <s v="قيد عهده"/>
    <n v="31010101"/>
    <x v="2"/>
    <x v="165"/>
    <x v="0"/>
    <n v="405"/>
    <n v="124000"/>
    <n v="0"/>
    <n v="306.17283950617286"/>
    <n v="0"/>
    <s v="سرية اللواء السادس"/>
    <n v="0"/>
    <n v="0"/>
    <n v="0"/>
    <s v="اللواء السادس"/>
    <n v="7"/>
    <d v="2026-06-16T00:00:00"/>
    <m/>
    <m/>
    <n v="2026"/>
    <x v="0"/>
    <n v="16"/>
    <s v="قيـد مقابـل:- (مصاريف  صرفة يومية للافراد  - سرية اللواء السادس - اللواء السادس)  -  رقم    - مصاريف يومية سرية اللواء السادس عدد 31 بامر"/>
    <n v="0"/>
  </r>
  <r>
    <n v="493"/>
    <s v="JV239"/>
    <x v="13"/>
    <s v="قيد عهده"/>
    <n v="11060205"/>
    <x v="16"/>
    <x v="165"/>
    <x v="0"/>
    <n v="405"/>
    <n v="0"/>
    <n v="124000"/>
    <n v="0"/>
    <n v="306.17283950617286"/>
    <s v="سرية اللواء السادس"/>
    <n v="0"/>
    <n v="0"/>
    <n v="0"/>
    <s v="اللواء السادس"/>
    <n v="7"/>
    <d v="2026-06-16T00:00:00"/>
    <m/>
    <m/>
    <n v="2026"/>
    <x v="0"/>
    <n v="16"/>
    <s v="قيـد مقابـل:- (مصاريف  صرفة يومية للافراد  - سرية اللواء السادس - اللواء السادس)  -  رقم    - مصاريف يومية سرية اللواء السادس عدد 31 بامر"/>
    <n v="0"/>
  </r>
  <r>
    <n v="494"/>
    <s v="JV240"/>
    <x v="13"/>
    <s v="قيد عهده"/>
    <n v="11060210"/>
    <x v="22"/>
    <x v="166"/>
    <x v="1"/>
    <n v="1"/>
    <n v="0"/>
    <n v="0"/>
    <n v="0"/>
    <n v="0"/>
    <s v="عبدالله باعمر"/>
    <s v="استلام نقدي"/>
    <s v="سند استلام"/>
    <n v="0"/>
    <s v="الفرقة الثالثة"/>
    <n v="1"/>
    <d v="2026-06-16T00:00:00"/>
    <m/>
    <m/>
    <n v="2026"/>
    <x v="0"/>
    <n v="16"/>
    <s v="قيـد مقابـل:- (عهدة جمال مسدوس - عبدالله باعمر - الفرقة الثالثة)  - استلام نقدي رقم   سند استلام - صرف مبلغ بيد عبدالله باعمر بامر"/>
    <n v="0"/>
  </r>
  <r>
    <n v="495"/>
    <s v="JV240"/>
    <x v="13"/>
    <s v="قيد عهده"/>
    <n v="11060205"/>
    <x v="16"/>
    <x v="166"/>
    <x v="1"/>
    <n v="1"/>
    <n v="0"/>
    <n v="2000"/>
    <n v="0"/>
    <n v="2000"/>
    <s v="عبدالله باعمر"/>
    <s v="استلام نقدي"/>
    <s v="سند استلام"/>
    <n v="0"/>
    <s v="الفرقة الثالثة"/>
    <n v="1"/>
    <d v="2026-06-16T00:00:00"/>
    <m/>
    <m/>
    <n v="2026"/>
    <x v="0"/>
    <n v="16"/>
    <s v="قيـد مقابـل:- (عهدة جمال مسدوس - عبدالله باعمر - الفرقة الثالثة)  - استلام نقدي رقم   سند استلام - صرف مبلغ بيد عبدالله باعمر بامر"/>
    <n v="0"/>
  </r>
  <r>
    <n v="496"/>
    <s v="JV241"/>
    <x v="14"/>
    <s v="قيد عهده"/>
    <n v="11060210"/>
    <x v="22"/>
    <x v="167"/>
    <x v="0"/>
    <n v="405"/>
    <n v="500000"/>
    <n v="0"/>
    <n v="1234.5679012345679"/>
    <n v="0"/>
    <s v="عبدالله باعمر"/>
    <s v="استلام نقدي"/>
    <s v="سند استلام"/>
    <n v="0"/>
    <s v="الفرقة الثالثة"/>
    <n v="1"/>
    <d v="2026-06-19T00:00:00"/>
    <m/>
    <m/>
    <n v="2026"/>
    <x v="0"/>
    <n v="19"/>
    <s v="قيـد مقابـل:- (عهدة عبدالله باعمر - عبدالله باعمر - الفرقة الثالثة)  - استلام نقدي رقم   سند استلام - صرف مبلغ بيد عبدالله باعمر بامر"/>
    <n v="0"/>
  </r>
  <r>
    <n v="497"/>
    <s v="JV241"/>
    <x v="14"/>
    <s v="قيد عهده"/>
    <n v="11060205"/>
    <x v="16"/>
    <x v="167"/>
    <x v="0"/>
    <n v="405"/>
    <n v="0"/>
    <n v="500000"/>
    <n v="0"/>
    <n v="1234.5679012345679"/>
    <s v="عبدالله باعمر"/>
    <s v="استلام نقدي"/>
    <s v="سند استلام"/>
    <n v="0"/>
    <s v="الفرقة الثالثة"/>
    <n v="1"/>
    <d v="2026-06-19T00:00:00"/>
    <m/>
    <m/>
    <n v="2026"/>
    <x v="0"/>
    <n v="19"/>
    <s v="قيـد مقابـل:- (عهدة عبدالله باعمر - عبدالله باعمر - الفرقة الثالثة)  - استلام نقدي رقم   سند استلام - صرف مبلغ بيد عبدالله باعمر بامر"/>
    <n v="0"/>
  </r>
  <r>
    <n v="498"/>
    <s v="JV242"/>
    <x v="15"/>
    <s v="قيد عهده"/>
    <n v="31010101"/>
    <x v="2"/>
    <x v="110"/>
    <x v="0"/>
    <n v="405"/>
    <n v="152000"/>
    <n v="0"/>
    <n v="375.30864197530866"/>
    <n v="0"/>
    <s v="سرية اللواء السادس"/>
    <s v="كشف صرف"/>
    <s v="كشف صرف"/>
    <n v="0"/>
    <s v="اللواء السادس"/>
    <n v="7"/>
    <d v="2026-06-17T00:00:00"/>
    <m/>
    <m/>
    <n v="2026"/>
    <x v="0"/>
    <n v="17"/>
    <s v="قيـد مقابـل:- (مصاريف  صرفة يومية للافراد  - سرية اللواء السادس - اللواء السادس)  - كشف صرف رقم   كشف صرف - مصاريف يومية سرية اللواء السادس عدد 38 بامر"/>
    <n v="0"/>
  </r>
  <r>
    <n v="499"/>
    <s v="JV242"/>
    <x v="15"/>
    <s v="قيد عهده"/>
    <n v="11060205"/>
    <x v="16"/>
    <x v="110"/>
    <x v="0"/>
    <n v="405"/>
    <n v="0"/>
    <n v="152000"/>
    <n v="0"/>
    <n v="375.30864197530866"/>
    <s v="سرية اللواء السادس"/>
    <s v="كشف صرف"/>
    <s v="كشف صرف"/>
    <n v="0"/>
    <s v="اللواء السادس"/>
    <n v="7"/>
    <d v="2026-06-17T00:00:00"/>
    <m/>
    <m/>
    <n v="2026"/>
    <x v="0"/>
    <n v="17"/>
    <s v="قيـد مقابـل:- (مصاريف  صرفة يومية للافراد  - سرية اللواء السادس - اللواء السادس)  - كشف صرف رقم   كشف صرف - مصاريف يومية سرية اللواء السادس عدد 38 بامر"/>
    <n v="0"/>
  </r>
  <r>
    <n v="500"/>
    <s v="JV243"/>
    <x v="15"/>
    <s v="قيد عهده"/>
    <n v="31010101"/>
    <x v="2"/>
    <x v="155"/>
    <x v="0"/>
    <n v="405"/>
    <n v="65000"/>
    <n v="0"/>
    <n v="160.49382716049382"/>
    <n v="0"/>
    <s v="السيطرة والاتصالات"/>
    <s v="كشف صرف"/>
    <s v="كشف صرف"/>
    <n v="0"/>
    <s v="الفرقة الثالثة"/>
    <n v="1"/>
    <d v="2026-06-17T00:00:00"/>
    <m/>
    <m/>
    <n v="2026"/>
    <x v="0"/>
    <n v="17"/>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501"/>
    <s v="JV243"/>
    <x v="15"/>
    <s v="قيد عهده"/>
    <n v="11060205"/>
    <x v="16"/>
    <x v="155"/>
    <x v="0"/>
    <n v="405"/>
    <n v="0"/>
    <n v="65000"/>
    <n v="0"/>
    <n v="160.49382716049382"/>
    <s v="السيطرة والاتصالات"/>
    <s v="كشف صرف"/>
    <s v="كشف صرف"/>
    <n v="0"/>
    <s v="الفرقة الثالثة"/>
    <n v="1"/>
    <d v="2026-06-17T00:00:00"/>
    <m/>
    <m/>
    <n v="2026"/>
    <x v="0"/>
    <n v="17"/>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502"/>
    <s v="JV244"/>
    <x v="15"/>
    <s v="قيد عهده"/>
    <n v="31010101"/>
    <x v="2"/>
    <x v="156"/>
    <x v="0"/>
    <n v="405"/>
    <n v="70000"/>
    <n v="0"/>
    <n v="172.83950617283949"/>
    <n v="0"/>
    <s v="الامداد"/>
    <s v="كشف صرف"/>
    <s v="كشف صرف"/>
    <n v="0"/>
    <s v="الفرقة الثالثة"/>
    <n v="1"/>
    <d v="2026-06-17T00:00:00"/>
    <m/>
    <m/>
    <n v="2026"/>
    <x v="0"/>
    <n v="17"/>
    <s v="قيـد مقابـل:- (مصاريف  صرفة يومية للافراد  - الامداد - الفرقة الثالثة)  - كشف صرف رقم   كشف صرف - صرف الصرفة اليومية  لافراد الامداد لعدد 6 فرد بامر"/>
    <n v="0"/>
  </r>
  <r>
    <n v="503"/>
    <s v="JV244"/>
    <x v="15"/>
    <s v="قيد عهده"/>
    <n v="11060205"/>
    <x v="16"/>
    <x v="156"/>
    <x v="0"/>
    <n v="405"/>
    <n v="0"/>
    <n v="70000"/>
    <n v="0"/>
    <n v="172.83950617283949"/>
    <s v="الامداد"/>
    <s v="كشف صرف"/>
    <s v="كشف صرف"/>
    <n v="0"/>
    <s v="الفرقة الثالثة"/>
    <n v="1"/>
    <d v="2026-06-17T00:00:00"/>
    <m/>
    <m/>
    <n v="2026"/>
    <x v="0"/>
    <n v="17"/>
    <s v="قيـد مقابـل:- (مصاريف  صرفة يومية للافراد  - الامداد - الفرقة الثالثة)  - كشف صرف رقم   كشف صرف - صرف الصرفة اليومية  لافراد الامداد لعدد 6 فرد بامر"/>
    <n v="0"/>
  </r>
  <r>
    <n v="504"/>
    <s v="JV245"/>
    <x v="15"/>
    <s v="قيد عهده"/>
    <n v="31010101"/>
    <x v="2"/>
    <x v="168"/>
    <x v="0"/>
    <n v="405"/>
    <n v="23000"/>
    <n v="0"/>
    <n v="56.790123456790127"/>
    <n v="0"/>
    <s v="طبية"/>
    <s v="كشف صرف"/>
    <s v="كشف صرف"/>
    <n v="0"/>
    <s v="الفرقة الثالثة"/>
    <n v="1"/>
    <d v="2026-06-17T00:00:00"/>
    <m/>
    <m/>
    <n v="2026"/>
    <x v="0"/>
    <n v="17"/>
    <s v="قيـد مقابـل:- (مصاريف  صرفة يومية للافراد  - طبية - الفرقة الثالثة)  - كشف صرف رقم   كشف صرف - صرف الصرفة اليومية لافراد الطبية عدد 3 افراد بامر"/>
    <n v="0"/>
  </r>
  <r>
    <n v="505"/>
    <s v="JV245"/>
    <x v="15"/>
    <s v="قيد عهده"/>
    <n v="11060205"/>
    <x v="16"/>
    <x v="168"/>
    <x v="0"/>
    <n v="405"/>
    <n v="0"/>
    <n v="23000"/>
    <n v="0"/>
    <n v="56.790123456790127"/>
    <s v="طبية"/>
    <s v="كشف صرف"/>
    <s v="كشف صرف"/>
    <n v="0"/>
    <s v="الفرقة الثالثة"/>
    <n v="1"/>
    <d v="2026-06-17T00:00:00"/>
    <m/>
    <m/>
    <n v="2026"/>
    <x v="0"/>
    <n v="17"/>
    <s v="قيـد مقابـل:- (مصاريف  صرفة يومية للافراد  - طبية - الفرقة الثالثة)  - كشف صرف رقم   كشف صرف - صرف الصرفة اليومية لافراد الطبية عدد 3 افراد بامر"/>
    <n v="0"/>
  </r>
  <r>
    <n v="506"/>
    <s v="JV246"/>
    <x v="15"/>
    <s v="قيد عهده"/>
    <n v="31010101"/>
    <x v="2"/>
    <x v="169"/>
    <x v="0"/>
    <n v="405"/>
    <n v="31000"/>
    <n v="0"/>
    <n v="76.543209876543216"/>
    <n v="0"/>
    <s v="قسم المشتريات"/>
    <s v="كشف صرف"/>
    <s v="كشف صرف"/>
    <n v="0"/>
    <s v="الفرقة الثالثة"/>
    <n v="1"/>
    <d v="2026-06-17T00:00:00"/>
    <m/>
    <m/>
    <n v="2026"/>
    <x v="0"/>
    <n v="17"/>
    <s v="قيـد مقابـل:- (مصاريف  صرفة يومية للافراد  - قسم المشتريات - الفرقة الثالثة)  - كشف صرف رقم   كشف صرف - صرف الصرفة اليومية لافراد قسم المشتريات عدد3 بامر"/>
    <n v="0"/>
  </r>
  <r>
    <n v="507"/>
    <s v="JV246"/>
    <x v="15"/>
    <s v="قيد عهده"/>
    <n v="11060205"/>
    <x v="16"/>
    <x v="169"/>
    <x v="0"/>
    <n v="405"/>
    <n v="0"/>
    <n v="31000"/>
    <n v="0"/>
    <n v="76.543209876543216"/>
    <s v="قسم المشتريات"/>
    <s v="كشف صرف"/>
    <s v="كشف صرف"/>
    <n v="0"/>
    <s v="الفرقة الثالثة"/>
    <n v="1"/>
    <d v="2026-06-17T00:00:00"/>
    <m/>
    <m/>
    <n v="2026"/>
    <x v="0"/>
    <n v="17"/>
    <s v="قيـد مقابـل:- (مصاريف  صرفة يومية للافراد  - قسم المشتريات - الفرقة الثالثة)  - كشف صرف رقم   كشف صرف - صرف الصرفة اليومية لافراد قسم المشتريات عدد3 بامر"/>
    <n v="0"/>
  </r>
  <r>
    <n v="508"/>
    <s v="JV247"/>
    <x v="15"/>
    <s v="قيد عهده"/>
    <n v="31010101"/>
    <x v="2"/>
    <x v="170"/>
    <x v="0"/>
    <n v="405"/>
    <n v="25000"/>
    <n v="0"/>
    <n v="61.728395061728392"/>
    <n v="0"/>
    <s v="المحاسبين "/>
    <s v="كشف صرف"/>
    <s v="كشف صرف"/>
    <n v="0"/>
    <s v="الفرقة الثالثة"/>
    <n v="1"/>
    <d v="2026-06-17T00:00:00"/>
    <m/>
    <m/>
    <n v="2026"/>
    <x v="0"/>
    <n v="17"/>
    <s v="قيـد مقابـل:- (مصاريف  صرفة يومية للافراد  - المحاسبين  - الفرقة الثالثة)  - كشف صرف رقم   كشف صرف - صرف الصرفة اليومية للمحاسبين عدد2 بامر"/>
    <n v="0"/>
  </r>
  <r>
    <n v="509"/>
    <s v="JV247"/>
    <x v="15"/>
    <s v="قيد عهده"/>
    <n v="11060205"/>
    <x v="16"/>
    <x v="170"/>
    <x v="0"/>
    <n v="405"/>
    <n v="0"/>
    <n v="25000"/>
    <n v="0"/>
    <n v="61.728395061728392"/>
    <s v="المحاسبين "/>
    <s v="كشف صرف"/>
    <s v="كشف صرف"/>
    <n v="0"/>
    <s v="الفرقة الثالثة"/>
    <n v="1"/>
    <d v="2026-06-17T00:00:00"/>
    <m/>
    <m/>
    <n v="2026"/>
    <x v="0"/>
    <n v="17"/>
    <s v="قيـد مقابـل:- (مصاريف  صرفة يومية للافراد  - المحاسبين  - الفرقة الثالثة)  - كشف صرف رقم   كشف صرف - صرف الصرفة اليومية للمحاسبين عدد2 بامر"/>
    <n v="0"/>
  </r>
  <r>
    <n v="510"/>
    <s v="JV248"/>
    <x v="15"/>
    <s v="قيد عهده"/>
    <n v="31010101"/>
    <x v="2"/>
    <x v="171"/>
    <x v="0"/>
    <n v="405"/>
    <n v="15000"/>
    <n v="0"/>
    <n v="37.037037037037038"/>
    <n v="0"/>
    <s v="البشرية  "/>
    <s v="كشف صرف"/>
    <s v="كشف صرف"/>
    <n v="0"/>
    <s v="الفرقة الثالثة"/>
    <n v="1"/>
    <d v="2026-06-17T00:00:00"/>
    <m/>
    <m/>
    <n v="2026"/>
    <x v="0"/>
    <n v="17"/>
    <s v="قيـد مقابـل:- (مصاريف  صرفة يومية للافراد  - البشرية   - الفرقة الثالثة)  - كشف صرف رقم   كشف صرف - صرف الصرفة اليومية لافراد البشرية عدد1 بامر"/>
    <n v="0"/>
  </r>
  <r>
    <n v="511"/>
    <s v="JV248"/>
    <x v="15"/>
    <s v="قيد عهده"/>
    <n v="11060205"/>
    <x v="16"/>
    <x v="171"/>
    <x v="0"/>
    <n v="405"/>
    <n v="0"/>
    <n v="15000"/>
    <n v="0"/>
    <n v="37.037037037037038"/>
    <s v="البشرية  "/>
    <s v="كشف صرف"/>
    <s v="كشف صرف"/>
    <n v="0"/>
    <s v="الفرقة الثالثة"/>
    <n v="1"/>
    <d v="2026-06-17T00:00:00"/>
    <m/>
    <m/>
    <n v="2026"/>
    <x v="0"/>
    <n v="17"/>
    <s v="قيـد مقابـل:- (مصاريف  صرفة يومية للافراد  - البشرية   - الفرقة الثالثة)  - كشف صرف رقم   كشف صرف - صرف الصرفة اليومية لافراد البشرية عدد1 بامر"/>
    <n v="0"/>
  </r>
  <r>
    <n v="512"/>
    <s v="JV249"/>
    <x v="15"/>
    <s v="قيد عهده"/>
    <n v="31010101"/>
    <x v="2"/>
    <x v="172"/>
    <x v="0"/>
    <n v="405"/>
    <n v="110000"/>
    <n v="0"/>
    <n v="271.60493827160496"/>
    <n v="0"/>
    <s v="الاستخبارات"/>
    <s v="كشف صرف"/>
    <s v="كشف صرف"/>
    <n v="0"/>
    <s v="الفرقة الثالثة"/>
    <n v="1"/>
    <d v="2026-06-17T00:00:00"/>
    <m/>
    <m/>
    <n v="2026"/>
    <x v="0"/>
    <n v="17"/>
    <s v="قيـد مقابـل:- (مصاريف  صرفة يومية للافراد  - الاستخبارات - الفرقة الثالثة)  - كشف صرف رقم   كشف صرف - صرف الصرفة اليومية لافراد الاستخبارات عدد 7 افراد بامر"/>
    <n v="0"/>
  </r>
  <r>
    <n v="513"/>
    <s v="JV249"/>
    <x v="15"/>
    <s v="قيد عهده"/>
    <n v="11060205"/>
    <x v="16"/>
    <x v="172"/>
    <x v="0"/>
    <n v="405"/>
    <n v="0"/>
    <n v="110000"/>
    <n v="0"/>
    <n v="271.60493827160496"/>
    <s v="الاستخبارات"/>
    <s v="كشف صرف"/>
    <s v="كشف صرف"/>
    <n v="0"/>
    <s v="الفرقة الثالثة"/>
    <n v="1"/>
    <d v="2026-06-17T00:00:00"/>
    <m/>
    <m/>
    <n v="2026"/>
    <x v="0"/>
    <n v="17"/>
    <s v="قيـد مقابـل:- (مصاريف  صرفة يومية للافراد  - الاستخبارات - الفرقة الثالثة)  - كشف صرف رقم   كشف صرف - صرف الصرفة اليومية لافراد الاستخبارات عدد 7 افراد بامر"/>
    <n v="0"/>
  </r>
  <r>
    <n v="514"/>
    <s v="JV250"/>
    <x v="15"/>
    <s v="قيد عهده"/>
    <n v="31010101"/>
    <x v="2"/>
    <x v="173"/>
    <x v="0"/>
    <n v="405"/>
    <n v="45000"/>
    <n v="0"/>
    <n v="111.11111111111111"/>
    <n v="0"/>
    <s v="المدفعية"/>
    <s v="كشف صرف"/>
    <s v="كشف صرف"/>
    <n v="0"/>
    <s v="الفرقة الثالثة"/>
    <n v="1"/>
    <d v="2026-06-17T00:00:00"/>
    <m/>
    <m/>
    <n v="2026"/>
    <x v="0"/>
    <n v="17"/>
    <s v="قيـد مقابـل:- (مصاريف  صرفة يومية للافراد  - المدفعية - الفرقة الثالثة)  - كشف صرف رقم   كشف صرف - صرف الصرفة اليومية لافراد المدفعية عدد 5 افراد بامر"/>
    <n v="0"/>
  </r>
  <r>
    <n v="515"/>
    <s v="JV250"/>
    <x v="15"/>
    <s v="قيد عهده"/>
    <n v="11060205"/>
    <x v="16"/>
    <x v="173"/>
    <x v="0"/>
    <n v="405"/>
    <n v="0"/>
    <n v="45000"/>
    <n v="0"/>
    <n v="111.11111111111111"/>
    <s v="المدفعية"/>
    <s v="كشف صرف"/>
    <s v="كشف صرف"/>
    <n v="0"/>
    <s v="الفرقة الثالثة"/>
    <n v="1"/>
    <d v="2026-06-17T00:00:00"/>
    <m/>
    <m/>
    <n v="2026"/>
    <x v="0"/>
    <n v="17"/>
    <s v="قيـد مقابـل:- (مصاريف  صرفة يومية للافراد  - المدفعية - الفرقة الثالثة)  - كشف صرف رقم   كشف صرف - صرف الصرفة اليومية لافراد المدفعية عدد 5 افراد بامر"/>
    <n v="0"/>
  </r>
  <r>
    <n v="516"/>
    <s v="JV251"/>
    <x v="15"/>
    <s v="قيد عهده"/>
    <n v="31010101"/>
    <x v="2"/>
    <x v="174"/>
    <x v="0"/>
    <n v="405"/>
    <n v="112000"/>
    <n v="0"/>
    <n v="276.54320987654319"/>
    <n v="0"/>
    <s v="المستشارين والمساعدين"/>
    <s v="كشف صرف"/>
    <s v="كشف صرف"/>
    <n v="0"/>
    <s v="الفرقة الثالثة"/>
    <n v="1"/>
    <d v="2026-06-17T00:00:00"/>
    <m/>
    <m/>
    <n v="2026"/>
    <x v="0"/>
    <n v="17"/>
    <s v="قيـد مقابـل:- (مصاريف  صرفة يومية للافراد  - المستشارين والمساعدين - الفرقة الثالثة)  - كشف صرف رقم   كشف صرف - صرف الصرفة اليومية للمستشارين والمساعدين عدد 11 بامر"/>
    <n v="0"/>
  </r>
  <r>
    <n v="517"/>
    <s v="JV251"/>
    <x v="15"/>
    <s v="قيد عهده"/>
    <n v="11060205"/>
    <x v="16"/>
    <x v="174"/>
    <x v="0"/>
    <n v="405"/>
    <n v="0"/>
    <n v="112000"/>
    <n v="0"/>
    <n v="276.54320987654319"/>
    <s v="المستشارين والمساعدين"/>
    <s v="كشف صرف"/>
    <s v="كشف صرف"/>
    <n v="0"/>
    <s v="الفرقة الثالثة"/>
    <n v="1"/>
    <d v="2026-06-17T00:00:00"/>
    <m/>
    <m/>
    <n v="2026"/>
    <x v="0"/>
    <n v="17"/>
    <s v="قيـد مقابـل:- (مصاريف  صرفة يومية للافراد  - المستشارين والمساعدين - الفرقة الثالثة)  - كشف صرف رقم   كشف صرف - صرف الصرفة اليومية للمستشارين والمساعدين عدد 11 بامر"/>
    <n v="0"/>
  </r>
  <r>
    <n v="518"/>
    <s v="JV252"/>
    <x v="15"/>
    <s v="قيد عهده"/>
    <n v="31010101"/>
    <x v="2"/>
    <x v="175"/>
    <x v="0"/>
    <n v="405"/>
    <n v="80000"/>
    <n v="0"/>
    <n v="197.53086419753086"/>
    <n v="0"/>
    <s v="اخرون"/>
    <s v="كشف صرف"/>
    <s v="كشف صرف"/>
    <n v="0"/>
    <s v="الفرقة الثالثة"/>
    <n v="1"/>
    <d v="2026-06-17T00:00:00"/>
    <m/>
    <m/>
    <n v="2026"/>
    <x v="0"/>
    <n v="17"/>
    <s v="قيـد مقابـل:- (مصاريف  صرفة يومية للافراد  - اخرون - الفرقة الثالثة)  - كشف صرف رقم   كشف صرف - الصرفة اليومية اخرون عدد 9 بامر"/>
    <n v="0"/>
  </r>
  <r>
    <n v="519"/>
    <s v="JV252"/>
    <x v="15"/>
    <s v="قيد عهده"/>
    <n v="11060205"/>
    <x v="16"/>
    <x v="175"/>
    <x v="0"/>
    <n v="405"/>
    <n v="0"/>
    <n v="80000"/>
    <n v="0"/>
    <n v="197.53086419753086"/>
    <s v="اخرون"/>
    <s v="كشف صرف"/>
    <s v="كشف صرف"/>
    <n v="0"/>
    <s v="الفرقة الثالثة"/>
    <n v="1"/>
    <d v="2026-06-17T00:00:00"/>
    <m/>
    <m/>
    <n v="2026"/>
    <x v="0"/>
    <n v="17"/>
    <s v="قيـد مقابـل:- (مصاريف  صرفة يومية للافراد  - اخرون - الفرقة الثالثة)  - كشف صرف رقم   كشف صرف - الصرفة اليومية اخرون عدد 9 بامر"/>
    <n v="0"/>
  </r>
  <r>
    <n v="520"/>
    <s v="JV253"/>
    <x v="15"/>
    <s v="قيد عهده"/>
    <n v="31010101"/>
    <x v="2"/>
    <x v="176"/>
    <x v="0"/>
    <n v="405"/>
    <n v="18000"/>
    <n v="0"/>
    <n v="44.444444444444443"/>
    <n v="0"/>
    <s v="طقم اللواء السابع"/>
    <s v="كشف صرف"/>
    <s v="كشف صرف"/>
    <n v="0"/>
    <s v="اللواء السابع"/>
    <n v="8"/>
    <d v="2026-06-17T00:00:00"/>
    <m/>
    <m/>
    <n v="2026"/>
    <x v="0"/>
    <n v="17"/>
    <s v="قيـد مقابـل:- (مصاريف  صرفة يومية للافراد  - طقم اللواء السابع - اللواء السابع)  - كشف صرف رقم   كشف صرف - صرف الصرفة اليومية لافراد طقم اللواء السابع عدد3 افراد بامر"/>
    <n v="0"/>
  </r>
  <r>
    <n v="521"/>
    <s v="JV253"/>
    <x v="15"/>
    <s v="قيد عهده"/>
    <n v="11060205"/>
    <x v="16"/>
    <x v="176"/>
    <x v="0"/>
    <n v="405"/>
    <n v="0"/>
    <n v="18000"/>
    <n v="0"/>
    <n v="44.444444444444443"/>
    <s v="طقم اللواء السابع"/>
    <s v="كشف صرف"/>
    <s v="كشف صرف"/>
    <n v="0"/>
    <s v="اللواء السابع"/>
    <n v="8"/>
    <d v="2026-06-17T00:00:00"/>
    <m/>
    <m/>
    <n v="2026"/>
    <x v="0"/>
    <n v="17"/>
    <s v="قيـد مقابـل:- (مصاريف  صرفة يومية للافراد  - طقم اللواء السابع - اللواء السابع)  - كشف صرف رقم   كشف صرف - صرف الصرفة اليومية لافراد طقم اللواء السابع عدد3 افراد بامر"/>
    <n v="0"/>
  </r>
  <r>
    <n v="522"/>
    <s v="JV254"/>
    <x v="15"/>
    <s v="قيد عهده"/>
    <n v="31010101"/>
    <x v="2"/>
    <x v="177"/>
    <x v="0"/>
    <n v="405"/>
    <n v="100000"/>
    <n v="0"/>
    <n v="246.91358024691357"/>
    <n v="0"/>
    <s v="الضباط السابقين"/>
    <s v="كشف صرف"/>
    <s v="كشف صرف"/>
    <n v="0"/>
    <s v="الفرقة الثالثة"/>
    <n v="1"/>
    <d v="2026-06-17T00:00:00"/>
    <m/>
    <m/>
    <n v="2026"/>
    <x v="0"/>
    <n v="17"/>
    <s v="قيـد مقابـل:- (مصاريف  صرفة يومية للافراد  - الضباط السابقين - الفرقة الثالثة)  - كشف صرف رقم   كشف صرف - صرف الصرفة اليومية للضباط السابقين عدد10 ضباط بامر"/>
    <n v="0"/>
  </r>
  <r>
    <n v="523"/>
    <s v="JV254"/>
    <x v="15"/>
    <s v="قيد عهده"/>
    <n v="11060205"/>
    <x v="16"/>
    <x v="177"/>
    <x v="0"/>
    <n v="405"/>
    <n v="0"/>
    <n v="100000"/>
    <n v="0"/>
    <n v="246.91358024691357"/>
    <s v="الضباط السابقين"/>
    <s v="كشف صرف"/>
    <s v="كشف صرف"/>
    <n v="0"/>
    <s v="الفرقة الثالثة"/>
    <n v="1"/>
    <d v="2026-06-17T00:00:00"/>
    <m/>
    <m/>
    <n v="2026"/>
    <x v="0"/>
    <n v="17"/>
    <s v="قيـد مقابـل:- (مصاريف  صرفة يومية للافراد  - الضباط السابقين - الفرقة الثالثة)  - كشف صرف رقم   كشف صرف - صرف الصرفة اليومية للضباط السابقين عدد10 ضباط بامر"/>
    <n v="0"/>
  </r>
  <r>
    <n v="524"/>
    <s v="JV255"/>
    <x v="15"/>
    <s v="قيد عهده"/>
    <n v="31010101"/>
    <x v="2"/>
    <x v="178"/>
    <x v="0"/>
    <n v="405"/>
    <n v="0"/>
    <n v="0"/>
    <n v="0"/>
    <n v="0"/>
    <s v="حاتم حمد يسلم عوض"/>
    <s v="استلام نقدي"/>
    <s v="سند استلام"/>
    <s v="100-476"/>
    <s v="الفرقة الثالثة"/>
    <n v="1"/>
    <d v="2026-06-17T00:00:00"/>
    <m/>
    <m/>
    <n v="2026"/>
    <x v="0"/>
    <n v="17"/>
    <s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
    <s v="القائد"/>
  </r>
  <r>
    <n v="525"/>
    <s v="JV255"/>
    <x v="15"/>
    <s v="قيد عهده"/>
    <n v="11060205"/>
    <x v="16"/>
    <x v="178"/>
    <x v="0"/>
    <n v="405"/>
    <n v="0"/>
    <n v="200000"/>
    <n v="0"/>
    <n v="493.82716049382714"/>
    <s v="حاتم حمد يسلم عوض"/>
    <s v="استلام نقدي"/>
    <s v="سند استلام"/>
    <s v="100-476"/>
    <s v="الفرقة الثالثة"/>
    <n v="1"/>
    <d v="2026-06-17T00:00:00"/>
    <m/>
    <m/>
    <n v="2026"/>
    <x v="0"/>
    <n v="17"/>
    <s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
    <s v="القائد"/>
  </r>
  <r>
    <n v="526"/>
    <s v="JV256"/>
    <x v="15"/>
    <s v="قيد عهده"/>
    <n v="31010101"/>
    <x v="2"/>
    <x v="179"/>
    <x v="0"/>
    <n v="405"/>
    <n v="150000"/>
    <n v="0"/>
    <n v="370.37037037037038"/>
    <n v="0"/>
    <s v="محمد توفيق حسن اغا "/>
    <s v="استلام نقدي"/>
    <s v="سند استلام"/>
    <s v="100-460"/>
    <s v="الفرقة الثالثة"/>
    <n v="1"/>
    <d v="2026-06-17T00:00:00"/>
    <m/>
    <m/>
    <n v="2026"/>
    <x v="0"/>
    <n v="17"/>
    <s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
    <s v="القائد"/>
  </r>
  <r>
    <n v="527"/>
    <s v="JV256"/>
    <x v="15"/>
    <s v="قيد عهده"/>
    <n v="11060205"/>
    <x v="16"/>
    <x v="179"/>
    <x v="0"/>
    <n v="405"/>
    <n v="0"/>
    <n v="150000"/>
    <n v="0"/>
    <n v="370.37037037037038"/>
    <s v="محمد توفيق حسن اغا "/>
    <s v="استلام نقدي"/>
    <s v="سند استلام"/>
    <s v="100-460"/>
    <s v="الفرقة الثالثة"/>
    <n v="1"/>
    <d v="2026-06-17T00:00:00"/>
    <m/>
    <m/>
    <n v="2026"/>
    <x v="0"/>
    <n v="17"/>
    <s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
    <s v="القائد"/>
  </r>
  <r>
    <n v="528"/>
    <s v="JV257"/>
    <x v="15"/>
    <s v="قيد عهده"/>
    <n v="31010101"/>
    <x v="2"/>
    <x v="180"/>
    <x v="0"/>
    <n v="405"/>
    <n v="300000"/>
    <n v="0"/>
    <n v="740.74074074074076"/>
    <n v="0"/>
    <s v="عمرو محمد إسماعيل صالح + موسى احمد علي عثمان "/>
    <s v="استلام نقدي"/>
    <s v="سند استلام"/>
    <s v="100-482"/>
    <s v="الفرقة الثالثة"/>
    <n v="1"/>
    <d v="2026-06-17T00:00:00"/>
    <m/>
    <m/>
    <n v="2026"/>
    <x v="0"/>
    <n v="17"/>
    <s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
    <s v="الركن المالي"/>
  </r>
  <r>
    <n v="529"/>
    <s v="JV257"/>
    <x v="15"/>
    <s v="قيد عهده"/>
    <n v="11060205"/>
    <x v="16"/>
    <x v="180"/>
    <x v="0"/>
    <n v="405"/>
    <n v="0"/>
    <n v="300000"/>
    <n v="0"/>
    <n v="740.74074074074076"/>
    <s v="عمرو محمد إسماعيل صالح + موسى احمد علي عثمان "/>
    <s v="استلام نقدي"/>
    <s v="سند استلام"/>
    <s v="100-482"/>
    <s v="الفرقة الثالثة"/>
    <n v="1"/>
    <d v="2026-06-17T00:00:00"/>
    <m/>
    <m/>
    <n v="2026"/>
    <x v="0"/>
    <n v="17"/>
    <s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
    <s v="الركن المالي"/>
  </r>
  <r>
    <n v="530"/>
    <s v="JV258"/>
    <x v="15"/>
    <s v="قيد عهده"/>
    <n v="31010101"/>
    <x v="2"/>
    <x v="181"/>
    <x v="0"/>
    <n v="405"/>
    <n v="0"/>
    <n v="0"/>
    <n v="0"/>
    <n v="0"/>
    <s v="محمد فؤاد عبد القادر سعيد"/>
    <s v="استلام نقدي"/>
    <s v="سند استلام"/>
    <s v="100-485"/>
    <s v="الفرقة الثالثة"/>
    <n v="1"/>
    <d v="2026-06-17T00:00:00"/>
    <m/>
    <m/>
    <n v="2026"/>
    <x v="0"/>
    <n v="17"/>
    <s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
    <s v="القائد"/>
  </r>
  <r>
    <n v="531"/>
    <s v="JV258"/>
    <x v="15"/>
    <s v="قيد عهده"/>
    <n v="11060205"/>
    <x v="16"/>
    <x v="181"/>
    <x v="0"/>
    <n v="405"/>
    <n v="0"/>
    <n v="4500000"/>
    <n v="0"/>
    <n v="11111.111111111111"/>
    <s v="محمد فؤاد عبد القادر سعيد"/>
    <s v="استلام نقدي"/>
    <s v="سند استلام"/>
    <s v="100-485"/>
    <s v="الفرقة الثالثة"/>
    <n v="1"/>
    <d v="2026-06-17T00:00:00"/>
    <m/>
    <m/>
    <n v="2026"/>
    <x v="0"/>
    <n v="17"/>
    <s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
    <s v="القائد"/>
  </r>
  <r>
    <n v="532"/>
    <s v="JV259"/>
    <x v="15"/>
    <s v="قيد عهده"/>
    <n v="11010101"/>
    <x v="3"/>
    <x v="182"/>
    <x v="0"/>
    <n v="405"/>
    <n v="0"/>
    <n v="0"/>
    <n v="0"/>
    <n v="0"/>
    <s v="فضل عبد السلام سعيد الرامسي"/>
    <s v="استلام نقدي"/>
    <s v="سند استلام"/>
    <s v="100-479"/>
    <s v="الفرقة الثالثة"/>
    <n v="1"/>
    <d v="2026-06-17T00:00:00"/>
    <m/>
    <m/>
    <n v="2026"/>
    <x v="0"/>
    <n v="17"/>
    <s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
    <s v="المستشار المالي"/>
  </r>
  <r>
    <n v="533"/>
    <s v="JV259"/>
    <x v="15"/>
    <s v="قيد عهده"/>
    <n v="11060205"/>
    <x v="16"/>
    <x v="182"/>
    <x v="0"/>
    <n v="405"/>
    <n v="0"/>
    <n v="1500000"/>
    <n v="0"/>
    <n v="3703.7037037037039"/>
    <s v="فضل عبد السلام سعيد الرامسي"/>
    <s v="استلام نقدي"/>
    <s v="سند استلام"/>
    <s v="100-479"/>
    <s v="الفرقة الثالثة"/>
    <n v="1"/>
    <d v="2026-06-17T00:00:00"/>
    <m/>
    <m/>
    <n v="2026"/>
    <x v="0"/>
    <n v="17"/>
    <s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
    <s v="المستشار المالي"/>
  </r>
  <r>
    <n v="534"/>
    <s v="JV260"/>
    <x v="15"/>
    <s v="قيد عهده"/>
    <n v="31010101"/>
    <x v="2"/>
    <x v="183"/>
    <x v="0"/>
    <n v="405"/>
    <n v="224000"/>
    <n v="0"/>
    <n v="553.08641975308637"/>
    <n v="0"/>
    <s v="أفراد اللواء السابع مهمة معسكر العفاريت"/>
    <s v="كشف صرف"/>
    <s v="كشف صرف"/>
    <n v="0"/>
    <s v="الفرقة الثالثة"/>
    <n v="1"/>
    <d v="2026-06-17T00:00:00"/>
    <m/>
    <m/>
    <n v="2026"/>
    <x v="0"/>
    <n v="17"/>
    <s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
    <s v="القائد"/>
  </r>
  <r>
    <n v="535"/>
    <s v="JV260"/>
    <x v="15"/>
    <s v="قيد عهده"/>
    <n v="11060205"/>
    <x v="16"/>
    <x v="183"/>
    <x v="0"/>
    <n v="405"/>
    <n v="0"/>
    <n v="224000"/>
    <n v="0"/>
    <n v="553.08641975308637"/>
    <s v="أفراد اللواء السابع مهمة معسكر العفاريت"/>
    <s v="كشف صرف"/>
    <s v="كشف صرف"/>
    <n v="0"/>
    <s v="الفرقة الثالثة"/>
    <n v="1"/>
    <d v="2026-06-17T00:00:00"/>
    <m/>
    <m/>
    <n v="2026"/>
    <x v="0"/>
    <n v="17"/>
    <s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
    <s v="القائد"/>
  </r>
  <r>
    <n v="536"/>
    <s v="JV261"/>
    <x v="15"/>
    <s v="قيد عهده"/>
    <n v="31010101"/>
    <x v="2"/>
    <x v="184"/>
    <x v="0"/>
    <n v="405"/>
    <n v="7000"/>
    <n v="0"/>
    <n v="17.283950617283949"/>
    <n v="0"/>
    <s v="محمد نجيب محمد حزام"/>
    <s v="استلام نقدي"/>
    <s v="سند استلام"/>
    <s v="100-457"/>
    <s v="الفرقة الثالثة"/>
    <n v="1"/>
    <d v="2026-06-17T00:00:00"/>
    <m/>
    <m/>
    <n v="2026"/>
    <x v="0"/>
    <n v="17"/>
    <s v="قيـد مقابـل:- (مصاريف  صرفة يومية للافراد  - محمد نجيب محمد حزام - الفرقة الثالثة)  - استلام نقدي رقم 100-457  سند استلام - صرفة يومية  أبتدء من اليوم  بامرالقائد"/>
    <s v="القائد"/>
  </r>
  <r>
    <n v="537"/>
    <s v="JV261"/>
    <x v="15"/>
    <s v="قيد عهده"/>
    <n v="11060205"/>
    <x v="16"/>
    <x v="184"/>
    <x v="0"/>
    <n v="405"/>
    <n v="0"/>
    <n v="7000"/>
    <n v="0"/>
    <n v="17.283950617283949"/>
    <s v="محمد نجيب محمد حزام"/>
    <s v="استلام نقدي"/>
    <s v="سند استلام"/>
    <s v="100-457"/>
    <s v="الفرقة الثالثة"/>
    <n v="1"/>
    <d v="2026-06-17T00:00:00"/>
    <m/>
    <m/>
    <n v="2026"/>
    <x v="0"/>
    <n v="17"/>
    <s v="قيـد مقابـل:- (مصاريف  صرفة يومية للافراد  - محمد نجيب محمد حزام - الفرقة الثالثة)  - استلام نقدي رقم 100-457  سند استلام - صرفة يومية  أبتدء من اليوم  بامرالقائد"/>
    <s v="القائد"/>
  </r>
  <r>
    <n v="538"/>
    <s v="JV262"/>
    <x v="15"/>
    <s v="قيد عهده"/>
    <n v="31010101"/>
    <x v="2"/>
    <x v="185"/>
    <x v="0"/>
    <n v="405"/>
    <n v="20000"/>
    <n v="0"/>
    <n v="49.382716049382715"/>
    <n v="0"/>
    <s v="ياسين سعيد سعيد البريهي"/>
    <s v="استلام نقدي"/>
    <s v="سند استلام"/>
    <s v="100-472"/>
    <s v="الفرقة الثالثة"/>
    <n v="1"/>
    <d v="2026-06-17T00:00:00"/>
    <m/>
    <m/>
    <n v="2026"/>
    <x v="0"/>
    <n v="17"/>
    <s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
    <n v="0"/>
  </r>
  <r>
    <n v="539"/>
    <s v="JV262"/>
    <x v="15"/>
    <s v="قيد عهده"/>
    <n v="11060205"/>
    <x v="16"/>
    <x v="185"/>
    <x v="0"/>
    <n v="405"/>
    <n v="0"/>
    <n v="20000"/>
    <n v="0"/>
    <n v="49.382716049382715"/>
    <s v="ياسين سعيد سعيد البريهي"/>
    <s v="استلام نقدي"/>
    <s v="سند استلام"/>
    <s v="100-472"/>
    <s v="الفرقة الثالثة"/>
    <n v="1"/>
    <d v="2026-06-17T00:00:00"/>
    <m/>
    <m/>
    <n v="2026"/>
    <x v="0"/>
    <n v="17"/>
    <s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
    <n v="0"/>
  </r>
  <r>
    <n v="540"/>
    <s v="JV263"/>
    <x v="15"/>
    <s v="قيد عهده"/>
    <n v="31010101"/>
    <x v="2"/>
    <x v="186"/>
    <x v="0"/>
    <n v="405"/>
    <n v="32000"/>
    <n v="0"/>
    <n v="79.012345679012341"/>
    <n v="0"/>
    <s v="منذر عادل علي عثمان "/>
    <s v="استلام نقدي"/>
    <s v="سند استلام"/>
    <s v="100-469"/>
    <s v="الفرقة الثالثة"/>
    <n v="1"/>
    <d v="2026-06-17T00:00:00"/>
    <m/>
    <m/>
    <n v="2026"/>
    <x v="0"/>
    <n v="17"/>
    <s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
    <n v="0"/>
  </r>
  <r>
    <n v="541"/>
    <s v="JV263"/>
    <x v="15"/>
    <s v="قيد عهده"/>
    <n v="11060205"/>
    <x v="16"/>
    <x v="186"/>
    <x v="0"/>
    <n v="405"/>
    <n v="0"/>
    <n v="32000"/>
    <n v="0"/>
    <n v="79.012345679012341"/>
    <s v="منذر عادل علي عثمان "/>
    <s v="استلام نقدي"/>
    <s v="سند استلام"/>
    <s v="100-469"/>
    <s v="الفرقة الثالثة"/>
    <n v="1"/>
    <d v="2026-06-17T00:00:00"/>
    <m/>
    <m/>
    <n v="2026"/>
    <x v="0"/>
    <n v="17"/>
    <s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
    <n v="0"/>
  </r>
  <r>
    <n v="542"/>
    <s v="JV264"/>
    <x v="15"/>
    <s v="قيد عهده"/>
    <n v="31010103"/>
    <x v="10"/>
    <x v="187"/>
    <x v="0"/>
    <n v="405"/>
    <n v="25000"/>
    <n v="0"/>
    <n v="61.728395061728392"/>
    <n v="0"/>
    <s v="سامح نجيب سيف سعيد"/>
    <s v="استلام نقدي"/>
    <s v="سند استلام"/>
    <s v="100-466"/>
    <s v="الفرقة الثالثة"/>
    <n v="1"/>
    <d v="2026-06-17T00:00:00"/>
    <m/>
    <m/>
    <n v="2026"/>
    <x v="0"/>
    <n v="17"/>
    <s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
    <s v="القائد"/>
  </r>
  <r>
    <n v="543"/>
    <s v="JV264"/>
    <x v="15"/>
    <s v="قيد عهده"/>
    <n v="11060205"/>
    <x v="16"/>
    <x v="187"/>
    <x v="0"/>
    <n v="405"/>
    <n v="0"/>
    <n v="25000"/>
    <n v="0"/>
    <n v="61.728395061728392"/>
    <s v="سامح نجيب سيف سعيد"/>
    <s v="استلام نقدي"/>
    <s v="سند استلام"/>
    <s v="100-466"/>
    <s v="الفرقة الثالثة"/>
    <n v="1"/>
    <d v="2026-06-17T00:00:00"/>
    <m/>
    <m/>
    <n v="2026"/>
    <x v="0"/>
    <n v="17"/>
    <s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
    <s v="القائد"/>
  </r>
  <r>
    <n v="544"/>
    <s v="JV265"/>
    <x v="15"/>
    <s v="قيد عهده"/>
    <n v="31010109"/>
    <x v="12"/>
    <x v="188"/>
    <x v="0"/>
    <n v="405"/>
    <n v="300000"/>
    <n v="0"/>
    <n v="740.74074074074076"/>
    <n v="0"/>
    <s v="لجنة القطيبي "/>
    <s v="استلام نقدي"/>
    <s v="سند استلام"/>
    <s v="100-463"/>
    <s v="الفرقة الثالثة"/>
    <n v="1"/>
    <d v="2026-06-17T00:00:00"/>
    <m/>
    <m/>
    <n v="2026"/>
    <x v="0"/>
    <n v="17"/>
    <s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
    <s v="المستشار المالي"/>
  </r>
  <r>
    <n v="545"/>
    <s v="JV265"/>
    <x v="15"/>
    <s v="قيد عهده"/>
    <n v="11060205"/>
    <x v="16"/>
    <x v="188"/>
    <x v="0"/>
    <n v="405"/>
    <n v="0"/>
    <n v="300000"/>
    <n v="0"/>
    <n v="740.74074074074076"/>
    <s v="لجنة القطيبي "/>
    <s v="استلام نقدي"/>
    <s v="سند استلام"/>
    <s v="100-463"/>
    <s v="الفرقة الثالثة"/>
    <n v="1"/>
    <d v="2026-06-17T00:00:00"/>
    <m/>
    <m/>
    <n v="2026"/>
    <x v="0"/>
    <n v="17"/>
    <s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
    <s v="المستشار المالي"/>
  </r>
  <r>
    <n v="546"/>
    <s v="JV266"/>
    <x v="16"/>
    <s v="قيد عهده"/>
    <n v="31010101"/>
    <x v="2"/>
    <x v="155"/>
    <x v="0"/>
    <n v="405"/>
    <n v="65000"/>
    <n v="0"/>
    <n v="160.49382716049382"/>
    <n v="0"/>
    <s v="السيطرة والاتصالات"/>
    <s v="كشف صرف"/>
    <s v="كشف صرف"/>
    <n v="0"/>
    <s v="الفرقة الثالثة"/>
    <n v="1"/>
    <d v="2026-06-18T00:00:00"/>
    <m/>
    <m/>
    <n v="2026"/>
    <x v="0"/>
    <n v="18"/>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547"/>
    <s v="JV266"/>
    <x v="16"/>
    <s v="قيد عهده"/>
    <n v="11060205"/>
    <x v="16"/>
    <x v="155"/>
    <x v="0"/>
    <n v="405"/>
    <n v="0"/>
    <n v="65000"/>
    <n v="0"/>
    <n v="160.49382716049382"/>
    <s v="السيطرة والاتصالات"/>
    <s v="كشف صرف"/>
    <s v="كشف صرف"/>
    <n v="0"/>
    <s v="الفرقة الثالثة"/>
    <n v="1"/>
    <d v="2026-06-18T00:00:00"/>
    <m/>
    <m/>
    <n v="2026"/>
    <x v="0"/>
    <n v="18"/>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548"/>
    <s v="JV267"/>
    <x v="16"/>
    <s v="قيد عهده"/>
    <n v="31010101"/>
    <x v="2"/>
    <x v="156"/>
    <x v="0"/>
    <n v="405"/>
    <n v="70000"/>
    <n v="0"/>
    <n v="172.83950617283949"/>
    <n v="0"/>
    <s v="الامداد"/>
    <s v="كشف صرف"/>
    <s v="كشف صرف"/>
    <n v="0"/>
    <s v="الفرقة الثالثة"/>
    <n v="1"/>
    <d v="2026-06-18T00:00:00"/>
    <m/>
    <m/>
    <n v="2026"/>
    <x v="0"/>
    <n v="18"/>
    <s v="قيـد مقابـل:- (مصاريف  صرفة يومية للافراد  - الامداد - الفرقة الثالثة)  - كشف صرف رقم   كشف صرف - صرف الصرفة اليومية  لافراد الامداد لعدد 6 فرد بامر"/>
    <n v="0"/>
  </r>
  <r>
    <n v="549"/>
    <s v="JV267"/>
    <x v="16"/>
    <s v="قيد عهده"/>
    <n v="11060205"/>
    <x v="16"/>
    <x v="156"/>
    <x v="0"/>
    <n v="405"/>
    <n v="0"/>
    <n v="70000"/>
    <n v="0"/>
    <n v="172.83950617283949"/>
    <s v="الامداد"/>
    <s v="كشف صرف"/>
    <s v="كشف صرف"/>
    <n v="0"/>
    <s v="الفرقة الثالثة"/>
    <n v="1"/>
    <d v="2026-06-18T00:00:00"/>
    <m/>
    <m/>
    <n v="2026"/>
    <x v="0"/>
    <n v="18"/>
    <s v="قيـد مقابـل:- (مصاريف  صرفة يومية للافراد  - الامداد - الفرقة الثالثة)  - كشف صرف رقم   كشف صرف - صرف الصرفة اليومية  لافراد الامداد لعدد 6 فرد بامر"/>
    <n v="0"/>
  </r>
  <r>
    <n v="550"/>
    <s v="JV268"/>
    <x v="16"/>
    <s v="قيد عهده"/>
    <n v="31010101"/>
    <x v="2"/>
    <x v="169"/>
    <x v="0"/>
    <n v="405"/>
    <n v="31000"/>
    <n v="0"/>
    <n v="76.543209876543216"/>
    <n v="0"/>
    <s v="قسم المشتريات"/>
    <s v="كشف صرف"/>
    <s v="كشف صرف"/>
    <n v="0"/>
    <s v="الفرقة الثالثة"/>
    <n v="1"/>
    <d v="2026-06-18T00:00:00"/>
    <m/>
    <m/>
    <n v="2026"/>
    <x v="0"/>
    <n v="18"/>
    <s v="قيـد مقابـل:- (مصاريف  صرفة يومية للافراد  - قسم المشتريات - الفرقة الثالثة)  - كشف صرف رقم   كشف صرف - صرف الصرفة اليومية لافراد قسم المشتريات عدد3 بامر"/>
    <n v="0"/>
  </r>
  <r>
    <n v="551"/>
    <s v="JV268"/>
    <x v="16"/>
    <s v="قيد عهده"/>
    <n v="11060205"/>
    <x v="16"/>
    <x v="169"/>
    <x v="0"/>
    <n v="405"/>
    <n v="0"/>
    <n v="31000"/>
    <n v="0"/>
    <n v="76.543209876543216"/>
    <s v="قسم المشتريات"/>
    <s v="كشف صرف"/>
    <s v="كشف صرف"/>
    <n v="0"/>
    <s v="الفرقة الثالثة"/>
    <n v="1"/>
    <d v="2026-06-18T00:00:00"/>
    <m/>
    <m/>
    <n v="2026"/>
    <x v="0"/>
    <n v="18"/>
    <s v="قيـد مقابـل:- (مصاريف  صرفة يومية للافراد  - قسم المشتريات - الفرقة الثالثة)  - كشف صرف رقم   كشف صرف - صرف الصرفة اليومية لافراد قسم المشتريات عدد3 بامر"/>
    <n v="0"/>
  </r>
  <r>
    <n v="552"/>
    <s v="JV269"/>
    <x v="16"/>
    <s v="قيد عهده"/>
    <n v="31010101"/>
    <x v="2"/>
    <x v="168"/>
    <x v="0"/>
    <n v="405"/>
    <n v="23000"/>
    <n v="0"/>
    <n v="56.790123456790127"/>
    <n v="0"/>
    <s v="طبية"/>
    <s v="كشف صرف"/>
    <s v="كشف صرف"/>
    <n v="0"/>
    <s v="الفرقة الثالثة"/>
    <n v="1"/>
    <d v="2026-06-18T00:00:00"/>
    <m/>
    <m/>
    <n v="2026"/>
    <x v="0"/>
    <n v="18"/>
    <s v="قيـد مقابـل:- (مصاريف  صرفة يومية للافراد  - طبية - الفرقة الثالثة)  - كشف صرف رقم   كشف صرف - صرف الصرفة اليومية لافراد الطبية عدد 3 افراد بامر"/>
    <n v="0"/>
  </r>
  <r>
    <n v="553"/>
    <s v="JV269"/>
    <x v="16"/>
    <s v="قيد عهده"/>
    <n v="11060205"/>
    <x v="16"/>
    <x v="168"/>
    <x v="0"/>
    <n v="405"/>
    <n v="0"/>
    <n v="23000"/>
    <n v="0"/>
    <n v="56.790123456790127"/>
    <s v="طبية"/>
    <s v="كشف صرف"/>
    <s v="كشف صرف"/>
    <n v="0"/>
    <s v="الفرقة الثالثة"/>
    <n v="1"/>
    <d v="2026-06-18T00:00:00"/>
    <m/>
    <m/>
    <n v="2026"/>
    <x v="0"/>
    <n v="18"/>
    <s v="قيـد مقابـل:- (مصاريف  صرفة يومية للافراد  - طبية - الفرقة الثالثة)  - كشف صرف رقم   كشف صرف - صرف الصرفة اليومية لافراد الطبية عدد 3 افراد بامر"/>
    <n v="0"/>
  </r>
  <r>
    <n v="554"/>
    <s v="JV270"/>
    <x v="16"/>
    <s v="قيد عهده"/>
    <n v="31010101"/>
    <x v="2"/>
    <x v="189"/>
    <x v="0"/>
    <n v="405"/>
    <n v="30000"/>
    <n v="0"/>
    <n v="74.074074074074076"/>
    <n v="0"/>
    <s v="الاستطلاع"/>
    <s v="كشف صرف"/>
    <s v="كشف صرف"/>
    <n v="0"/>
    <s v="الفرقة الثالثة"/>
    <n v="1"/>
    <d v="2026-06-18T00:00:00"/>
    <m/>
    <m/>
    <n v="2026"/>
    <x v="0"/>
    <n v="18"/>
    <s v="قيـد مقابـل:- (مصاريف  صرفة يومية للافراد  - الاستطلاع - الفرقة الثالثة)  - كشف صرف رقم   كشف صرف - صرف الصرفة اليومية لافراد الإستطلاع عدد 2 افراد بامر"/>
    <n v="0"/>
  </r>
  <r>
    <n v="555"/>
    <s v="JV270"/>
    <x v="16"/>
    <s v="قيد عهده"/>
    <n v="11060205"/>
    <x v="16"/>
    <x v="189"/>
    <x v="0"/>
    <n v="405"/>
    <n v="0"/>
    <n v="30000"/>
    <n v="0"/>
    <n v="74.074074074074076"/>
    <s v="الاستطلاع"/>
    <s v="كشف صرف"/>
    <s v="كشف صرف"/>
    <n v="0"/>
    <s v="الفرقة الثالثة"/>
    <n v="1"/>
    <d v="2026-06-18T00:00:00"/>
    <m/>
    <m/>
    <n v="2026"/>
    <x v="0"/>
    <n v="18"/>
    <s v="قيـد مقابـل:- (مصاريف  صرفة يومية للافراد  - الاستطلاع - الفرقة الثالثة)  - كشف صرف رقم   كشف صرف - صرف الصرفة اليومية لافراد الإستطلاع عدد 2 افراد بامر"/>
    <n v="0"/>
  </r>
  <r>
    <n v="556"/>
    <s v="JV271"/>
    <x v="16"/>
    <s v="قيد عهده"/>
    <n v="31010101"/>
    <x v="2"/>
    <x v="190"/>
    <x v="0"/>
    <n v="405"/>
    <n v="25000"/>
    <n v="0"/>
    <n v="61.728395061728392"/>
    <n v="0"/>
    <s v="المحاسبين"/>
    <s v="كشف صرف"/>
    <s v="كشف صرف"/>
    <n v="0"/>
    <s v="الفرقة الثالثة"/>
    <n v="1"/>
    <d v="2026-06-18T00:00:00"/>
    <m/>
    <m/>
    <n v="2026"/>
    <x v="0"/>
    <n v="18"/>
    <s v="قيـد مقابـل:- (مصاريف  صرفة يومية للافراد  - المحاسبين - الفرقة الثالثة)  - كشف صرف رقم   كشف صرف - صرف الصرفة اليومية للمحاسبين عدد2 بامر"/>
    <n v="0"/>
  </r>
  <r>
    <n v="557"/>
    <s v="JV271"/>
    <x v="16"/>
    <s v="قيد عهده"/>
    <n v="11060205"/>
    <x v="16"/>
    <x v="190"/>
    <x v="0"/>
    <n v="405"/>
    <n v="0"/>
    <n v="25000"/>
    <n v="0"/>
    <n v="61.728395061728392"/>
    <s v="المحاسبين"/>
    <s v="كشف صرف"/>
    <s v="كشف صرف"/>
    <n v="0"/>
    <s v="الفرقة الثالثة"/>
    <n v="1"/>
    <d v="2026-06-18T00:00:00"/>
    <m/>
    <m/>
    <n v="2026"/>
    <x v="0"/>
    <n v="18"/>
    <s v="قيـد مقابـل:- (مصاريف  صرفة يومية للافراد  - المحاسبين - الفرقة الثالثة)  - كشف صرف رقم   كشف صرف - صرف الصرفة اليومية للمحاسبين عدد2 بامر"/>
    <n v="0"/>
  </r>
  <r>
    <n v="558"/>
    <s v="JV272"/>
    <x v="16"/>
    <s v="قيد عهده"/>
    <n v="31010101"/>
    <x v="2"/>
    <x v="191"/>
    <x v="0"/>
    <n v="405"/>
    <n v="15000"/>
    <n v="0"/>
    <n v="37.037037037037038"/>
    <n v="0"/>
    <s v="البشرية"/>
    <s v="كشف صرف"/>
    <s v="كشف صرف"/>
    <n v="0"/>
    <s v="الفرقة الثالثة"/>
    <n v="1"/>
    <d v="2026-06-18T00:00:00"/>
    <m/>
    <m/>
    <n v="2026"/>
    <x v="0"/>
    <n v="18"/>
    <s v="قيـد مقابـل:- (مصاريف  صرفة يومية للافراد  - البشرية - الفرقة الثالثة)  - كشف صرف رقم   كشف صرف - صرف الصرفة اليومية للبشرية عدد1 بامر"/>
    <n v="0"/>
  </r>
  <r>
    <n v="559"/>
    <s v="JV272"/>
    <x v="16"/>
    <s v="قيد عهده"/>
    <n v="11060205"/>
    <x v="16"/>
    <x v="191"/>
    <x v="0"/>
    <n v="405"/>
    <n v="0"/>
    <n v="15000"/>
    <n v="0"/>
    <n v="37.037037037037038"/>
    <s v="البشرية"/>
    <s v="كشف صرف"/>
    <s v="كشف صرف"/>
    <n v="0"/>
    <s v="الفرقة الثالثة"/>
    <n v="1"/>
    <d v="2026-06-18T00:00:00"/>
    <m/>
    <m/>
    <n v="2026"/>
    <x v="0"/>
    <n v="18"/>
    <s v="قيـد مقابـل:- (مصاريف  صرفة يومية للافراد  - البشرية - الفرقة الثالثة)  - كشف صرف رقم   كشف صرف - صرف الصرفة اليومية للبشرية عدد1 بامر"/>
    <n v="0"/>
  </r>
  <r>
    <n v="560"/>
    <s v="JV273"/>
    <x v="16"/>
    <s v="قيد عهده"/>
    <n v="31010101"/>
    <x v="2"/>
    <x v="192"/>
    <x v="0"/>
    <n v="405"/>
    <n v="80000"/>
    <n v="0"/>
    <n v="197.53086419753086"/>
    <n v="0"/>
    <s v="الاستخبارات"/>
    <s v="كشف صرف"/>
    <s v="كشف صرف"/>
    <n v="0"/>
    <s v="الفرقة الثالثة"/>
    <n v="1"/>
    <d v="2026-06-18T00:00:00"/>
    <m/>
    <m/>
    <n v="2026"/>
    <x v="0"/>
    <n v="18"/>
    <s v="قيـد مقابـل:- (مصاريف  صرفة يومية للافراد  - الاستخبارات - الفرقة الثالثة)  - كشف صرف رقم   كشف صرف - صرف الصرفة اليومية لافراد الاستخبارات عدد 5 افراد بامر"/>
    <n v="0"/>
  </r>
  <r>
    <n v="561"/>
    <s v="JV273"/>
    <x v="16"/>
    <s v="قيد عهده"/>
    <n v="11060205"/>
    <x v="16"/>
    <x v="192"/>
    <x v="0"/>
    <n v="405"/>
    <n v="0"/>
    <n v="80000"/>
    <n v="0"/>
    <n v="197.53086419753086"/>
    <s v="الاستخبارات"/>
    <s v="كشف صرف"/>
    <s v="كشف صرف"/>
    <n v="0"/>
    <s v="الفرقة الثالثة"/>
    <n v="1"/>
    <d v="2026-06-18T00:00:00"/>
    <m/>
    <m/>
    <n v="2026"/>
    <x v="0"/>
    <n v="18"/>
    <s v="قيـد مقابـل:- (مصاريف  صرفة يومية للافراد  - الاستخبارات - الفرقة الثالثة)  - كشف صرف رقم   كشف صرف - صرف الصرفة اليومية لافراد الاستخبارات عدد 5 افراد بامر"/>
    <n v="0"/>
  </r>
  <r>
    <n v="562"/>
    <s v="JV274"/>
    <x v="16"/>
    <s v="قيد عهده"/>
    <n v="31010101"/>
    <x v="2"/>
    <x v="173"/>
    <x v="0"/>
    <n v="405"/>
    <n v="45000"/>
    <n v="0"/>
    <n v="111.11111111111111"/>
    <n v="0"/>
    <s v="المدفعية"/>
    <s v="كشف صرف"/>
    <s v="كشف صرف"/>
    <n v="0"/>
    <s v="الفرقة الثالثة"/>
    <n v="1"/>
    <d v="2026-06-18T00:00:00"/>
    <m/>
    <m/>
    <n v="2026"/>
    <x v="0"/>
    <n v="18"/>
    <s v="قيـد مقابـل:- (مصاريف  صرفة يومية للافراد  - المدفعية - الفرقة الثالثة)  - كشف صرف رقم   كشف صرف - صرف الصرفة اليومية لافراد المدفعية عدد 5 افراد بامر"/>
    <n v="0"/>
  </r>
  <r>
    <n v="563"/>
    <s v="JV274"/>
    <x v="16"/>
    <s v="قيد عهده"/>
    <n v="11060205"/>
    <x v="16"/>
    <x v="173"/>
    <x v="0"/>
    <n v="405"/>
    <n v="0"/>
    <n v="45000"/>
    <n v="0"/>
    <n v="111.11111111111111"/>
    <s v="المدفعية"/>
    <s v="كشف صرف"/>
    <s v="كشف صرف"/>
    <n v="0"/>
    <s v="الفرقة الثالثة"/>
    <n v="1"/>
    <d v="2026-06-18T00:00:00"/>
    <m/>
    <m/>
    <n v="2026"/>
    <x v="0"/>
    <n v="18"/>
    <s v="قيـد مقابـل:- (مصاريف  صرفة يومية للافراد  - المدفعية - الفرقة الثالثة)  - كشف صرف رقم   كشف صرف - صرف الصرفة اليومية لافراد المدفعية عدد 5 افراد بامر"/>
    <n v="0"/>
  </r>
  <r>
    <n v="564"/>
    <s v="JV275"/>
    <x v="16"/>
    <s v="قيد عهده"/>
    <n v="31010101"/>
    <x v="2"/>
    <x v="193"/>
    <x v="0"/>
    <n v="405"/>
    <n v="80000"/>
    <n v="0"/>
    <n v="197.53086419753086"/>
    <n v="0"/>
    <s v="اخرون"/>
    <s v="كشف صرف"/>
    <s v="كشف صرف"/>
    <n v="0"/>
    <s v="الفرقة الثالثة"/>
    <n v="1"/>
    <d v="2026-06-18T00:00:00"/>
    <m/>
    <m/>
    <n v="2026"/>
    <x v="0"/>
    <n v="18"/>
    <s v="قيـد مقابـل:- (مصاريف  صرفة يومية للافراد  - اخرون - الفرقة الثالثة)  - كشف صرف رقم   كشف صرف - صرف الصرفة اليومية اخرون لعدد 9 افراد بامر"/>
    <n v="0"/>
  </r>
  <r>
    <n v="565"/>
    <s v="JV275"/>
    <x v="16"/>
    <s v="قيد عهده"/>
    <n v="11060205"/>
    <x v="16"/>
    <x v="193"/>
    <x v="0"/>
    <n v="405"/>
    <n v="0"/>
    <n v="80000"/>
    <n v="0"/>
    <n v="197.53086419753086"/>
    <s v="اخرون"/>
    <s v="كشف صرف"/>
    <s v="كشف صرف"/>
    <n v="0"/>
    <s v="الفرقة الثالثة"/>
    <n v="1"/>
    <d v="2026-06-18T00:00:00"/>
    <m/>
    <m/>
    <n v="2026"/>
    <x v="0"/>
    <n v="18"/>
    <s v="قيـد مقابـل:- (مصاريف  صرفة يومية للافراد  - اخرون - الفرقة الثالثة)  - كشف صرف رقم   كشف صرف - صرف الصرفة اليومية اخرون لعدد 9 افراد بامر"/>
    <n v="0"/>
  </r>
  <r>
    <n v="566"/>
    <s v="JV276"/>
    <x v="16"/>
    <s v="قيد عهده"/>
    <n v="31010101"/>
    <x v="2"/>
    <x v="174"/>
    <x v="0"/>
    <n v="405"/>
    <n v="112000"/>
    <n v="0"/>
    <n v="276.54320987654319"/>
    <n v="0"/>
    <s v="المستشارين والمساعدين"/>
    <s v="كشف صرف"/>
    <s v="كشف صرف"/>
    <n v="0"/>
    <s v="الفرقة الثالثة"/>
    <n v="1"/>
    <d v="2026-06-18T00:00:00"/>
    <m/>
    <m/>
    <n v="2026"/>
    <x v="0"/>
    <n v="18"/>
    <s v="قيـد مقابـل:- (مصاريف  صرفة يومية للافراد  - المستشارين والمساعدين - الفرقة الثالثة)  - كشف صرف رقم   كشف صرف - صرف الصرفة اليومية للمستشارين والمساعدين عدد 11 بامر"/>
    <n v="0"/>
  </r>
  <r>
    <n v="567"/>
    <s v="JV276"/>
    <x v="16"/>
    <s v="قيد عهده"/>
    <n v="11060205"/>
    <x v="16"/>
    <x v="174"/>
    <x v="0"/>
    <n v="405"/>
    <n v="0"/>
    <n v="112000"/>
    <n v="0"/>
    <n v="276.54320987654319"/>
    <s v="المستشارين والمساعدين"/>
    <s v="كشف صرف"/>
    <s v="كشف صرف"/>
    <n v="0"/>
    <s v="الفرقة الثالثة"/>
    <n v="1"/>
    <d v="2026-06-18T00:00:00"/>
    <m/>
    <m/>
    <n v="2026"/>
    <x v="0"/>
    <n v="18"/>
    <s v="قيـد مقابـل:- (مصاريف  صرفة يومية للافراد  - المستشارين والمساعدين - الفرقة الثالثة)  - كشف صرف رقم   كشف صرف - صرف الصرفة اليومية للمستشارين والمساعدين عدد 11 بامر"/>
    <n v="0"/>
  </r>
  <r>
    <n v="568"/>
    <s v="JV277"/>
    <x v="16"/>
    <s v="قيد عهده"/>
    <n v="31010101"/>
    <x v="2"/>
    <x v="69"/>
    <x v="0"/>
    <n v="405"/>
    <n v="35000"/>
    <n v="0"/>
    <n v="86.419753086419746"/>
    <n v="0"/>
    <s v="الاشغال"/>
    <s v="كشف صرف"/>
    <s v="كشف صرف"/>
    <n v="0"/>
    <s v="الفرقة الثالثة"/>
    <n v="1"/>
    <d v="2026-06-18T00:00:00"/>
    <m/>
    <m/>
    <n v="2026"/>
    <x v="0"/>
    <n v="18"/>
    <s v="قيـد مقابـل:- (مصاريف  صرفة يومية للافراد  - الاشغال - الفرقة الثالثة)  - كشف صرف رقم   كشف صرف - صرف الصرفة اليومية للاشغال لعدد 3 بامر"/>
    <n v="0"/>
  </r>
  <r>
    <n v="569"/>
    <s v="JV277"/>
    <x v="16"/>
    <s v="قيد عهده"/>
    <n v="11060205"/>
    <x v="16"/>
    <x v="69"/>
    <x v="0"/>
    <n v="405"/>
    <n v="0"/>
    <n v="35000"/>
    <n v="0"/>
    <n v="86.419753086419746"/>
    <s v="الاشغال"/>
    <s v="كشف صرف"/>
    <s v="كشف صرف"/>
    <n v="0"/>
    <s v="الفرقة الثالثة"/>
    <n v="1"/>
    <d v="2026-06-18T00:00:00"/>
    <m/>
    <m/>
    <n v="2026"/>
    <x v="0"/>
    <n v="18"/>
    <s v="قيـد مقابـل:- (مصاريف  صرفة يومية للافراد  - الاشغال - الفرقة الثالثة)  - كشف صرف رقم   كشف صرف - صرف الصرفة اليومية للاشغال لعدد 3 بامر"/>
    <n v="0"/>
  </r>
  <r>
    <n v="570"/>
    <s v="JV278"/>
    <x v="16"/>
    <s v="قيد عهده"/>
    <n v="31010101"/>
    <x v="2"/>
    <x v="194"/>
    <x v="0"/>
    <n v="405"/>
    <n v="25000"/>
    <n v="0"/>
    <n v="61.728395061728392"/>
    <n v="0"/>
    <s v="مرافقي الاركان"/>
    <s v="كشف صرف"/>
    <s v="كشف صرف"/>
    <n v="0"/>
    <s v="الفرقة الثالثة"/>
    <n v="1"/>
    <d v="2026-06-18T00:00:00"/>
    <m/>
    <m/>
    <n v="2026"/>
    <x v="0"/>
    <n v="18"/>
    <s v="قيـد مقابـل:- (مصاريف  صرفة يومية للافراد  - مرافقي الاركان - الفرقة الثالثة)  - كشف صرف رقم   كشف صرف - صرف الصرفة اليومية لمرافقين الاركان عدد 4 افراد بامر"/>
    <n v="0"/>
  </r>
  <r>
    <n v="571"/>
    <s v="JV278"/>
    <x v="16"/>
    <s v="قيد عهده"/>
    <n v="11060205"/>
    <x v="16"/>
    <x v="194"/>
    <x v="0"/>
    <n v="405"/>
    <n v="0"/>
    <n v="25000"/>
    <n v="0"/>
    <n v="61.728395061728392"/>
    <s v="مرافقي الاركان"/>
    <s v="كشف صرف"/>
    <s v="كشف صرف"/>
    <n v="0"/>
    <s v="الفرقة الثالثة"/>
    <n v="1"/>
    <d v="2026-06-18T00:00:00"/>
    <m/>
    <m/>
    <n v="2026"/>
    <x v="0"/>
    <n v="18"/>
    <s v="قيـد مقابـل:- (مصاريف  صرفة يومية للافراد  - مرافقي الاركان - الفرقة الثالثة)  - كشف صرف رقم   كشف صرف - صرف الصرفة اليومية لمرافقين الاركان عدد 4 افراد بامر"/>
    <n v="0"/>
  </r>
  <r>
    <n v="572"/>
    <s v="JV279"/>
    <x v="16"/>
    <s v="قيد عهده"/>
    <n v="31010101"/>
    <x v="2"/>
    <x v="195"/>
    <x v="0"/>
    <n v="405"/>
    <n v="18000"/>
    <n v="0"/>
    <n v="44.444444444444443"/>
    <n v="0"/>
    <s v="طقم اللواء السابع"/>
    <s v="كشف صرف"/>
    <s v="كشف صرف"/>
    <n v="0"/>
    <s v="الفرقة الثالثة"/>
    <n v="1"/>
    <d v="2026-06-18T00:00:00"/>
    <m/>
    <m/>
    <n v="2026"/>
    <x v="0"/>
    <n v="18"/>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573"/>
    <s v="JV279"/>
    <x v="16"/>
    <s v="قيد عهده"/>
    <n v="11060205"/>
    <x v="16"/>
    <x v="195"/>
    <x v="0"/>
    <n v="405"/>
    <n v="0"/>
    <n v="18000"/>
    <n v="0"/>
    <n v="44.444444444444443"/>
    <s v="طقم اللواء السابع"/>
    <s v="كشف صرف"/>
    <s v="كشف صرف"/>
    <n v="0"/>
    <s v="الفرقة الثالثة"/>
    <n v="1"/>
    <d v="2026-06-18T00:00:00"/>
    <m/>
    <m/>
    <n v="2026"/>
    <x v="0"/>
    <n v="18"/>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574"/>
    <s v="JV280"/>
    <x v="16"/>
    <s v="قيد عهده"/>
    <n v="31010101"/>
    <x v="2"/>
    <x v="177"/>
    <x v="0"/>
    <n v="405"/>
    <n v="100000"/>
    <n v="0"/>
    <n v="246.91358024691357"/>
    <n v="0"/>
    <s v="الضباط السابقين"/>
    <s v="كشف صرف"/>
    <s v="كشف صرف"/>
    <n v="0"/>
    <s v="الفرقة الثالثة"/>
    <n v="1"/>
    <d v="2026-06-18T00:00:00"/>
    <m/>
    <m/>
    <n v="2026"/>
    <x v="0"/>
    <n v="18"/>
    <s v="قيـد مقابـل:- (مصاريف  صرفة يومية للافراد  - الضباط السابقين - الفرقة الثالثة)  - كشف صرف رقم   كشف صرف - صرف الصرفة اليومية للضباط السابقين عدد10 ضباط بامر"/>
    <n v="0"/>
  </r>
  <r>
    <n v="575"/>
    <s v="JV280"/>
    <x v="16"/>
    <s v="قيد عهده"/>
    <n v="11060205"/>
    <x v="16"/>
    <x v="177"/>
    <x v="0"/>
    <n v="405"/>
    <n v="0"/>
    <n v="100000"/>
    <n v="0"/>
    <n v="246.91358024691357"/>
    <s v="الضباط السابقين"/>
    <s v="كشف صرف"/>
    <s v="كشف صرف"/>
    <n v="0"/>
    <s v="الفرقة الثالثة"/>
    <n v="1"/>
    <d v="2026-06-18T00:00:00"/>
    <m/>
    <m/>
    <n v="2026"/>
    <x v="0"/>
    <n v="18"/>
    <s v="قيـد مقابـل:- (مصاريف  صرفة يومية للافراد  - الضباط السابقين - الفرقة الثالثة)  - كشف صرف رقم   كشف صرف - صرف الصرفة اليومية للضباط السابقين عدد10 ضباط بامر"/>
    <n v="0"/>
  </r>
  <r>
    <n v="576"/>
    <s v="JV281"/>
    <x v="16"/>
    <s v="قيد عهده"/>
    <n v="31010101"/>
    <x v="2"/>
    <x v="196"/>
    <x v="0"/>
    <n v="405"/>
    <n v="60000"/>
    <n v="0"/>
    <n v="148.14814814814815"/>
    <n v="0"/>
    <s v="ضباط اللواء السادس"/>
    <s v="كشف صرف"/>
    <s v="كشف صرف"/>
    <n v="0"/>
    <s v="اللواء السادس"/>
    <n v="7"/>
    <d v="2026-06-18T00:00:00"/>
    <m/>
    <m/>
    <n v="2026"/>
    <x v="0"/>
    <n v="18"/>
    <s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
    <s v="المستشار المالي"/>
  </r>
  <r>
    <n v="577"/>
    <s v="JV281"/>
    <x v="16"/>
    <s v="قيد عهده"/>
    <n v="11060205"/>
    <x v="16"/>
    <x v="196"/>
    <x v="0"/>
    <n v="405"/>
    <n v="0"/>
    <n v="60000"/>
    <n v="0"/>
    <n v="148.14814814814815"/>
    <s v="ضباط اللواء السادس"/>
    <s v="كشف صرف"/>
    <s v="كشف صرف"/>
    <n v="0"/>
    <s v="اللواء السادس"/>
    <n v="7"/>
    <d v="2026-06-18T00:00:00"/>
    <m/>
    <m/>
    <n v="2026"/>
    <x v="0"/>
    <n v="18"/>
    <s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
    <s v="المستشار المالي"/>
  </r>
  <r>
    <n v="578"/>
    <s v="JV282"/>
    <x v="16"/>
    <s v="قيد عهده"/>
    <n v="31010101"/>
    <x v="2"/>
    <x v="197"/>
    <x v="0"/>
    <n v="405"/>
    <n v="720000"/>
    <n v="0"/>
    <n v="1777.7777777777778"/>
    <n v="0"/>
    <s v="سرية الشرطة"/>
    <s v="كشف صرف"/>
    <s v="كشف صرف"/>
    <n v="0"/>
    <s v="الفرقة الثالثة"/>
    <n v="1"/>
    <d v="2026-06-18T00:00:00"/>
    <m/>
    <m/>
    <n v="2026"/>
    <x v="0"/>
    <n v="18"/>
    <s v="قيـد مقابـل:- (مصاريف  صرفة يومية للافراد  - سرية الشرطة - الفرقة الثالثة)  - كشف صرف رقم   كشف صرف - صرف الصرفة الاسبوعي سرية الشرطة لعدد 60 فرد بامر"/>
    <n v="0"/>
  </r>
  <r>
    <n v="579"/>
    <s v="JV282"/>
    <x v="16"/>
    <s v="قيد عهده"/>
    <n v="11060205"/>
    <x v="16"/>
    <x v="197"/>
    <x v="0"/>
    <n v="405"/>
    <n v="0"/>
    <n v="720000"/>
    <n v="0"/>
    <n v="1777.7777777777778"/>
    <s v="سرية الشرطة"/>
    <s v="كشف صرف"/>
    <s v="كشف صرف"/>
    <n v="0"/>
    <s v="الفرقة الثالثة"/>
    <n v="1"/>
    <d v="2026-06-18T00:00:00"/>
    <m/>
    <m/>
    <n v="2026"/>
    <x v="0"/>
    <n v="18"/>
    <s v="قيـد مقابـل:- (مصاريف  صرفة يومية للافراد  - سرية الشرطة - الفرقة الثالثة)  - كشف صرف رقم   كشف صرف - صرف الصرفة الاسبوعي سرية الشرطة لعدد 60 فرد بامر"/>
    <n v="0"/>
  </r>
  <r>
    <n v="580"/>
    <s v="JV283"/>
    <x v="16"/>
    <s v="قيد عهده"/>
    <n v="31010101"/>
    <x v="2"/>
    <x v="198"/>
    <x v="0"/>
    <n v="405"/>
    <n v="216000"/>
    <n v="0"/>
    <n v="533.33333333333337"/>
    <n v="0"/>
    <s v="سرية الآمن اللواء السادس"/>
    <s v="كشف صرف"/>
    <s v="كشف صرف"/>
    <n v="0"/>
    <s v="اللواء السادس"/>
    <n v="7"/>
    <d v="2026-06-18T00:00:00"/>
    <m/>
    <m/>
    <n v="2026"/>
    <x v="0"/>
    <n v="18"/>
    <s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
    <n v="0"/>
  </r>
  <r>
    <n v="581"/>
    <s v="JV283"/>
    <x v="16"/>
    <s v="قيد عهده"/>
    <n v="11060205"/>
    <x v="16"/>
    <x v="198"/>
    <x v="0"/>
    <n v="405"/>
    <n v="0"/>
    <n v="216000"/>
    <n v="0"/>
    <n v="533.33333333333337"/>
    <s v="سرية الآمن اللواء السادس"/>
    <s v="كشف صرف"/>
    <s v="كشف صرف"/>
    <n v="0"/>
    <s v="اللواء السادس"/>
    <n v="7"/>
    <d v="2026-06-18T00:00:00"/>
    <m/>
    <m/>
    <n v="2026"/>
    <x v="0"/>
    <n v="18"/>
    <s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
    <n v="0"/>
  </r>
  <r>
    <n v="582"/>
    <s v="JV284"/>
    <x v="16"/>
    <s v="قيد عهده"/>
    <n v="31010101"/>
    <x v="2"/>
    <x v="199"/>
    <x v="0"/>
    <n v="405"/>
    <n v="140000"/>
    <n v="0"/>
    <n v="345.67901234567898"/>
    <n v="0"/>
    <s v="سرية اللواء السادس"/>
    <s v="كشف صرف"/>
    <s v="كشف صرف"/>
    <n v="0"/>
    <s v="اللواء السادس"/>
    <n v="7"/>
    <d v="2026-06-18T00:00:00"/>
    <m/>
    <m/>
    <n v="2026"/>
    <x v="0"/>
    <n v="18"/>
    <s v="قيـد مقابـل:- (مصاريف  صرفة يومية للافراد  - سرية اللواء السادس - اللواء السادس)  - كشف صرف رقم   كشف صرف - صرف الصرفة اليومية سرية اللواء السادس ع دد 35 فرد بامر"/>
    <n v="0"/>
  </r>
  <r>
    <n v="583"/>
    <s v="JV284"/>
    <x v="16"/>
    <s v="قيد عهده"/>
    <n v="11060205"/>
    <x v="16"/>
    <x v="199"/>
    <x v="0"/>
    <n v="405"/>
    <n v="0"/>
    <n v="140000"/>
    <n v="0"/>
    <n v="345.67901234567898"/>
    <s v="سرية اللواء السادس"/>
    <s v="كشف صرف"/>
    <s v="كشف صرف"/>
    <n v="0"/>
    <s v="اللواء السادس"/>
    <n v="7"/>
    <d v="2026-06-18T00:00:00"/>
    <m/>
    <m/>
    <n v="2026"/>
    <x v="0"/>
    <n v="18"/>
    <s v="قيـد مقابـل:- (مصاريف  صرفة يومية للافراد  - سرية اللواء السادس - اللواء السادس)  - كشف صرف رقم   كشف صرف - صرف الصرفة اليومية سرية اللواء السادس ع دد 35 فرد بامر"/>
    <n v="0"/>
  </r>
  <r>
    <n v="584"/>
    <s v="JV285"/>
    <x v="16"/>
    <s v="قيد عهده"/>
    <n v="31010106"/>
    <x v="7"/>
    <x v="200"/>
    <x v="0"/>
    <n v="405"/>
    <n v="19500"/>
    <n v="0"/>
    <n v="48.148148148148145"/>
    <n v="0"/>
    <s v="قيادة الفرقة الثالثة"/>
    <s v="فاتورة"/>
    <s v="مركز الوفاء التجاري"/>
    <n v="4268"/>
    <s v="الفرقة الثالثة"/>
    <n v="1"/>
    <d v="2026-06-18T00:00:00"/>
    <m/>
    <m/>
    <n v="2026"/>
    <x v="0"/>
    <n v="18"/>
    <s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
    <s v="المستشار المالي"/>
  </r>
  <r>
    <n v="585"/>
    <s v="JV285"/>
    <x v="16"/>
    <s v="قيد عهده"/>
    <n v="11060205"/>
    <x v="16"/>
    <x v="200"/>
    <x v="0"/>
    <n v="405"/>
    <n v="0"/>
    <n v="19500"/>
    <n v="0"/>
    <n v="48.148148148148145"/>
    <s v="قيادة الفرقة الثالثة"/>
    <s v="فاتورة"/>
    <s v="مركز الوفاء التجاري"/>
    <n v="4268"/>
    <s v="الفرقة الثالثة"/>
    <n v="1"/>
    <d v="2026-06-18T00:00:00"/>
    <m/>
    <m/>
    <n v="2026"/>
    <x v="0"/>
    <n v="18"/>
    <s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
    <s v="المستشار المالي"/>
  </r>
  <r>
    <n v="586"/>
    <s v="JV286"/>
    <x v="15"/>
    <s v="قيد عهده"/>
    <n v="31010101"/>
    <x v="2"/>
    <x v="201"/>
    <x v="0"/>
    <n v="405"/>
    <n v="25000"/>
    <n v="0"/>
    <n v="61.728395061728392"/>
    <n v="0"/>
    <s v="مرافقي الاركان"/>
    <s v="كشف صرف"/>
    <s v="كشف صرف"/>
    <n v="0"/>
    <s v="الفرقة الثالثة"/>
    <n v="1"/>
    <d v="2026-06-17T00:00:00"/>
    <m/>
    <m/>
    <n v="2026"/>
    <x v="0"/>
    <n v="17"/>
    <s v="قيـد مقابـل:- (مصاريف  صرفة يومية للافراد  - مرافقي الاركان - الفرقة الثالثة)  - كشف صرف رقم   كشف صرف - صرف الصرفة اليومية لمرافقين الاركان عدد 4 افراد  بامر"/>
    <n v="0"/>
  </r>
  <r>
    <n v="587"/>
    <s v="JV286"/>
    <x v="15"/>
    <s v="قيد عهده"/>
    <n v="11060205"/>
    <x v="16"/>
    <x v="201"/>
    <x v="0"/>
    <n v="405"/>
    <n v="0"/>
    <n v="25000"/>
    <n v="0"/>
    <n v="61.728395061728392"/>
    <s v="مرافقي الاركان"/>
    <s v="كشف صرف"/>
    <s v="كشف صرف"/>
    <n v="0"/>
    <s v="الفرقة الثالثة"/>
    <n v="1"/>
    <d v="2026-06-17T00:00:00"/>
    <m/>
    <m/>
    <n v="2026"/>
    <x v="0"/>
    <n v="17"/>
    <s v="قيـد مقابـل:- (مصاريف  صرفة يومية للافراد  - مرافقي الاركان - الفرقة الثالثة)  - كشف صرف رقم   كشف صرف - صرف الصرفة اليومية لمرافقين الاركان عدد 4 افراد  بامر"/>
    <n v="0"/>
  </r>
  <r>
    <n v="588"/>
    <s v="JV287"/>
    <x v="16"/>
    <s v="قيد عهده"/>
    <n v="31010101"/>
    <x v="2"/>
    <x v="202"/>
    <x v="0"/>
    <n v="405"/>
    <n v="30000"/>
    <n v="0"/>
    <n v="74.074074074074076"/>
    <n v="0"/>
    <s v="عبدالمغني عبدالصمد عبدالحميد الصلوي"/>
    <s v="استلام نقدي"/>
    <s v="سند استلام"/>
    <s v="100-454"/>
    <s v="الفرقة الثالثة"/>
    <n v="1"/>
    <d v="2026-06-18T00:00:00"/>
    <m/>
    <m/>
    <n v="2026"/>
    <x v="0"/>
    <n v="18"/>
    <s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
    <n v="0"/>
  </r>
  <r>
    <n v="589"/>
    <s v="JV287"/>
    <x v="16"/>
    <s v="قيد عهده"/>
    <n v="11060205"/>
    <x v="16"/>
    <x v="202"/>
    <x v="0"/>
    <n v="405"/>
    <n v="0"/>
    <n v="30000"/>
    <n v="0"/>
    <n v="74.074074074074076"/>
    <s v="عبدالمغني عبدالصمد عبدالحميد الصلوي"/>
    <s v="استلام نقدي"/>
    <s v="سند استلام"/>
    <s v="100-454"/>
    <s v="الفرقة الثالثة"/>
    <n v="1"/>
    <d v="2026-06-18T00:00:00"/>
    <m/>
    <m/>
    <n v="2026"/>
    <x v="0"/>
    <n v="18"/>
    <s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
    <n v="0"/>
  </r>
  <r>
    <n v="590"/>
    <s v="JV288"/>
    <x v="16"/>
    <s v="قيد عهده"/>
    <n v="31010115"/>
    <x v="18"/>
    <x v="203"/>
    <x v="0"/>
    <n v="405"/>
    <n v="100000"/>
    <n v="0"/>
    <n v="246.91358024691357"/>
    <n v="0"/>
    <s v="وايت الماء"/>
    <s v="استلام نقدي"/>
    <s v="سند استلام"/>
    <s v="100-487"/>
    <s v="الفرقة الثالثة"/>
    <n v="1"/>
    <d v="2026-06-18T00:00:00"/>
    <m/>
    <m/>
    <n v="2026"/>
    <x v="0"/>
    <n v="18"/>
    <s v="قيـد مقابـل:- (مصاريف مياة - وايت الماء - الفرقة الثالثة)  - استلام نقدي رقم 100-487  سند استلام - تعبئة القاطرة متء من الخشعة وتغيير زيت بامرالمستشار المالي"/>
    <s v="المستشار المالي"/>
  </r>
  <r>
    <n v="591"/>
    <s v="JV288"/>
    <x v="16"/>
    <s v="قيد عهده"/>
    <n v="11060205"/>
    <x v="16"/>
    <x v="203"/>
    <x v="0"/>
    <n v="405"/>
    <n v="0"/>
    <n v="100000"/>
    <n v="0"/>
    <n v="246.91358024691357"/>
    <s v="وايت الماء"/>
    <s v="استلام نقدي"/>
    <s v="سند استلام"/>
    <s v="100-487"/>
    <s v="الفرقة الثالثة"/>
    <n v="1"/>
    <d v="2026-06-18T00:00:00"/>
    <m/>
    <m/>
    <n v="2026"/>
    <x v="0"/>
    <n v="18"/>
    <s v="قيـد مقابـل:- (مصاريف مياة - وايت الماء - الفرقة الثالثة)  - استلام نقدي رقم 100-487  سند استلام - تعبئة القاطرة متء من الخشعة وتغيير زيت بامرالمستشار المالي"/>
    <s v="المستشار المالي"/>
  </r>
  <r>
    <n v="592"/>
    <s v="JV289"/>
    <x v="16"/>
    <s v="قيد عهده"/>
    <n v="31010101"/>
    <x v="2"/>
    <x v="204"/>
    <x v="0"/>
    <n v="405"/>
    <n v="60000"/>
    <n v="0"/>
    <n v="148.14814814814815"/>
    <n v="0"/>
    <s v="محمد ردمان + حسام فؤاد "/>
    <s v="استلام نقدي"/>
    <s v="سند استلام"/>
    <s v="100-475"/>
    <s v="الفرقة الثالثة"/>
    <n v="1"/>
    <d v="2026-06-18T00:00:00"/>
    <m/>
    <m/>
    <n v="2026"/>
    <x v="0"/>
    <n v="18"/>
    <s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
    <n v="0"/>
  </r>
  <r>
    <n v="593"/>
    <s v="JV289"/>
    <x v="16"/>
    <s v="قيد عهده"/>
    <n v="11060205"/>
    <x v="16"/>
    <x v="204"/>
    <x v="0"/>
    <n v="405"/>
    <n v="0"/>
    <n v="60000"/>
    <n v="0"/>
    <n v="148.14814814814815"/>
    <s v="محمد ردمان + حسام فؤاد "/>
    <s v="استلام نقدي"/>
    <s v="سند استلام"/>
    <s v="100-475"/>
    <s v="الفرقة الثالثة"/>
    <n v="1"/>
    <d v="2026-06-18T00:00:00"/>
    <m/>
    <m/>
    <n v="2026"/>
    <x v="0"/>
    <n v="18"/>
    <s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
    <n v="0"/>
  </r>
  <r>
    <n v="594"/>
    <s v="JV290"/>
    <x v="16"/>
    <s v="قيد عهده"/>
    <n v="31010101"/>
    <x v="2"/>
    <x v="205"/>
    <x v="0"/>
    <n v="405"/>
    <n v="20000"/>
    <n v="0"/>
    <n v="49.382716049382715"/>
    <n v="0"/>
    <s v="اركان اللواء السادس"/>
    <s v="استلام نقدي"/>
    <s v="سند استلام"/>
    <s v="100-454"/>
    <s v="اللواء السادس"/>
    <n v="7"/>
    <d v="2026-06-18T00:00:00"/>
    <m/>
    <m/>
    <n v="2026"/>
    <x v="0"/>
    <n v="18"/>
    <s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
    <s v="المستشار المالي"/>
  </r>
  <r>
    <n v="595"/>
    <s v="JV290"/>
    <x v="16"/>
    <s v="قيد عهده"/>
    <n v="11060205"/>
    <x v="16"/>
    <x v="205"/>
    <x v="0"/>
    <n v="405"/>
    <n v="0"/>
    <n v="20000"/>
    <n v="0"/>
    <n v="49.382716049382715"/>
    <s v="اركان اللواء السادس"/>
    <s v="استلام نقدي"/>
    <s v="سند استلام"/>
    <s v="100-454"/>
    <s v="اللواء السادس"/>
    <n v="7"/>
    <d v="2026-06-18T00:00:00"/>
    <m/>
    <m/>
    <n v="2026"/>
    <x v="0"/>
    <n v="18"/>
    <s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
    <s v="المستشار المالي"/>
  </r>
  <r>
    <n v="596"/>
    <s v="JV291"/>
    <x v="16"/>
    <s v="قيد عهده"/>
    <n v="31010106"/>
    <x v="7"/>
    <x v="206"/>
    <x v="0"/>
    <n v="405"/>
    <n v="32000"/>
    <n v="0"/>
    <n v="79.012345679012341"/>
    <n v="0"/>
    <s v="زيد علي علي المروعي"/>
    <s v="استلام نقدي"/>
    <s v="سند استلام"/>
    <s v="100-1"/>
    <s v="الفرقة الثالثة"/>
    <n v="1"/>
    <d v="2026-06-18T00:00:00"/>
    <m/>
    <m/>
    <n v="2026"/>
    <x v="0"/>
    <n v="18"/>
    <s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
    <s v="الأركان جمال مسدوس"/>
  </r>
  <r>
    <n v="597"/>
    <s v="JV291"/>
    <x v="16"/>
    <s v="قيد عهده"/>
    <n v="11060205"/>
    <x v="16"/>
    <x v="206"/>
    <x v="0"/>
    <n v="405"/>
    <n v="0"/>
    <n v="32000"/>
    <n v="0"/>
    <n v="79.012345679012341"/>
    <s v="زيد علي علي المروعي"/>
    <s v="استلام نقدي"/>
    <s v="سند استلام"/>
    <s v="100-1"/>
    <s v="الفرقة الثالثة"/>
    <n v="1"/>
    <d v="2026-06-18T00:00:00"/>
    <m/>
    <m/>
    <n v="2026"/>
    <x v="0"/>
    <n v="18"/>
    <s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
    <s v="الأركان جمال مسدوس"/>
  </r>
  <r>
    <n v="598"/>
    <s v="JV292"/>
    <x v="14"/>
    <s v="قيد عهده"/>
    <n v="31010101"/>
    <x v="2"/>
    <x v="155"/>
    <x v="0"/>
    <n v="405"/>
    <n v="55000"/>
    <n v="0"/>
    <n v="135.80246913580248"/>
    <n v="0"/>
    <s v="السيطرة والاتصالات"/>
    <s v="كشف صرف"/>
    <s v="كشف صرف"/>
    <n v="0"/>
    <s v="الفرقة الثالثة"/>
    <n v="1"/>
    <d v="2026-06-19T00:00:00"/>
    <m/>
    <m/>
    <n v="2026"/>
    <x v="0"/>
    <n v="19"/>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599"/>
    <s v="JV292"/>
    <x v="14"/>
    <s v="قيد عهده"/>
    <n v="11060205"/>
    <x v="16"/>
    <x v="155"/>
    <x v="0"/>
    <n v="405"/>
    <n v="0"/>
    <n v="55000"/>
    <n v="0"/>
    <n v="135.80246913580248"/>
    <s v="السيطرة والاتصالات"/>
    <s v="كشف صرف"/>
    <s v="كشف صرف"/>
    <n v="0"/>
    <s v="الفرقة الثالثة"/>
    <n v="1"/>
    <d v="2026-06-19T00:00:00"/>
    <m/>
    <m/>
    <n v="2026"/>
    <x v="0"/>
    <n v="19"/>
    <s v="قيـد مقابـل:- (مصاريف  صرفة يومية للافراد  - السيطرة والاتصالات - الفرقة الثالثة)  - كشف صرف رقم   كشف صرف - صرف الصرفة اليومية للسيطرة والاتصالات لعدد 9 بامر"/>
    <n v="0"/>
  </r>
  <r>
    <n v="600"/>
    <s v="JV293"/>
    <x v="14"/>
    <s v="قيد عهده"/>
    <n v="31010101"/>
    <x v="2"/>
    <x v="156"/>
    <x v="0"/>
    <n v="405"/>
    <n v="70000"/>
    <n v="0"/>
    <n v="172.83950617283949"/>
    <n v="0"/>
    <s v="الامداد"/>
    <s v="كشف صرف"/>
    <s v="كشف صرف"/>
    <n v="0"/>
    <s v="الفرقة الثالثة"/>
    <n v="1"/>
    <d v="2026-06-19T00:00:00"/>
    <m/>
    <m/>
    <n v="2026"/>
    <x v="0"/>
    <n v="19"/>
    <s v="قيـد مقابـل:- (مصاريف  صرفة يومية للافراد  - الامداد - الفرقة الثالثة)  - كشف صرف رقم   كشف صرف - صرف الصرفة اليومية  لافراد الامداد لعدد 6 فرد بامر"/>
    <n v="0"/>
  </r>
  <r>
    <n v="601"/>
    <s v="JV293"/>
    <x v="14"/>
    <s v="قيد عهده"/>
    <n v="11060205"/>
    <x v="16"/>
    <x v="156"/>
    <x v="0"/>
    <n v="405"/>
    <n v="0"/>
    <n v="70000"/>
    <n v="0"/>
    <n v="172.83950617283949"/>
    <s v="الامداد"/>
    <s v="كشف صرف"/>
    <s v="كشف صرف"/>
    <n v="0"/>
    <s v="الفرقة الثالثة"/>
    <n v="1"/>
    <d v="2026-06-19T00:00:00"/>
    <m/>
    <m/>
    <n v="2026"/>
    <x v="0"/>
    <n v="19"/>
    <s v="قيـد مقابـل:- (مصاريف  صرفة يومية للافراد  - الامداد - الفرقة الثالثة)  - كشف صرف رقم   كشف صرف - صرف الصرفة اليومية  لافراد الامداد لعدد 6 فرد بامر"/>
    <n v="0"/>
  </r>
  <r>
    <n v="602"/>
    <s v="JV294"/>
    <x v="14"/>
    <s v="قيد عهده"/>
    <n v="31010101"/>
    <x v="2"/>
    <x v="169"/>
    <x v="0"/>
    <n v="405"/>
    <n v="31000"/>
    <n v="0"/>
    <n v="76.543209876543216"/>
    <n v="0"/>
    <s v="قسم المشتريات"/>
    <s v="كشف صرف"/>
    <s v="كشف صرف"/>
    <n v="0"/>
    <s v="الفرقة الثالثة"/>
    <n v="1"/>
    <d v="2026-06-19T00:00:00"/>
    <m/>
    <m/>
    <n v="2026"/>
    <x v="0"/>
    <n v="19"/>
    <s v="قيـد مقابـل:- (مصاريف  صرفة يومية للافراد  - قسم المشتريات - الفرقة الثالثة)  - كشف صرف رقم   كشف صرف - صرف الصرفة اليومية لافراد قسم المشتريات عدد3 بامر"/>
    <n v="0"/>
  </r>
  <r>
    <n v="603"/>
    <s v="JV294"/>
    <x v="14"/>
    <s v="قيد عهده"/>
    <n v="11060205"/>
    <x v="16"/>
    <x v="169"/>
    <x v="0"/>
    <n v="405"/>
    <n v="0"/>
    <n v="31000"/>
    <n v="0"/>
    <n v="76.543209876543216"/>
    <s v="قسم المشتريات"/>
    <s v="كشف صرف"/>
    <s v="كشف صرف"/>
    <n v="0"/>
    <s v="الفرقة الثالثة"/>
    <n v="1"/>
    <d v="2026-06-19T00:00:00"/>
    <m/>
    <m/>
    <n v="2026"/>
    <x v="0"/>
    <n v="19"/>
    <s v="قيـد مقابـل:- (مصاريف  صرفة يومية للافراد  - قسم المشتريات - الفرقة الثالثة)  - كشف صرف رقم   كشف صرف - صرف الصرفة اليومية لافراد قسم المشتريات عدد3 بامر"/>
    <n v="0"/>
  </r>
  <r>
    <n v="604"/>
    <s v="JV295"/>
    <x v="14"/>
    <s v="قيد عهده"/>
    <n v="31010101"/>
    <x v="2"/>
    <x v="207"/>
    <x v="0"/>
    <n v="405"/>
    <n v="30000"/>
    <n v="0"/>
    <n v="74.074074074074076"/>
    <n v="0"/>
    <s v="الاستطلاع"/>
    <s v="كشف صرف"/>
    <s v="كشف صرف"/>
    <n v="0"/>
    <s v="الفرقة الثالثة"/>
    <n v="1"/>
    <d v="2026-06-19T00:00:00"/>
    <m/>
    <m/>
    <n v="2026"/>
    <x v="0"/>
    <n v="19"/>
    <s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
    <n v="0"/>
  </r>
  <r>
    <n v="605"/>
    <s v="JV295"/>
    <x v="14"/>
    <s v="قيد عهده"/>
    <n v="11060205"/>
    <x v="16"/>
    <x v="207"/>
    <x v="0"/>
    <n v="405"/>
    <n v="0"/>
    <n v="30000"/>
    <n v="0"/>
    <n v="74.074074074074076"/>
    <s v="الاستطلاع"/>
    <s v="كشف صرف"/>
    <s v="كشف صرف"/>
    <n v="0"/>
    <s v="الفرقة الثالثة"/>
    <n v="1"/>
    <d v="2026-06-19T00:00:00"/>
    <m/>
    <m/>
    <n v="2026"/>
    <x v="0"/>
    <n v="19"/>
    <s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
    <n v="0"/>
  </r>
  <r>
    <n v="606"/>
    <s v="JV296"/>
    <x v="14"/>
    <s v="قيد عهده"/>
    <n v="31010101"/>
    <x v="2"/>
    <x v="190"/>
    <x v="0"/>
    <n v="405"/>
    <n v="25000"/>
    <n v="0"/>
    <n v="61.728395061728392"/>
    <n v="0"/>
    <s v="المحاسبين"/>
    <s v="كشف صرف"/>
    <s v="كشف صرف"/>
    <n v="0"/>
    <s v="الفرقة الثالثة"/>
    <n v="1"/>
    <d v="2026-06-19T00:00:00"/>
    <m/>
    <m/>
    <n v="2026"/>
    <x v="0"/>
    <n v="19"/>
    <s v="قيـد مقابـل:- (مصاريف  صرفة يومية للافراد  - المحاسبين - الفرقة الثالثة)  - كشف صرف رقم   كشف صرف - صرف الصرفة اليومية للمحاسبين عدد2 بامر"/>
    <n v="0"/>
  </r>
  <r>
    <n v="607"/>
    <s v="JV296"/>
    <x v="14"/>
    <s v="قيد عهده"/>
    <n v="11060205"/>
    <x v="16"/>
    <x v="190"/>
    <x v="0"/>
    <n v="405"/>
    <n v="0"/>
    <n v="25000"/>
    <n v="0"/>
    <n v="61.728395061728392"/>
    <s v="المحاسبين"/>
    <s v="كشف صرف"/>
    <s v="كشف صرف"/>
    <n v="0"/>
    <s v="الفرقة الثالثة"/>
    <n v="1"/>
    <d v="2026-06-19T00:00:00"/>
    <m/>
    <m/>
    <n v="2026"/>
    <x v="0"/>
    <n v="19"/>
    <s v="قيـد مقابـل:- (مصاريف  صرفة يومية للافراد  - المحاسبين - الفرقة الثالثة)  - كشف صرف رقم   كشف صرف - صرف الصرفة اليومية للمحاسبين عدد2 بامر"/>
    <n v="0"/>
  </r>
  <r>
    <n v="608"/>
    <s v="JV297"/>
    <x v="14"/>
    <s v="قيد عهده"/>
    <n v="31010101"/>
    <x v="2"/>
    <x v="208"/>
    <x v="0"/>
    <n v="405"/>
    <n v="15000"/>
    <n v="0"/>
    <n v="37.037037037037038"/>
    <n v="0"/>
    <s v="البشرية"/>
    <s v="كشف صرف"/>
    <s v="كشف صرف"/>
    <n v="0"/>
    <s v="الفرقة الثالثة"/>
    <n v="1"/>
    <d v="2026-06-19T00:00:00"/>
    <m/>
    <m/>
    <n v="2026"/>
    <x v="0"/>
    <n v="19"/>
    <s v="قيـد مقابـل:- (مصاريف  صرفة يومية للافراد  - البشرية - الفرقة الثالثة)  - كشف صرف رقم   كشف صرف - صرف الصرفة اليومية لافراد البشرية عدد1 بامر"/>
    <n v="0"/>
  </r>
  <r>
    <n v="609"/>
    <s v="JV297"/>
    <x v="14"/>
    <s v="قيد عهده"/>
    <n v="11060205"/>
    <x v="16"/>
    <x v="208"/>
    <x v="0"/>
    <n v="405"/>
    <n v="0"/>
    <n v="15000"/>
    <n v="0"/>
    <n v="37.037037037037038"/>
    <s v="البشرية"/>
    <s v="كشف صرف"/>
    <s v="كشف صرف"/>
    <n v="0"/>
    <s v="الفرقة الثالثة"/>
    <n v="1"/>
    <d v="2026-06-19T00:00:00"/>
    <m/>
    <m/>
    <n v="2026"/>
    <x v="0"/>
    <n v="19"/>
    <s v="قيـد مقابـل:- (مصاريف  صرفة يومية للافراد  - البشرية - الفرقة الثالثة)  - كشف صرف رقم   كشف صرف - صرف الصرفة اليومية لافراد البشرية عدد1 بامر"/>
    <n v="0"/>
  </r>
  <r>
    <n v="610"/>
    <s v="JV298"/>
    <x v="14"/>
    <s v="قيد عهده"/>
    <n v="31010101"/>
    <x v="2"/>
    <x v="192"/>
    <x v="0"/>
    <n v="405"/>
    <n v="80000"/>
    <n v="0"/>
    <n v="197.53086419753086"/>
    <n v="0"/>
    <s v="الاستخبارات"/>
    <s v="كشف صرف"/>
    <s v="كشف صرف"/>
    <n v="0"/>
    <s v="الفرقة الثالثة"/>
    <n v="1"/>
    <d v="2026-06-19T00:00:00"/>
    <m/>
    <m/>
    <n v="2026"/>
    <x v="0"/>
    <n v="19"/>
    <s v="قيـد مقابـل:- (مصاريف  صرفة يومية للافراد  - الاستخبارات - الفرقة الثالثة)  - كشف صرف رقم   كشف صرف - صرف الصرفة اليومية لافراد الاستخبارات عدد 5 افراد بامر"/>
    <n v="0"/>
  </r>
  <r>
    <n v="611"/>
    <s v="JV298"/>
    <x v="14"/>
    <s v="قيد عهده"/>
    <n v="11060205"/>
    <x v="16"/>
    <x v="192"/>
    <x v="0"/>
    <n v="405"/>
    <n v="0"/>
    <n v="80000"/>
    <n v="0"/>
    <n v="197.53086419753086"/>
    <s v="الاستخبارات"/>
    <s v="كشف صرف"/>
    <s v="كشف صرف"/>
    <n v="0"/>
    <s v="الفرقة الثالثة"/>
    <n v="1"/>
    <d v="2026-06-19T00:00:00"/>
    <m/>
    <m/>
    <n v="2026"/>
    <x v="0"/>
    <n v="19"/>
    <s v="قيـد مقابـل:- (مصاريف  صرفة يومية للافراد  - الاستخبارات - الفرقة الثالثة)  - كشف صرف رقم   كشف صرف - صرف الصرفة اليومية لافراد الاستخبارات عدد 5 افراد بامر"/>
    <n v="0"/>
  </r>
  <r>
    <n v="612"/>
    <s v="JV299"/>
    <x v="14"/>
    <s v="قيد عهده"/>
    <n v="31010101"/>
    <x v="2"/>
    <x v="173"/>
    <x v="0"/>
    <n v="405"/>
    <n v="45000"/>
    <n v="0"/>
    <n v="111.11111111111111"/>
    <n v="0"/>
    <s v="المدفعية"/>
    <s v="كشف صرف"/>
    <s v="كشف صرف"/>
    <n v="0"/>
    <s v="الفرقة الثالثة"/>
    <n v="1"/>
    <d v="2026-06-19T00:00:00"/>
    <m/>
    <m/>
    <n v="2026"/>
    <x v="0"/>
    <n v="19"/>
    <s v="قيـد مقابـل:- (مصاريف  صرفة يومية للافراد  - المدفعية - الفرقة الثالثة)  - كشف صرف رقم   كشف صرف - صرف الصرفة اليومية لافراد المدفعية عدد 5 افراد بامر"/>
    <n v="0"/>
  </r>
  <r>
    <n v="613"/>
    <s v="JV299"/>
    <x v="14"/>
    <s v="قيد عهده"/>
    <n v="11060205"/>
    <x v="16"/>
    <x v="173"/>
    <x v="0"/>
    <n v="405"/>
    <n v="0"/>
    <n v="45000"/>
    <n v="0"/>
    <n v="111.11111111111111"/>
    <s v="المدفعية"/>
    <s v="كشف صرف"/>
    <s v="كشف صرف"/>
    <n v="0"/>
    <s v="الفرقة الثالثة"/>
    <n v="1"/>
    <d v="2026-06-19T00:00:00"/>
    <m/>
    <m/>
    <n v="2026"/>
    <x v="0"/>
    <n v="19"/>
    <s v="قيـد مقابـل:- (مصاريف  صرفة يومية للافراد  - المدفعية - الفرقة الثالثة)  - كشف صرف رقم   كشف صرف - صرف الصرفة اليومية لافراد المدفعية عدد 5 افراد بامر"/>
    <n v="0"/>
  </r>
  <r>
    <n v="614"/>
    <s v="JV300"/>
    <x v="14"/>
    <s v="قيد عهده"/>
    <n v="31010101"/>
    <x v="2"/>
    <x v="175"/>
    <x v="0"/>
    <n v="405"/>
    <n v="80000"/>
    <n v="0"/>
    <n v="197.53086419753086"/>
    <n v="0"/>
    <s v="اخرون"/>
    <s v="كشف صرف"/>
    <s v="كشف صرف"/>
    <n v="0"/>
    <s v="الفرقة الثالثة"/>
    <n v="1"/>
    <d v="2026-06-19T00:00:00"/>
    <m/>
    <m/>
    <n v="2026"/>
    <x v="0"/>
    <n v="19"/>
    <s v="قيـد مقابـل:- (مصاريف  صرفة يومية للافراد  - اخرون - الفرقة الثالثة)  - كشف صرف رقم   كشف صرف - الصرفة اليومية اخرون عدد 9 بامر"/>
    <n v="0"/>
  </r>
  <r>
    <n v="615"/>
    <s v="JV300"/>
    <x v="14"/>
    <s v="قيد عهده"/>
    <n v="11060205"/>
    <x v="16"/>
    <x v="175"/>
    <x v="0"/>
    <n v="405"/>
    <n v="0"/>
    <n v="80000"/>
    <n v="0"/>
    <n v="197.53086419753086"/>
    <s v="اخرون"/>
    <s v="كشف صرف"/>
    <s v="كشف صرف"/>
    <n v="0"/>
    <s v="الفرقة الثالثة"/>
    <n v="1"/>
    <d v="2026-06-19T00:00:00"/>
    <m/>
    <m/>
    <n v="2026"/>
    <x v="0"/>
    <n v="19"/>
    <s v="قيـد مقابـل:- (مصاريف  صرفة يومية للافراد  - اخرون - الفرقة الثالثة)  - كشف صرف رقم   كشف صرف - الصرفة اليومية اخرون عدد 9 بامر"/>
    <n v="0"/>
  </r>
  <r>
    <n v="616"/>
    <s v="JV301"/>
    <x v="14"/>
    <s v="قيد عهده"/>
    <n v="31010101"/>
    <x v="2"/>
    <x v="174"/>
    <x v="0"/>
    <n v="405"/>
    <n v="112000"/>
    <n v="0"/>
    <n v="276.54320987654319"/>
    <n v="0"/>
    <s v="المستشارين والمساعدين"/>
    <s v="كشف صرف"/>
    <s v="كشف صرف"/>
    <n v="0"/>
    <s v="الفرقة الثالثة"/>
    <n v="1"/>
    <d v="2026-06-19T00:00:00"/>
    <m/>
    <m/>
    <n v="2026"/>
    <x v="0"/>
    <n v="19"/>
    <s v="قيـد مقابـل:- (مصاريف  صرفة يومية للافراد  - المستشارين والمساعدين - الفرقة الثالثة)  - كشف صرف رقم   كشف صرف - صرف الصرفة اليومية للمستشارين والمساعدين عدد 11 بامر"/>
    <n v="0"/>
  </r>
  <r>
    <n v="617"/>
    <s v="JV301"/>
    <x v="14"/>
    <s v="قيد عهده"/>
    <n v="11060205"/>
    <x v="16"/>
    <x v="174"/>
    <x v="0"/>
    <n v="405"/>
    <n v="0"/>
    <n v="112000"/>
    <n v="0"/>
    <n v="276.54320987654319"/>
    <s v="المستشارين والمساعدين"/>
    <s v="كشف صرف"/>
    <s v="كشف صرف"/>
    <n v="0"/>
    <s v="الفرقة الثالثة"/>
    <n v="1"/>
    <d v="2026-06-19T00:00:00"/>
    <m/>
    <m/>
    <n v="2026"/>
    <x v="0"/>
    <n v="19"/>
    <s v="قيـد مقابـل:- (مصاريف  صرفة يومية للافراد  - المستشارين والمساعدين - الفرقة الثالثة)  - كشف صرف رقم   كشف صرف - صرف الصرفة اليومية للمستشارين والمساعدين عدد 11 بامر"/>
    <n v="0"/>
  </r>
  <r>
    <n v="618"/>
    <s v="JV302"/>
    <x v="14"/>
    <s v="قيد عهده"/>
    <n v="31010101"/>
    <x v="2"/>
    <x v="209"/>
    <x v="0"/>
    <n v="405"/>
    <n v="33000"/>
    <n v="0"/>
    <n v="81.481481481481481"/>
    <n v="0"/>
    <s v="الاشغال"/>
    <s v="كشف صرف"/>
    <s v="كشف صرف"/>
    <n v="0"/>
    <s v="الفرقة الثالثة"/>
    <n v="1"/>
    <d v="2026-06-19T00:00:00"/>
    <m/>
    <m/>
    <n v="2026"/>
    <x v="0"/>
    <n v="19"/>
    <s v="قيـد مقابـل:- (مصاريف  صرفة يومية للافراد  - الاشغال - الفرقة الثالثة)  - كشف صرف رقم   كشف صرف - صرف الصرفة اليومية لافراد الاشغال عدد 4 افراد بامر"/>
    <n v="0"/>
  </r>
  <r>
    <n v="619"/>
    <s v="JV302"/>
    <x v="14"/>
    <s v="قيد عهده"/>
    <n v="11060205"/>
    <x v="16"/>
    <x v="209"/>
    <x v="0"/>
    <n v="405"/>
    <n v="0"/>
    <n v="33000"/>
    <n v="0"/>
    <n v="81.481481481481481"/>
    <s v="الاشغال"/>
    <s v="كشف صرف"/>
    <s v="كشف صرف"/>
    <n v="0"/>
    <s v="الفرقة الثالثة"/>
    <n v="1"/>
    <d v="2026-06-19T00:00:00"/>
    <m/>
    <m/>
    <n v="2026"/>
    <x v="0"/>
    <n v="19"/>
    <s v="قيـد مقابـل:- (مصاريف  صرفة يومية للافراد  - الاشغال - الفرقة الثالثة)  - كشف صرف رقم   كشف صرف - صرف الصرفة اليومية لافراد الاشغال عدد 4 افراد بامر"/>
    <n v="0"/>
  </r>
  <r>
    <n v="620"/>
    <s v="JV303"/>
    <x v="14"/>
    <s v="قيد عهده"/>
    <n v="31010101"/>
    <x v="2"/>
    <x v="194"/>
    <x v="0"/>
    <n v="405"/>
    <n v="25000"/>
    <n v="0"/>
    <n v="61.728395061728392"/>
    <n v="0"/>
    <s v="مرافقي الاركان"/>
    <s v="كشف صرف"/>
    <s v="كشف صرف"/>
    <n v="0"/>
    <s v="الفرقة الثالثة"/>
    <n v="1"/>
    <d v="2026-06-19T00:00:00"/>
    <m/>
    <m/>
    <n v="2026"/>
    <x v="0"/>
    <n v="19"/>
    <s v="قيـد مقابـل:- (مصاريف  صرفة يومية للافراد  - مرافقي الاركان - الفرقة الثالثة)  - كشف صرف رقم   كشف صرف - صرف الصرفة اليومية لمرافقين الاركان عدد 4 افراد بامر"/>
    <n v="0"/>
  </r>
  <r>
    <n v="621"/>
    <s v="JV303"/>
    <x v="14"/>
    <s v="قيد عهده"/>
    <n v="11060205"/>
    <x v="16"/>
    <x v="194"/>
    <x v="0"/>
    <n v="405"/>
    <n v="0"/>
    <n v="25000"/>
    <n v="0"/>
    <n v="61.728395061728392"/>
    <s v="مرافقي الاركان"/>
    <s v="كشف صرف"/>
    <s v="كشف صرف"/>
    <n v="0"/>
    <s v="الفرقة الثالثة"/>
    <n v="1"/>
    <d v="2026-06-19T00:00:00"/>
    <m/>
    <m/>
    <n v="2026"/>
    <x v="0"/>
    <n v="19"/>
    <s v="قيـد مقابـل:- (مصاريف  صرفة يومية للافراد  - مرافقي الاركان - الفرقة الثالثة)  - كشف صرف رقم   كشف صرف - صرف الصرفة اليومية لمرافقين الاركان عدد 4 افراد بامر"/>
    <n v="0"/>
  </r>
  <r>
    <n v="622"/>
    <s v="JV304"/>
    <x v="14"/>
    <s v="قيد عهده"/>
    <n v="31010101"/>
    <x v="2"/>
    <x v="195"/>
    <x v="0"/>
    <n v="405"/>
    <n v="18000"/>
    <n v="0"/>
    <n v="44.444444444444443"/>
    <n v="0"/>
    <s v="طقم اللواء السابع"/>
    <s v="كشف صرف"/>
    <s v="كشف صرف"/>
    <n v="0"/>
    <s v="الفرقة الثالثة"/>
    <n v="1"/>
    <d v="2026-06-19T00:00:00"/>
    <m/>
    <m/>
    <n v="2026"/>
    <x v="0"/>
    <n v="19"/>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623"/>
    <s v="JV304"/>
    <x v="14"/>
    <s v="قيد عهده"/>
    <n v="11060205"/>
    <x v="16"/>
    <x v="195"/>
    <x v="0"/>
    <n v="405"/>
    <n v="0"/>
    <n v="18000"/>
    <n v="0"/>
    <n v="44.444444444444443"/>
    <s v="طقم اللواء السابع"/>
    <s v="كشف صرف"/>
    <s v="كشف صرف"/>
    <n v="0"/>
    <s v="الفرقة الثالثة"/>
    <n v="1"/>
    <d v="2026-06-19T00:00:00"/>
    <m/>
    <m/>
    <n v="2026"/>
    <x v="0"/>
    <n v="19"/>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624"/>
    <s v="JV305"/>
    <x v="14"/>
    <s v="قيد عهده"/>
    <n v="31010101"/>
    <x v="2"/>
    <x v="210"/>
    <x v="0"/>
    <n v="405"/>
    <n v="100000"/>
    <n v="0"/>
    <n v="246.91358024691357"/>
    <n v="0"/>
    <s v="الضباط السابقين"/>
    <s v="كشف صرف"/>
    <s v="كشف صرف"/>
    <n v="0"/>
    <s v="الفرقة الثالثة"/>
    <n v="1"/>
    <d v="2026-06-19T00:00:00"/>
    <m/>
    <m/>
    <n v="2026"/>
    <x v="0"/>
    <n v="19"/>
    <s v="قيـد مقابـل:- (مصاريف  صرفة يومية للافراد  - الضباط السابقين - الفرقة الثالثة)  - كشف صرف رقم   كشف صرف - صرف الصرفة اليومية للضباط السابقين عدد 10 ضباط بامر"/>
    <n v="0"/>
  </r>
  <r>
    <n v="625"/>
    <s v="JV305"/>
    <x v="14"/>
    <s v="قيد عهده"/>
    <n v="11060205"/>
    <x v="16"/>
    <x v="210"/>
    <x v="0"/>
    <n v="405"/>
    <n v="0"/>
    <n v="100000"/>
    <n v="0"/>
    <n v="246.91358024691357"/>
    <s v="الضباط السابقين"/>
    <s v="كشف صرف"/>
    <s v="كشف صرف"/>
    <n v="0"/>
    <s v="الفرقة الثالثة"/>
    <n v="1"/>
    <d v="2026-06-19T00:00:00"/>
    <m/>
    <m/>
    <n v="2026"/>
    <x v="0"/>
    <n v="19"/>
    <s v="قيـد مقابـل:- (مصاريف  صرفة يومية للافراد  - الضباط السابقين - الفرقة الثالثة)  - كشف صرف رقم   كشف صرف - صرف الصرفة اليومية للضباط السابقين عدد 10 ضباط بامر"/>
    <n v="0"/>
  </r>
  <r>
    <n v="626"/>
    <s v="JV306"/>
    <x v="14"/>
    <s v="قيد عهده"/>
    <n v="11060209"/>
    <x v="17"/>
    <x v="211"/>
    <x v="0"/>
    <n v="405"/>
    <n v="800000"/>
    <n v="0"/>
    <n v="1975.3086419753085"/>
    <n v="0"/>
    <s v="جمال مسدوس"/>
    <s v="استلام نقدي"/>
    <s v="سند استلام"/>
    <s v="100-110"/>
    <s v="الفرقة الثالثة"/>
    <n v="1"/>
    <d v="2026-06-19T00:00:00"/>
    <m/>
    <m/>
    <n v="2026"/>
    <x v="0"/>
    <n v="19"/>
    <s v="قيـد مقابـل:- (عهدة جمال مسدوس - جمال مسدوس - الفرقة الثالثة)  - استلام نقدي رقم 100-110  سند استلام - عهدة المشروع التدريبي بامرالمستشار المالي"/>
    <s v="المستشار المالي"/>
  </r>
  <r>
    <n v="627"/>
    <s v="JV306"/>
    <x v="14"/>
    <s v="قيد عهده"/>
    <n v="11060205"/>
    <x v="16"/>
    <x v="211"/>
    <x v="0"/>
    <n v="405"/>
    <n v="0"/>
    <n v="800000"/>
    <n v="0"/>
    <n v="1975.3086419753085"/>
    <s v="جمال مسدوس"/>
    <s v="استلام نقدي"/>
    <s v="سند استلام"/>
    <s v="100-110"/>
    <s v="الفرقة الثالثة"/>
    <n v="1"/>
    <d v="2026-06-19T00:00:00"/>
    <m/>
    <m/>
    <n v="2026"/>
    <x v="0"/>
    <n v="19"/>
    <s v="قيـد مقابـل:- (عهدة جمال مسدوس - جمال مسدوس - الفرقة الثالثة)  - استلام نقدي رقم 100-110  سند استلام - عهدة المشروع التدريبي بامرالمستشار المالي"/>
    <s v="المستشار المالي"/>
  </r>
  <r>
    <n v="628"/>
    <s v="JV307"/>
    <x v="14"/>
    <s v="قيد عهده"/>
    <n v="31010109"/>
    <x v="12"/>
    <x v="212"/>
    <x v="0"/>
    <n v="405"/>
    <n v="50000"/>
    <n v="0"/>
    <n v="123.45679012345678"/>
    <n v="0"/>
    <s v="الركن المالي"/>
    <s v="استلام نقدي"/>
    <s v="سند استلام"/>
    <n v="0"/>
    <s v="الفرقة الثالثة"/>
    <n v="1"/>
    <d v="2026-06-19T00:00:00"/>
    <m/>
    <m/>
    <n v="2026"/>
    <x v="0"/>
    <n v="19"/>
    <s v="قيـد مقابـل:- (مصاريف نثريات أخرى - الركن المالي - الفرقة الثالثة)  - استلام نقدي رقم   سند استلام - نثريات عمل الركن المالي مع المحاسبين بامرالأركان جمال مسدوس"/>
    <s v="الأركان جمال مسدوس"/>
  </r>
  <r>
    <n v="629"/>
    <s v="JV307"/>
    <x v="14"/>
    <s v="قيد عهده"/>
    <n v="11060205"/>
    <x v="16"/>
    <x v="212"/>
    <x v="0"/>
    <n v="405"/>
    <n v="0"/>
    <n v="50000"/>
    <n v="0"/>
    <n v="123.45679012345678"/>
    <s v="الركن المالي"/>
    <s v="استلام نقدي"/>
    <s v="سند استلام"/>
    <n v="0"/>
    <s v="الفرقة الثالثة"/>
    <n v="1"/>
    <d v="2026-06-19T00:00:00"/>
    <m/>
    <m/>
    <n v="2026"/>
    <x v="0"/>
    <n v="19"/>
    <s v="قيـد مقابـل:- (مصاريف نثريات أخرى - الركن المالي - الفرقة الثالثة)  - استلام نقدي رقم   سند استلام - نثريات عمل الركن المالي مع المحاسبين بامرالأركان جمال مسدوس"/>
    <s v="الأركان جمال مسدوس"/>
  </r>
  <r>
    <n v="630"/>
    <s v="JV308"/>
    <x v="14"/>
    <s v="قيد عهده"/>
    <n v="31010101"/>
    <x v="2"/>
    <x v="213"/>
    <x v="0"/>
    <n v="405"/>
    <n v="20000"/>
    <n v="0"/>
    <n v="49.382716049382715"/>
    <n v="0"/>
    <s v="اركان اللواء السادس"/>
    <s v="استلام نقدي"/>
    <s v="سند استلام"/>
    <s v="100-40"/>
    <s v="اللواء السادس"/>
    <n v="7"/>
    <d v="2026-06-19T00:00:00"/>
    <m/>
    <m/>
    <n v="2026"/>
    <x v="0"/>
    <n v="19"/>
    <s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
    <s v="المستشار المالي"/>
  </r>
  <r>
    <n v="631"/>
    <s v="JV308"/>
    <x v="14"/>
    <s v="قيد عهده"/>
    <n v="11060205"/>
    <x v="16"/>
    <x v="213"/>
    <x v="0"/>
    <n v="405"/>
    <n v="0"/>
    <n v="20000"/>
    <n v="0"/>
    <n v="49.382716049382715"/>
    <s v="اركان اللواء السادس"/>
    <s v="استلام نقدي"/>
    <s v="سند استلام"/>
    <s v="100-40"/>
    <s v="اللواء السادس"/>
    <n v="7"/>
    <d v="2026-06-19T00:00:00"/>
    <m/>
    <m/>
    <n v="2026"/>
    <x v="0"/>
    <n v="19"/>
    <s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
    <s v="المستشار المالي"/>
  </r>
  <r>
    <n v="632"/>
    <s v="JV309"/>
    <x v="14"/>
    <s v="قيد عهده"/>
    <n v="31010109"/>
    <x v="12"/>
    <x v="214"/>
    <x v="0"/>
    <n v="405"/>
    <n v="25000"/>
    <n v="0"/>
    <n v="61.728395061728392"/>
    <n v="0"/>
    <s v="عمال"/>
    <s v="استلام نقدي"/>
    <s v="سند استلام"/>
    <s v="100-43"/>
    <s v="الفرقة الثالثة"/>
    <n v="1"/>
    <d v="2026-06-19T00:00:00"/>
    <m/>
    <m/>
    <n v="2026"/>
    <x v="0"/>
    <n v="19"/>
    <s v="قيـد مقابـل:- (مصاريف نثريات أخرى - عمال - الفرقة الثالثة)  - استلام نقدي رقم 100-43  سند استلام - صرف اجور 5 عمال انزال المهام الى مستودعات الامداد  بامر"/>
    <n v="0"/>
  </r>
  <r>
    <n v="633"/>
    <s v="JV309"/>
    <x v="14"/>
    <s v="قيد عهده"/>
    <n v="11060205"/>
    <x v="16"/>
    <x v="214"/>
    <x v="0"/>
    <n v="405"/>
    <n v="0"/>
    <n v="25000"/>
    <n v="0"/>
    <n v="61.728395061728392"/>
    <s v="عمال"/>
    <s v="استلام نقدي"/>
    <s v="سند استلام"/>
    <s v="100-43"/>
    <s v="الفرقة الثالثة"/>
    <n v="1"/>
    <d v="2026-06-19T00:00:00"/>
    <m/>
    <m/>
    <n v="2026"/>
    <x v="0"/>
    <n v="19"/>
    <s v="قيـد مقابـل:- (مصاريف نثريات أخرى - عمال - الفرقة الثالثة)  - استلام نقدي رقم 100-43  سند استلام - صرف اجور 5 عمال انزال المهام الى مستودعات الامداد  بامر"/>
    <n v="0"/>
  </r>
  <r>
    <n v="634"/>
    <s v="JV310"/>
    <x v="14"/>
    <s v="قيد عهده"/>
    <n v="31010109"/>
    <x v="12"/>
    <x v="215"/>
    <x v="1"/>
    <n v="1"/>
    <n v="500"/>
    <n v="0"/>
    <n v="500"/>
    <n v="0"/>
    <s v="اطقم اللواء السابع مهمة معسكر العفاريت"/>
    <s v="استلام نقدي"/>
    <s v="سند استلام"/>
    <s v="100-45"/>
    <s v="الفرقة الثالثة"/>
    <n v="1"/>
    <d v="2026-06-19T00:00:00"/>
    <m/>
    <m/>
    <n v="2026"/>
    <x v="0"/>
    <n v="19"/>
    <s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
    <s v="القائد"/>
  </r>
  <r>
    <n v="635"/>
    <s v="JV310"/>
    <x v="14"/>
    <s v="قيد عهده"/>
    <n v="11060205"/>
    <x v="16"/>
    <x v="215"/>
    <x v="1"/>
    <n v="1"/>
    <n v="0"/>
    <n v="500"/>
    <n v="0"/>
    <n v="500"/>
    <s v="اطقم اللواء السابع مهمة معسكر العفاريت"/>
    <s v="استلام نقدي"/>
    <s v="سند استلام"/>
    <s v="100-45"/>
    <s v="الفرقة الثالثة"/>
    <n v="1"/>
    <d v="2026-06-19T00:00:00"/>
    <m/>
    <m/>
    <n v="2026"/>
    <x v="0"/>
    <n v="19"/>
    <s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
    <s v="القائد"/>
  </r>
  <r>
    <n v="636"/>
    <s v="JV311"/>
    <x v="14"/>
    <s v="قيد عهده"/>
    <n v="31010114"/>
    <x v="4"/>
    <x v="216"/>
    <x v="1"/>
    <n v="1"/>
    <n v="500"/>
    <n v="0"/>
    <n v="500"/>
    <n v="0"/>
    <s v="مدير دائرة الاتصالات"/>
    <s v="استلام نقدي"/>
    <s v="سند استلام"/>
    <s v="100-119"/>
    <s v="الفرقة الثالثة"/>
    <n v="1"/>
    <d v="2026-06-19T00:00:00"/>
    <m/>
    <m/>
    <n v="2026"/>
    <x v="0"/>
    <n v="19"/>
    <s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
    <s v="المستشار المالي"/>
  </r>
  <r>
    <n v="637"/>
    <s v="JV311"/>
    <x v="14"/>
    <s v="قيد عهده"/>
    <n v="11060205"/>
    <x v="16"/>
    <x v="216"/>
    <x v="1"/>
    <n v="1"/>
    <n v="0"/>
    <n v="500"/>
    <n v="0"/>
    <n v="500"/>
    <s v="مدير دائرة الاتصالات"/>
    <s v="استلام نقدي"/>
    <s v="سند استلام"/>
    <s v="100-119"/>
    <s v="الفرقة الثالثة"/>
    <n v="1"/>
    <d v="2026-06-19T00:00:00"/>
    <m/>
    <m/>
    <n v="2026"/>
    <x v="0"/>
    <n v="19"/>
    <s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
    <s v="المستشار المالي"/>
  </r>
  <r>
    <n v="638"/>
    <s v="JV312"/>
    <x v="14"/>
    <s v="قيد عهده"/>
    <n v="31010109"/>
    <x v="12"/>
    <x v="217"/>
    <x v="1"/>
    <n v="1"/>
    <n v="500"/>
    <n v="0"/>
    <n v="500"/>
    <n v="0"/>
    <s v="عدنان سرحان احمد عبدالله"/>
    <s v="استلام نقدي"/>
    <s v="سند استلام"/>
    <s v="100-101"/>
    <s v="الفرقة الثالثة"/>
    <n v="1"/>
    <d v="2026-06-19T00:00:00"/>
    <m/>
    <m/>
    <n v="2026"/>
    <x v="0"/>
    <n v="19"/>
    <s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
    <s v="المستشار المالي"/>
  </r>
  <r>
    <n v="639"/>
    <s v="JV312"/>
    <x v="14"/>
    <s v="قيد عهده"/>
    <n v="11060205"/>
    <x v="16"/>
    <x v="217"/>
    <x v="1"/>
    <n v="1"/>
    <n v="0"/>
    <n v="500"/>
    <n v="0"/>
    <n v="500"/>
    <s v="عدنان سرحان احمد عبدالله"/>
    <s v="استلام نقدي"/>
    <s v="سند استلام"/>
    <s v="100-101"/>
    <s v="الفرقة الثالثة"/>
    <n v="1"/>
    <d v="2026-06-19T00:00:00"/>
    <m/>
    <m/>
    <n v="2026"/>
    <x v="0"/>
    <n v="19"/>
    <s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
    <s v="المستشار المالي"/>
  </r>
  <r>
    <n v="640"/>
    <s v="JV313"/>
    <x v="17"/>
    <s v="قيد عهده"/>
    <n v="31010101"/>
    <x v="2"/>
    <x v="218"/>
    <x v="0"/>
    <n v="405"/>
    <n v="52000"/>
    <n v="0"/>
    <n v="128.39506172839506"/>
    <n v="0"/>
    <s v="السيطرة والاتصالات"/>
    <s v="كشف صرف"/>
    <s v="كشف صرف"/>
    <n v="0"/>
    <s v="الفرقة الثالثة"/>
    <n v="1"/>
    <d v="2026-06-20T00:00:00"/>
    <m/>
    <m/>
    <n v="2026"/>
    <x v="0"/>
    <n v="20"/>
    <s v="قيـد مقابـل:- (مصاريف  صرفة يومية للافراد  - السيطرة والاتصالات - الفرقة الثالثة)  - كشف صرف رقم   كشف صرف - صرف الصرفة اليومية للسيطرة والاتصالات لعدد10 بامر"/>
    <n v="0"/>
  </r>
  <r>
    <n v="641"/>
    <s v="JV313"/>
    <x v="17"/>
    <s v="قيد عهده"/>
    <n v="11060205"/>
    <x v="16"/>
    <x v="218"/>
    <x v="0"/>
    <n v="405"/>
    <n v="0"/>
    <n v="52000"/>
    <n v="0"/>
    <n v="128.39506172839506"/>
    <s v="السيطرة والاتصالات"/>
    <s v="كشف صرف"/>
    <s v="كشف صرف"/>
    <n v="0"/>
    <s v="الفرقة الثالثة"/>
    <n v="1"/>
    <d v="2026-06-20T00:00:00"/>
    <m/>
    <m/>
    <n v="2026"/>
    <x v="0"/>
    <n v="20"/>
    <s v="قيـد مقابـل:- (مصاريف  صرفة يومية للافراد  - السيطرة والاتصالات - الفرقة الثالثة)  - كشف صرف رقم   كشف صرف - صرف الصرفة اليومية للسيطرة والاتصالات لعدد10 بامر"/>
    <n v="0"/>
  </r>
  <r>
    <n v="642"/>
    <s v="JV314"/>
    <x v="17"/>
    <s v="قيد عهده"/>
    <n v="31010101"/>
    <x v="2"/>
    <x v="156"/>
    <x v="0"/>
    <n v="405"/>
    <n v="70000"/>
    <n v="0"/>
    <n v="172.83950617283949"/>
    <n v="0"/>
    <s v="الامداد"/>
    <s v="كشف صرف"/>
    <s v="كشف صرف"/>
    <n v="0"/>
    <s v="الفرقة الثالثة"/>
    <n v="1"/>
    <d v="2026-06-20T00:00:00"/>
    <m/>
    <m/>
    <n v="2026"/>
    <x v="0"/>
    <n v="20"/>
    <s v="قيـد مقابـل:- (مصاريف  صرفة يومية للافراد  - الامداد - الفرقة الثالثة)  - كشف صرف رقم   كشف صرف - صرف الصرفة اليومية  لافراد الامداد لعدد 6 فرد بامر"/>
    <n v="0"/>
  </r>
  <r>
    <n v="643"/>
    <s v="JV314"/>
    <x v="17"/>
    <s v="قيد عهده"/>
    <n v="11060205"/>
    <x v="16"/>
    <x v="156"/>
    <x v="0"/>
    <n v="405"/>
    <n v="0"/>
    <n v="70000"/>
    <n v="0"/>
    <n v="172.83950617283949"/>
    <s v="الامداد"/>
    <s v="كشف صرف"/>
    <s v="كشف صرف"/>
    <n v="0"/>
    <s v="الفرقة الثالثة"/>
    <n v="1"/>
    <d v="2026-06-20T00:00:00"/>
    <m/>
    <m/>
    <n v="2026"/>
    <x v="0"/>
    <n v="20"/>
    <s v="قيـد مقابـل:- (مصاريف  صرفة يومية للافراد  - الامداد - الفرقة الثالثة)  - كشف صرف رقم   كشف صرف - صرف الصرفة اليومية  لافراد الامداد لعدد 6 فرد بامر"/>
    <n v="0"/>
  </r>
  <r>
    <n v="644"/>
    <s v="JV315"/>
    <x v="17"/>
    <s v="قيد عهده"/>
    <n v="31010101"/>
    <x v="2"/>
    <x v="168"/>
    <x v="0"/>
    <n v="405"/>
    <n v="23000"/>
    <n v="0"/>
    <n v="56.790123456790127"/>
    <n v="0"/>
    <s v="طبية"/>
    <s v="كشف صرف"/>
    <s v="كشف صرف"/>
    <n v="0"/>
    <s v="الفرقة الثالثة"/>
    <n v="1"/>
    <d v="2026-06-20T00:00:00"/>
    <m/>
    <m/>
    <n v="2026"/>
    <x v="0"/>
    <n v="20"/>
    <s v="قيـد مقابـل:- (مصاريف  صرفة يومية للافراد  - طبية - الفرقة الثالثة)  - كشف صرف رقم   كشف صرف - صرف الصرفة اليومية لافراد الطبية عدد 3 افراد بامر"/>
    <n v="0"/>
  </r>
  <r>
    <n v="645"/>
    <s v="JV315"/>
    <x v="17"/>
    <s v="قيد عهده"/>
    <n v="11060205"/>
    <x v="16"/>
    <x v="168"/>
    <x v="0"/>
    <n v="405"/>
    <n v="0"/>
    <n v="23000"/>
    <n v="0"/>
    <n v="56.790123456790127"/>
    <s v="طبية"/>
    <s v="كشف صرف"/>
    <s v="كشف صرف"/>
    <n v="0"/>
    <s v="الفرقة الثالثة"/>
    <n v="1"/>
    <d v="2026-06-20T00:00:00"/>
    <m/>
    <m/>
    <n v="2026"/>
    <x v="0"/>
    <n v="20"/>
    <s v="قيـد مقابـل:- (مصاريف  صرفة يومية للافراد  - طبية - الفرقة الثالثة)  - كشف صرف رقم   كشف صرف - صرف الصرفة اليومية لافراد الطبية عدد 3 افراد بامر"/>
    <n v="0"/>
  </r>
  <r>
    <n v="646"/>
    <s v="JV316"/>
    <x v="17"/>
    <s v="قيد عهده"/>
    <n v="31010101"/>
    <x v="2"/>
    <x v="169"/>
    <x v="0"/>
    <n v="405"/>
    <n v="31000"/>
    <n v="0"/>
    <n v="76.543209876543216"/>
    <n v="0"/>
    <s v="قسم المشتريات"/>
    <s v="كشف صرف"/>
    <s v="كشف صرف"/>
    <n v="0"/>
    <s v="الفرقة الثالثة"/>
    <n v="1"/>
    <d v="2026-06-20T00:00:00"/>
    <m/>
    <m/>
    <n v="2026"/>
    <x v="0"/>
    <n v="20"/>
    <s v="قيـد مقابـل:- (مصاريف  صرفة يومية للافراد  - قسم المشتريات - الفرقة الثالثة)  - كشف صرف رقم   كشف صرف - صرف الصرفة اليومية لافراد قسم المشتريات عدد3 بامر"/>
    <n v="0"/>
  </r>
  <r>
    <n v="647"/>
    <s v="JV316"/>
    <x v="17"/>
    <s v="قيد عهده"/>
    <n v="11060205"/>
    <x v="16"/>
    <x v="169"/>
    <x v="0"/>
    <n v="405"/>
    <n v="0"/>
    <n v="31000"/>
    <n v="0"/>
    <n v="76.543209876543216"/>
    <s v="قسم المشتريات"/>
    <s v="كشف صرف"/>
    <s v="كشف صرف"/>
    <n v="0"/>
    <s v="الفرقة الثالثة"/>
    <n v="1"/>
    <d v="2026-06-20T00:00:00"/>
    <m/>
    <m/>
    <n v="2026"/>
    <x v="0"/>
    <n v="20"/>
    <s v="قيـد مقابـل:- (مصاريف  صرفة يومية للافراد  - قسم المشتريات - الفرقة الثالثة)  - كشف صرف رقم   كشف صرف - صرف الصرفة اليومية لافراد قسم المشتريات عدد3 بامر"/>
    <n v="0"/>
  </r>
  <r>
    <n v="648"/>
    <s v="JV317"/>
    <x v="17"/>
    <s v="قيد عهده"/>
    <n v="31010101"/>
    <x v="2"/>
    <x v="219"/>
    <x v="0"/>
    <n v="405"/>
    <n v="30000"/>
    <n v="0"/>
    <n v="74.074074074074076"/>
    <n v="0"/>
    <s v="الاستطلاع"/>
    <s v="كشف صرف"/>
    <s v="كشف صرف"/>
    <n v="0"/>
    <s v="الفرقة الثالثة"/>
    <n v="1"/>
    <d v="2026-06-20T00:00:00"/>
    <m/>
    <m/>
    <n v="2026"/>
    <x v="0"/>
    <n v="20"/>
    <s v="قيـد مقابـل:- (مصاريف  صرفة يومية للافراد  - الاستطلاع - الفرقة الثالثة)  - كشف صرف رقم   كشف صرف - صرف الصرفة اليومية لافراد الاستطلاع عدد 2 افراد  بامر"/>
    <n v="0"/>
  </r>
  <r>
    <n v="649"/>
    <s v="JV317"/>
    <x v="17"/>
    <s v="قيد عهده"/>
    <n v="11060205"/>
    <x v="16"/>
    <x v="219"/>
    <x v="0"/>
    <n v="405"/>
    <n v="0"/>
    <n v="30000"/>
    <n v="0"/>
    <n v="74.074074074074076"/>
    <s v="الاستطلاع"/>
    <s v="كشف صرف"/>
    <s v="كشف صرف"/>
    <n v="0"/>
    <s v="الفرقة الثالثة"/>
    <n v="1"/>
    <d v="2026-06-20T00:00:00"/>
    <m/>
    <m/>
    <n v="2026"/>
    <x v="0"/>
    <n v="20"/>
    <s v="قيـد مقابـل:- (مصاريف  صرفة يومية للافراد  - الاستطلاع - الفرقة الثالثة)  - كشف صرف رقم   كشف صرف - صرف الصرفة اليومية لافراد الاستطلاع عدد 2 افراد  بامر"/>
    <n v="0"/>
  </r>
  <r>
    <n v="650"/>
    <s v="JV318"/>
    <x v="17"/>
    <s v="قيد عهده"/>
    <n v="31010101"/>
    <x v="2"/>
    <x v="190"/>
    <x v="0"/>
    <n v="405"/>
    <n v="25000"/>
    <n v="0"/>
    <n v="61.728395061728392"/>
    <n v="0"/>
    <s v="المحاسبين"/>
    <s v="كشف صرف"/>
    <s v="كشف صرف"/>
    <n v="0"/>
    <s v="الفرقة الثالثة"/>
    <n v="1"/>
    <d v="2026-06-20T00:00:00"/>
    <m/>
    <m/>
    <n v="2026"/>
    <x v="0"/>
    <n v="20"/>
    <s v="قيـد مقابـل:- (مصاريف  صرفة يومية للافراد  - المحاسبين - الفرقة الثالثة)  - كشف صرف رقم   كشف صرف - صرف الصرفة اليومية للمحاسبين عدد2 بامر"/>
    <n v="0"/>
  </r>
  <r>
    <n v="651"/>
    <s v="JV318"/>
    <x v="17"/>
    <s v="قيد عهده"/>
    <n v="11060205"/>
    <x v="16"/>
    <x v="190"/>
    <x v="0"/>
    <n v="405"/>
    <n v="0"/>
    <n v="25000"/>
    <n v="0"/>
    <n v="61.728395061728392"/>
    <s v="المحاسبين"/>
    <s v="كشف صرف"/>
    <s v="كشف صرف"/>
    <n v="0"/>
    <s v="الفرقة الثالثة"/>
    <n v="1"/>
    <d v="2026-06-20T00:00:00"/>
    <m/>
    <m/>
    <n v="2026"/>
    <x v="0"/>
    <n v="20"/>
    <s v="قيـد مقابـل:- (مصاريف  صرفة يومية للافراد  - المحاسبين - الفرقة الثالثة)  - كشف صرف رقم   كشف صرف - صرف الصرفة اليومية للمحاسبين عدد2 بامر"/>
    <n v="0"/>
  </r>
  <r>
    <n v="652"/>
    <s v="JV319"/>
    <x v="17"/>
    <s v="قيد عهده"/>
    <n v="31010101"/>
    <x v="2"/>
    <x v="208"/>
    <x v="0"/>
    <n v="405"/>
    <n v="15000"/>
    <n v="0"/>
    <n v="37.037037037037038"/>
    <n v="0"/>
    <s v="البشرية"/>
    <s v="كشف صرف"/>
    <s v="كشف صرف"/>
    <n v="0"/>
    <s v="الفرقة الثالثة"/>
    <n v="1"/>
    <d v="2026-06-20T00:00:00"/>
    <m/>
    <m/>
    <n v="2026"/>
    <x v="0"/>
    <n v="20"/>
    <s v="قيـد مقابـل:- (مصاريف  صرفة يومية للافراد  - البشرية - الفرقة الثالثة)  - كشف صرف رقم   كشف صرف - صرف الصرفة اليومية لافراد البشرية عدد1 بامر"/>
    <n v="0"/>
  </r>
  <r>
    <n v="653"/>
    <s v="JV319"/>
    <x v="17"/>
    <s v="قيد عهده"/>
    <n v="11060205"/>
    <x v="16"/>
    <x v="208"/>
    <x v="0"/>
    <n v="405"/>
    <n v="0"/>
    <n v="15000"/>
    <n v="0"/>
    <n v="37.037037037037038"/>
    <s v="البشرية"/>
    <s v="كشف صرف"/>
    <s v="كشف صرف"/>
    <n v="0"/>
    <s v="الفرقة الثالثة"/>
    <n v="1"/>
    <d v="2026-06-20T00:00:00"/>
    <m/>
    <m/>
    <n v="2026"/>
    <x v="0"/>
    <n v="20"/>
    <s v="قيـد مقابـل:- (مصاريف  صرفة يومية للافراد  - البشرية - الفرقة الثالثة)  - كشف صرف رقم   كشف صرف - صرف الصرفة اليومية لافراد البشرية عدد1 بامر"/>
    <n v="0"/>
  </r>
  <r>
    <n v="654"/>
    <s v="JV320"/>
    <x v="17"/>
    <s v="قيد عهده"/>
    <n v="31010101"/>
    <x v="2"/>
    <x v="192"/>
    <x v="0"/>
    <n v="405"/>
    <n v="80000"/>
    <n v="0"/>
    <n v="197.53086419753086"/>
    <n v="0"/>
    <s v="الاستخبارات"/>
    <s v="كشف صرف"/>
    <s v="كشف صرف"/>
    <n v="0"/>
    <s v="الفرقة الثالثة"/>
    <n v="1"/>
    <d v="2026-06-20T00:00:00"/>
    <m/>
    <m/>
    <n v="2026"/>
    <x v="0"/>
    <n v="20"/>
    <s v="قيـد مقابـل:- (مصاريف  صرفة يومية للافراد  - الاستخبارات - الفرقة الثالثة)  - كشف صرف رقم   كشف صرف - صرف الصرفة اليومية لافراد الاستخبارات عدد 5 افراد بامر"/>
    <n v="0"/>
  </r>
  <r>
    <n v="655"/>
    <s v="JV320"/>
    <x v="17"/>
    <s v="قيد عهده"/>
    <n v="11060205"/>
    <x v="16"/>
    <x v="192"/>
    <x v="0"/>
    <n v="405"/>
    <n v="0"/>
    <n v="80000"/>
    <n v="0"/>
    <n v="197.53086419753086"/>
    <s v="الاستخبارات"/>
    <s v="كشف صرف"/>
    <s v="كشف صرف"/>
    <n v="0"/>
    <s v="الفرقة الثالثة"/>
    <n v="1"/>
    <d v="2026-06-20T00:00:00"/>
    <m/>
    <m/>
    <n v="2026"/>
    <x v="0"/>
    <n v="20"/>
    <s v="قيـد مقابـل:- (مصاريف  صرفة يومية للافراد  - الاستخبارات - الفرقة الثالثة)  - كشف صرف رقم   كشف صرف - صرف الصرفة اليومية لافراد الاستخبارات عدد 5 افراد بامر"/>
    <n v="0"/>
  </r>
  <r>
    <n v="656"/>
    <s v="JV321"/>
    <x v="17"/>
    <s v="قيد عهده"/>
    <n v="31010101"/>
    <x v="2"/>
    <x v="173"/>
    <x v="0"/>
    <n v="405"/>
    <n v="45000"/>
    <n v="0"/>
    <n v="111.11111111111111"/>
    <n v="0"/>
    <s v="المدفعية"/>
    <s v="كشف صرف"/>
    <s v="كشف صرف"/>
    <n v="0"/>
    <s v="الفرقة الثالثة"/>
    <n v="1"/>
    <d v="2026-06-20T00:00:00"/>
    <m/>
    <m/>
    <n v="2026"/>
    <x v="0"/>
    <n v="20"/>
    <s v="قيـد مقابـل:- (مصاريف  صرفة يومية للافراد  - المدفعية - الفرقة الثالثة)  - كشف صرف رقم   كشف صرف - صرف الصرفة اليومية لافراد المدفعية عدد 5 افراد بامر"/>
    <n v="0"/>
  </r>
  <r>
    <n v="657"/>
    <s v="JV321"/>
    <x v="17"/>
    <s v="قيد عهده"/>
    <n v="11060205"/>
    <x v="16"/>
    <x v="173"/>
    <x v="0"/>
    <n v="405"/>
    <n v="0"/>
    <n v="45000"/>
    <n v="0"/>
    <n v="111.11111111111111"/>
    <s v="المدفعية"/>
    <s v="كشف صرف"/>
    <s v="كشف صرف"/>
    <n v="0"/>
    <s v="الفرقة الثالثة"/>
    <n v="1"/>
    <d v="2026-06-20T00:00:00"/>
    <m/>
    <m/>
    <n v="2026"/>
    <x v="0"/>
    <n v="20"/>
    <s v="قيـد مقابـل:- (مصاريف  صرفة يومية للافراد  - المدفعية - الفرقة الثالثة)  - كشف صرف رقم   كشف صرف - صرف الصرفة اليومية لافراد المدفعية عدد 5 افراد بامر"/>
    <n v="0"/>
  </r>
  <r>
    <n v="658"/>
    <s v="JV322"/>
    <x v="17"/>
    <s v="قيد عهده"/>
    <n v="31010101"/>
    <x v="2"/>
    <x v="175"/>
    <x v="0"/>
    <n v="405"/>
    <n v="80000"/>
    <n v="0"/>
    <n v="197.53086419753086"/>
    <n v="0"/>
    <s v="اخرون"/>
    <s v="كشف صرف"/>
    <s v="كشف صرف"/>
    <n v="0"/>
    <s v="الفرقة الثالثة"/>
    <n v="1"/>
    <d v="2026-06-20T00:00:00"/>
    <m/>
    <m/>
    <n v="2026"/>
    <x v="0"/>
    <n v="20"/>
    <s v="قيـد مقابـل:- (مصاريف  صرفة يومية للافراد  - اخرون - الفرقة الثالثة)  - كشف صرف رقم   كشف صرف - الصرفة اليومية اخرون عدد 9 بامر"/>
    <n v="0"/>
  </r>
  <r>
    <n v="659"/>
    <s v="JV322"/>
    <x v="17"/>
    <s v="قيد عهده"/>
    <n v="11060205"/>
    <x v="16"/>
    <x v="175"/>
    <x v="0"/>
    <n v="405"/>
    <n v="0"/>
    <n v="80000"/>
    <n v="0"/>
    <n v="197.53086419753086"/>
    <s v="اخرون"/>
    <s v="كشف صرف"/>
    <s v="كشف صرف"/>
    <n v="0"/>
    <s v="الفرقة الثالثة"/>
    <n v="1"/>
    <d v="2026-06-20T00:00:00"/>
    <m/>
    <m/>
    <n v="2026"/>
    <x v="0"/>
    <n v="20"/>
    <s v="قيـد مقابـل:- (مصاريف  صرفة يومية للافراد  - اخرون - الفرقة الثالثة)  - كشف صرف رقم   كشف صرف - الصرفة اليومية اخرون عدد 9 بامر"/>
    <n v="0"/>
  </r>
  <r>
    <n v="660"/>
    <s v="JV323"/>
    <x v="17"/>
    <s v="قيد عهده"/>
    <n v="31010101"/>
    <x v="2"/>
    <x v="209"/>
    <x v="0"/>
    <n v="405"/>
    <n v="35000"/>
    <n v="0"/>
    <n v="86.419753086419746"/>
    <n v="0"/>
    <s v="الاشغال"/>
    <s v="كشف صرف"/>
    <s v="كشف صرف"/>
    <n v="0"/>
    <s v="الفرقة الثالثة"/>
    <n v="1"/>
    <d v="2026-06-20T00:00:00"/>
    <m/>
    <m/>
    <n v="2026"/>
    <x v="0"/>
    <n v="20"/>
    <s v="قيـد مقابـل:- (مصاريف  صرفة يومية للافراد  - الاشغال - الفرقة الثالثة)  - كشف صرف رقم   كشف صرف - صرف الصرفة اليومية لافراد الاشغال عدد 4 افراد بامر"/>
    <n v="0"/>
  </r>
  <r>
    <n v="661"/>
    <s v="JV323"/>
    <x v="17"/>
    <s v="قيد عهده"/>
    <n v="11060205"/>
    <x v="16"/>
    <x v="209"/>
    <x v="0"/>
    <n v="405"/>
    <n v="0"/>
    <n v="35000"/>
    <n v="0"/>
    <n v="86.419753086419746"/>
    <s v="الاشغال"/>
    <s v="كشف صرف"/>
    <s v="كشف صرف"/>
    <n v="0"/>
    <s v="الفرقة الثالثة"/>
    <n v="1"/>
    <d v="2026-06-20T00:00:00"/>
    <m/>
    <m/>
    <n v="2026"/>
    <x v="0"/>
    <n v="20"/>
    <s v="قيـد مقابـل:- (مصاريف  صرفة يومية للافراد  - الاشغال - الفرقة الثالثة)  - كشف صرف رقم   كشف صرف - صرف الصرفة اليومية لافراد الاشغال عدد 4 افراد بامر"/>
    <n v="0"/>
  </r>
  <r>
    <n v="662"/>
    <s v="JV324"/>
    <x v="17"/>
    <s v="قيد عهده"/>
    <n v="31010101"/>
    <x v="2"/>
    <x v="194"/>
    <x v="0"/>
    <n v="405"/>
    <n v="25000"/>
    <n v="0"/>
    <n v="61.728395061728392"/>
    <n v="0"/>
    <s v="مرافقي الاركان"/>
    <s v="كشف صرف"/>
    <s v="كشف صرف"/>
    <n v="0"/>
    <s v="الفرقة الثالثة"/>
    <n v="1"/>
    <d v="2026-06-20T00:00:00"/>
    <m/>
    <m/>
    <n v="2026"/>
    <x v="0"/>
    <n v="20"/>
    <s v="قيـد مقابـل:- (مصاريف  صرفة يومية للافراد  - مرافقي الاركان - الفرقة الثالثة)  - كشف صرف رقم   كشف صرف - صرف الصرفة اليومية لمرافقين الاركان عدد 4 افراد بامر"/>
    <n v="0"/>
  </r>
  <r>
    <n v="663"/>
    <s v="JV324"/>
    <x v="17"/>
    <s v="قيد عهده"/>
    <n v="11060205"/>
    <x v="16"/>
    <x v="194"/>
    <x v="0"/>
    <n v="405"/>
    <n v="0"/>
    <n v="25000"/>
    <n v="0"/>
    <n v="61.728395061728392"/>
    <s v="مرافقي الاركان"/>
    <s v="كشف صرف"/>
    <s v="كشف صرف"/>
    <n v="0"/>
    <s v="الفرقة الثالثة"/>
    <n v="1"/>
    <d v="2026-06-20T00:00:00"/>
    <m/>
    <m/>
    <n v="2026"/>
    <x v="0"/>
    <n v="20"/>
    <s v="قيـد مقابـل:- (مصاريف  صرفة يومية للافراد  - مرافقي الاركان - الفرقة الثالثة)  - كشف صرف رقم   كشف صرف - صرف الصرفة اليومية لمرافقين الاركان عدد 4 افراد بامر"/>
    <n v="0"/>
  </r>
  <r>
    <n v="664"/>
    <s v="JV325"/>
    <x v="17"/>
    <s v="قيد عهده"/>
    <n v="31010101"/>
    <x v="2"/>
    <x v="195"/>
    <x v="0"/>
    <n v="405"/>
    <n v="18000"/>
    <n v="0"/>
    <n v="44.444444444444443"/>
    <n v="0"/>
    <s v="طقم اللواء السابع"/>
    <s v="كشف صرف"/>
    <s v="كشف صرف"/>
    <n v="0"/>
    <s v="الفرقة الثالثة"/>
    <n v="1"/>
    <d v="2026-06-20T00:00:00"/>
    <m/>
    <m/>
    <n v="2026"/>
    <x v="0"/>
    <n v="20"/>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665"/>
    <s v="JV325"/>
    <x v="17"/>
    <s v="قيد عهده"/>
    <n v="11060205"/>
    <x v="16"/>
    <x v="195"/>
    <x v="0"/>
    <n v="405"/>
    <n v="0"/>
    <n v="18000"/>
    <n v="0"/>
    <n v="44.444444444444443"/>
    <s v="طقم اللواء السابع"/>
    <s v="كشف صرف"/>
    <s v="كشف صرف"/>
    <n v="0"/>
    <s v="الفرقة الثالثة"/>
    <n v="1"/>
    <d v="2026-06-20T00:00:00"/>
    <m/>
    <m/>
    <n v="2026"/>
    <x v="0"/>
    <n v="20"/>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666"/>
    <s v="JV326"/>
    <x v="17"/>
    <s v="قيد عهده"/>
    <n v="31010101"/>
    <x v="2"/>
    <x v="210"/>
    <x v="0"/>
    <n v="405"/>
    <n v="100000"/>
    <n v="0"/>
    <n v="246.91358024691357"/>
    <n v="0"/>
    <s v="الضباط السابقين"/>
    <s v="كشف صرف"/>
    <s v="كشف صرف"/>
    <n v="0"/>
    <s v="الفرقة الثالثة"/>
    <n v="1"/>
    <d v="2026-06-20T00:00:00"/>
    <m/>
    <m/>
    <n v="2026"/>
    <x v="0"/>
    <n v="20"/>
    <s v="قيـد مقابـل:- (مصاريف  صرفة يومية للافراد  - الضباط السابقين - الفرقة الثالثة)  - كشف صرف رقم   كشف صرف - صرف الصرفة اليومية للضباط السابقين عدد 10 ضباط بامر"/>
    <n v="0"/>
  </r>
  <r>
    <n v="667"/>
    <s v="JV326"/>
    <x v="17"/>
    <s v="قيد عهده"/>
    <n v="11060205"/>
    <x v="16"/>
    <x v="210"/>
    <x v="0"/>
    <n v="405"/>
    <n v="0"/>
    <n v="100000"/>
    <n v="0"/>
    <n v="246.91358024691357"/>
    <s v="الضباط السابقين"/>
    <s v="كشف صرف"/>
    <s v="كشف صرف"/>
    <n v="0"/>
    <s v="الفرقة الثالثة"/>
    <n v="1"/>
    <d v="2026-06-20T00:00:00"/>
    <m/>
    <m/>
    <n v="2026"/>
    <x v="0"/>
    <n v="20"/>
    <s v="قيـد مقابـل:- (مصاريف  صرفة يومية للافراد  - الضباط السابقين - الفرقة الثالثة)  - كشف صرف رقم   كشف صرف - صرف الصرفة اليومية للضباط السابقين عدد 10 ضباط بامر"/>
    <n v="0"/>
  </r>
  <r>
    <n v="668"/>
    <s v="JV327"/>
    <x v="17"/>
    <s v="قيد عهده"/>
    <n v="31010122"/>
    <x v="15"/>
    <x v="220"/>
    <x v="0"/>
    <n v="405"/>
    <n v="100000"/>
    <n v="0"/>
    <n v="246.91358024691357"/>
    <n v="0"/>
    <s v="عبدالله احمد محمد دغيش "/>
    <s v="استلام نقدي"/>
    <s v="سند استلام"/>
    <s v="100-107"/>
    <s v="الفرقة الثالثة"/>
    <n v="1"/>
    <d v="2026-06-20T00:00:00"/>
    <m/>
    <m/>
    <n v="2026"/>
    <x v="0"/>
    <n v="20"/>
    <s v="قيـد مقابـل:- (مصاريف سفر وتنقلات  - عبدالله احمد محمد دغيش  - الفرقة الثالثة)  - استلام نقدي رقم 100-107  سند استلام - مصاريف سفر  بامرالأركان جمال مسدوس"/>
    <s v="الأركان جمال مسدوس"/>
  </r>
  <r>
    <n v="669"/>
    <s v="JV327"/>
    <x v="17"/>
    <s v="قيد عهده"/>
    <n v="11060205"/>
    <x v="16"/>
    <x v="220"/>
    <x v="0"/>
    <n v="405"/>
    <n v="0"/>
    <n v="100000"/>
    <n v="0"/>
    <n v="246.91358024691357"/>
    <s v="عبدالله احمد محمد دغيش "/>
    <s v="استلام نقدي"/>
    <s v="سند استلام"/>
    <s v="100-107"/>
    <s v="الفرقة الثالثة"/>
    <n v="1"/>
    <d v="2026-06-20T00:00:00"/>
    <m/>
    <m/>
    <n v="2026"/>
    <x v="0"/>
    <n v="20"/>
    <s v="قيـد مقابـل:- (مصاريف سفر وتنقلات  - عبدالله احمد محمد دغيش  - الفرقة الثالثة)  - استلام نقدي رقم 100-107  سند استلام - مصاريف سفر  بامرالأركان جمال مسدوس"/>
    <s v="الأركان جمال مسدوس"/>
  </r>
  <r>
    <n v="670"/>
    <s v="JV328"/>
    <x v="17"/>
    <s v="قيد عهده"/>
    <n v="31010101"/>
    <x v="2"/>
    <x v="221"/>
    <x v="0"/>
    <n v="405"/>
    <n v="55000"/>
    <n v="0"/>
    <n v="135.80246913580248"/>
    <n v="0"/>
    <s v="عمال"/>
    <s v="استلام نقدي"/>
    <s v="سند استلام"/>
    <s v="100-104"/>
    <s v="الفرقة الثالثة"/>
    <n v="1"/>
    <d v="2026-06-20T00:00:00"/>
    <m/>
    <m/>
    <n v="2026"/>
    <x v="0"/>
    <n v="20"/>
    <s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
    <s v="مدير  مكتب القائد"/>
  </r>
  <r>
    <n v="671"/>
    <s v="JV328"/>
    <x v="17"/>
    <s v="قيد عهده"/>
    <n v="11060205"/>
    <x v="16"/>
    <x v="221"/>
    <x v="0"/>
    <n v="405"/>
    <n v="0"/>
    <n v="55000"/>
    <n v="0"/>
    <n v="135.80246913580248"/>
    <s v="عمال"/>
    <s v="استلام نقدي"/>
    <s v="سند استلام"/>
    <s v="100-104"/>
    <s v="الفرقة الثالثة"/>
    <n v="1"/>
    <d v="2026-06-20T00:00:00"/>
    <m/>
    <m/>
    <n v="2026"/>
    <x v="0"/>
    <n v="20"/>
    <s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
    <s v="مدير  مكتب القائد"/>
  </r>
  <r>
    <n v="672"/>
    <s v="JV329"/>
    <x v="17"/>
    <s v="قيد عهده"/>
    <n v="31010114"/>
    <x v="4"/>
    <x v="222"/>
    <x v="0"/>
    <n v="405"/>
    <n v="60000"/>
    <n v="0"/>
    <n v="148.14814814814815"/>
    <n v="0"/>
    <s v="محمد السبع  + عرفات ناصر + عبدالله قطن"/>
    <s v="استلام نقدي"/>
    <s v="سند استلام"/>
    <s v="100-113"/>
    <s v="الفرقة الثالثة"/>
    <n v="1"/>
    <d v="2026-06-20T00:00:00"/>
    <m/>
    <m/>
    <n v="2026"/>
    <x v="0"/>
    <n v="20"/>
    <s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
    <s v="المستشار المالي"/>
  </r>
  <r>
    <n v="673"/>
    <s v="JV329"/>
    <x v="17"/>
    <s v="قيد عهده"/>
    <n v="11060205"/>
    <x v="16"/>
    <x v="222"/>
    <x v="0"/>
    <n v="405"/>
    <n v="0"/>
    <n v="60000"/>
    <n v="0"/>
    <n v="148.14814814814815"/>
    <s v="محمد السبع  + عرفات ناصر + عبدالله قطن"/>
    <s v="استلام نقدي"/>
    <s v="سند استلام"/>
    <s v="100-113"/>
    <s v="الفرقة الثالثة"/>
    <n v="1"/>
    <d v="2026-06-20T00:00:00"/>
    <m/>
    <m/>
    <n v="2026"/>
    <x v="0"/>
    <n v="20"/>
    <s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
    <s v="المستشار المالي"/>
  </r>
  <r>
    <n v="674"/>
    <s v="RC009"/>
    <x v="12"/>
    <s v="قبض عهدة"/>
    <n v="11060205"/>
    <x v="16"/>
    <x v="223"/>
    <x v="1"/>
    <n v="1"/>
    <n v="19960"/>
    <n v="0"/>
    <n v="19960"/>
    <n v="0"/>
    <s v="عبدالحفيظ"/>
    <s v="حواله"/>
    <s v="شركة العامري للصرافة"/>
    <n v="10460"/>
    <s v="الفرقة الثالثة"/>
    <n v="1"/>
    <d v="2026-06-15T00:00:00"/>
    <m/>
    <m/>
    <n v="2026"/>
    <x v="0"/>
    <n v="15"/>
    <s v="قيـد مقابـل:- (عهدة عبدالحفيظ - عبدالحفيظ - الفرقة الثالثة)  - حواله رقم 10460  شركة العامري للصرافة - استلام عهدة بامر"/>
    <n v="0"/>
  </r>
  <r>
    <n v="675"/>
    <s v="RC009"/>
    <x v="12"/>
    <s v="قبض عهدة"/>
    <n v="11010101"/>
    <x v="3"/>
    <x v="223"/>
    <x v="1"/>
    <n v="1"/>
    <n v="0"/>
    <n v="19960"/>
    <n v="0"/>
    <n v="19960"/>
    <s v="عبدالحفيظ"/>
    <s v="حواله"/>
    <s v="شركة العامري للصرافة"/>
    <n v="10460"/>
    <s v="الفرقة الثالثة"/>
    <n v="1"/>
    <d v="2026-06-15T00:00:00"/>
    <m/>
    <m/>
    <n v="2026"/>
    <x v="0"/>
    <n v="15"/>
    <s v="قيـد مقابـل:- (عهدة عبدالحفيظ - عبدالحفيظ - الفرقة الثالثة)  - حواله رقم 10460  شركة العامري للصرافة - استلام عهدة بامر"/>
    <n v="0"/>
  </r>
  <r>
    <n v="676"/>
    <s v="RC010"/>
    <x v="15"/>
    <s v="قبض عهدة"/>
    <n v="11060205"/>
    <x v="16"/>
    <x v="224"/>
    <x v="1"/>
    <n v="1"/>
    <n v="5000"/>
    <n v="0"/>
    <n v="5000"/>
    <n v="0"/>
    <s v="عبدالحفيظ"/>
    <s v="استلام نقدي"/>
    <s v="سند استلام"/>
    <n v="0"/>
    <s v="الفرقة الثالثة"/>
    <n v="1"/>
    <d v="2026-06-17T00:00:00"/>
    <m/>
    <m/>
    <n v="2026"/>
    <x v="0"/>
    <n v="17"/>
    <s v="قيـد مقابـل:- (عهدة عبدالحفيظ - عبدالحفيظ - الفرقة الثالثة)  - استلام نقدي رقم   سند استلام - استلام عهدة من باعمر بامر"/>
    <n v="0"/>
  </r>
  <r>
    <n v="677"/>
    <s v="RC010"/>
    <x v="15"/>
    <s v="قبض عهدة"/>
    <n v="11060210"/>
    <x v="22"/>
    <x v="224"/>
    <x v="1"/>
    <n v="1"/>
    <n v="0"/>
    <n v="5000"/>
    <n v="0"/>
    <n v="5000"/>
    <s v="عبدالحفيظ"/>
    <s v="استلام نقدي"/>
    <s v="سند استلام"/>
    <n v="0"/>
    <s v="الفرقة الثالثة"/>
    <n v="1"/>
    <d v="2026-06-17T00:00:00"/>
    <m/>
    <m/>
    <n v="2026"/>
    <x v="0"/>
    <n v="17"/>
    <s v="قيـد مقابـل:- (عهدة عبدالحفيظ - عبدالحفيظ - الفرقة الثالثة)  - استلام نقدي رقم   سند استلام - استلام عهدة من باعمر بامر"/>
    <n v="0"/>
  </r>
  <r>
    <n v="678"/>
    <s v="RC011"/>
    <x v="15"/>
    <s v="قبض عهدة"/>
    <n v="11060205"/>
    <x v="16"/>
    <x v="225"/>
    <x v="1"/>
    <n v="1"/>
    <n v="29940"/>
    <n v="0"/>
    <n v="29940"/>
    <n v="0"/>
    <s v="عبدالحفيظ"/>
    <s v="حواله"/>
    <s v="شركة العامري للصرافة"/>
    <n v="10712"/>
    <s v="الفرقة الثالثة"/>
    <n v="1"/>
    <d v="2026-06-17T00:00:00"/>
    <m/>
    <m/>
    <n v="2026"/>
    <x v="0"/>
    <n v="17"/>
    <s v="قيـد مقابـل:- (عهدة عبدالحفيظ - عبدالحفيظ - الفرقة الثالثة)  - حواله رقم 10712  شركة العامري للصرافة - استلام عهدة بامر"/>
    <n v="0"/>
  </r>
  <r>
    <n v="679"/>
    <s v="RC011"/>
    <x v="15"/>
    <s v="قبض عهدة"/>
    <n v="11010101"/>
    <x v="3"/>
    <x v="225"/>
    <x v="1"/>
    <n v="1"/>
    <n v="0"/>
    <n v="29940"/>
    <n v="0"/>
    <n v="29940"/>
    <s v="عبدالحفيظ"/>
    <s v="حواله"/>
    <s v="شركة العامري للصرافة"/>
    <n v="10712"/>
    <s v="الفرقة الثالثة"/>
    <n v="1"/>
    <d v="2026-06-17T00:00:00"/>
    <m/>
    <m/>
    <n v="2026"/>
    <x v="0"/>
    <n v="17"/>
    <s v="قيـد مقابـل:- (عهدة عبدالحفيظ - عبدالحفيظ - الفرقة الثالثة)  - حواله رقم 10712  شركة العامري للصرافة - استلام عهدة بامر"/>
    <n v="0"/>
  </r>
  <r>
    <n v="680"/>
    <s v="JV330"/>
    <x v="14"/>
    <s v="قيد عهده"/>
    <n v="11060210"/>
    <x v="22"/>
    <x v="226"/>
    <x v="1"/>
    <n v="1"/>
    <n v="12000"/>
    <n v="0"/>
    <n v="12000"/>
    <n v="0"/>
    <s v="عبدالله باعمر"/>
    <s v="استلام نقدي"/>
    <s v="سند استلام"/>
    <n v="0"/>
    <s v="الفرقة الثالثة"/>
    <n v="1"/>
    <d v="2026-06-19T00:00:00"/>
    <m/>
    <m/>
    <n v="2026"/>
    <x v="0"/>
    <n v="19"/>
    <s v="قيـد مقابـل:- (عهدة عبدالله باعمر - عبدالله باعمر - الفرقة الثالثة)  - استلام نقدي رقم   سند استلام - صرف عهده بامرالمستشار المالي"/>
    <s v="المستشار المالي"/>
  </r>
  <r>
    <n v="681"/>
    <s v="JV330"/>
    <x v="14"/>
    <s v="قيد عهده"/>
    <n v="11060205"/>
    <x v="16"/>
    <x v="226"/>
    <x v="1"/>
    <n v="1"/>
    <n v="0"/>
    <n v="12000"/>
    <n v="0"/>
    <n v="12000"/>
    <s v="عبدالله باعمر"/>
    <s v="استلام نقدي"/>
    <s v="سند استلام"/>
    <n v="0"/>
    <s v="الفرقة الثالثة"/>
    <n v="1"/>
    <d v="2026-06-19T00:00:00"/>
    <m/>
    <m/>
    <n v="2026"/>
    <x v="0"/>
    <n v="19"/>
    <s v="قيـد مقابـل:- (عهدة عبدالله باعمر - عبدالله باعمر - الفرقة الثالثة)  - استلام نقدي رقم   سند استلام - صرف عهده بامرالمستشار المالي"/>
    <s v="المستشار المالي"/>
  </r>
  <r>
    <n v="682"/>
    <s v="JV331"/>
    <x v="15"/>
    <s v="قيد عهده"/>
    <n v="31010109"/>
    <x v="12"/>
    <x v="227"/>
    <x v="1"/>
    <n v="1"/>
    <n v="200"/>
    <n v="0"/>
    <n v="200"/>
    <n v="0"/>
    <s v="محمد عبدالصمد عبدالله"/>
    <s v="استلام نقدي"/>
    <s v="سند استلام"/>
    <s v="100-455"/>
    <s v="اللواء السادس"/>
    <n v="7"/>
    <d v="2026-06-17T00:00:00"/>
    <m/>
    <m/>
    <n v="2026"/>
    <x v="0"/>
    <n v="17"/>
    <s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
    <s v="المستشار المالي"/>
  </r>
  <r>
    <n v="683"/>
    <s v="JV331"/>
    <x v="15"/>
    <s v="قيد عهده"/>
    <n v="11060205"/>
    <x v="16"/>
    <x v="227"/>
    <x v="1"/>
    <n v="1"/>
    <n v="0"/>
    <n v="200"/>
    <n v="0"/>
    <n v="200"/>
    <s v="محمد عبدالصمد عبدالله"/>
    <s v="استلام نقدي"/>
    <s v="سند استلام"/>
    <s v="100-455"/>
    <s v="اللواء السادس"/>
    <n v="7"/>
    <d v="2026-06-17T00:00:00"/>
    <m/>
    <m/>
    <n v="2026"/>
    <x v="0"/>
    <n v="17"/>
    <s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
    <s v="المستشار المالي"/>
  </r>
  <r>
    <n v="684"/>
    <s v="JV332"/>
    <x v="18"/>
    <s v="قيد عهده"/>
    <n v="31010101"/>
    <x v="2"/>
    <x v="228"/>
    <x v="0"/>
    <n v="405"/>
    <n v="52000"/>
    <n v="0"/>
    <n v="128.39506172839506"/>
    <n v="0"/>
    <s v="السيطرة والاتصالات"/>
    <s v="كشف صرف"/>
    <s v="كشف صرف"/>
    <n v="0"/>
    <s v="الفرقة الثالثة"/>
    <n v="1"/>
    <d v="2026-06-21T00:00:00"/>
    <m/>
    <m/>
    <n v="2026"/>
    <x v="0"/>
    <n v="21"/>
    <s v="قيـد مقابـل:- (مصاريف  صرفة يومية للافراد  - السيطرة والاتصالات - الفرقة الثالثة)  - كشف صرف رقم   كشف صرف - صرف الصرفة اليومية للسيطرة والاتصالات لعدد8 بامر"/>
    <n v="0"/>
  </r>
  <r>
    <n v="685"/>
    <s v="JV332"/>
    <x v="18"/>
    <s v="قيد عهده"/>
    <n v="11060205"/>
    <x v="16"/>
    <x v="228"/>
    <x v="0"/>
    <n v="405"/>
    <n v="0"/>
    <n v="52000"/>
    <n v="0"/>
    <n v="128.39506172839506"/>
    <s v="السيطرة والاتصالات"/>
    <s v="كشف صرف"/>
    <s v="كشف صرف"/>
    <n v="0"/>
    <s v="الفرقة الثالثة"/>
    <n v="1"/>
    <d v="2026-06-21T00:00:00"/>
    <m/>
    <m/>
    <n v="2026"/>
    <x v="0"/>
    <n v="21"/>
    <s v="قيـد مقابـل:- (مصاريف  صرفة يومية للافراد  - السيطرة والاتصالات - الفرقة الثالثة)  - كشف صرف رقم   كشف صرف - صرف الصرفة اليومية للسيطرة والاتصالات لعدد8 بامر"/>
    <n v="0"/>
  </r>
  <r>
    <n v="686"/>
    <s v="JV333"/>
    <x v="18"/>
    <s v="قيد عهده"/>
    <n v="31010101"/>
    <x v="2"/>
    <x v="147"/>
    <x v="0"/>
    <n v="405"/>
    <n v="70000"/>
    <n v="0"/>
    <n v="172.83950617283949"/>
    <n v="0"/>
    <s v="الامداد"/>
    <s v="كشف صرف"/>
    <s v="كشف صرف"/>
    <n v="0"/>
    <s v="الفرقة الثالثة"/>
    <n v="1"/>
    <d v="2026-06-21T00:00:00"/>
    <m/>
    <m/>
    <n v="2026"/>
    <x v="0"/>
    <n v="21"/>
    <s v="قيـد مقابـل:- (مصاريف  صرفة يومية للافراد  - الامداد - الفرقة الثالثة)  - كشف صرف رقم   كشف صرف - صرف الصرفة اليومية  لافراد الامداد لعدد 6 بامر"/>
    <n v="0"/>
  </r>
  <r>
    <n v="687"/>
    <s v="JV333"/>
    <x v="18"/>
    <s v="قيد عهده"/>
    <n v="11060205"/>
    <x v="16"/>
    <x v="147"/>
    <x v="0"/>
    <n v="405"/>
    <n v="0"/>
    <n v="70000"/>
    <n v="0"/>
    <n v="172.83950617283949"/>
    <s v="الامداد"/>
    <s v="كشف صرف"/>
    <s v="كشف صرف"/>
    <n v="0"/>
    <s v="الفرقة الثالثة"/>
    <n v="1"/>
    <d v="2026-06-21T00:00:00"/>
    <m/>
    <m/>
    <n v="2026"/>
    <x v="0"/>
    <n v="21"/>
    <s v="قيـد مقابـل:- (مصاريف  صرفة يومية للافراد  - الامداد - الفرقة الثالثة)  - كشف صرف رقم   كشف صرف - صرف الصرفة اليومية  لافراد الامداد لعدد 6 بامر"/>
    <n v="0"/>
  </r>
  <r>
    <n v="688"/>
    <s v="JV334"/>
    <x v="18"/>
    <s v="قيد عهده"/>
    <n v="31010101"/>
    <x v="2"/>
    <x v="169"/>
    <x v="0"/>
    <n v="405"/>
    <n v="31000"/>
    <n v="0"/>
    <n v="76.543209876543216"/>
    <n v="0"/>
    <s v="قسم المشتريات"/>
    <s v="كشف صرف"/>
    <s v="كشف صرف"/>
    <n v="0"/>
    <s v="الفرقة الثالثة"/>
    <n v="1"/>
    <d v="2026-06-21T00:00:00"/>
    <m/>
    <m/>
    <n v="2026"/>
    <x v="0"/>
    <n v="21"/>
    <s v="قيـد مقابـل:- (مصاريف  صرفة يومية للافراد  - قسم المشتريات - الفرقة الثالثة)  - كشف صرف رقم   كشف صرف - صرف الصرفة اليومية لافراد قسم المشتريات عدد3 بامر"/>
    <n v="0"/>
  </r>
  <r>
    <n v="689"/>
    <s v="JV334"/>
    <x v="18"/>
    <s v="قيد عهده"/>
    <n v="11060205"/>
    <x v="16"/>
    <x v="169"/>
    <x v="0"/>
    <n v="405"/>
    <n v="0"/>
    <n v="31000"/>
    <n v="0"/>
    <n v="76.543209876543216"/>
    <s v="قسم المشتريات"/>
    <s v="كشف صرف"/>
    <s v="كشف صرف"/>
    <n v="0"/>
    <s v="الفرقة الثالثة"/>
    <n v="1"/>
    <d v="2026-06-21T00:00:00"/>
    <m/>
    <m/>
    <n v="2026"/>
    <x v="0"/>
    <n v="21"/>
    <s v="قيـد مقابـل:- (مصاريف  صرفة يومية للافراد  - قسم المشتريات - الفرقة الثالثة)  - كشف صرف رقم   كشف صرف - صرف الصرفة اليومية لافراد قسم المشتريات عدد3 بامر"/>
    <n v="0"/>
  </r>
  <r>
    <n v="690"/>
    <s v="JV335"/>
    <x v="18"/>
    <s v="قيد عهده"/>
    <n v="31010101"/>
    <x v="2"/>
    <x v="229"/>
    <x v="0"/>
    <n v="405"/>
    <n v="30000"/>
    <n v="0"/>
    <n v="74.074074074074076"/>
    <n v="0"/>
    <s v="الاستطلاع"/>
    <s v="كشف صرف"/>
    <s v="كشف صرف"/>
    <n v="0"/>
    <s v="الفرقة الثالثة"/>
    <n v="1"/>
    <d v="2026-06-21T00:00:00"/>
    <m/>
    <m/>
    <n v="2026"/>
    <x v="0"/>
    <n v="21"/>
    <s v="قيـد مقابـل:- (مصاريف  صرفة يومية للافراد  - الاستطلاع - الفرقة الثالثة)  - كشف صرف رقم   كشف صرف - صرف الصرفة اليومية لافراد الاستطلاع عدد 2 افراد بامر"/>
    <n v="0"/>
  </r>
  <r>
    <n v="691"/>
    <s v="JV335"/>
    <x v="18"/>
    <s v="قيد عهده"/>
    <n v="11060205"/>
    <x v="16"/>
    <x v="229"/>
    <x v="0"/>
    <n v="405"/>
    <n v="0"/>
    <n v="30000"/>
    <n v="0"/>
    <n v="74.074074074074076"/>
    <s v="الاستطلاع"/>
    <s v="كشف صرف"/>
    <s v="كشف صرف"/>
    <n v="0"/>
    <s v="الفرقة الثالثة"/>
    <n v="1"/>
    <d v="2026-06-21T00:00:00"/>
    <m/>
    <m/>
    <n v="2026"/>
    <x v="0"/>
    <n v="21"/>
    <s v="قيـد مقابـل:- (مصاريف  صرفة يومية للافراد  - الاستطلاع - الفرقة الثالثة)  - كشف صرف رقم   كشف صرف - صرف الصرفة اليومية لافراد الاستطلاع عدد 2 افراد بامر"/>
    <n v="0"/>
  </r>
  <r>
    <n v="692"/>
    <s v="JV336"/>
    <x v="18"/>
    <s v="قيد عهده"/>
    <n v="31010101"/>
    <x v="2"/>
    <x v="190"/>
    <x v="0"/>
    <n v="405"/>
    <n v="25000"/>
    <n v="0"/>
    <n v="61.728395061728392"/>
    <n v="0"/>
    <s v="المحاسبين"/>
    <s v="كشف صرف"/>
    <s v="كشف صرف"/>
    <n v="0"/>
    <s v="الفرقة الثالثة"/>
    <n v="1"/>
    <d v="2026-06-21T00:00:00"/>
    <m/>
    <m/>
    <n v="2026"/>
    <x v="0"/>
    <n v="21"/>
    <s v="قيـد مقابـل:- (مصاريف  صرفة يومية للافراد  - المحاسبين - الفرقة الثالثة)  - كشف صرف رقم   كشف صرف - صرف الصرفة اليومية للمحاسبين عدد2 بامر"/>
    <n v="0"/>
  </r>
  <r>
    <n v="693"/>
    <s v="JV336"/>
    <x v="18"/>
    <s v="قيد عهده"/>
    <n v="11060205"/>
    <x v="16"/>
    <x v="190"/>
    <x v="0"/>
    <n v="405"/>
    <n v="0"/>
    <n v="25000"/>
    <n v="0"/>
    <n v="61.728395061728392"/>
    <s v="المحاسبين"/>
    <s v="كشف صرف"/>
    <s v="كشف صرف"/>
    <n v="0"/>
    <s v="الفرقة الثالثة"/>
    <n v="1"/>
    <d v="2026-06-21T00:00:00"/>
    <m/>
    <m/>
    <n v="2026"/>
    <x v="0"/>
    <n v="21"/>
    <s v="قيـد مقابـل:- (مصاريف  صرفة يومية للافراد  - المحاسبين - الفرقة الثالثة)  - كشف صرف رقم   كشف صرف - صرف الصرفة اليومية للمحاسبين عدد2 بامر"/>
    <n v="0"/>
  </r>
  <r>
    <n v="694"/>
    <s v="JV337"/>
    <x v="18"/>
    <s v="قيد عهده"/>
    <n v="31010101"/>
    <x v="2"/>
    <x v="208"/>
    <x v="0"/>
    <n v="405"/>
    <n v="15000"/>
    <n v="0"/>
    <n v="37.037037037037038"/>
    <n v="0"/>
    <s v="البشرية"/>
    <s v="كشف صرف"/>
    <s v="كشف صرف"/>
    <n v="0"/>
    <s v="الفرقة الثالثة"/>
    <n v="1"/>
    <d v="2026-06-21T00:00:00"/>
    <m/>
    <m/>
    <n v="2026"/>
    <x v="0"/>
    <n v="21"/>
    <s v="قيـد مقابـل:- (مصاريف  صرفة يومية للافراد  - البشرية - الفرقة الثالثة)  - كشف صرف رقم   كشف صرف - صرف الصرفة اليومية لافراد البشرية عدد1 بامر"/>
    <n v="0"/>
  </r>
  <r>
    <n v="695"/>
    <s v="JV337"/>
    <x v="18"/>
    <s v="قيد عهده"/>
    <n v="11060205"/>
    <x v="16"/>
    <x v="208"/>
    <x v="0"/>
    <n v="405"/>
    <n v="0"/>
    <n v="15000"/>
    <n v="0"/>
    <n v="37.037037037037038"/>
    <s v="البشرية"/>
    <s v="كشف صرف"/>
    <s v="كشف صرف"/>
    <n v="0"/>
    <s v="الفرقة الثالثة"/>
    <n v="1"/>
    <d v="2026-06-21T00:00:00"/>
    <m/>
    <m/>
    <n v="2026"/>
    <x v="0"/>
    <n v="21"/>
    <s v="قيـد مقابـل:- (مصاريف  صرفة يومية للافراد  - البشرية - الفرقة الثالثة)  - كشف صرف رقم   كشف صرف - صرف الصرفة اليومية لافراد البشرية عدد1 بامر"/>
    <n v="0"/>
  </r>
  <r>
    <n v="696"/>
    <s v="JV338"/>
    <x v="18"/>
    <s v="قيد عهده"/>
    <n v="31010101"/>
    <x v="2"/>
    <x v="192"/>
    <x v="0"/>
    <n v="405"/>
    <n v="80000"/>
    <n v="0"/>
    <n v="197.53086419753086"/>
    <n v="0"/>
    <s v="الاستخبارات"/>
    <s v="كشف صرف"/>
    <s v="كشف صرف"/>
    <n v="0"/>
    <s v="الفرقة الثالثة"/>
    <n v="1"/>
    <d v="2026-06-21T00:00:00"/>
    <m/>
    <m/>
    <n v="2026"/>
    <x v="0"/>
    <n v="21"/>
    <s v="قيـد مقابـل:- (مصاريف  صرفة يومية للافراد  - الاستخبارات - الفرقة الثالثة)  - كشف صرف رقم   كشف صرف - صرف الصرفة اليومية لافراد الاستخبارات عدد 5 افراد بامر"/>
    <n v="0"/>
  </r>
  <r>
    <n v="697"/>
    <s v="JV338"/>
    <x v="18"/>
    <s v="قيد عهده"/>
    <n v="11060205"/>
    <x v="16"/>
    <x v="192"/>
    <x v="0"/>
    <n v="405"/>
    <n v="0"/>
    <n v="80000"/>
    <n v="0"/>
    <n v="197.53086419753086"/>
    <s v="الاستخبارات"/>
    <s v="كشف صرف"/>
    <s v="كشف صرف"/>
    <n v="0"/>
    <s v="الفرقة الثالثة"/>
    <n v="1"/>
    <d v="2026-06-21T00:00:00"/>
    <m/>
    <m/>
    <n v="2026"/>
    <x v="0"/>
    <n v="21"/>
    <s v="قيـد مقابـل:- (مصاريف  صرفة يومية للافراد  - الاستخبارات - الفرقة الثالثة)  - كشف صرف رقم   كشف صرف - صرف الصرفة اليومية لافراد الاستخبارات عدد 5 افراد بامر"/>
    <n v="0"/>
  </r>
  <r>
    <n v="698"/>
    <s v="JV339"/>
    <x v="18"/>
    <s v="قيد عهده"/>
    <n v="31010101"/>
    <x v="2"/>
    <x v="173"/>
    <x v="0"/>
    <n v="405"/>
    <n v="45000"/>
    <n v="0"/>
    <n v="111.11111111111111"/>
    <n v="0"/>
    <s v="المدفعية"/>
    <s v="كشف صرف"/>
    <s v="كشف صرف"/>
    <n v="0"/>
    <s v="الفرقة الثالثة"/>
    <n v="1"/>
    <d v="2026-06-21T00:00:00"/>
    <m/>
    <m/>
    <n v="2026"/>
    <x v="0"/>
    <n v="21"/>
    <s v="قيـد مقابـل:- (مصاريف  صرفة يومية للافراد  - المدفعية - الفرقة الثالثة)  - كشف صرف رقم   كشف صرف - صرف الصرفة اليومية لافراد المدفعية عدد 5 افراد بامر"/>
    <n v="0"/>
  </r>
  <r>
    <n v="699"/>
    <s v="JV339"/>
    <x v="18"/>
    <s v="قيد عهده"/>
    <n v="11060205"/>
    <x v="16"/>
    <x v="173"/>
    <x v="0"/>
    <n v="405"/>
    <n v="0"/>
    <n v="45000"/>
    <n v="0"/>
    <n v="111.11111111111111"/>
    <s v="المدفعية"/>
    <s v="كشف صرف"/>
    <s v="كشف صرف"/>
    <n v="0"/>
    <s v="الفرقة الثالثة"/>
    <n v="1"/>
    <d v="2026-06-21T00:00:00"/>
    <m/>
    <m/>
    <n v="2026"/>
    <x v="0"/>
    <n v="21"/>
    <s v="قيـد مقابـل:- (مصاريف  صرفة يومية للافراد  - المدفعية - الفرقة الثالثة)  - كشف صرف رقم   كشف صرف - صرف الصرفة اليومية لافراد المدفعية عدد 5 افراد بامر"/>
    <n v="0"/>
  </r>
  <r>
    <n v="700"/>
    <s v="JV340"/>
    <x v="18"/>
    <s v="قيد عهده"/>
    <n v="31010101"/>
    <x v="2"/>
    <x v="230"/>
    <x v="0"/>
    <n v="405"/>
    <n v="102000"/>
    <n v="0"/>
    <n v="251.85185185185185"/>
    <n v="0"/>
    <s v="المستشارين والمساعدين"/>
    <s v="كشف صرف"/>
    <s v="كشف صرف"/>
    <n v="0"/>
    <s v="الفرقة الثالثة"/>
    <n v="1"/>
    <d v="2026-06-21T00:00:00"/>
    <m/>
    <m/>
    <n v="2026"/>
    <x v="0"/>
    <n v="21"/>
    <s v="قيـد مقابـل:- (مصاريف  صرفة يومية للافراد  - المستشارين والمساعدين - الفرقة الثالثة)  - كشف صرف رقم   كشف صرف - صرف الصرفة اليومية للمستشارين والمساعدين عدد 10 بامر"/>
    <n v="0"/>
  </r>
  <r>
    <n v="701"/>
    <s v="JV340"/>
    <x v="18"/>
    <s v="قيد عهده"/>
    <n v="11060205"/>
    <x v="16"/>
    <x v="230"/>
    <x v="0"/>
    <n v="405"/>
    <n v="0"/>
    <n v="102000"/>
    <n v="0"/>
    <n v="251.85185185185185"/>
    <s v="المستشارين والمساعدين"/>
    <s v="كشف صرف"/>
    <s v="كشف صرف"/>
    <n v="0"/>
    <s v="الفرقة الثالثة"/>
    <n v="1"/>
    <d v="2026-06-21T00:00:00"/>
    <m/>
    <m/>
    <n v="2026"/>
    <x v="0"/>
    <n v="21"/>
    <s v="قيـد مقابـل:- (مصاريف  صرفة يومية للافراد  - المستشارين والمساعدين - الفرقة الثالثة)  - كشف صرف رقم   كشف صرف - صرف الصرفة اليومية للمستشارين والمساعدين عدد 10 بامر"/>
    <n v="0"/>
  </r>
  <r>
    <n v="702"/>
    <s v="JV341"/>
    <x v="18"/>
    <s v="قيد عهده"/>
    <n v="31010101"/>
    <x v="2"/>
    <x v="195"/>
    <x v="0"/>
    <n v="405"/>
    <n v="18000"/>
    <n v="0"/>
    <n v="44.444444444444443"/>
    <n v="0"/>
    <s v="طقم اللواء السابع"/>
    <s v="كشف صرف"/>
    <s v="كشف صرف"/>
    <n v="0"/>
    <s v="الفرقة الثالثة"/>
    <n v="1"/>
    <d v="2026-06-21T00:00:00"/>
    <m/>
    <m/>
    <n v="2026"/>
    <x v="0"/>
    <n v="21"/>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703"/>
    <s v="JV341"/>
    <x v="18"/>
    <s v="قيد عهده"/>
    <n v="11060205"/>
    <x v="16"/>
    <x v="195"/>
    <x v="0"/>
    <n v="405"/>
    <n v="0"/>
    <n v="18000"/>
    <n v="0"/>
    <n v="44.444444444444443"/>
    <s v="طقم اللواء السابع"/>
    <s v="كشف صرف"/>
    <s v="كشف صرف"/>
    <n v="0"/>
    <s v="الفرقة الثالثة"/>
    <n v="1"/>
    <d v="2026-06-21T00:00:00"/>
    <m/>
    <m/>
    <n v="2026"/>
    <x v="0"/>
    <n v="21"/>
    <s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
    <n v="0"/>
  </r>
  <r>
    <n v="704"/>
    <s v="JV342"/>
    <x v="18"/>
    <s v="قيد عهده"/>
    <n v="31010101"/>
    <x v="2"/>
    <x v="194"/>
    <x v="0"/>
    <n v="405"/>
    <n v="25000"/>
    <n v="0"/>
    <n v="61.728395061728392"/>
    <n v="0"/>
    <s v="مرافقي الاركان"/>
    <s v="كشف صرف"/>
    <s v="كشف صرف"/>
    <n v="0"/>
    <s v="الفرقة الثالثة"/>
    <n v="1"/>
    <d v="2026-06-21T00:00:00"/>
    <m/>
    <m/>
    <n v="2026"/>
    <x v="0"/>
    <n v="21"/>
    <s v="قيـد مقابـل:- (مصاريف  صرفة يومية للافراد  - مرافقي الاركان - الفرقة الثالثة)  - كشف صرف رقم   كشف صرف - صرف الصرفة اليومية لمرافقين الاركان عدد 4 افراد بامر"/>
    <n v="0"/>
  </r>
  <r>
    <n v="705"/>
    <s v="JV342"/>
    <x v="18"/>
    <s v="قيد عهده"/>
    <n v="11060205"/>
    <x v="16"/>
    <x v="194"/>
    <x v="0"/>
    <n v="405"/>
    <n v="0"/>
    <n v="25000"/>
    <n v="0"/>
    <n v="61.728395061728392"/>
    <s v="مرافقي الاركان"/>
    <s v="كشف صرف"/>
    <s v="كشف صرف"/>
    <n v="0"/>
    <s v="الفرقة الثالثة"/>
    <n v="1"/>
    <d v="2026-06-21T00:00:00"/>
    <m/>
    <m/>
    <n v="2026"/>
    <x v="0"/>
    <n v="21"/>
    <s v="قيـد مقابـل:- (مصاريف  صرفة يومية للافراد  - مرافقي الاركان - الفرقة الثالثة)  - كشف صرف رقم   كشف صرف - صرف الصرفة اليومية لمرافقين الاركان عدد 4 افراد بامر"/>
    <n v="0"/>
  </r>
  <r>
    <n v="706"/>
    <s v="JV343"/>
    <x v="18"/>
    <s v="قيد عهده"/>
    <n v="31010101"/>
    <x v="2"/>
    <x v="209"/>
    <x v="0"/>
    <n v="405"/>
    <n v="33000"/>
    <n v="0"/>
    <n v="81.481481481481481"/>
    <n v="0"/>
    <s v="الاشغال"/>
    <s v="كشف صرف"/>
    <s v="كشف صرف"/>
    <n v="0"/>
    <s v="الفرقة الثالثة"/>
    <n v="1"/>
    <d v="2026-06-21T00:00:00"/>
    <m/>
    <m/>
    <n v="2026"/>
    <x v="0"/>
    <n v="21"/>
    <s v="قيـد مقابـل:- (مصاريف  صرفة يومية للافراد  - الاشغال - الفرقة الثالثة)  - كشف صرف رقم   كشف صرف - صرف الصرفة اليومية لافراد الاشغال عدد 4 افراد بامر"/>
    <n v="0"/>
  </r>
  <r>
    <n v="707"/>
    <s v="JV343"/>
    <x v="18"/>
    <s v="قيد عهده"/>
    <n v="11060205"/>
    <x v="16"/>
    <x v="209"/>
    <x v="0"/>
    <n v="405"/>
    <n v="0"/>
    <n v="33000"/>
    <n v="0"/>
    <n v="81.481481481481481"/>
    <s v="الاشغال"/>
    <s v="كشف صرف"/>
    <s v="كشف صرف"/>
    <n v="0"/>
    <s v="الفرقة الثالثة"/>
    <n v="1"/>
    <d v="2026-06-21T00:00:00"/>
    <m/>
    <m/>
    <n v="2026"/>
    <x v="0"/>
    <n v="21"/>
    <s v="قيـد مقابـل:- (مصاريف  صرفة يومية للافراد  - الاشغال - الفرقة الثالثة)  - كشف صرف رقم   كشف صرف - صرف الصرفة اليومية لافراد الاشغال عدد 4 افراد بامر"/>
    <n v="0"/>
  </r>
  <r>
    <n v="708"/>
    <s v="JV344"/>
    <x v="18"/>
    <s v="قيد عهده"/>
    <n v="31010101"/>
    <x v="2"/>
    <x v="193"/>
    <x v="0"/>
    <n v="405"/>
    <n v="80000"/>
    <n v="0"/>
    <n v="197.53086419753086"/>
    <n v="0"/>
    <s v="اخرون"/>
    <s v="كشف صرف"/>
    <s v="كشف صرف"/>
    <n v="0"/>
    <s v="الفرقة الثالثة"/>
    <n v="1"/>
    <d v="2026-06-21T00:00:00"/>
    <m/>
    <m/>
    <n v="2026"/>
    <x v="0"/>
    <n v="21"/>
    <s v="قيـد مقابـل:- (مصاريف  صرفة يومية للافراد  - اخرون - الفرقة الثالثة)  - كشف صرف رقم   كشف صرف - صرف الصرفة اليومية اخرون لعدد 9 افراد بامر"/>
    <n v="0"/>
  </r>
  <r>
    <n v="709"/>
    <s v="JV344"/>
    <x v="18"/>
    <s v="قيد عهده"/>
    <n v="11060205"/>
    <x v="16"/>
    <x v="193"/>
    <x v="0"/>
    <n v="405"/>
    <n v="0"/>
    <n v="80000"/>
    <n v="0"/>
    <n v="197.53086419753086"/>
    <s v="اخرون"/>
    <s v="كشف صرف"/>
    <s v="كشف صرف"/>
    <n v="0"/>
    <s v="الفرقة الثالثة"/>
    <n v="1"/>
    <d v="2026-06-21T00:00:00"/>
    <m/>
    <m/>
    <n v="2026"/>
    <x v="0"/>
    <n v="21"/>
    <s v="قيـد مقابـل:- (مصاريف  صرفة يومية للافراد  - اخرون - الفرقة الثالثة)  - كشف صرف رقم   كشف صرف - صرف الصرفة اليومية اخرون لعدد 9 افراد بامر"/>
    <n v="0"/>
  </r>
  <r>
    <n v="710"/>
    <s v="JV345"/>
    <x v="18"/>
    <s v="قيد عهده"/>
    <n v="31010101"/>
    <x v="2"/>
    <x v="210"/>
    <x v="0"/>
    <n v="405"/>
    <n v="100000"/>
    <n v="0"/>
    <n v="246.91358024691357"/>
    <n v="0"/>
    <s v="الضباط السابقين"/>
    <s v="كشف صرف"/>
    <s v="كشف صرف"/>
    <n v="0"/>
    <s v="الفرقة الثالثة"/>
    <n v="1"/>
    <d v="2026-06-21T00:00:00"/>
    <m/>
    <m/>
    <n v="2026"/>
    <x v="0"/>
    <n v="21"/>
    <s v="قيـد مقابـل:- (مصاريف  صرفة يومية للافراد  - الضباط السابقين - الفرقة الثالثة)  - كشف صرف رقم   كشف صرف - صرف الصرفة اليومية للضباط السابقين عدد 10 ضباط بامر"/>
    <n v="0"/>
  </r>
  <r>
    <n v="711"/>
    <s v="JV345"/>
    <x v="18"/>
    <s v="قيد عهده"/>
    <n v="11060205"/>
    <x v="16"/>
    <x v="210"/>
    <x v="0"/>
    <n v="405"/>
    <n v="0"/>
    <n v="100000"/>
    <n v="0"/>
    <n v="246.91358024691357"/>
    <s v="الضباط السابقين"/>
    <s v="كشف صرف"/>
    <s v="كشف صرف"/>
    <n v="0"/>
    <s v="الفرقة الثالثة"/>
    <n v="1"/>
    <d v="2026-06-21T00:00:00"/>
    <m/>
    <m/>
    <n v="2026"/>
    <x v="0"/>
    <n v="21"/>
    <s v="قيـد مقابـل:- (مصاريف  صرفة يومية للافراد  - الضباط السابقين - الفرقة الثالثة)  - كشف صرف رقم   كشف صرف - صرف الصرفة اليومية للضباط السابقين عدد 10 ضباط بامر"/>
    <n v="0"/>
  </r>
  <r>
    <n v="712"/>
    <s v="JV346"/>
    <x v="18"/>
    <s v="قيد عهده"/>
    <n v="31010122"/>
    <x v="15"/>
    <x v="231"/>
    <x v="0"/>
    <n v="405"/>
    <n v="60000"/>
    <n v="0"/>
    <n v="148.14814814814815"/>
    <n v="0"/>
    <s v="محمد خدام ثابت احمد"/>
    <s v="استلام نقدي"/>
    <s v="سند استلام"/>
    <s v="100-120"/>
    <s v="اللواء السادس"/>
    <n v="7"/>
    <d v="2026-06-21T00:00:00"/>
    <m/>
    <m/>
    <n v="2026"/>
    <x v="0"/>
    <n v="21"/>
    <s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
    <s v="المستشار المالي"/>
  </r>
  <r>
    <n v="713"/>
    <s v="JV346"/>
    <x v="18"/>
    <s v="قيد عهده"/>
    <n v="11060205"/>
    <x v="16"/>
    <x v="231"/>
    <x v="0"/>
    <n v="405"/>
    <n v="0"/>
    <n v="60000"/>
    <n v="0"/>
    <n v="148.14814814814815"/>
    <s v="محمد خدام ثابت احمد"/>
    <s v="استلام نقدي"/>
    <s v="سند استلام"/>
    <s v="100-120"/>
    <s v="اللواء السادس"/>
    <n v="7"/>
    <d v="2026-06-21T00:00:00"/>
    <m/>
    <m/>
    <n v="2026"/>
    <x v="0"/>
    <n v="21"/>
    <s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
    <s v="المستشار المالي"/>
  </r>
  <r>
    <n v="714"/>
    <s v="JV347"/>
    <x v="18"/>
    <s v="قيد عهده"/>
    <n v="31010122"/>
    <x v="15"/>
    <x v="232"/>
    <x v="0"/>
    <n v="405"/>
    <n v="80000"/>
    <n v="0"/>
    <n v="197.53086419753086"/>
    <n v="0"/>
    <s v="طلحة عباس احمد قاسم"/>
    <s v="استلام نقدي"/>
    <s v="سند استلام"/>
    <s v="100-114"/>
    <s v="اللواء السادس"/>
    <n v="7"/>
    <d v="2026-06-21T00:00:00"/>
    <m/>
    <m/>
    <n v="2026"/>
    <x v="0"/>
    <n v="21"/>
    <s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
    <s v="المستشار المالي"/>
  </r>
  <r>
    <n v="715"/>
    <s v="JV347"/>
    <x v="18"/>
    <s v="قيد عهده"/>
    <n v="11060205"/>
    <x v="16"/>
    <x v="232"/>
    <x v="0"/>
    <n v="405"/>
    <n v="0"/>
    <n v="80000"/>
    <n v="0"/>
    <n v="197.53086419753086"/>
    <s v="طلحة عباس احمد قاسم"/>
    <s v="استلام نقدي"/>
    <s v="سند استلام"/>
    <s v="100-114"/>
    <s v="اللواء السادس"/>
    <n v="7"/>
    <d v="2026-06-21T00:00:00"/>
    <m/>
    <m/>
    <n v="2026"/>
    <x v="0"/>
    <n v="21"/>
    <s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
    <s v="المستشار المالي"/>
  </r>
  <r>
    <n v="716"/>
    <s v="JV348"/>
    <x v="18"/>
    <s v="قيد عهده"/>
    <n v="31010122"/>
    <x v="15"/>
    <x v="233"/>
    <x v="0"/>
    <n v="405"/>
    <n v="80000"/>
    <n v="0"/>
    <n v="197.53086419753086"/>
    <n v="0"/>
    <s v="محمد مبارك علي نعمان"/>
    <s v="استلام نقدي"/>
    <s v="سند استلام"/>
    <s v="100-111"/>
    <s v="اللواء السادس"/>
    <n v="7"/>
    <d v="2026-06-21T00:00:00"/>
    <m/>
    <m/>
    <n v="2026"/>
    <x v="0"/>
    <n v="21"/>
    <s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
    <s v="المستشار المالي"/>
  </r>
  <r>
    <n v="717"/>
    <s v="JV348"/>
    <x v="18"/>
    <s v="قيد عهده"/>
    <n v="11060205"/>
    <x v="16"/>
    <x v="233"/>
    <x v="0"/>
    <n v="405"/>
    <n v="0"/>
    <n v="80000"/>
    <n v="0"/>
    <n v="197.53086419753086"/>
    <s v="محمد مبارك علي نعمان"/>
    <s v="استلام نقدي"/>
    <s v="سند استلام"/>
    <s v="100-111"/>
    <s v="اللواء السادس"/>
    <n v="7"/>
    <d v="2026-06-21T00:00:00"/>
    <m/>
    <m/>
    <n v="2026"/>
    <x v="0"/>
    <n v="21"/>
    <s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
    <s v="المستشار المالي"/>
  </r>
  <r>
    <n v="718"/>
    <s v="JV349"/>
    <x v="18"/>
    <s v="قيد عهده"/>
    <n v="31010122"/>
    <x v="15"/>
    <x v="234"/>
    <x v="0"/>
    <n v="405"/>
    <n v="80000"/>
    <n v="0"/>
    <n v="197.53086419753086"/>
    <n v="0"/>
    <s v="الخضر محمد احمد الخضر"/>
    <s v="استلام نقدي"/>
    <s v="سند استلام"/>
    <s v="100-105"/>
    <s v="اللواء السادس"/>
    <n v="7"/>
    <d v="2026-06-21T00:00:00"/>
    <m/>
    <m/>
    <n v="2026"/>
    <x v="0"/>
    <n v="21"/>
    <s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
    <s v="المستشار المالي"/>
  </r>
  <r>
    <n v="719"/>
    <s v="JV349"/>
    <x v="18"/>
    <s v="قيد عهده"/>
    <n v="11060205"/>
    <x v="16"/>
    <x v="234"/>
    <x v="0"/>
    <n v="405"/>
    <n v="0"/>
    <n v="80000"/>
    <n v="0"/>
    <n v="197.53086419753086"/>
    <s v="الخضر محمد احمد الخضر"/>
    <s v="استلام نقدي"/>
    <s v="سند استلام"/>
    <s v="100-105"/>
    <s v="اللواء السادس"/>
    <n v="7"/>
    <d v="2026-06-21T00:00:00"/>
    <m/>
    <m/>
    <n v="2026"/>
    <x v="0"/>
    <n v="21"/>
    <s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
    <s v="المستشار المالي"/>
  </r>
  <r>
    <n v="720"/>
    <s v="JV350"/>
    <x v="18"/>
    <s v="قيد عهده"/>
    <n v="31010115"/>
    <x v="18"/>
    <x v="235"/>
    <x v="0"/>
    <n v="405"/>
    <n v="100000"/>
    <n v="0"/>
    <n v="246.91358024691357"/>
    <n v="0"/>
    <s v="وايت الماء"/>
    <s v="استلام نقدي"/>
    <s v="سند استلام"/>
    <s v="100-109"/>
    <s v="الفرقة الثالثة"/>
    <n v="1"/>
    <d v="2026-06-21T00:00:00"/>
    <m/>
    <m/>
    <n v="2026"/>
    <x v="0"/>
    <n v="21"/>
    <s v="قيـد مقابـل:- (مصاريف مياة - وايت الماء - الفرقة الثالثة)  - استلام نقدي رقم 100-109  سند استلام - تعبئة القاطرة ماء من الخشعة والعودة بامرالأركان جمال مسدوس"/>
    <s v="الأركان جمال مسدوس"/>
  </r>
  <r>
    <n v="721"/>
    <s v="JV350"/>
    <x v="18"/>
    <s v="قيد عهده"/>
    <n v="11060205"/>
    <x v="16"/>
    <x v="235"/>
    <x v="0"/>
    <n v="405"/>
    <n v="0"/>
    <n v="100000"/>
    <n v="0"/>
    <n v="246.91358024691357"/>
    <s v="وايت الماء"/>
    <s v="استلام نقدي"/>
    <s v="سند استلام"/>
    <s v="100-109"/>
    <s v="الفرقة الثالثة"/>
    <n v="1"/>
    <d v="2026-06-21T00:00:00"/>
    <m/>
    <m/>
    <n v="2026"/>
    <x v="0"/>
    <n v="21"/>
    <s v="قيـد مقابـل:- (مصاريف مياة - وايت الماء - الفرقة الثالثة)  - استلام نقدي رقم 100-109  سند استلام - تعبئة القاطرة ماء من الخشعة والعودة بامرالأركان جمال مسدوس"/>
    <s v="الأركان جمال مسدوس"/>
  </r>
  <r>
    <n v="722"/>
    <s v="JV351"/>
    <x v="18"/>
    <s v="قيد عهده"/>
    <n v="31010122"/>
    <x v="15"/>
    <x v="236"/>
    <x v="0"/>
    <n v="405"/>
    <n v="80000"/>
    <n v="0"/>
    <n v="197.53086419753086"/>
    <n v="0"/>
    <s v="احمد عبدالولي احمد عبده الزبير"/>
    <s v="استلام نقدي"/>
    <s v="سند استلام"/>
    <s v="100-106"/>
    <s v="اللواء السادس"/>
    <n v="7"/>
    <d v="2026-06-21T00:00:00"/>
    <m/>
    <m/>
    <n v="2026"/>
    <x v="0"/>
    <n v="21"/>
    <s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
    <s v="المستشار المالي"/>
  </r>
  <r>
    <n v="723"/>
    <s v="JV351"/>
    <x v="18"/>
    <s v="قيد عهده"/>
    <n v="11060205"/>
    <x v="16"/>
    <x v="236"/>
    <x v="0"/>
    <n v="405"/>
    <n v="0"/>
    <n v="80000"/>
    <n v="0"/>
    <n v="197.53086419753086"/>
    <s v="احمد عبدالولي احمد عبده الزبير"/>
    <s v="استلام نقدي"/>
    <s v="سند استلام"/>
    <s v="100-106"/>
    <s v="اللواء السادس"/>
    <n v="7"/>
    <d v="2026-06-21T00:00:00"/>
    <m/>
    <m/>
    <n v="2026"/>
    <x v="0"/>
    <n v="21"/>
    <s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
    <s v="المستشار المالي"/>
  </r>
  <r>
    <n v="724"/>
    <s v="JV352"/>
    <x v="18"/>
    <s v="قيد عهده"/>
    <n v="31010114"/>
    <x v="4"/>
    <x v="237"/>
    <x v="0"/>
    <n v="405"/>
    <n v="560000"/>
    <n v="0"/>
    <n v="1382.7160493827159"/>
    <n v="0"/>
    <s v="اطقم اللواء السابع مهمة معسكر العفاريت"/>
    <s v="استلام نقدي"/>
    <s v="سند استلام"/>
    <s v="100-103"/>
    <s v="الفرقة الثالثة"/>
    <n v="1"/>
    <d v="2026-06-21T00:00:00"/>
    <m/>
    <m/>
    <n v="2026"/>
    <x v="0"/>
    <n v="21"/>
    <s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
    <s v="القائد"/>
  </r>
  <r>
    <n v="725"/>
    <s v="JV352"/>
    <x v="18"/>
    <s v="قيد عهده"/>
    <n v="11060205"/>
    <x v="16"/>
    <x v="237"/>
    <x v="0"/>
    <n v="405"/>
    <n v="0"/>
    <n v="560000"/>
    <n v="0"/>
    <n v="1382.7160493827159"/>
    <s v="اطقم اللواء السابع مهمة معسكر العفاريت"/>
    <s v="استلام نقدي"/>
    <s v="سند استلام"/>
    <s v="100-103"/>
    <s v="الفرقة الثالثة"/>
    <n v="1"/>
    <d v="2026-06-21T00:00:00"/>
    <m/>
    <m/>
    <n v="2026"/>
    <x v="0"/>
    <n v="21"/>
    <s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
    <s v="القائد"/>
  </r>
  <r>
    <n v="726"/>
    <s v="JV353"/>
    <x v="18"/>
    <s v="قيد عهده"/>
    <n v="31010101"/>
    <x v="2"/>
    <x v="238"/>
    <x v="0"/>
    <n v="405"/>
    <n v="196000"/>
    <n v="0"/>
    <n v="483.95061728395063"/>
    <n v="0"/>
    <s v="سرية الآمن اللواء السادس"/>
    <s v="كشف صرف"/>
    <s v="كشف صرف"/>
    <n v="0"/>
    <s v="اللواء السادس"/>
    <n v="7"/>
    <d v="2026-06-21T00:00:00"/>
    <m/>
    <m/>
    <n v="2026"/>
    <x v="0"/>
    <n v="21"/>
    <s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
    <s v="المستشار المالي"/>
  </r>
  <r>
    <n v="727"/>
    <s v="JV353"/>
    <x v="18"/>
    <s v="قيد عهده"/>
    <n v="11060205"/>
    <x v="16"/>
    <x v="238"/>
    <x v="0"/>
    <n v="405"/>
    <n v="0"/>
    <n v="196000"/>
    <n v="0"/>
    <n v="483.95061728395063"/>
    <s v="سرية الآمن اللواء السادس"/>
    <s v="كشف صرف"/>
    <s v="كشف صرف"/>
    <n v="0"/>
    <s v="اللواء السادس"/>
    <n v="7"/>
    <d v="2026-06-21T00:00:00"/>
    <m/>
    <m/>
    <n v="2026"/>
    <x v="0"/>
    <n v="21"/>
    <s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
    <s v="المستشار المالي"/>
  </r>
  <r>
    <n v="728"/>
    <s v="JV354"/>
    <x v="19"/>
    <s v="قيد عهده"/>
    <n v="31010101"/>
    <x v="2"/>
    <x v="239"/>
    <x v="0"/>
    <n v="405"/>
    <n v="112000"/>
    <n v="0"/>
    <n v="276.54320987654319"/>
    <n v="0"/>
    <s v="اطقم اللواء السابع مهمة معسكر العفاريت"/>
    <s v="استلام نقدي"/>
    <s v="سند استلام"/>
    <s v="100-100"/>
    <s v="الفرقة الثالثة"/>
    <n v="1"/>
    <d v="2026-06-22T00:00:00"/>
    <m/>
    <m/>
    <n v="2026"/>
    <x v="0"/>
    <n v="22"/>
    <s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
    <s v="القائد"/>
  </r>
  <r>
    <n v="729"/>
    <s v="JV354"/>
    <x v="19"/>
    <s v="قيد عهده"/>
    <n v="11060205"/>
    <x v="16"/>
    <x v="239"/>
    <x v="0"/>
    <n v="405"/>
    <n v="0"/>
    <n v="112000"/>
    <n v="0"/>
    <n v="276.54320987654319"/>
    <s v="اطقم اللواء السابع مهمة معسكر العفاريت"/>
    <s v="استلام نقدي"/>
    <s v="سند استلام"/>
    <s v="100-100"/>
    <s v="الفرقة الثالثة"/>
    <n v="1"/>
    <d v="2026-06-22T00:00:00"/>
    <m/>
    <m/>
    <n v="2026"/>
    <x v="0"/>
    <n v="22"/>
    <s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
    <s v="القائد"/>
  </r>
  <r>
    <n v="730"/>
    <s v="JV355"/>
    <x v="19"/>
    <s v="قيد عهده"/>
    <n v="11010202"/>
    <x v="23"/>
    <x v="240"/>
    <x v="0"/>
    <n v="405"/>
    <n v="200000"/>
    <n v="0"/>
    <n v="493.82716049382714"/>
    <n v="0"/>
    <s v="عبدالمجيد لبيب يحيى صالح"/>
    <s v="استلام نقدي"/>
    <s v="سند استلام"/>
    <s v="100-2"/>
    <s v="اللواء الثاني"/>
    <n v="3"/>
    <d v="2026-06-22T00:00:00"/>
    <m/>
    <m/>
    <n v="2026"/>
    <x v="0"/>
    <n v="22"/>
    <s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
    <s v="القائد"/>
  </r>
  <r>
    <n v="731"/>
    <s v="JV355"/>
    <x v="19"/>
    <s v="قيد عهده"/>
    <n v="11060205"/>
    <x v="16"/>
    <x v="240"/>
    <x v="0"/>
    <n v="405"/>
    <n v="0"/>
    <n v="200000"/>
    <n v="0"/>
    <n v="493.82716049382714"/>
    <s v="عبدالمجيد لبيب يحيى صالح"/>
    <s v="استلام نقدي"/>
    <s v="سند استلام"/>
    <s v="100-2"/>
    <s v="اللواء الثاني"/>
    <n v="3"/>
    <d v="2026-06-22T00:00:00"/>
    <m/>
    <m/>
    <n v="2026"/>
    <x v="0"/>
    <n v="22"/>
    <s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
    <s v="القائد"/>
  </r>
  <r>
    <n v="732"/>
    <s v="JV356"/>
    <x v="19"/>
    <s v="قيد عهده"/>
    <n v="31010101"/>
    <x v="2"/>
    <x v="241"/>
    <x v="0"/>
    <n v="405"/>
    <n v="200000"/>
    <n v="0"/>
    <n v="493.82716049382714"/>
    <n v="0"/>
    <s v="سرية الآمن اللواء السادس"/>
    <s v="كشف صرف"/>
    <s v="كشف صرف"/>
    <n v="0"/>
    <s v="اللواء السادس"/>
    <n v="7"/>
    <d v="2026-06-22T00:00:00"/>
    <m/>
    <m/>
    <n v="2026"/>
    <x v="0"/>
    <n v="22"/>
    <s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
    <s v="المستشار المالي"/>
  </r>
  <r>
    <n v="733"/>
    <s v="JV356"/>
    <x v="19"/>
    <s v="قيد عهده"/>
    <n v="11060205"/>
    <x v="16"/>
    <x v="241"/>
    <x v="0"/>
    <n v="405"/>
    <n v="0"/>
    <n v="200000"/>
    <n v="0"/>
    <n v="493.82716049382714"/>
    <s v="سرية الآمن اللواء السادس"/>
    <s v="كشف صرف"/>
    <s v="كشف صرف"/>
    <n v="0"/>
    <s v="اللواء السادس"/>
    <n v="7"/>
    <d v="2026-06-22T00:00:00"/>
    <m/>
    <m/>
    <n v="2026"/>
    <x v="0"/>
    <n v="22"/>
    <s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
    <s v="المستشار المالي"/>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BAB9CE-6810-47EF-9A84-03D1609A5ABA}" name="PivotTable1" cacheId="2" applyNumberFormats="0" applyBorderFormats="0" applyFontFormats="0" applyPatternFormats="0" applyAlignmentFormats="0" applyWidthHeightFormats="1" dataCaption="القيم" updatedVersion="8" minRefreshableVersion="3" colGrandTotals="0" itemPrintTitles="1" mergeItem="1" createdVersion="8" indent="0" outline="1" outlineData="1" multipleFieldFilters="0">
  <location ref="A3:E138" firstHeaderRow="1" firstDataRow="3" firstDataCol="1"/>
  <pivotFields count="30">
    <pivotField showAll="0"/>
    <pivotField showAll="0"/>
    <pivotField axis="axisRow" numFmtId="166" showAll="0">
      <items count="21">
        <item x="0"/>
        <item x="1"/>
        <item x="2"/>
        <item x="3"/>
        <item x="4"/>
        <item x="5"/>
        <item x="6"/>
        <item x="7"/>
        <item x="8"/>
        <item x="9"/>
        <item x="10"/>
        <item x="11"/>
        <item x="12"/>
        <item x="13"/>
        <item x="15"/>
        <item x="16"/>
        <item x="14"/>
        <item x="17"/>
        <item x="18"/>
        <item x="19"/>
        <item t="default"/>
      </items>
    </pivotField>
    <pivotField showAll="0"/>
    <pivotField showAll="0"/>
    <pivotField axis="axisRow" showAll="0">
      <items count="27">
        <item x="14"/>
        <item x="3"/>
        <item x="1"/>
        <item x="11"/>
        <item x="13"/>
        <item x="16"/>
        <item x="0"/>
        <item x="2"/>
        <item x="5"/>
        <item x="4"/>
        <item x="9"/>
        <item x="15"/>
        <item x="8"/>
        <item x="7"/>
        <item x="10"/>
        <item x="12"/>
        <item x="6"/>
        <item m="1" x="24"/>
        <item m="1" x="25"/>
        <item x="18"/>
        <item x="19"/>
        <item x="20"/>
        <item x="21"/>
        <item x="17"/>
        <item x="22"/>
        <item x="23"/>
        <item t="default"/>
      </items>
    </pivotField>
    <pivotField showAll="0"/>
    <pivotField axis="axisCol" showAll="0">
      <items count="4">
        <item h="1" m="1" x="2"/>
        <item x="1"/>
        <item x="0"/>
        <item t="default"/>
      </items>
    </pivotField>
    <pivotField showAll="0"/>
    <pivotField dataField="1" numFmtId="1" showAll="0"/>
    <pivotField dataField="1" numFmtId="1" showAll="0"/>
    <pivotField numFmtId="168" showAll="0"/>
    <pivotField numFmtId="168" showAll="0"/>
    <pivotField showAll="0"/>
    <pivotField showAll="0"/>
    <pivotField showAll="0"/>
    <pivotField showAll="0"/>
    <pivotField showAll="0"/>
    <pivotField showAll="0"/>
    <pivotField numFmtId="167" showAll="0"/>
    <pivotField showAll="0"/>
    <pivotField showAll="0"/>
    <pivotField showAll="0"/>
    <pivotField showAll="0">
      <items count="3">
        <item m="1" x="1"/>
        <item x="0"/>
        <item t="default"/>
      </items>
    </pivotField>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7">
        <item x="1"/>
        <item x="2"/>
        <item x="3"/>
        <item x="4"/>
        <item x="0"/>
        <item x="5"/>
        <item t="default"/>
      </items>
    </pivotField>
    <pivotField axis="axisRow" showAll="0">
      <items count="4">
        <item x="1"/>
        <item x="0"/>
        <item x="2"/>
        <item t="default"/>
      </items>
    </pivotField>
  </pivotFields>
  <rowFields count="5">
    <field x="29"/>
    <field x="28"/>
    <field x="27"/>
    <field x="2"/>
    <field x="5"/>
  </rowFields>
  <rowItems count="133">
    <i>
      <x/>
    </i>
    <i r="1">
      <x v="1"/>
    </i>
    <i r="2">
      <x v="6"/>
    </i>
    <i r="3">
      <x/>
    </i>
    <i r="4">
      <x v="1"/>
    </i>
    <i r="4">
      <x v="2"/>
    </i>
    <i r="4">
      <x v="6"/>
    </i>
    <i r="4">
      <x v="7"/>
    </i>
    <i r="4">
      <x v="9"/>
    </i>
    <i r="3">
      <x v="1"/>
    </i>
    <i r="4">
      <x v="6"/>
    </i>
    <i r="4">
      <x v="7"/>
    </i>
    <i r="4">
      <x v="8"/>
    </i>
    <i r="4">
      <x v="9"/>
    </i>
    <i r="4">
      <x v="12"/>
    </i>
    <i r="4">
      <x v="13"/>
    </i>
    <i r="4">
      <x v="16"/>
    </i>
    <i r="3">
      <x v="2"/>
    </i>
    <i r="4">
      <x v="1"/>
    </i>
    <i r="4">
      <x v="3"/>
    </i>
    <i r="4">
      <x v="6"/>
    </i>
    <i r="4">
      <x v="7"/>
    </i>
    <i r="4">
      <x v="8"/>
    </i>
    <i r="4">
      <x v="9"/>
    </i>
    <i r="4">
      <x v="10"/>
    </i>
    <i r="4">
      <x v="14"/>
    </i>
    <i r="4">
      <x v="15"/>
    </i>
    <i r="3">
      <x v="3"/>
    </i>
    <i r="4">
      <x/>
    </i>
    <i r="4">
      <x v="1"/>
    </i>
    <i r="4">
      <x v="4"/>
    </i>
    <i r="4">
      <x v="6"/>
    </i>
    <i r="4">
      <x v="7"/>
    </i>
    <i r="4">
      <x v="8"/>
    </i>
    <i r="4">
      <x v="9"/>
    </i>
    <i r="4">
      <x v="11"/>
    </i>
    <i r="4">
      <x v="14"/>
    </i>
    <i r="4">
      <x v="15"/>
    </i>
    <i r="3">
      <x v="4"/>
    </i>
    <i r="4">
      <x v="1"/>
    </i>
    <i r="4">
      <x v="5"/>
    </i>
    <i r="4">
      <x v="6"/>
    </i>
    <i r="4">
      <x v="7"/>
    </i>
    <i r="4">
      <x v="9"/>
    </i>
    <i r="4">
      <x v="15"/>
    </i>
    <i r="4">
      <x v="16"/>
    </i>
    <i r="3">
      <x v="5"/>
    </i>
    <i r="4">
      <x v="1"/>
    </i>
    <i r="4">
      <x v="5"/>
    </i>
    <i r="4">
      <x v="7"/>
    </i>
    <i r="4">
      <x v="9"/>
    </i>
    <i r="4">
      <x v="11"/>
    </i>
    <i r="3">
      <x v="6"/>
    </i>
    <i r="4">
      <x v="5"/>
    </i>
    <i r="4">
      <x v="7"/>
    </i>
    <i r="4">
      <x v="9"/>
    </i>
    <i r="4">
      <x v="16"/>
    </i>
    <i r="4">
      <x v="23"/>
    </i>
    <i r="3">
      <x v="7"/>
    </i>
    <i r="4">
      <x/>
    </i>
    <i r="4">
      <x v="5"/>
    </i>
    <i r="4">
      <x v="7"/>
    </i>
    <i r="4">
      <x v="9"/>
    </i>
    <i r="3">
      <x v="8"/>
    </i>
    <i r="4">
      <x/>
    </i>
    <i r="4">
      <x v="1"/>
    </i>
    <i r="4">
      <x v="5"/>
    </i>
    <i r="4">
      <x v="7"/>
    </i>
    <i r="4">
      <x v="9"/>
    </i>
    <i r="4">
      <x v="14"/>
    </i>
    <i r="3">
      <x v="9"/>
    </i>
    <i r="4">
      <x/>
    </i>
    <i r="4">
      <x v="5"/>
    </i>
    <i r="4">
      <x v="7"/>
    </i>
    <i r="3">
      <x v="10"/>
    </i>
    <i r="4">
      <x/>
    </i>
    <i r="4">
      <x v="1"/>
    </i>
    <i r="4">
      <x v="5"/>
    </i>
    <i r="4">
      <x v="7"/>
    </i>
    <i r="4">
      <x v="16"/>
    </i>
    <i r="4">
      <x v="19"/>
    </i>
    <i r="3">
      <x v="11"/>
    </i>
    <i r="4">
      <x v="5"/>
    </i>
    <i r="4">
      <x v="7"/>
    </i>
    <i r="4">
      <x v="14"/>
    </i>
    <i r="4">
      <x v="20"/>
    </i>
    <i r="4">
      <x v="21"/>
    </i>
    <i r="4">
      <x v="22"/>
    </i>
    <i r="3">
      <x v="12"/>
    </i>
    <i r="4">
      <x v="1"/>
    </i>
    <i r="4">
      <x v="5"/>
    </i>
    <i r="4">
      <x v="7"/>
    </i>
    <i r="4">
      <x v="12"/>
    </i>
    <i r="4">
      <x v="16"/>
    </i>
    <i r="3">
      <x v="13"/>
    </i>
    <i r="4">
      <x v="5"/>
    </i>
    <i r="4">
      <x v="7"/>
    </i>
    <i r="4">
      <x v="24"/>
    </i>
    <i r="3">
      <x v="14"/>
    </i>
    <i r="4">
      <x v="1"/>
    </i>
    <i r="4">
      <x v="5"/>
    </i>
    <i r="4">
      <x v="7"/>
    </i>
    <i r="4">
      <x v="14"/>
    </i>
    <i r="4">
      <x v="15"/>
    </i>
    <i r="4">
      <x v="24"/>
    </i>
    <i r="3">
      <x v="15"/>
    </i>
    <i r="4">
      <x v="5"/>
    </i>
    <i r="4">
      <x v="7"/>
    </i>
    <i r="4">
      <x v="13"/>
    </i>
    <i r="4">
      <x v="19"/>
    </i>
    <i r="3">
      <x v="16"/>
    </i>
    <i r="4">
      <x v="5"/>
    </i>
    <i r="4">
      <x v="7"/>
    </i>
    <i r="4">
      <x v="9"/>
    </i>
    <i r="4">
      <x v="15"/>
    </i>
    <i r="4">
      <x v="23"/>
    </i>
    <i r="4">
      <x v="24"/>
    </i>
    <i r="3">
      <x v="17"/>
    </i>
    <i r="4">
      <x v="5"/>
    </i>
    <i r="4">
      <x v="7"/>
    </i>
    <i r="4">
      <x v="9"/>
    </i>
    <i r="4">
      <x v="11"/>
    </i>
    <i r="3">
      <x v="18"/>
    </i>
    <i r="4">
      <x v="5"/>
    </i>
    <i r="4">
      <x v="7"/>
    </i>
    <i r="4">
      <x v="9"/>
    </i>
    <i r="4">
      <x v="11"/>
    </i>
    <i r="4">
      <x v="19"/>
    </i>
    <i r="3">
      <x v="19"/>
    </i>
    <i r="4">
      <x v="5"/>
    </i>
    <i r="4">
      <x v="7"/>
    </i>
    <i r="4">
      <x v="25"/>
    </i>
    <i t="grand">
      <x/>
    </i>
  </rowItems>
  <colFields count="2">
    <field x="7"/>
    <field x="-2"/>
  </colFields>
  <colItems count="4">
    <i>
      <x v="1"/>
      <x/>
    </i>
    <i r="1" i="1">
      <x v="1"/>
    </i>
    <i>
      <x v="2"/>
      <x/>
    </i>
    <i r="1" i="1">
      <x v="1"/>
    </i>
  </colItems>
  <dataFields count="2">
    <dataField name="مدين" fld="9" baseField="0" baseItem="0" numFmtId="1"/>
    <dataField name="دائن" fld="10" baseField="0" baseItem="0" numFmtId="1"/>
  </dataFields>
  <pivotTableStyleInfo name="PivotStyleMedium9"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D8381F-2FCB-4B88-BB62-B50B91B4A234}" name="PivotTable1" cacheId="2" applyNumberFormats="0" applyBorderFormats="0" applyFontFormats="0" applyPatternFormats="0" applyAlignmentFormats="0" applyWidthHeightFormats="1" dataCaption="القيم" showMissing="0" updatedVersion="8" minRefreshableVersion="3" colGrandTotals="0" itemPrintTitles="1" mergeItem="1" createdVersion="8" indent="0" outline="1" outlineData="1" multipleFieldFilters="0" rowHeaderCaption="الحساب">
  <location ref="A3:E30" firstHeaderRow="1" firstDataRow="3" firstDataCol="1"/>
  <pivotFields count="30">
    <pivotField showAll="0"/>
    <pivotField showAll="0"/>
    <pivotField numFmtId="166" showAll="0">
      <items count="21">
        <item x="0"/>
        <item x="1"/>
        <item x="2"/>
        <item x="3"/>
        <item x="4"/>
        <item x="5"/>
        <item x="6"/>
        <item x="7"/>
        <item x="8"/>
        <item x="9"/>
        <item x="10"/>
        <item x="11"/>
        <item x="12"/>
        <item x="13"/>
        <item x="15"/>
        <item x="16"/>
        <item x="14"/>
        <item x="17"/>
        <item x="18"/>
        <item x="19"/>
        <item t="default"/>
      </items>
    </pivotField>
    <pivotField showAll="0"/>
    <pivotField showAll="0"/>
    <pivotField axis="axisRow" showAll="0" sortType="ascending">
      <items count="27">
        <item x="14"/>
        <item x="3"/>
        <item x="1"/>
        <item x="23"/>
        <item x="19"/>
        <item x="21"/>
        <item x="11"/>
        <item x="17"/>
        <item x="13"/>
        <item x="16"/>
        <item x="22"/>
        <item x="0"/>
        <item m="1" x="25"/>
        <item x="2"/>
        <item x="5"/>
        <item x="4"/>
        <item x="9"/>
        <item x="15"/>
        <item x="8"/>
        <item x="7"/>
        <item x="10"/>
        <item x="18"/>
        <item x="12"/>
        <item x="6"/>
        <item x="20"/>
        <item m="1" x="24"/>
        <item t="default"/>
      </items>
    </pivotField>
    <pivotField showAll="0"/>
    <pivotField axis="axisCol" showAll="0">
      <items count="4">
        <item h="1" m="1" x="2"/>
        <item x="0"/>
        <item x="1"/>
        <item t="default"/>
      </items>
    </pivotField>
    <pivotField showAll="0"/>
    <pivotField dataField="1" numFmtId="1" showAll="0"/>
    <pivotField dataField="1" numFmtId="1" showAll="0"/>
    <pivotField numFmtId="168" showAll="0"/>
    <pivotField numFmtId="168" showAll="0"/>
    <pivotField showAll="0"/>
    <pivotField showAll="0"/>
    <pivotField showAll="0"/>
    <pivotField showAll="0"/>
    <pivotField showAll="0"/>
    <pivotField showAll="0"/>
    <pivotField numFmtId="167"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1"/>
        <item x="0"/>
        <item x="2"/>
        <item t="default"/>
      </items>
    </pivotField>
  </pivotFields>
  <rowFields count="1">
    <field x="5"/>
  </rowFields>
  <rowItems count="25">
    <i>
      <x/>
    </i>
    <i>
      <x v="1"/>
    </i>
    <i>
      <x v="2"/>
    </i>
    <i>
      <x v="3"/>
    </i>
    <i>
      <x v="4"/>
    </i>
    <i>
      <x v="5"/>
    </i>
    <i>
      <x v="6"/>
    </i>
    <i>
      <x v="7"/>
    </i>
    <i>
      <x v="8"/>
    </i>
    <i>
      <x v="9"/>
    </i>
    <i>
      <x v="10"/>
    </i>
    <i>
      <x v="11"/>
    </i>
    <i>
      <x v="13"/>
    </i>
    <i>
      <x v="14"/>
    </i>
    <i>
      <x v="15"/>
    </i>
    <i>
      <x v="16"/>
    </i>
    <i>
      <x v="17"/>
    </i>
    <i>
      <x v="18"/>
    </i>
    <i>
      <x v="19"/>
    </i>
    <i>
      <x v="20"/>
    </i>
    <i>
      <x v="21"/>
    </i>
    <i>
      <x v="22"/>
    </i>
    <i>
      <x v="23"/>
    </i>
    <i>
      <x v="24"/>
    </i>
    <i t="grand">
      <x/>
    </i>
  </rowItems>
  <colFields count="2">
    <field x="7"/>
    <field x="-2"/>
  </colFields>
  <colItems count="4">
    <i>
      <x v="1"/>
      <x/>
    </i>
    <i r="1" i="1">
      <x v="1"/>
    </i>
    <i>
      <x v="2"/>
      <x/>
    </i>
    <i r="1" i="1">
      <x v="1"/>
    </i>
  </colItems>
  <dataFields count="2">
    <dataField name="مدين" fld="9" baseField="0" baseItem="0" numFmtId="1"/>
    <dataField name="دائن" fld="10" baseField="0" baseItem="0" numFmtId="1"/>
  </dataFields>
  <formats count="41">
    <format dxfId="347">
      <pivotArea field="5" type="button" dataOnly="0" labelOnly="1" outline="0" axis="axisRow" fieldPosition="0"/>
    </format>
    <format dxfId="346">
      <pivotArea outline="0" collapsedLevelsAreSubtotals="1" fieldPosition="0"/>
    </format>
    <format dxfId="345">
      <pivotArea outline="0" collapsedLevelsAreSubtotals="1" fieldPosition="0"/>
    </format>
    <format dxfId="344">
      <pivotArea outline="0" collapsedLevelsAreSubtotals="1" fieldPosition="0"/>
    </format>
    <format dxfId="343">
      <pivotArea outline="0" collapsedLevelsAreSubtotals="1" fieldPosition="0"/>
    </format>
    <format dxfId="342">
      <pivotArea type="origin" dataOnly="0" labelOnly="1" outline="0" fieldPosition="0"/>
    </format>
    <format dxfId="341">
      <pivotArea outline="0" collapsedLevelsAreSubtotals="1" fieldPosition="0"/>
    </format>
    <format dxfId="340">
      <pivotArea field="7" type="button" dataOnly="0" labelOnly="1" outline="0" axis="axisCol" fieldPosition="0"/>
    </format>
    <format dxfId="339">
      <pivotArea field="-2" type="button" dataOnly="0" labelOnly="1" outline="0" axis="axisCol" fieldPosition="1"/>
    </format>
    <format dxfId="338">
      <pivotArea type="topRight" dataOnly="0" labelOnly="1" outline="0" fieldPosition="0"/>
    </format>
    <format dxfId="337">
      <pivotArea dataOnly="0" labelOnly="1" fieldPosition="0">
        <references count="1">
          <reference field="7" count="0"/>
        </references>
      </pivotArea>
    </format>
    <format dxfId="336">
      <pivotArea dataOnly="0" labelOnly="1" outline="0" fieldPosition="0">
        <references count="2">
          <reference field="4294967294" count="2">
            <x v="0"/>
            <x v="1"/>
          </reference>
          <reference field="7" count="1" selected="0">
            <x v="1"/>
          </reference>
        </references>
      </pivotArea>
    </format>
    <format dxfId="335">
      <pivotArea dataOnly="0" labelOnly="1" outline="0" fieldPosition="0">
        <references count="2">
          <reference field="4294967294" count="2">
            <x v="0"/>
            <x v="1"/>
          </reference>
          <reference field="7" count="1" selected="0">
            <x v="2"/>
          </reference>
        </references>
      </pivotArea>
    </format>
    <format dxfId="334">
      <pivotArea type="origin" dataOnly="0" labelOnly="1" outline="0" fieldPosition="0"/>
    </format>
    <format dxfId="333">
      <pivotArea field="5" type="button" dataOnly="0" labelOnly="1" outline="0" axis="axisRow" fieldPosition="0"/>
    </format>
    <format dxfId="332">
      <pivotArea dataOnly="0" labelOnly="1" fieldPosition="0">
        <references count="1">
          <reference field="5" count="15">
            <x v="0"/>
            <x v="1"/>
            <x v="2"/>
            <x v="6"/>
            <x v="8"/>
            <x v="11"/>
            <x v="13"/>
            <x v="14"/>
            <x v="15"/>
            <x v="16"/>
            <x v="17"/>
            <x v="18"/>
            <x v="19"/>
            <x v="20"/>
            <x v="23"/>
          </reference>
        </references>
      </pivotArea>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type="origin" dataOnly="0" labelOnly="1" outline="0" fieldPosition="0"/>
    </format>
    <format dxfId="327">
      <pivotArea field="7" type="button" dataOnly="0" labelOnly="1" outline="0" axis="axisCol" fieldPosition="0"/>
    </format>
    <format dxfId="326">
      <pivotArea field="-2" type="button" dataOnly="0" labelOnly="1" outline="0" axis="axisCol" fieldPosition="1"/>
    </format>
    <format dxfId="325">
      <pivotArea type="topRight" dataOnly="0" labelOnly="1" outline="0" fieldPosition="0"/>
    </format>
    <format dxfId="324">
      <pivotArea field="5" type="button" dataOnly="0" labelOnly="1" outline="0" axis="axisRow" fieldPosition="0"/>
    </format>
    <format dxfId="323">
      <pivotArea dataOnly="0" labelOnly="1" fieldPosition="0">
        <references count="1">
          <reference field="5" count="15">
            <x v="0"/>
            <x v="1"/>
            <x v="2"/>
            <x v="6"/>
            <x v="8"/>
            <x v="11"/>
            <x v="13"/>
            <x v="14"/>
            <x v="15"/>
            <x v="16"/>
            <x v="17"/>
            <x v="18"/>
            <x v="19"/>
            <x v="20"/>
            <x v="23"/>
          </reference>
        </references>
      </pivotArea>
    </format>
    <format dxfId="322">
      <pivotArea dataOnly="0" labelOnly="1" grandRow="1" outline="0" fieldPosition="0"/>
    </format>
    <format dxfId="321">
      <pivotArea dataOnly="0" labelOnly="1" fieldPosition="0">
        <references count="1">
          <reference field="7" count="0"/>
        </references>
      </pivotArea>
    </format>
    <format dxfId="320">
      <pivotArea dataOnly="0" labelOnly="1" outline="0" fieldPosition="0">
        <references count="2">
          <reference field="4294967294" count="2">
            <x v="0"/>
            <x v="1"/>
          </reference>
          <reference field="7" count="1" selected="0">
            <x v="1"/>
          </reference>
        </references>
      </pivotArea>
    </format>
    <format dxfId="319">
      <pivotArea dataOnly="0" labelOnly="1" outline="0" fieldPosition="0">
        <references count="2">
          <reference field="4294967294" count="2">
            <x v="0"/>
            <x v="1"/>
          </reference>
          <reference field="7" count="1" selected="0">
            <x v="2"/>
          </reference>
        </references>
      </pivotArea>
    </format>
    <format dxfId="318">
      <pivotArea type="all" dataOnly="0" outline="0" fieldPosition="0"/>
    </format>
    <format dxfId="317">
      <pivotArea outline="0" collapsedLevelsAreSubtotals="1" fieldPosition="0"/>
    </format>
    <format dxfId="316">
      <pivotArea type="origin" dataOnly="0" labelOnly="1" outline="0" fieldPosition="0"/>
    </format>
    <format dxfId="315">
      <pivotArea field="7" type="button" dataOnly="0" labelOnly="1" outline="0" axis="axisCol" fieldPosition="0"/>
    </format>
    <format dxfId="314">
      <pivotArea field="-2" type="button" dataOnly="0" labelOnly="1" outline="0" axis="axisCol" fieldPosition="1"/>
    </format>
    <format dxfId="313">
      <pivotArea type="topRight" dataOnly="0" labelOnly="1" outline="0" fieldPosition="0"/>
    </format>
    <format dxfId="312">
      <pivotArea field="5" type="button" dataOnly="0" labelOnly="1" outline="0" axis="axisRow" fieldPosition="0"/>
    </format>
    <format dxfId="311">
      <pivotArea dataOnly="0" labelOnly="1" fieldPosition="0">
        <references count="1">
          <reference field="5" count="15">
            <x v="0"/>
            <x v="1"/>
            <x v="2"/>
            <x v="6"/>
            <x v="8"/>
            <x v="11"/>
            <x v="13"/>
            <x v="14"/>
            <x v="15"/>
            <x v="16"/>
            <x v="17"/>
            <x v="18"/>
            <x v="19"/>
            <x v="20"/>
            <x v="23"/>
          </reference>
        </references>
      </pivotArea>
    </format>
    <format dxfId="310">
      <pivotArea dataOnly="0" labelOnly="1" grandRow="1" outline="0" fieldPosition="0"/>
    </format>
    <format dxfId="309">
      <pivotArea dataOnly="0" labelOnly="1" fieldPosition="0">
        <references count="1">
          <reference field="7" count="0"/>
        </references>
      </pivotArea>
    </format>
    <format dxfId="308">
      <pivotArea dataOnly="0" labelOnly="1" outline="0" fieldPosition="0">
        <references count="2">
          <reference field="4294967294" count="2">
            <x v="0"/>
            <x v="1"/>
          </reference>
          <reference field="7" count="1" selected="0">
            <x v="1"/>
          </reference>
        </references>
      </pivotArea>
    </format>
    <format dxfId="307">
      <pivotArea dataOnly="0" labelOnly="1" outline="0" fieldPosition="0">
        <references count="2">
          <reference field="4294967294" count="2">
            <x v="0"/>
            <x v="1"/>
          </reference>
          <reference field="7" count="1" selected="0">
            <x v="2"/>
          </reference>
        </references>
      </pivotArea>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695817-0C7A-4FB3-8EF5-C173E42813A2}" name="PivotTable2" cacheId="2" applyNumberFormats="0" applyBorderFormats="0" applyFontFormats="0" applyPatternFormats="0" applyAlignmentFormats="0" applyWidthHeightFormats="1" dataCaption="القيم" updatedVersion="8" minRefreshableVersion="3" useAutoFormatting="1" itemPrintTitles="1" createdVersion="8" indent="0" outline="1" outlineData="1" multipleFieldFilters="0">
  <location ref="A3:C28" firstHeaderRow="0" firstDataRow="1" firstDataCol="1"/>
  <pivotFields count="30">
    <pivotField showAll="0"/>
    <pivotField showAll="0"/>
    <pivotField numFmtId="166" showAll="0">
      <items count="21">
        <item x="0"/>
        <item x="1"/>
        <item x="2"/>
        <item x="3"/>
        <item x="4"/>
        <item x="5"/>
        <item x="6"/>
        <item x="7"/>
        <item x="8"/>
        <item x="9"/>
        <item x="10"/>
        <item x="11"/>
        <item x="12"/>
        <item x="13"/>
        <item x="15"/>
        <item x="16"/>
        <item x="14"/>
        <item x="17"/>
        <item x="18"/>
        <item x="19"/>
        <item t="default"/>
      </items>
    </pivotField>
    <pivotField showAll="0"/>
    <pivotField showAll="0"/>
    <pivotField axis="axisRow" showAll="0">
      <items count="27">
        <item x="14"/>
        <item x="3"/>
        <item x="1"/>
        <item x="19"/>
        <item x="21"/>
        <item x="11"/>
        <item x="17"/>
        <item x="13"/>
        <item x="16"/>
        <item x="22"/>
        <item x="0"/>
        <item m="1" x="25"/>
        <item x="2"/>
        <item x="5"/>
        <item x="4"/>
        <item x="9"/>
        <item x="15"/>
        <item x="8"/>
        <item x="7"/>
        <item x="10"/>
        <item x="18"/>
        <item x="12"/>
        <item x="6"/>
        <item x="20"/>
        <item m="1" x="24"/>
        <item x="23"/>
        <item t="default"/>
      </items>
    </pivotField>
    <pivotField showAll="0"/>
    <pivotField showAll="0"/>
    <pivotField showAll="0"/>
    <pivotField numFmtId="1" showAll="0"/>
    <pivotField numFmtId="1" showAll="0"/>
    <pivotField dataField="1" numFmtId="168" showAll="0"/>
    <pivotField dataField="1" numFmtId="168" showAll="0"/>
    <pivotField showAll="0"/>
    <pivotField showAll="0"/>
    <pivotField showAll="0"/>
    <pivotField showAll="0"/>
    <pivotField showAll="0"/>
    <pivotField showAll="0"/>
    <pivotField numFmtId="167"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1"/>
        <item x="0"/>
        <item x="2"/>
        <item t="default"/>
      </items>
    </pivotField>
  </pivotFields>
  <rowFields count="1">
    <field x="5"/>
  </rowFields>
  <rowItems count="25">
    <i>
      <x/>
    </i>
    <i>
      <x v="1"/>
    </i>
    <i>
      <x v="2"/>
    </i>
    <i>
      <x v="3"/>
    </i>
    <i>
      <x v="4"/>
    </i>
    <i>
      <x v="5"/>
    </i>
    <i>
      <x v="6"/>
    </i>
    <i>
      <x v="7"/>
    </i>
    <i>
      <x v="8"/>
    </i>
    <i>
      <x v="9"/>
    </i>
    <i>
      <x v="10"/>
    </i>
    <i>
      <x v="12"/>
    </i>
    <i>
      <x v="13"/>
    </i>
    <i>
      <x v="14"/>
    </i>
    <i>
      <x v="15"/>
    </i>
    <i>
      <x v="16"/>
    </i>
    <i>
      <x v="17"/>
    </i>
    <i>
      <x v="18"/>
    </i>
    <i>
      <x v="19"/>
    </i>
    <i>
      <x v="20"/>
    </i>
    <i>
      <x v="21"/>
    </i>
    <i>
      <x v="22"/>
    </i>
    <i>
      <x v="23"/>
    </i>
    <i>
      <x v="25"/>
    </i>
    <i t="grand">
      <x/>
    </i>
  </rowItems>
  <colFields count="1">
    <field x="-2"/>
  </colFields>
  <colItems count="2">
    <i>
      <x/>
    </i>
    <i i="1">
      <x v="1"/>
    </i>
  </colItems>
  <dataFields count="2">
    <dataField name="مدين" fld="11" baseField="0" baseItem="0" numFmtId="168"/>
    <dataField name="دائن" fld="12" baseField="0" baseItem="0" numFmtId="168"/>
  </dataFields>
  <formats count="4">
    <format dxfId="209">
      <pivotArea field="5" type="button" dataOnly="0" labelOnly="1" outline="0" axis="axisRow" fieldPosition="0"/>
    </format>
    <format dxfId="208">
      <pivotArea dataOnly="0" labelOnly="1" outline="0" fieldPosition="0">
        <references count="1">
          <reference field="4294967294" count="2">
            <x v="0"/>
            <x v="1"/>
          </reference>
        </references>
      </pivotArea>
    </format>
    <format dxfId="207">
      <pivotArea field="5" type="button" dataOnly="0" labelOnly="1" outline="0" axis="axisRow" fieldPosition="0"/>
    </format>
    <format dxfId="20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85BF44-42D9-4C28-B4A7-8C4426592514}" name="PivotTable3" cacheId="2" applyNumberFormats="0" applyBorderFormats="0" applyFontFormats="0" applyPatternFormats="0" applyAlignmentFormats="0" applyWidthHeightFormats="1" dataCaption="القيم" showMissing="0" updatedVersion="8" minRefreshableVersion="3" enableDrill="0" colGrandTotals="0" itemPrintTitles="1" mergeItem="1" createdVersion="8" indent="0" compact="0" compactData="0" multipleFieldFilters="0" rowHeaderCaption="البيـــــــــــــــــــــــــــــــــــــــــــــــــــــــــــــــان">
  <location ref="B8:G30" firstHeaderRow="1" firstDataRow="3" firstDataCol="2" rowPageCount="1" colPageCount="1"/>
  <pivotFields count="30">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numFmtId="166" outline="0" showAll="0">
      <items count="21">
        <item x="0"/>
        <item x="1"/>
        <item x="2"/>
        <item x="3"/>
        <item sd="0" x="4"/>
        <item sd="0" x="5"/>
        <item sd="0" x="6"/>
        <item sd="0" x="7"/>
        <item sd="0" x="8"/>
        <item sd="0" x="9"/>
        <item sd="0" x="10"/>
        <item sd="0" x="11"/>
        <item sd="0" x="12"/>
        <item sd="0" x="13"/>
        <item sd="0" x="15"/>
        <item sd="0" x="16"/>
        <item sd="0" x="14"/>
        <item sd="0" x="17"/>
        <item sd="0" x="18"/>
        <item x="19"/>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7">
        <item x="14"/>
        <item x="3"/>
        <item x="1"/>
        <item x="11"/>
        <item x="13"/>
        <item x="0"/>
        <item x="2"/>
        <item x="5"/>
        <item x="4"/>
        <item x="9"/>
        <item x="15"/>
        <item x="8"/>
        <item x="7"/>
        <item x="10"/>
        <item x="6"/>
        <item m="1" x="24"/>
        <item x="16"/>
        <item x="12"/>
        <item m="1" x="25"/>
        <item x="18"/>
        <item x="19"/>
        <item x="20"/>
        <item x="21"/>
        <item x="17"/>
        <item x="22"/>
        <item x="23"/>
        <item t="default"/>
      </items>
      <extLst>
        <ext xmlns:x14="http://schemas.microsoft.com/office/spreadsheetml/2009/9/main" uri="{2946ED86-A175-432a-8AC1-64E0C546D7DE}">
          <x14:pivotField fillDownLabels="1"/>
        </ext>
      </extLst>
    </pivotField>
    <pivotField axis="axisRow" compact="0" outline="0" showAll="0">
      <items count="256">
        <item m="1" x="242"/>
        <item x="51"/>
        <item x="34"/>
        <item x="47"/>
        <item x="0"/>
        <item x="9"/>
        <item x="45"/>
        <item x="7"/>
        <item x="18"/>
        <item x="28"/>
        <item x="8"/>
        <item x="41"/>
        <item x="4"/>
        <item x="46"/>
        <item x="38"/>
        <item x="2"/>
        <item x="15"/>
        <item x="40"/>
        <item x="3"/>
        <item x="37"/>
        <item x="1"/>
        <item x="44"/>
        <item x="6"/>
        <item x="17"/>
        <item x="43"/>
        <item x="5"/>
        <item x="42"/>
        <item x="16"/>
        <item x="27"/>
        <item x="12"/>
        <item x="10"/>
        <item x="39"/>
        <item x="49"/>
        <item x="14"/>
        <item x="31"/>
        <item x="26"/>
        <item x="13"/>
        <item x="30"/>
        <item x="48"/>
        <item x="50"/>
        <item x="19"/>
        <item x="20"/>
        <item x="35"/>
        <item x="33"/>
        <item m="1" x="253"/>
        <item m="1" x="254"/>
        <item x="54"/>
        <item x="53"/>
        <item x="22"/>
        <item x="11"/>
        <item x="29"/>
        <item x="57"/>
        <item x="55"/>
        <item x="25"/>
        <item x="24"/>
        <item x="23"/>
        <item x="56"/>
        <item x="32"/>
        <item x="21"/>
        <item x="58"/>
        <item x="59"/>
        <item x="60"/>
        <item x="61"/>
        <item x="62"/>
        <item x="63"/>
        <item x="64"/>
        <item x="65"/>
        <item x="66"/>
        <item x="67"/>
        <item x="68"/>
        <item x="69"/>
        <item x="70"/>
        <item x="71"/>
        <item x="72"/>
        <item x="73"/>
        <item x="74"/>
        <item x="36"/>
        <item x="52"/>
        <item x="75"/>
        <item x="76"/>
        <item x="77"/>
        <item x="78"/>
        <item x="79"/>
        <item x="80"/>
        <item x="81"/>
        <item x="82"/>
        <item x="83"/>
        <item x="84"/>
        <item x="85"/>
        <item x="86"/>
        <item x="87"/>
        <item x="88"/>
        <item x="89"/>
        <item x="90"/>
        <item x="91"/>
        <item x="92"/>
        <item x="93"/>
        <item x="94"/>
        <item x="95"/>
        <item x="96"/>
        <item x="97"/>
        <item x="98"/>
        <item x="99"/>
        <item x="100"/>
        <item x="101"/>
        <item x="102"/>
        <item x="103"/>
        <item m="1" x="252"/>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04"/>
        <item x="156"/>
        <item x="157"/>
        <item x="158"/>
        <item x="159"/>
        <item x="160"/>
        <item x="161"/>
        <item x="162"/>
        <item x="163"/>
        <item x="164"/>
        <item x="165"/>
        <item x="167"/>
        <item x="168"/>
        <item x="169"/>
        <item x="170"/>
        <item x="171"/>
        <item x="172"/>
        <item m="1" x="243"/>
        <item x="174"/>
        <item x="175"/>
        <item x="176"/>
        <item x="177"/>
        <item m="1" x="249"/>
        <item m="1" x="246"/>
        <item m="1" x="247"/>
        <item m="1" x="250"/>
        <item m="1" x="251"/>
        <item x="183"/>
        <item x="184"/>
        <item x="185"/>
        <item x="186"/>
        <item x="187"/>
        <item x="188"/>
        <item x="166"/>
        <item m="1" x="245"/>
        <item m="1" x="248"/>
        <item x="182"/>
        <item x="178"/>
        <item x="179"/>
        <item x="180"/>
        <item m="1" x="244"/>
        <item x="181"/>
        <item x="173"/>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t="default"/>
      </items>
      <extLst>
        <ext xmlns:x14="http://schemas.microsoft.com/office/spreadsheetml/2009/9/main" uri="{2946ED86-A175-432a-8AC1-64E0C546D7DE}">
          <x14:pivotField fillDownLabels="1"/>
        </ext>
      </extLst>
    </pivotField>
    <pivotField axis="axisCol" compact="0" outline="0" showAll="0">
      <items count="4">
        <item h="1" m="1" x="2"/>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168" outline="0" showAll="0">
      <extLst>
        <ext xmlns:x14="http://schemas.microsoft.com/office/spreadsheetml/2009/9/main" uri="{2946ED86-A175-432a-8AC1-64E0C546D7DE}">
          <x14:pivotField fillDownLabels="1"/>
        </ext>
      </extLst>
    </pivotField>
    <pivotField compact="0" numFmtId="168"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1"/>
        <item x="2"/>
        <item x="3"/>
        <item x="4"/>
        <item x="0"/>
        <item x="5"/>
        <item t="default"/>
      </items>
      <extLst>
        <ext xmlns:x14="http://schemas.microsoft.com/office/spreadsheetml/2009/9/main" uri="{2946ED86-A175-432a-8AC1-64E0C546D7DE}">
          <x14:pivotField fillDownLabels="1"/>
        </ext>
      </extLst>
    </pivotField>
    <pivotField compact="0" outline="0" showAll="0">
      <items count="4">
        <item x="1"/>
        <item x="0"/>
        <item x="2"/>
        <item t="default"/>
      </items>
      <extLst>
        <ext xmlns:x14="http://schemas.microsoft.com/office/spreadsheetml/2009/9/main" uri="{2946ED86-A175-432a-8AC1-64E0C546D7DE}">
          <x14:pivotField fillDownLabels="1"/>
        </ext>
      </extLst>
    </pivotField>
  </pivotFields>
  <rowFields count="2">
    <field x="2"/>
    <field x="6"/>
  </rowFields>
  <rowItems count="20">
    <i>
      <x v="4"/>
    </i>
    <i>
      <x v="5"/>
    </i>
    <i>
      <x v="6"/>
    </i>
    <i>
      <x v="7"/>
    </i>
    <i>
      <x v="8"/>
    </i>
    <i>
      <x v="9"/>
    </i>
    <i>
      <x v="10"/>
    </i>
    <i>
      <x v="11"/>
    </i>
    <i>
      <x v="12"/>
    </i>
    <i>
      <x v="13"/>
    </i>
    <i>
      <x v="14"/>
    </i>
    <i>
      <x v="15"/>
    </i>
    <i>
      <x v="16"/>
    </i>
    <i>
      <x v="17"/>
    </i>
    <i>
      <x v="18"/>
    </i>
    <i>
      <x v="19"/>
      <x v="252"/>
    </i>
    <i r="1">
      <x v="253"/>
    </i>
    <i r="1">
      <x v="254"/>
    </i>
    <i t="default">
      <x v="19"/>
    </i>
    <i t="grand">
      <x/>
    </i>
  </rowItems>
  <colFields count="2">
    <field x="7"/>
    <field x="-2"/>
  </colFields>
  <colItems count="4">
    <i>
      <x v="1"/>
      <x/>
    </i>
    <i r="1" i="1">
      <x v="1"/>
    </i>
    <i>
      <x v="2"/>
      <x/>
    </i>
    <i r="1" i="1">
      <x v="1"/>
    </i>
  </colItems>
  <pageFields count="1">
    <pageField fld="5" item="16" hier="-1"/>
  </pageFields>
  <dataFields count="2">
    <dataField name="مدين" fld="9" baseField="0" baseItem="0" numFmtId="1"/>
    <dataField name="دائن" fld="10" baseField="0" baseItem="0" numFmtId="1"/>
  </dataFields>
  <formats count="12">
    <format dxfId="174">
      <pivotArea field="2" type="button" dataOnly="0" labelOnly="1" outline="0" axis="axisRow" fieldPosition="0"/>
    </format>
    <format dxfId="173">
      <pivotArea field="6" type="button" dataOnly="0" labelOnly="1" outline="0" axis="axisRow" fieldPosition="1"/>
    </format>
    <format dxfId="172">
      <pivotArea dataOnly="0" labelOnly="1" outline="0" fieldPosition="0">
        <references count="2">
          <reference field="4294967294" count="2">
            <x v="0"/>
            <x v="1"/>
          </reference>
          <reference field="7" count="1" selected="0">
            <x v="1"/>
          </reference>
        </references>
      </pivotArea>
    </format>
    <format dxfId="171">
      <pivotArea dataOnly="0" labelOnly="1" outline="0" fieldPosition="0">
        <references count="2">
          <reference field="4294967294" count="2">
            <x v="0"/>
            <x v="1"/>
          </reference>
          <reference field="7" count="1" selected="0">
            <x v="2"/>
          </reference>
        </references>
      </pivotArea>
    </format>
    <format dxfId="170">
      <pivotArea field="2" type="button" dataOnly="0" labelOnly="1" outline="0" axis="axisRow" fieldPosition="0"/>
    </format>
    <format dxfId="169">
      <pivotArea field="6" type="button" dataOnly="0" labelOnly="1" outline="0" axis="axisRow" fieldPosition="1"/>
    </format>
    <format dxfId="168">
      <pivotArea dataOnly="0" labelOnly="1" outline="0" fieldPosition="0">
        <references count="2">
          <reference field="4294967294" count="2">
            <x v="0"/>
            <x v="1"/>
          </reference>
          <reference field="7" count="1" selected="0">
            <x v="1"/>
          </reference>
        </references>
      </pivotArea>
    </format>
    <format dxfId="167">
      <pivotArea dataOnly="0" labelOnly="1" outline="0" fieldPosition="0">
        <references count="2">
          <reference field="4294967294" count="2">
            <x v="0"/>
            <x v="1"/>
          </reference>
          <reference field="7" count="1" selected="0">
            <x v="2"/>
          </reference>
        </references>
      </pivotArea>
    </format>
    <format dxfId="166">
      <pivotArea outline="0" collapsedLevelsAreSubtotals="1" fieldPosition="0"/>
    </format>
    <format dxfId="165">
      <pivotArea dataOnly="0" labelOnly="1" grandRow="1" outline="0" fieldPosition="0"/>
    </format>
    <format dxfId="164">
      <pivotArea outline="0" collapsedLevelsAreSubtotals="1" fieldPosition="0"/>
    </format>
    <format dxfId="163">
      <pivotArea dataOnly="0" labelOnly="1" grandRow="1" outline="0" fieldPosition="0"/>
    </format>
  </formats>
  <pivotTableStyleInfo name="PivotStyleLight9"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7CDB08-7C84-4A2C-8EB1-1A8DAA97C4DF}" name="PivotTable3" cacheId="2" applyNumberFormats="0" applyBorderFormats="0" applyFontFormats="0" applyPatternFormats="0" applyAlignmentFormats="0" applyWidthHeightFormats="1" dataCaption="القيم" showMissing="0" updatedVersion="8" minRefreshableVersion="3" enableDrill="0" colGrandTotals="0" itemPrintTitles="1" mergeItem="1" createdVersion="8" indent="0" compact="0" compactData="0" multipleFieldFilters="0" rowHeaderCaption="البيـــــــــــــــــــــــــــــــــــــــــــــــــــــــــــــــان">
  <location ref="B8:H307" firstHeaderRow="1" firstDataRow="3" firstDataCol="3"/>
  <pivotFields count="30">
    <pivotField compact="0" outline="0" showAll="0" defaultSubtotal="0"/>
    <pivotField compact="0" outline="0" showAll="0" defaultSubtotal="0"/>
    <pivotField axis="axisRow" compact="0" numFmtId="166" outline="0" showAll="0" defaultSubtotal="0">
      <items count="20">
        <item x="0"/>
        <item x="1"/>
        <item x="2"/>
        <item x="3"/>
        <item x="4"/>
        <item x="5"/>
        <item x="6"/>
        <item x="7"/>
        <item x="8"/>
        <item x="9"/>
        <item x="10"/>
        <item x="11"/>
        <item x="12"/>
        <item x="13"/>
        <item x="15"/>
        <item x="16"/>
        <item x="14"/>
        <item x="17"/>
        <item x="18"/>
        <item x="19"/>
      </items>
    </pivotField>
    <pivotField compact="0" outline="0" showAll="0" defaultSubtotal="0"/>
    <pivotField compact="0" outline="0" showAll="0" defaultSubtotal="0"/>
    <pivotField axis="axisRow" compact="0" outline="0" showAll="0" defaultSubtotal="0">
      <items count="26">
        <item h="1" x="14"/>
        <item h="1" x="3"/>
        <item h="1" x="1"/>
        <item h="1" x="11"/>
        <item h="1" x="13"/>
        <item h="1" x="0"/>
        <item h="1" x="2"/>
        <item h="1" x="5"/>
        <item h="1" x="4"/>
        <item h="1" x="9"/>
        <item h="1" x="15"/>
        <item h="1" x="8"/>
        <item h="1" x="7"/>
        <item h="1" x="10"/>
        <item h="1" x="6"/>
        <item h="1" m="1" x="24"/>
        <item x="16"/>
        <item h="1" x="12"/>
        <item h="1" m="1" x="25"/>
        <item h="1" x="18"/>
        <item h="1" x="19"/>
        <item h="1" x="20"/>
        <item h="1" x="21"/>
        <item h="1" x="17"/>
        <item h="1" x="22"/>
        <item h="1" x="23"/>
      </items>
    </pivotField>
    <pivotField axis="axisRow" compact="0" outline="0" showAll="0" defaultSubtotal="0">
      <items count="255">
        <item m="1" x="242"/>
        <item x="51"/>
        <item x="34"/>
        <item x="47"/>
        <item x="0"/>
        <item x="9"/>
        <item x="45"/>
        <item x="7"/>
        <item x="18"/>
        <item x="28"/>
        <item x="8"/>
        <item x="41"/>
        <item x="4"/>
        <item x="46"/>
        <item x="38"/>
        <item x="2"/>
        <item x="15"/>
        <item x="40"/>
        <item x="3"/>
        <item x="37"/>
        <item x="1"/>
        <item x="44"/>
        <item x="6"/>
        <item x="17"/>
        <item x="43"/>
        <item x="5"/>
        <item x="42"/>
        <item x="16"/>
        <item x="27"/>
        <item x="12"/>
        <item x="10"/>
        <item x="39"/>
        <item x="49"/>
        <item x="14"/>
        <item x="31"/>
        <item x="26"/>
        <item x="13"/>
        <item x="30"/>
        <item x="48"/>
        <item x="50"/>
        <item x="19"/>
        <item x="20"/>
        <item x="35"/>
        <item x="33"/>
        <item m="1" x="253"/>
        <item m="1" x="254"/>
        <item x="54"/>
        <item x="53"/>
        <item x="22"/>
        <item x="11"/>
        <item x="29"/>
        <item x="57"/>
        <item x="55"/>
        <item x="25"/>
        <item x="24"/>
        <item x="23"/>
        <item x="56"/>
        <item x="32"/>
        <item x="21"/>
        <item x="58"/>
        <item x="59"/>
        <item x="60"/>
        <item x="61"/>
        <item x="62"/>
        <item x="63"/>
        <item x="64"/>
        <item x="65"/>
        <item x="66"/>
        <item x="67"/>
        <item x="68"/>
        <item x="69"/>
        <item x="70"/>
        <item x="71"/>
        <item x="72"/>
        <item x="73"/>
        <item x="74"/>
        <item x="36"/>
        <item x="52"/>
        <item x="75"/>
        <item x="76"/>
        <item x="77"/>
        <item x="78"/>
        <item x="79"/>
        <item x="80"/>
        <item x="81"/>
        <item x="82"/>
        <item x="83"/>
        <item x="84"/>
        <item x="85"/>
        <item x="86"/>
        <item x="87"/>
        <item x="88"/>
        <item x="89"/>
        <item x="90"/>
        <item x="91"/>
        <item x="92"/>
        <item x="93"/>
        <item x="94"/>
        <item x="95"/>
        <item x="96"/>
        <item x="97"/>
        <item x="98"/>
        <item x="99"/>
        <item x="100"/>
        <item x="101"/>
        <item x="102"/>
        <item x="103"/>
        <item m="1" x="252"/>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04"/>
        <item x="156"/>
        <item x="157"/>
        <item x="158"/>
        <item x="159"/>
        <item x="160"/>
        <item x="161"/>
        <item x="162"/>
        <item x="163"/>
        <item x="164"/>
        <item x="165"/>
        <item x="167"/>
        <item x="168"/>
        <item x="169"/>
        <item x="170"/>
        <item x="171"/>
        <item x="172"/>
        <item m="1" x="243"/>
        <item x="174"/>
        <item x="175"/>
        <item x="176"/>
        <item x="177"/>
        <item m="1" x="249"/>
        <item m="1" x="246"/>
        <item m="1" x="247"/>
        <item m="1" x="250"/>
        <item m="1" x="251"/>
        <item x="183"/>
        <item x="184"/>
        <item x="185"/>
        <item x="186"/>
        <item x="187"/>
        <item x="188"/>
        <item x="166"/>
        <item m="1" x="245"/>
        <item m="1" x="248"/>
        <item x="182"/>
        <item x="178"/>
        <item x="179"/>
        <item x="180"/>
        <item m="1" x="244"/>
        <item x="181"/>
        <item x="173"/>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s>
    </pivotField>
    <pivotField axis="axisCol" compact="0" outline="0" showAll="0" defaultSubtotal="0">
      <items count="3">
        <item h="1" m="1" x="2"/>
        <item x="0"/>
        <item x="1"/>
      </items>
    </pivotField>
    <pivotField compact="0" outline="0" showAll="0" defaultSubtotal="0"/>
    <pivotField dataField="1" compact="0" numFmtId="1" outline="0" showAll="0" defaultSubtotal="0"/>
    <pivotField dataField="1" compact="0" numFmtId="1" outline="0" showAll="0" defaultSubtotal="0"/>
    <pivotField compact="0" numFmtId="168" outline="0" showAll="0" defaultSubtotal="0"/>
    <pivotField compact="0" numFmtId="168"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7"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3">
        <item x="1"/>
        <item x="0"/>
        <item x="2"/>
      </items>
    </pivotField>
  </pivotFields>
  <rowFields count="3">
    <field x="5"/>
    <field x="2"/>
    <field x="6"/>
  </rowFields>
  <rowItems count="297">
    <i>
      <x v="16"/>
      <x v="4"/>
      <x v="59"/>
    </i>
    <i r="2">
      <x v="60"/>
    </i>
    <i r="2">
      <x v="61"/>
    </i>
    <i r="2">
      <x v="62"/>
    </i>
    <i r="2">
      <x v="63"/>
    </i>
    <i r="2">
      <x v="64"/>
    </i>
    <i r="2">
      <x v="65"/>
    </i>
    <i r="2">
      <x v="66"/>
    </i>
    <i r="2">
      <x v="67"/>
    </i>
    <i r="2">
      <x v="68"/>
    </i>
    <i r="2">
      <x v="69"/>
    </i>
    <i r="2">
      <x v="70"/>
    </i>
    <i r="2">
      <x v="71"/>
    </i>
    <i r="2">
      <x v="72"/>
    </i>
    <i r="2">
      <x v="73"/>
    </i>
    <i r="2">
      <x v="74"/>
    </i>
    <i r="2">
      <x v="75"/>
    </i>
    <i r="2">
      <x v="78"/>
    </i>
    <i r="2">
      <x v="79"/>
    </i>
    <i r="1">
      <x v="5"/>
      <x v="80"/>
    </i>
    <i r="2">
      <x v="81"/>
    </i>
    <i r="2">
      <x v="82"/>
    </i>
    <i r="2">
      <x v="83"/>
    </i>
    <i r="2">
      <x v="84"/>
    </i>
    <i r="2">
      <x v="85"/>
    </i>
    <i r="2">
      <x v="86"/>
    </i>
    <i r="2">
      <x v="87"/>
    </i>
    <i r="2">
      <x v="88"/>
    </i>
    <i r="2">
      <x v="89"/>
    </i>
    <i r="2">
      <x v="90"/>
    </i>
    <i r="2">
      <x v="91"/>
    </i>
    <i r="2">
      <x v="92"/>
    </i>
    <i r="2">
      <x v="93"/>
    </i>
    <i r="2">
      <x v="94"/>
    </i>
    <i r="2">
      <x v="95"/>
    </i>
    <i r="2">
      <x v="96"/>
    </i>
    <i r="2">
      <x v="157"/>
    </i>
    <i r="1">
      <x v="6"/>
      <x v="60"/>
    </i>
    <i r="2">
      <x v="62"/>
    </i>
    <i r="2">
      <x v="64"/>
    </i>
    <i r="2">
      <x v="66"/>
    </i>
    <i r="2">
      <x v="67"/>
    </i>
    <i r="2">
      <x v="70"/>
    </i>
    <i r="2">
      <x v="97"/>
    </i>
    <i r="2">
      <x v="98"/>
    </i>
    <i r="2">
      <x v="99"/>
    </i>
    <i r="2">
      <x v="100"/>
    </i>
    <i r="2">
      <x v="101"/>
    </i>
    <i r="2">
      <x v="102"/>
    </i>
    <i r="2">
      <x v="103"/>
    </i>
    <i r="2">
      <x v="104"/>
    </i>
    <i r="2">
      <x v="105"/>
    </i>
    <i r="2">
      <x v="106"/>
    </i>
    <i r="2">
      <x v="108"/>
    </i>
    <i r="2">
      <x v="159"/>
    </i>
    <i r="1">
      <x v="7"/>
      <x v="60"/>
    </i>
    <i r="2">
      <x v="62"/>
    </i>
    <i r="2">
      <x v="63"/>
    </i>
    <i r="2">
      <x v="64"/>
    </i>
    <i r="2">
      <x v="67"/>
    </i>
    <i r="2">
      <x v="70"/>
    </i>
    <i r="2">
      <x v="97"/>
    </i>
    <i r="2">
      <x v="99"/>
    </i>
    <i r="2">
      <x v="109"/>
    </i>
    <i r="2">
      <x v="110"/>
    </i>
    <i r="2">
      <x v="111"/>
    </i>
    <i r="2">
      <x v="112"/>
    </i>
    <i r="2">
      <x v="113"/>
    </i>
    <i r="2">
      <x v="114"/>
    </i>
    <i r="2">
      <x v="115"/>
    </i>
    <i r="2">
      <x v="116"/>
    </i>
    <i r="2">
      <x v="117"/>
    </i>
    <i r="1">
      <x v="8"/>
      <x v="64"/>
    </i>
    <i r="2">
      <x v="67"/>
    </i>
    <i r="2">
      <x v="70"/>
    </i>
    <i r="2">
      <x v="97"/>
    </i>
    <i r="2">
      <x v="98"/>
    </i>
    <i r="2">
      <x v="99"/>
    </i>
    <i r="2">
      <x v="103"/>
    </i>
    <i r="2">
      <x v="109"/>
    </i>
    <i r="2">
      <x v="111"/>
    </i>
    <i r="2">
      <x v="112"/>
    </i>
    <i r="2">
      <x v="118"/>
    </i>
    <i r="2">
      <x v="119"/>
    </i>
    <i r="2">
      <x v="120"/>
    </i>
    <i r="2">
      <x v="121"/>
    </i>
    <i r="2">
      <x v="122"/>
    </i>
    <i r="2">
      <x v="123"/>
    </i>
    <i r="2">
      <x v="124"/>
    </i>
    <i r="2">
      <x v="125"/>
    </i>
    <i r="2">
      <x v="126"/>
    </i>
    <i r="2">
      <x v="127"/>
    </i>
    <i r="1">
      <x v="9"/>
      <x v="64"/>
    </i>
    <i r="2">
      <x v="70"/>
    </i>
    <i r="2">
      <x v="97"/>
    </i>
    <i r="2">
      <x v="98"/>
    </i>
    <i r="2">
      <x v="109"/>
    </i>
    <i r="2">
      <x v="119"/>
    </i>
    <i r="2">
      <x v="121"/>
    </i>
    <i r="2">
      <x v="128"/>
    </i>
    <i r="2">
      <x v="129"/>
    </i>
    <i r="2">
      <x v="130"/>
    </i>
    <i r="2">
      <x v="131"/>
    </i>
    <i r="2">
      <x v="132"/>
    </i>
    <i r="2">
      <x v="133"/>
    </i>
    <i r="2">
      <x v="134"/>
    </i>
    <i r="2">
      <x v="135"/>
    </i>
    <i r="2">
      <x v="136"/>
    </i>
    <i r="1">
      <x v="10"/>
      <x v="63"/>
    </i>
    <i r="2">
      <x v="64"/>
    </i>
    <i r="2">
      <x v="70"/>
    </i>
    <i r="2">
      <x v="97"/>
    </i>
    <i r="2">
      <x v="100"/>
    </i>
    <i r="2">
      <x v="103"/>
    </i>
    <i r="2">
      <x v="111"/>
    </i>
    <i r="2">
      <x v="119"/>
    </i>
    <i r="2">
      <x v="121"/>
    </i>
    <i r="2">
      <x v="128"/>
    </i>
    <i r="2">
      <x v="129"/>
    </i>
    <i r="2">
      <x v="132"/>
    </i>
    <i r="2">
      <x v="133"/>
    </i>
    <i r="2">
      <x v="137"/>
    </i>
    <i r="2">
      <x v="138"/>
    </i>
    <i r="2">
      <x v="139"/>
    </i>
    <i r="2">
      <x v="140"/>
    </i>
    <i r="2">
      <x v="141"/>
    </i>
    <i r="2">
      <x v="142"/>
    </i>
    <i r="2">
      <x v="143"/>
    </i>
    <i r="1">
      <x v="11"/>
      <x v="64"/>
    </i>
    <i r="2">
      <x v="70"/>
    </i>
    <i r="2">
      <x v="97"/>
    </i>
    <i r="2">
      <x v="98"/>
    </i>
    <i r="2">
      <x v="109"/>
    </i>
    <i r="2">
      <x v="119"/>
    </i>
    <i r="2">
      <x v="121"/>
    </i>
    <i r="2">
      <x v="128"/>
    </i>
    <i r="2">
      <x v="129"/>
    </i>
    <i r="2">
      <x v="131"/>
    </i>
    <i r="2">
      <x v="132"/>
    </i>
    <i r="2">
      <x v="133"/>
    </i>
    <i r="2">
      <x v="138"/>
    </i>
    <i r="2">
      <x v="144"/>
    </i>
    <i r="2">
      <x v="145"/>
    </i>
    <i r="2">
      <x v="146"/>
    </i>
    <i r="2">
      <x v="147"/>
    </i>
    <i r="2">
      <x v="148"/>
    </i>
    <i r="2">
      <x v="149"/>
    </i>
    <i r="1">
      <x v="12"/>
      <x v="63"/>
    </i>
    <i r="2">
      <x v="64"/>
    </i>
    <i r="2">
      <x v="70"/>
    </i>
    <i r="2">
      <x v="97"/>
    </i>
    <i r="2">
      <x v="109"/>
    </i>
    <i r="2">
      <x v="121"/>
    </i>
    <i r="2">
      <x v="128"/>
    </i>
    <i r="2">
      <x v="129"/>
    </i>
    <i r="2">
      <x v="132"/>
    </i>
    <i r="2">
      <x v="133"/>
    </i>
    <i r="2">
      <x v="138"/>
    </i>
    <i r="2">
      <x v="150"/>
    </i>
    <i r="2">
      <x v="151"/>
    </i>
    <i r="2">
      <x v="152"/>
    </i>
    <i r="2">
      <x v="153"/>
    </i>
    <i r="2">
      <x v="154"/>
    </i>
    <i r="2">
      <x v="155"/>
    </i>
    <i r="2">
      <x v="156"/>
    </i>
    <i r="2">
      <x v="236"/>
    </i>
    <i r="1">
      <x v="13"/>
      <x v="158"/>
    </i>
    <i r="2">
      <x v="160"/>
    </i>
    <i r="2">
      <x v="161"/>
    </i>
    <i r="2">
      <x v="162"/>
    </i>
    <i r="2">
      <x v="163"/>
    </i>
    <i r="2">
      <x v="164"/>
    </i>
    <i r="2">
      <x v="165"/>
    </i>
    <i r="2">
      <x v="166"/>
    </i>
    <i r="2">
      <x v="167"/>
    </i>
    <i r="2">
      <x v="168"/>
    </i>
    <i r="2">
      <x v="169"/>
    </i>
    <i r="2">
      <x v="192"/>
    </i>
    <i r="1">
      <x v="14"/>
      <x v="113"/>
    </i>
    <i r="2">
      <x v="158"/>
    </i>
    <i r="2">
      <x v="160"/>
    </i>
    <i r="2">
      <x v="171"/>
    </i>
    <i r="2">
      <x v="172"/>
    </i>
    <i r="2">
      <x v="173"/>
    </i>
    <i r="2">
      <x v="174"/>
    </i>
    <i r="2">
      <x v="175"/>
    </i>
    <i r="2">
      <x v="177"/>
    </i>
    <i r="2">
      <x v="178"/>
    </i>
    <i r="2">
      <x v="179"/>
    </i>
    <i r="2">
      <x v="180"/>
    </i>
    <i r="2">
      <x v="186"/>
    </i>
    <i r="2">
      <x v="187"/>
    </i>
    <i r="2">
      <x v="188"/>
    </i>
    <i r="2">
      <x v="189"/>
    </i>
    <i r="2">
      <x v="190"/>
    </i>
    <i r="2">
      <x v="191"/>
    </i>
    <i r="2">
      <x v="195"/>
    </i>
    <i r="2">
      <x v="196"/>
    </i>
    <i r="2">
      <x v="197"/>
    </i>
    <i r="2">
      <x v="198"/>
    </i>
    <i r="2">
      <x v="200"/>
    </i>
    <i r="2">
      <x v="201"/>
    </i>
    <i r="2">
      <x v="214"/>
    </i>
    <i r="2">
      <x v="237"/>
    </i>
    <i r="2">
      <x v="238"/>
    </i>
    <i r="2">
      <x v="240"/>
    </i>
    <i r="1">
      <x v="15"/>
      <x v="70"/>
    </i>
    <i r="2">
      <x v="158"/>
    </i>
    <i r="2">
      <x v="160"/>
    </i>
    <i r="2">
      <x v="171"/>
    </i>
    <i r="2">
      <x v="172"/>
    </i>
    <i r="2">
      <x v="177"/>
    </i>
    <i r="2">
      <x v="180"/>
    </i>
    <i r="2">
      <x v="201"/>
    </i>
    <i r="2">
      <x v="202"/>
    </i>
    <i r="2">
      <x v="203"/>
    </i>
    <i r="2">
      <x v="204"/>
    </i>
    <i r="2">
      <x v="205"/>
    </i>
    <i r="2">
      <x v="206"/>
    </i>
    <i r="2">
      <x v="207"/>
    </i>
    <i r="2">
      <x v="208"/>
    </i>
    <i r="2">
      <x v="209"/>
    </i>
    <i r="2">
      <x v="210"/>
    </i>
    <i r="2">
      <x v="211"/>
    </i>
    <i r="2">
      <x v="212"/>
    </i>
    <i r="2">
      <x v="213"/>
    </i>
    <i r="2">
      <x v="215"/>
    </i>
    <i r="2">
      <x v="216"/>
    </i>
    <i r="2">
      <x v="217"/>
    </i>
    <i r="2">
      <x v="218"/>
    </i>
    <i r="2">
      <x v="219"/>
    </i>
    <i r="1">
      <x v="16"/>
      <x v="158"/>
    </i>
    <i r="2">
      <x v="160"/>
    </i>
    <i r="2">
      <x v="170"/>
    </i>
    <i r="2">
      <x v="172"/>
    </i>
    <i r="2">
      <x v="177"/>
    </i>
    <i r="2">
      <x v="178"/>
    </i>
    <i r="2">
      <x v="201"/>
    </i>
    <i r="2">
      <x v="203"/>
    </i>
    <i r="2">
      <x v="205"/>
    </i>
    <i r="2">
      <x v="207"/>
    </i>
    <i r="2">
      <x v="208"/>
    </i>
    <i r="2">
      <x v="220"/>
    </i>
    <i r="2">
      <x v="221"/>
    </i>
    <i r="2">
      <x v="222"/>
    </i>
    <i r="2">
      <x v="223"/>
    </i>
    <i r="2">
      <x v="224"/>
    </i>
    <i r="2">
      <x v="225"/>
    </i>
    <i r="2">
      <x v="226"/>
    </i>
    <i r="2">
      <x v="227"/>
    </i>
    <i r="2">
      <x v="228"/>
    </i>
    <i r="2">
      <x v="229"/>
    </i>
    <i r="2">
      <x v="230"/>
    </i>
    <i r="2">
      <x v="239"/>
    </i>
    <i r="1">
      <x v="17"/>
      <x v="160"/>
    </i>
    <i r="2">
      <x v="171"/>
    </i>
    <i r="2">
      <x v="172"/>
    </i>
    <i r="2">
      <x v="178"/>
    </i>
    <i r="2">
      <x v="201"/>
    </i>
    <i r="2">
      <x v="203"/>
    </i>
    <i r="2">
      <x v="205"/>
    </i>
    <i r="2">
      <x v="207"/>
    </i>
    <i r="2">
      <x v="208"/>
    </i>
    <i r="2">
      <x v="221"/>
    </i>
    <i r="2">
      <x v="222"/>
    </i>
    <i r="2">
      <x v="223"/>
    </i>
    <i r="2">
      <x v="231"/>
    </i>
    <i r="2">
      <x v="232"/>
    </i>
    <i r="2">
      <x v="233"/>
    </i>
    <i r="2">
      <x v="234"/>
    </i>
    <i r="2">
      <x v="235"/>
    </i>
    <i r="1">
      <x v="18"/>
      <x v="150"/>
    </i>
    <i r="2">
      <x v="172"/>
    </i>
    <i r="2">
      <x v="201"/>
    </i>
    <i r="2">
      <x v="203"/>
    </i>
    <i r="2">
      <x v="205"/>
    </i>
    <i r="2">
      <x v="206"/>
    </i>
    <i r="2">
      <x v="207"/>
    </i>
    <i r="2">
      <x v="208"/>
    </i>
    <i r="2">
      <x v="221"/>
    </i>
    <i r="2">
      <x v="222"/>
    </i>
    <i r="2">
      <x v="223"/>
    </i>
    <i r="2">
      <x v="241"/>
    </i>
    <i r="2">
      <x v="242"/>
    </i>
    <i r="2">
      <x v="243"/>
    </i>
    <i r="2">
      <x v="244"/>
    </i>
    <i r="2">
      <x v="245"/>
    </i>
    <i r="2">
      <x v="246"/>
    </i>
    <i r="2">
      <x v="247"/>
    </i>
    <i r="2">
      <x v="248"/>
    </i>
    <i r="2">
      <x v="249"/>
    </i>
    <i r="2">
      <x v="250"/>
    </i>
    <i r="2">
      <x v="251"/>
    </i>
    <i r="1">
      <x v="19"/>
      <x v="252"/>
    </i>
    <i r="2">
      <x v="253"/>
    </i>
    <i r="2">
      <x v="254"/>
    </i>
    <i t="grand">
      <x/>
    </i>
  </rowItems>
  <colFields count="2">
    <field x="7"/>
    <field x="-2"/>
  </colFields>
  <colItems count="4">
    <i>
      <x v="1"/>
      <x/>
    </i>
    <i r="1" i="1">
      <x v="1"/>
    </i>
    <i>
      <x v="2"/>
      <x/>
    </i>
    <i r="1" i="1">
      <x v="1"/>
    </i>
  </colItems>
  <dataFields count="2">
    <dataField name="مدين" fld="9" baseField="0" baseItem="0" numFmtId="1"/>
    <dataField name="دائن" fld="10" baseField="0" baseItem="0" numFmtId="1"/>
  </dataFields>
  <formats count="162">
    <format dxfId="161">
      <pivotArea dataOnly="0" labelOnly="1" grandRow="1" outline="0" fieldPosition="0"/>
    </format>
    <format dxfId="160">
      <pivotArea dataOnly="0" labelOnly="1" grandRow="1" outline="0" fieldPosition="0"/>
    </format>
    <format dxfId="159">
      <pivotArea dataOnly="0" labelOnly="1" outline="0" fieldPosition="0">
        <references count="1">
          <reference field="5" count="1">
            <x v="1"/>
          </reference>
        </references>
      </pivotArea>
    </format>
    <format dxfId="158">
      <pivotArea dataOnly="0" labelOnly="1" outline="0" fieldPosition="0">
        <references count="1">
          <reference field="5" count="1">
            <x v="2"/>
          </reference>
        </references>
      </pivotArea>
    </format>
    <format dxfId="157">
      <pivotArea dataOnly="0" labelOnly="1" outline="0" fieldPosition="0">
        <references count="1">
          <reference field="5" count="1">
            <x v="3"/>
          </reference>
        </references>
      </pivotArea>
    </format>
    <format dxfId="156">
      <pivotArea dataOnly="0" labelOnly="1" outline="0" fieldPosition="0">
        <references count="1">
          <reference field="5" count="1">
            <x v="4"/>
          </reference>
        </references>
      </pivotArea>
    </format>
    <format dxfId="155">
      <pivotArea dataOnly="0" labelOnly="1" outline="0" fieldPosition="0">
        <references count="1">
          <reference field="5" count="1">
            <x v="5"/>
          </reference>
        </references>
      </pivotArea>
    </format>
    <format dxfId="154">
      <pivotArea dataOnly="0" labelOnly="1" outline="0" fieldPosition="0">
        <references count="1">
          <reference field="5" count="1">
            <x v="6"/>
          </reference>
        </references>
      </pivotArea>
    </format>
    <format dxfId="153">
      <pivotArea dataOnly="0" labelOnly="1" outline="0" fieldPosition="0">
        <references count="1">
          <reference field="5" count="1">
            <x v="7"/>
          </reference>
        </references>
      </pivotArea>
    </format>
    <format dxfId="152">
      <pivotArea dataOnly="0" labelOnly="1" outline="0" fieldPosition="0">
        <references count="1">
          <reference field="5" count="1">
            <x v="8"/>
          </reference>
        </references>
      </pivotArea>
    </format>
    <format dxfId="151">
      <pivotArea dataOnly="0" labelOnly="1" outline="0" fieldPosition="0">
        <references count="1">
          <reference field="5" count="1">
            <x v="9"/>
          </reference>
        </references>
      </pivotArea>
    </format>
    <format dxfId="150">
      <pivotArea dataOnly="0" labelOnly="1" outline="0" fieldPosition="0">
        <references count="1">
          <reference field="5" count="1">
            <x v="10"/>
          </reference>
        </references>
      </pivotArea>
    </format>
    <format dxfId="149">
      <pivotArea dataOnly="0" labelOnly="1" outline="0" fieldPosition="0">
        <references count="1">
          <reference field="5" count="1">
            <x v="11"/>
          </reference>
        </references>
      </pivotArea>
    </format>
    <format dxfId="148">
      <pivotArea dataOnly="0" labelOnly="1" outline="0" fieldPosition="0">
        <references count="1">
          <reference field="5" count="1">
            <x v="12"/>
          </reference>
        </references>
      </pivotArea>
    </format>
    <format dxfId="147">
      <pivotArea dataOnly="0" labelOnly="1" outline="0" fieldPosition="0">
        <references count="1">
          <reference field="5" count="1">
            <x v="13"/>
          </reference>
        </references>
      </pivotArea>
    </format>
    <format dxfId="146">
      <pivotArea dataOnly="0" labelOnly="1" outline="0" fieldPosition="0">
        <references count="1">
          <reference field="5" count="1">
            <x v="14"/>
          </reference>
        </references>
      </pivotArea>
    </format>
    <format dxfId="145">
      <pivotArea dataOnly="0" labelOnly="1" outline="0" fieldPosition="0">
        <references count="1">
          <reference field="5" count="1">
            <x v="16"/>
          </reference>
        </references>
      </pivotArea>
    </format>
    <format dxfId="144">
      <pivotArea dataOnly="0" labelOnly="1" outline="0" fieldPosition="0">
        <references count="1">
          <reference field="5" count="1">
            <x v="17"/>
          </reference>
        </references>
      </pivotArea>
    </format>
    <format dxfId="143">
      <pivotArea dataOnly="0" labelOnly="1" outline="0" fieldPosition="0">
        <references count="1">
          <reference field="5" count="1">
            <x v="18"/>
          </reference>
        </references>
      </pivotArea>
    </format>
    <format dxfId="142">
      <pivotArea dataOnly="0" labelOnly="1" outline="0" fieldPosition="0">
        <references count="1">
          <reference field="5" count="1">
            <x v="19"/>
          </reference>
        </references>
      </pivotArea>
    </format>
    <format dxfId="141">
      <pivotArea dataOnly="0" labelOnly="1" outline="0" fieldPosition="0">
        <references count="1">
          <reference field="5" count="1">
            <x v="20"/>
          </reference>
        </references>
      </pivotArea>
    </format>
    <format dxfId="140">
      <pivotArea dataOnly="0" labelOnly="1" outline="0" fieldPosition="0">
        <references count="1">
          <reference field="5" count="1">
            <x v="21"/>
          </reference>
        </references>
      </pivotArea>
    </format>
    <format dxfId="139">
      <pivotArea dataOnly="0" labelOnly="1" outline="0" fieldPosition="0">
        <references count="1">
          <reference field="5" count="1">
            <x v="22"/>
          </reference>
        </references>
      </pivotArea>
    </format>
    <format dxfId="138">
      <pivotArea dataOnly="0" labelOnly="1" grandRow="1" outline="0" fieldPosition="0"/>
    </format>
    <format dxfId="137">
      <pivotArea dataOnly="0" labelOnly="1" outline="0" fieldPosition="0">
        <references count="1">
          <reference field="5" count="1">
            <x v="0"/>
          </reference>
        </references>
      </pivotArea>
    </format>
    <format dxfId="136">
      <pivotArea dataOnly="0" labelOnly="1" outline="0" fieldPosition="0">
        <references count="1">
          <reference field="5" count="1">
            <x v="1"/>
          </reference>
        </references>
      </pivotArea>
    </format>
    <format dxfId="135">
      <pivotArea dataOnly="0" labelOnly="1" outline="0" fieldPosition="0">
        <references count="1">
          <reference field="5" count="1">
            <x v="2"/>
          </reference>
        </references>
      </pivotArea>
    </format>
    <format dxfId="134">
      <pivotArea dataOnly="0" labelOnly="1" outline="0" fieldPosition="0">
        <references count="1">
          <reference field="5" count="1">
            <x v="3"/>
          </reference>
        </references>
      </pivotArea>
    </format>
    <format dxfId="133">
      <pivotArea dataOnly="0" labelOnly="1" outline="0" fieldPosition="0">
        <references count="1">
          <reference field="5" count="1">
            <x v="4"/>
          </reference>
        </references>
      </pivotArea>
    </format>
    <format dxfId="132">
      <pivotArea dataOnly="0" labelOnly="1" outline="0" fieldPosition="0">
        <references count="1">
          <reference field="5" count="1">
            <x v="5"/>
          </reference>
        </references>
      </pivotArea>
    </format>
    <format dxfId="131">
      <pivotArea dataOnly="0" labelOnly="1" outline="0" fieldPosition="0">
        <references count="1">
          <reference field="5" count="1">
            <x v="6"/>
          </reference>
        </references>
      </pivotArea>
    </format>
    <format dxfId="130">
      <pivotArea dataOnly="0" labelOnly="1" outline="0" fieldPosition="0">
        <references count="1">
          <reference field="5" count="1">
            <x v="7"/>
          </reference>
        </references>
      </pivotArea>
    </format>
    <format dxfId="129">
      <pivotArea dataOnly="0" labelOnly="1" outline="0" fieldPosition="0">
        <references count="1">
          <reference field="5" count="1">
            <x v="8"/>
          </reference>
        </references>
      </pivotArea>
    </format>
    <format dxfId="128">
      <pivotArea dataOnly="0" labelOnly="1" outline="0" fieldPosition="0">
        <references count="1">
          <reference field="5" count="1">
            <x v="9"/>
          </reference>
        </references>
      </pivotArea>
    </format>
    <format dxfId="127">
      <pivotArea dataOnly="0" labelOnly="1" outline="0" fieldPosition="0">
        <references count="1">
          <reference field="5" count="1">
            <x v="10"/>
          </reference>
        </references>
      </pivotArea>
    </format>
    <format dxfId="126">
      <pivotArea dataOnly="0" labelOnly="1" outline="0" fieldPosition="0">
        <references count="1">
          <reference field="5" count="1">
            <x v="11"/>
          </reference>
        </references>
      </pivotArea>
    </format>
    <format dxfId="125">
      <pivotArea dataOnly="0" labelOnly="1" outline="0" fieldPosition="0">
        <references count="1">
          <reference field="5" count="1">
            <x v="12"/>
          </reference>
        </references>
      </pivotArea>
    </format>
    <format dxfId="124">
      <pivotArea dataOnly="0" labelOnly="1" outline="0" fieldPosition="0">
        <references count="1">
          <reference field="5" count="1">
            <x v="13"/>
          </reference>
        </references>
      </pivotArea>
    </format>
    <format dxfId="123">
      <pivotArea dataOnly="0" labelOnly="1" outline="0" fieldPosition="0">
        <references count="1">
          <reference field="5" count="1">
            <x v="14"/>
          </reference>
        </references>
      </pivotArea>
    </format>
    <format dxfId="122">
      <pivotArea dataOnly="0" labelOnly="1" outline="0" fieldPosition="0">
        <references count="1">
          <reference field="5" count="1">
            <x v="16"/>
          </reference>
        </references>
      </pivotArea>
    </format>
    <format dxfId="121">
      <pivotArea dataOnly="0" labelOnly="1" outline="0" fieldPosition="0">
        <references count="1">
          <reference field="5" count="1">
            <x v="17"/>
          </reference>
        </references>
      </pivotArea>
    </format>
    <format dxfId="120">
      <pivotArea dataOnly="0" labelOnly="1" outline="0" fieldPosition="0">
        <references count="1">
          <reference field="5" count="1">
            <x v="18"/>
          </reference>
        </references>
      </pivotArea>
    </format>
    <format dxfId="119">
      <pivotArea dataOnly="0" labelOnly="1" outline="0" fieldPosition="0">
        <references count="1">
          <reference field="5" count="1">
            <x v="19"/>
          </reference>
        </references>
      </pivotArea>
    </format>
    <format dxfId="118">
      <pivotArea dataOnly="0" labelOnly="1" outline="0" fieldPosition="0">
        <references count="1">
          <reference field="5" count="1">
            <x v="20"/>
          </reference>
        </references>
      </pivotArea>
    </format>
    <format dxfId="117">
      <pivotArea dataOnly="0" labelOnly="1" outline="0" fieldPosition="0">
        <references count="1">
          <reference field="5" count="1">
            <x v="21"/>
          </reference>
        </references>
      </pivotArea>
    </format>
    <format dxfId="116">
      <pivotArea dataOnly="0" labelOnly="1" outline="0" fieldPosition="0">
        <references count="1">
          <reference field="5" count="1">
            <x v="22"/>
          </reference>
        </references>
      </pivotArea>
    </format>
    <format dxfId="115">
      <pivotArea outline="0" collapsedLevelsAreSubtotals="1" fieldPosition="0"/>
    </format>
    <format dxfId="114">
      <pivotArea field="7" type="button" dataOnly="0" labelOnly="1" outline="0" axis="axisCol" fieldPosition="0"/>
    </format>
    <format dxfId="113">
      <pivotArea field="-2" type="button" dataOnly="0" labelOnly="1" outline="0" axis="axisCol" fieldPosition="1"/>
    </format>
    <format dxfId="112">
      <pivotArea type="topRight" dataOnly="0" labelOnly="1" outline="0" fieldPosition="0"/>
    </format>
    <format dxfId="111">
      <pivotArea dataOnly="0" labelOnly="1" outline="0" fieldPosition="0">
        <references count="1">
          <reference field="7" count="0"/>
        </references>
      </pivotArea>
    </format>
    <format dxfId="110">
      <pivotArea dataOnly="0" labelOnly="1" outline="0" fieldPosition="0">
        <references count="2">
          <reference field="4294967294" count="2">
            <x v="0"/>
            <x v="1"/>
          </reference>
          <reference field="7" count="1" selected="0">
            <x v="1"/>
          </reference>
        </references>
      </pivotArea>
    </format>
    <format dxfId="109">
      <pivotArea dataOnly="0" labelOnly="1" outline="0" fieldPosition="0">
        <references count="2">
          <reference field="4294967294" count="2">
            <x v="0"/>
            <x v="1"/>
          </reference>
          <reference field="7" count="1" selected="0">
            <x v="2"/>
          </reference>
        </references>
      </pivotArea>
    </format>
    <format dxfId="108">
      <pivotArea outline="0" collapsedLevelsAreSubtotals="1" fieldPosition="0"/>
    </format>
    <format dxfId="107">
      <pivotArea field="7" type="button" dataOnly="0" labelOnly="1" outline="0" axis="axisCol" fieldPosition="0"/>
    </format>
    <format dxfId="106">
      <pivotArea outline="0" collapsedLevelsAreSubtotals="1" fieldPosition="0"/>
    </format>
    <format dxfId="105">
      <pivotArea field="-2" type="button" dataOnly="0" labelOnly="1" outline="0" axis="axisCol" fieldPosition="1"/>
    </format>
    <format dxfId="104">
      <pivotArea type="topRight" dataOnly="0" labelOnly="1" outline="0" fieldPosition="0"/>
    </format>
    <format dxfId="103">
      <pivotArea dataOnly="0" labelOnly="1" outline="0" fieldPosition="0">
        <references count="1">
          <reference field="7" count="0"/>
        </references>
      </pivotArea>
    </format>
    <format dxfId="102">
      <pivotArea dataOnly="0" labelOnly="1" outline="0" fieldPosition="0">
        <references count="2">
          <reference field="4294967294" count="2">
            <x v="0"/>
            <x v="1"/>
          </reference>
          <reference field="7" count="1" selected="0">
            <x v="1"/>
          </reference>
        </references>
      </pivotArea>
    </format>
    <format dxfId="101">
      <pivotArea dataOnly="0" labelOnly="1" outline="0" fieldPosition="0">
        <references count="2">
          <reference field="4294967294" count="2">
            <x v="0"/>
            <x v="1"/>
          </reference>
          <reference field="7" count="1" selected="0">
            <x v="1"/>
          </reference>
        </references>
      </pivotArea>
    </format>
    <format dxfId="100">
      <pivotArea dataOnly="0" labelOnly="1" outline="0" fieldPosition="0">
        <references count="2">
          <reference field="4294967294" count="2">
            <x v="0"/>
            <x v="1"/>
          </reference>
          <reference field="7" count="1" selected="0">
            <x v="2"/>
          </reference>
        </references>
      </pivotArea>
    </format>
    <format dxfId="99">
      <pivotArea dataOnly="0" labelOnly="1" outline="0" fieldPosition="0">
        <references count="2">
          <reference field="4294967294" count="2">
            <x v="0"/>
            <x v="1"/>
          </reference>
          <reference field="7" count="1" selected="0">
            <x v="2"/>
          </reference>
        </references>
      </pivotArea>
    </format>
    <format dxfId="98">
      <pivotArea field="7" type="button" dataOnly="0" labelOnly="1" outline="0" axis="axisCol" fieldPosition="0"/>
    </format>
    <format dxfId="97">
      <pivotArea field="-2" type="button" dataOnly="0" labelOnly="1" outline="0" axis="axisCol" fieldPosition="1"/>
    </format>
    <format dxfId="96">
      <pivotArea type="topRight" dataOnly="0" labelOnly="1" outline="0" fieldPosition="0"/>
    </format>
    <format dxfId="95">
      <pivotArea dataOnly="0" labelOnly="1" outline="0" fieldPosition="0">
        <references count="1">
          <reference field="7" count="0"/>
        </references>
      </pivotArea>
    </format>
    <format dxfId="94">
      <pivotArea dataOnly="0" labelOnly="1" outline="0" fieldPosition="0">
        <references count="2">
          <reference field="4294967294" count="2">
            <x v="0"/>
            <x v="1"/>
          </reference>
          <reference field="7" count="1" selected="0">
            <x v="1"/>
          </reference>
        </references>
      </pivotArea>
    </format>
    <format dxfId="93">
      <pivotArea field="7" type="button" dataOnly="0" labelOnly="1" outline="0" axis="axisCol" fieldPosition="0"/>
    </format>
    <format dxfId="92">
      <pivotArea field="-2" type="button" dataOnly="0" labelOnly="1" outline="0" axis="axisCol" fieldPosition="1"/>
    </format>
    <format dxfId="91">
      <pivotArea type="topRight" dataOnly="0" labelOnly="1" outline="0" fieldPosition="0"/>
    </format>
    <format dxfId="90">
      <pivotArea dataOnly="0" labelOnly="1" outline="0" fieldPosition="0">
        <references count="1">
          <reference field="7" count="0"/>
        </references>
      </pivotArea>
    </format>
    <format dxfId="89">
      <pivotArea dataOnly="0" labelOnly="1" outline="0" fieldPosition="0">
        <references count="2">
          <reference field="4294967294" count="2">
            <x v="0"/>
            <x v="1"/>
          </reference>
          <reference field="7" count="1" selected="0">
            <x v="1"/>
          </reference>
        </references>
      </pivotArea>
    </format>
    <format dxfId="88">
      <pivotArea dataOnly="0" labelOnly="1" outline="0" fieldPosition="0">
        <references count="2">
          <reference field="4294967294" count="2">
            <x v="0"/>
            <x v="1"/>
          </reference>
          <reference field="7" count="1" selected="0">
            <x v="2"/>
          </reference>
        </references>
      </pivotArea>
    </format>
    <format dxfId="87">
      <pivotArea dataOnly="0" labelOnly="1" outline="0" fieldPosition="0">
        <references count="2">
          <reference field="4294967294" count="2">
            <x v="0"/>
            <x v="1"/>
          </reference>
          <reference field="7" count="1" selected="0">
            <x v="2"/>
          </reference>
        </references>
      </pivotArea>
    </format>
    <format dxfId="86">
      <pivotArea dataOnly="0" labelOnly="1" outline="0" fieldPosition="0">
        <references count="1">
          <reference field="6" count="0"/>
        </references>
      </pivotArea>
    </format>
    <format dxfId="85">
      <pivotArea dataOnly="0" labelOnly="1" outline="0" fieldPosition="0">
        <references count="1">
          <reference field="6" count="0"/>
        </references>
      </pivotArea>
    </format>
    <format dxfId="84">
      <pivotArea outline="0" collapsedLevelsAreSubtotals="1" fieldPosition="0"/>
    </format>
    <format dxfId="83">
      <pivotArea dataOnly="0" labelOnly="1" outline="0" fieldPosition="0">
        <references count="1">
          <reference field="5" count="0"/>
        </references>
      </pivotArea>
    </format>
    <format dxfId="82">
      <pivotArea dataOnly="0" labelOnly="1" outline="0" fieldPosition="0">
        <references count="1">
          <reference field="5" count="0"/>
        </references>
      </pivotArea>
    </format>
    <format dxfId="81">
      <pivotArea type="all" dataOnly="0" outline="0" fieldPosition="0"/>
    </format>
    <format dxfId="80">
      <pivotArea type="origin" dataOnly="0" labelOnly="1" outline="0" fieldPosition="0"/>
    </format>
    <format dxfId="79">
      <pivotArea field="7" type="button" dataOnly="0" labelOnly="1" outline="0" axis="axisCol" fieldPosition="0"/>
    </format>
    <format dxfId="78">
      <pivotArea field="-2" type="button" dataOnly="0" labelOnly="1" outline="0" axis="axisCol" fieldPosition="1"/>
    </format>
    <format dxfId="77">
      <pivotArea type="topRight" dataOnly="0" labelOnly="1" outline="0" fieldPosition="0"/>
    </format>
    <format dxfId="76">
      <pivotArea field="5" type="button" dataOnly="0" labelOnly="1" outline="0" axis="axisRow" fieldPosition="0"/>
    </format>
    <format dxfId="75">
      <pivotArea field="2" type="button" dataOnly="0" labelOnly="1" outline="0" axis="axisRow" fieldPosition="1"/>
    </format>
    <format dxfId="74">
      <pivotArea field="6" type="button" dataOnly="0" labelOnly="1" outline="0" axis="axisRow" fieldPosition="2"/>
    </format>
    <format dxfId="73">
      <pivotArea dataOnly="0" labelOnly="1" outline="0" fieldPosition="0">
        <references count="1">
          <reference field="5" count="0"/>
        </references>
      </pivotArea>
    </format>
    <format dxfId="72">
      <pivotArea dataOnly="0" labelOnly="1" grandRow="1" outline="0" fieldPosition="0"/>
    </format>
    <format dxfId="71">
      <pivotArea dataOnly="0" labelOnly="1" outline="0" fieldPosition="0">
        <references count="2">
          <reference field="2" count="15">
            <x v="4"/>
            <x v="5"/>
            <x v="6"/>
            <x v="7"/>
            <x v="8"/>
            <x v="9"/>
            <x v="10"/>
            <x v="11"/>
            <x v="12"/>
            <x v="13"/>
            <x v="14"/>
            <x v="15"/>
            <x v="16"/>
            <x v="17"/>
            <x v="18"/>
          </reference>
          <reference field="5" count="0" selected="0"/>
        </references>
      </pivotArea>
    </format>
    <format dxfId="70">
      <pivotArea dataOnly="0" labelOnly="1" outline="0" fieldPosition="0">
        <references count="3">
          <reference field="2" count="1" selected="0">
            <x v="4"/>
          </reference>
          <reference field="5" count="0" selected="0"/>
          <reference field="6" count="19">
            <x v="59"/>
            <x v="60"/>
            <x v="61"/>
            <x v="62"/>
            <x v="63"/>
            <x v="64"/>
            <x v="65"/>
            <x v="66"/>
            <x v="67"/>
            <x v="68"/>
            <x v="69"/>
            <x v="70"/>
            <x v="71"/>
            <x v="72"/>
            <x v="73"/>
            <x v="74"/>
            <x v="75"/>
            <x v="78"/>
            <x v="79"/>
          </reference>
        </references>
      </pivotArea>
    </format>
    <format dxfId="69">
      <pivotArea dataOnly="0" labelOnly="1" outline="0" fieldPosition="0">
        <references count="3">
          <reference field="2" count="1" selected="0">
            <x v="5"/>
          </reference>
          <reference field="5" count="0" selected="0"/>
          <reference field="6" count="18">
            <x v="80"/>
            <x v="81"/>
            <x v="82"/>
            <x v="83"/>
            <x v="84"/>
            <x v="85"/>
            <x v="86"/>
            <x v="87"/>
            <x v="88"/>
            <x v="89"/>
            <x v="90"/>
            <x v="91"/>
            <x v="92"/>
            <x v="93"/>
            <x v="94"/>
            <x v="95"/>
            <x v="96"/>
            <x v="157"/>
          </reference>
        </references>
      </pivotArea>
    </format>
    <format dxfId="68">
      <pivotArea dataOnly="0" labelOnly="1" outline="0" fieldPosition="0">
        <references count="3">
          <reference field="2" count="1" selected="0">
            <x v="6"/>
          </reference>
          <reference field="5" count="0" selected="0"/>
          <reference field="6" count="18">
            <x v="60"/>
            <x v="62"/>
            <x v="64"/>
            <x v="66"/>
            <x v="67"/>
            <x v="70"/>
            <x v="97"/>
            <x v="98"/>
            <x v="99"/>
            <x v="100"/>
            <x v="101"/>
            <x v="102"/>
            <x v="103"/>
            <x v="104"/>
            <x v="105"/>
            <x v="106"/>
            <x v="108"/>
            <x v="159"/>
          </reference>
        </references>
      </pivotArea>
    </format>
    <format dxfId="67">
      <pivotArea dataOnly="0" labelOnly="1" outline="0" fieldPosition="0">
        <references count="3">
          <reference field="2" count="1" selected="0">
            <x v="7"/>
          </reference>
          <reference field="5" count="0" selected="0"/>
          <reference field="6" count="17">
            <x v="60"/>
            <x v="62"/>
            <x v="63"/>
            <x v="64"/>
            <x v="67"/>
            <x v="70"/>
            <x v="97"/>
            <x v="99"/>
            <x v="109"/>
            <x v="110"/>
            <x v="111"/>
            <x v="112"/>
            <x v="113"/>
            <x v="114"/>
            <x v="115"/>
            <x v="116"/>
            <x v="117"/>
          </reference>
        </references>
      </pivotArea>
    </format>
    <format dxfId="66">
      <pivotArea dataOnly="0" labelOnly="1" outline="0" fieldPosition="0">
        <references count="3">
          <reference field="2" count="1" selected="0">
            <x v="8"/>
          </reference>
          <reference field="5" count="0" selected="0"/>
          <reference field="6" count="20">
            <x v="64"/>
            <x v="67"/>
            <x v="70"/>
            <x v="97"/>
            <x v="98"/>
            <x v="99"/>
            <x v="103"/>
            <x v="109"/>
            <x v="111"/>
            <x v="112"/>
            <x v="118"/>
            <x v="119"/>
            <x v="120"/>
            <x v="121"/>
            <x v="122"/>
            <x v="123"/>
            <x v="124"/>
            <x v="125"/>
            <x v="126"/>
            <x v="127"/>
          </reference>
        </references>
      </pivotArea>
    </format>
    <format dxfId="65">
      <pivotArea dataOnly="0" labelOnly="1" outline="0" fieldPosition="0">
        <references count="3">
          <reference field="2" count="1" selected="0">
            <x v="9"/>
          </reference>
          <reference field="5" count="0" selected="0"/>
          <reference field="6" count="16">
            <x v="64"/>
            <x v="70"/>
            <x v="97"/>
            <x v="98"/>
            <x v="109"/>
            <x v="119"/>
            <x v="121"/>
            <x v="128"/>
            <x v="129"/>
            <x v="130"/>
            <x v="131"/>
            <x v="132"/>
            <x v="133"/>
            <x v="134"/>
            <x v="135"/>
            <x v="136"/>
          </reference>
        </references>
      </pivotArea>
    </format>
    <format dxfId="64">
      <pivotArea dataOnly="0" labelOnly="1" outline="0" fieldPosition="0">
        <references count="3">
          <reference field="2" count="1" selected="0">
            <x v="10"/>
          </reference>
          <reference field="5" count="0" selected="0"/>
          <reference field="6" count="20">
            <x v="63"/>
            <x v="64"/>
            <x v="70"/>
            <x v="97"/>
            <x v="100"/>
            <x v="103"/>
            <x v="111"/>
            <x v="119"/>
            <x v="121"/>
            <x v="128"/>
            <x v="129"/>
            <x v="132"/>
            <x v="133"/>
            <x v="137"/>
            <x v="138"/>
            <x v="139"/>
            <x v="140"/>
            <x v="141"/>
            <x v="142"/>
            <x v="143"/>
          </reference>
        </references>
      </pivotArea>
    </format>
    <format dxfId="63">
      <pivotArea dataOnly="0" labelOnly="1" outline="0" fieldPosition="0">
        <references count="3">
          <reference field="2" count="1" selected="0">
            <x v="11"/>
          </reference>
          <reference field="5" count="0" selected="0"/>
          <reference field="6" count="19">
            <x v="64"/>
            <x v="70"/>
            <x v="97"/>
            <x v="98"/>
            <x v="109"/>
            <x v="119"/>
            <x v="121"/>
            <x v="128"/>
            <x v="129"/>
            <x v="131"/>
            <x v="132"/>
            <x v="133"/>
            <x v="138"/>
            <x v="144"/>
            <x v="145"/>
            <x v="146"/>
            <x v="147"/>
            <x v="148"/>
            <x v="149"/>
          </reference>
        </references>
      </pivotArea>
    </format>
    <format dxfId="62">
      <pivotArea dataOnly="0" labelOnly="1" outline="0" fieldPosition="0">
        <references count="3">
          <reference field="2" count="1" selected="0">
            <x v="12"/>
          </reference>
          <reference field="5" count="0" selected="0"/>
          <reference field="6" count="19">
            <x v="63"/>
            <x v="64"/>
            <x v="70"/>
            <x v="97"/>
            <x v="109"/>
            <x v="121"/>
            <x v="128"/>
            <x v="129"/>
            <x v="132"/>
            <x v="133"/>
            <x v="138"/>
            <x v="150"/>
            <x v="151"/>
            <x v="152"/>
            <x v="153"/>
            <x v="154"/>
            <x v="155"/>
            <x v="156"/>
            <x v="236"/>
          </reference>
        </references>
      </pivotArea>
    </format>
    <format dxfId="61">
      <pivotArea dataOnly="0" labelOnly="1" outline="0" fieldPosition="0">
        <references count="3">
          <reference field="2" count="1" selected="0">
            <x v="13"/>
          </reference>
          <reference field="5" count="0" selected="0"/>
          <reference field="6" count="12">
            <x v="158"/>
            <x v="160"/>
            <x v="161"/>
            <x v="162"/>
            <x v="163"/>
            <x v="164"/>
            <x v="165"/>
            <x v="166"/>
            <x v="167"/>
            <x v="168"/>
            <x v="169"/>
            <x v="192"/>
          </reference>
        </references>
      </pivotArea>
    </format>
    <format dxfId="60">
      <pivotArea dataOnly="0" labelOnly="1" outline="0" fieldPosition="0">
        <references count="3">
          <reference field="2" count="1" selected="0">
            <x v="14"/>
          </reference>
          <reference field="5" count="0" selected="0"/>
          <reference field="6" count="28">
            <x v="113"/>
            <x v="158"/>
            <x v="160"/>
            <x v="171"/>
            <x v="172"/>
            <x v="173"/>
            <x v="174"/>
            <x v="175"/>
            <x v="177"/>
            <x v="178"/>
            <x v="179"/>
            <x v="180"/>
            <x v="186"/>
            <x v="187"/>
            <x v="188"/>
            <x v="189"/>
            <x v="190"/>
            <x v="191"/>
            <x v="195"/>
            <x v="196"/>
            <x v="197"/>
            <x v="198"/>
            <x v="200"/>
            <x v="201"/>
            <x v="214"/>
            <x v="237"/>
            <x v="238"/>
            <x v="240"/>
          </reference>
        </references>
      </pivotArea>
    </format>
    <format dxfId="59">
      <pivotArea dataOnly="0" labelOnly="1" outline="0" fieldPosition="0">
        <references count="3">
          <reference field="2" count="1" selected="0">
            <x v="15"/>
          </reference>
          <reference field="5" count="0" selected="0"/>
          <reference field="6" count="25">
            <x v="70"/>
            <x v="158"/>
            <x v="160"/>
            <x v="171"/>
            <x v="172"/>
            <x v="177"/>
            <x v="180"/>
            <x v="201"/>
            <x v="202"/>
            <x v="203"/>
            <x v="204"/>
            <x v="205"/>
            <x v="206"/>
            <x v="207"/>
            <x v="208"/>
            <x v="209"/>
            <x v="210"/>
            <x v="211"/>
            <x v="212"/>
            <x v="213"/>
            <x v="215"/>
            <x v="216"/>
            <x v="217"/>
            <x v="218"/>
            <x v="219"/>
          </reference>
        </references>
      </pivotArea>
    </format>
    <format dxfId="58">
      <pivotArea dataOnly="0" labelOnly="1" outline="0" fieldPosition="0">
        <references count="3">
          <reference field="2" count="1" selected="0">
            <x v="16"/>
          </reference>
          <reference field="5" count="0" selected="0"/>
          <reference field="6" count="23">
            <x v="158"/>
            <x v="160"/>
            <x v="170"/>
            <x v="172"/>
            <x v="177"/>
            <x v="178"/>
            <x v="201"/>
            <x v="203"/>
            <x v="205"/>
            <x v="207"/>
            <x v="208"/>
            <x v="220"/>
            <x v="221"/>
            <x v="222"/>
            <x v="223"/>
            <x v="224"/>
            <x v="225"/>
            <x v="226"/>
            <x v="227"/>
            <x v="228"/>
            <x v="229"/>
            <x v="230"/>
            <x v="239"/>
          </reference>
        </references>
      </pivotArea>
    </format>
    <format dxfId="57">
      <pivotArea dataOnly="0" labelOnly="1" outline="0" fieldPosition="0">
        <references count="3">
          <reference field="2" count="1" selected="0">
            <x v="17"/>
          </reference>
          <reference field="5" count="0" selected="0"/>
          <reference field="6" count="17">
            <x v="160"/>
            <x v="171"/>
            <x v="172"/>
            <x v="178"/>
            <x v="201"/>
            <x v="203"/>
            <x v="205"/>
            <x v="207"/>
            <x v="208"/>
            <x v="221"/>
            <x v="222"/>
            <x v="223"/>
            <x v="231"/>
            <x v="232"/>
            <x v="233"/>
            <x v="234"/>
            <x v="235"/>
          </reference>
        </references>
      </pivotArea>
    </format>
    <format dxfId="56">
      <pivotArea dataOnly="0" labelOnly="1" outline="0" fieldPosition="0">
        <references count="3">
          <reference field="2" count="1" selected="0">
            <x v="18"/>
          </reference>
          <reference field="5" count="0" selected="0"/>
          <reference field="6" count="22">
            <x v="150"/>
            <x v="172"/>
            <x v="201"/>
            <x v="203"/>
            <x v="205"/>
            <x v="206"/>
            <x v="207"/>
            <x v="208"/>
            <x v="221"/>
            <x v="222"/>
            <x v="223"/>
            <x v="241"/>
            <x v="242"/>
            <x v="243"/>
            <x v="244"/>
            <x v="245"/>
            <x v="246"/>
            <x v="247"/>
            <x v="248"/>
            <x v="249"/>
            <x v="250"/>
            <x v="251"/>
          </reference>
        </references>
      </pivotArea>
    </format>
    <format dxfId="55">
      <pivotArea type="all" dataOnly="0" outline="0" fieldPosition="0"/>
    </format>
    <format dxfId="54">
      <pivotArea dataOnly="0" labelOnly="1" outline="0" fieldPosition="0">
        <references count="1">
          <reference field="5" count="0"/>
        </references>
      </pivotArea>
    </format>
    <format dxfId="53">
      <pivotArea dataOnly="0" labelOnly="1" grandRow="1" outline="0" fieldPosition="0"/>
    </format>
    <format dxfId="52">
      <pivotArea dataOnly="0" labelOnly="1" outline="0" fieldPosition="0">
        <references count="2">
          <reference field="2" count="15">
            <x v="4"/>
            <x v="5"/>
            <x v="6"/>
            <x v="7"/>
            <x v="8"/>
            <x v="9"/>
            <x v="10"/>
            <x v="11"/>
            <x v="12"/>
            <x v="13"/>
            <x v="14"/>
            <x v="15"/>
            <x v="16"/>
            <x v="17"/>
            <x v="18"/>
          </reference>
          <reference field="5" count="0" selected="0"/>
        </references>
      </pivotArea>
    </format>
    <format dxfId="51">
      <pivotArea dataOnly="0" labelOnly="1" outline="0" fieldPosition="0">
        <references count="2">
          <reference field="2" count="1">
            <x v="11"/>
          </reference>
          <reference field="5" count="0" selected="0"/>
        </references>
      </pivotArea>
    </format>
    <format dxfId="50">
      <pivotArea dataOnly="0" labelOnly="1" outline="0" fieldPosition="0">
        <references count="1">
          <reference field="5" count="0"/>
        </references>
      </pivotArea>
    </format>
    <format dxfId="49">
      <pivotArea grandRow="1" outline="0" collapsedLevelsAreSubtotals="1" fieldPosition="0"/>
    </format>
    <format dxfId="48">
      <pivotArea dataOnly="0" labelOnly="1" grandRow="1" outline="0" fieldPosition="0"/>
    </format>
    <format dxfId="47">
      <pivotArea grandRow="1" outline="0" collapsedLevelsAreSubtotals="1" fieldPosition="0"/>
    </format>
    <format dxfId="46">
      <pivotArea dataOnly="0" labelOnly="1" grandRow="1" outline="0" fieldPosition="0"/>
    </format>
    <format dxfId="45">
      <pivotArea outline="0" collapsedLevelsAreSubtotals="1" fieldPosition="0"/>
    </format>
    <format dxfId="44">
      <pivotArea dataOnly="0" labelOnly="1" outline="0" fieldPosition="0">
        <references count="1">
          <reference field="7" count="0"/>
        </references>
      </pivotArea>
    </format>
    <format dxfId="43">
      <pivotArea dataOnly="0" labelOnly="1" outline="0" fieldPosition="0">
        <references count="2">
          <reference field="4294967294" count="2">
            <x v="0"/>
            <x v="1"/>
          </reference>
          <reference field="7" count="1" selected="0">
            <x v="1"/>
          </reference>
        </references>
      </pivotArea>
    </format>
    <format dxfId="42">
      <pivotArea dataOnly="0" labelOnly="1" outline="0" fieldPosition="0">
        <references count="2">
          <reference field="4294967294" count="2">
            <x v="0"/>
            <x v="1"/>
          </reference>
          <reference field="7" count="1" selected="0">
            <x v="2"/>
          </reference>
        </references>
      </pivotArea>
    </format>
    <format dxfId="41">
      <pivotArea outline="0" collapsedLevelsAreSubtotals="1" fieldPosition="0"/>
    </format>
    <format dxfId="40">
      <pivotArea dataOnly="0" labelOnly="1" outline="0" fieldPosition="0">
        <references count="1">
          <reference field="7" count="0"/>
        </references>
      </pivotArea>
    </format>
    <format dxfId="39">
      <pivotArea dataOnly="0" labelOnly="1" outline="0" fieldPosition="0">
        <references count="2">
          <reference field="4294967294" count="2">
            <x v="0"/>
            <x v="1"/>
          </reference>
          <reference field="7" count="1" selected="0">
            <x v="1"/>
          </reference>
        </references>
      </pivotArea>
    </format>
    <format dxfId="38">
      <pivotArea dataOnly="0" labelOnly="1" outline="0" fieldPosition="0">
        <references count="2">
          <reference field="4294967294" count="2">
            <x v="0"/>
            <x v="1"/>
          </reference>
          <reference field="7" count="1" selected="0">
            <x v="2"/>
          </reference>
        </references>
      </pivotArea>
    </format>
    <format dxfId="37">
      <pivotArea outline="0" collapsedLevelsAreSubtotals="1" fieldPosition="0"/>
    </format>
    <format dxfId="36">
      <pivotArea dataOnly="0" labelOnly="1" outline="0" fieldPosition="0">
        <references count="1">
          <reference field="7" count="0"/>
        </references>
      </pivotArea>
    </format>
    <format dxfId="35">
      <pivotArea dataOnly="0" labelOnly="1" outline="0" fieldPosition="0">
        <references count="2">
          <reference field="4294967294" count="2">
            <x v="0"/>
            <x v="1"/>
          </reference>
          <reference field="7" count="1" selected="0">
            <x v="1"/>
          </reference>
        </references>
      </pivotArea>
    </format>
    <format dxfId="34">
      <pivotArea dataOnly="0" labelOnly="1" outline="0" fieldPosition="0">
        <references count="2">
          <reference field="4294967294" count="2">
            <x v="0"/>
            <x v="1"/>
          </reference>
          <reference field="7" count="1" selected="0">
            <x v="2"/>
          </reference>
        </references>
      </pivotArea>
    </format>
    <format dxfId="33">
      <pivotArea outline="0" collapsedLevelsAreSubtotals="1" fieldPosition="0"/>
    </format>
    <format dxfId="32">
      <pivotArea dataOnly="0" labelOnly="1" outline="0" fieldPosition="0">
        <references count="1">
          <reference field="7" count="0"/>
        </references>
      </pivotArea>
    </format>
    <format dxfId="31">
      <pivotArea dataOnly="0" labelOnly="1" outline="0" fieldPosition="0">
        <references count="2">
          <reference field="4294967294" count="2">
            <x v="0"/>
            <x v="1"/>
          </reference>
          <reference field="7" count="1" selected="0">
            <x v="1"/>
          </reference>
        </references>
      </pivotArea>
    </format>
    <format dxfId="30">
      <pivotArea dataOnly="0" labelOnly="1" outline="0" fieldPosition="0">
        <references count="2">
          <reference field="4294967294" count="2">
            <x v="0"/>
            <x v="1"/>
          </reference>
          <reference field="7" count="1" selected="0">
            <x v="2"/>
          </reference>
        </references>
      </pivotArea>
    </format>
    <format dxfId="29">
      <pivotArea type="all" dataOnly="0" outline="0" fieldPosition="0"/>
    </format>
    <format dxfId="28">
      <pivotArea outline="0" collapsedLevelsAreSubtotals="1" fieldPosition="0"/>
    </format>
    <format dxfId="27">
      <pivotArea type="origin" dataOnly="0" labelOnly="1" outline="0" fieldPosition="0"/>
    </format>
    <format dxfId="26">
      <pivotArea field="7" type="button" dataOnly="0" labelOnly="1" outline="0" axis="axisCol" fieldPosition="0"/>
    </format>
    <format dxfId="25">
      <pivotArea field="-2" type="button" dataOnly="0" labelOnly="1" outline="0" axis="axisCol" fieldPosition="1"/>
    </format>
    <format dxfId="24">
      <pivotArea type="topRight" dataOnly="0" labelOnly="1" outline="0" fieldPosition="0"/>
    </format>
    <format dxfId="23">
      <pivotArea field="5" type="button" dataOnly="0" labelOnly="1" outline="0" axis="axisRow" fieldPosition="0"/>
    </format>
    <format dxfId="22">
      <pivotArea field="2" type="button" dataOnly="0" labelOnly="1" outline="0" axis="axisRow" fieldPosition="1"/>
    </format>
    <format dxfId="21">
      <pivotArea field="6" type="button" dataOnly="0" labelOnly="1" outline="0" axis="axisRow" fieldPosition="2"/>
    </format>
    <format dxfId="20">
      <pivotArea dataOnly="0" labelOnly="1" outline="0" fieldPosition="0">
        <references count="1">
          <reference field="5" count="0"/>
        </references>
      </pivotArea>
    </format>
    <format dxfId="19">
      <pivotArea dataOnly="0" labelOnly="1" grandRow="1" outline="0" fieldPosition="0"/>
    </format>
    <format dxfId="18">
      <pivotArea dataOnly="0" labelOnly="1" outline="0" fieldPosition="0">
        <references count="2">
          <reference field="2" count="15">
            <x v="4"/>
            <x v="5"/>
            <x v="6"/>
            <x v="7"/>
            <x v="8"/>
            <x v="9"/>
            <x v="10"/>
            <x v="11"/>
            <x v="12"/>
            <x v="13"/>
            <x v="14"/>
            <x v="15"/>
            <x v="16"/>
            <x v="17"/>
            <x v="18"/>
          </reference>
          <reference field="5" count="0" selected="0"/>
        </references>
      </pivotArea>
    </format>
    <format dxfId="17">
      <pivotArea dataOnly="0" labelOnly="1" outline="0" fieldPosition="0">
        <references count="3">
          <reference field="2" count="1" selected="0">
            <x v="4"/>
          </reference>
          <reference field="5" count="0" selected="0"/>
          <reference field="6" count="19">
            <x v="59"/>
            <x v="60"/>
            <x v="61"/>
            <x v="62"/>
            <x v="63"/>
            <x v="64"/>
            <x v="65"/>
            <x v="66"/>
            <x v="67"/>
            <x v="68"/>
            <x v="69"/>
            <x v="70"/>
            <x v="71"/>
            <x v="72"/>
            <x v="73"/>
            <x v="74"/>
            <x v="75"/>
            <x v="78"/>
            <x v="79"/>
          </reference>
        </references>
      </pivotArea>
    </format>
    <format dxfId="16">
      <pivotArea dataOnly="0" labelOnly="1" outline="0" fieldPosition="0">
        <references count="3">
          <reference field="2" count="1" selected="0">
            <x v="5"/>
          </reference>
          <reference field="5" count="0" selected="0"/>
          <reference field="6" count="18">
            <x v="80"/>
            <x v="81"/>
            <x v="82"/>
            <x v="83"/>
            <x v="84"/>
            <x v="85"/>
            <x v="86"/>
            <x v="87"/>
            <x v="88"/>
            <x v="89"/>
            <x v="90"/>
            <x v="91"/>
            <x v="92"/>
            <x v="93"/>
            <x v="94"/>
            <x v="95"/>
            <x v="96"/>
            <x v="157"/>
          </reference>
        </references>
      </pivotArea>
    </format>
    <format dxfId="15">
      <pivotArea dataOnly="0" labelOnly="1" outline="0" fieldPosition="0">
        <references count="3">
          <reference field="2" count="1" selected="0">
            <x v="6"/>
          </reference>
          <reference field="5" count="0" selected="0"/>
          <reference field="6" count="18">
            <x v="60"/>
            <x v="62"/>
            <x v="64"/>
            <x v="66"/>
            <x v="67"/>
            <x v="70"/>
            <x v="97"/>
            <x v="98"/>
            <x v="99"/>
            <x v="100"/>
            <x v="101"/>
            <x v="102"/>
            <x v="103"/>
            <x v="104"/>
            <x v="105"/>
            <x v="106"/>
            <x v="108"/>
            <x v="159"/>
          </reference>
        </references>
      </pivotArea>
    </format>
    <format dxfId="14">
      <pivotArea dataOnly="0" labelOnly="1" outline="0" fieldPosition="0">
        <references count="3">
          <reference field="2" count="1" selected="0">
            <x v="7"/>
          </reference>
          <reference field="5" count="0" selected="0"/>
          <reference field="6" count="17">
            <x v="60"/>
            <x v="62"/>
            <x v="63"/>
            <x v="64"/>
            <x v="67"/>
            <x v="70"/>
            <x v="97"/>
            <x v="99"/>
            <x v="109"/>
            <x v="110"/>
            <x v="111"/>
            <x v="112"/>
            <x v="113"/>
            <x v="114"/>
            <x v="115"/>
            <x v="116"/>
            <x v="117"/>
          </reference>
        </references>
      </pivotArea>
    </format>
    <format dxfId="13">
      <pivotArea dataOnly="0" labelOnly="1" outline="0" fieldPosition="0">
        <references count="3">
          <reference field="2" count="1" selected="0">
            <x v="8"/>
          </reference>
          <reference field="5" count="0" selected="0"/>
          <reference field="6" count="20">
            <x v="64"/>
            <x v="67"/>
            <x v="70"/>
            <x v="97"/>
            <x v="98"/>
            <x v="99"/>
            <x v="103"/>
            <x v="109"/>
            <x v="111"/>
            <x v="112"/>
            <x v="118"/>
            <x v="119"/>
            <x v="120"/>
            <x v="121"/>
            <x v="122"/>
            <x v="123"/>
            <x v="124"/>
            <x v="125"/>
            <x v="126"/>
            <x v="127"/>
          </reference>
        </references>
      </pivotArea>
    </format>
    <format dxfId="12">
      <pivotArea dataOnly="0" labelOnly="1" outline="0" fieldPosition="0">
        <references count="3">
          <reference field="2" count="1" selected="0">
            <x v="9"/>
          </reference>
          <reference field="5" count="0" selected="0"/>
          <reference field="6" count="16">
            <x v="64"/>
            <x v="70"/>
            <x v="97"/>
            <x v="98"/>
            <x v="109"/>
            <x v="119"/>
            <x v="121"/>
            <x v="128"/>
            <x v="129"/>
            <x v="130"/>
            <x v="131"/>
            <x v="132"/>
            <x v="133"/>
            <x v="134"/>
            <x v="135"/>
            <x v="136"/>
          </reference>
        </references>
      </pivotArea>
    </format>
    <format dxfId="11">
      <pivotArea dataOnly="0" labelOnly="1" outline="0" fieldPosition="0">
        <references count="3">
          <reference field="2" count="1" selected="0">
            <x v="10"/>
          </reference>
          <reference field="5" count="0" selected="0"/>
          <reference field="6" count="20">
            <x v="63"/>
            <x v="64"/>
            <x v="70"/>
            <x v="97"/>
            <x v="100"/>
            <x v="103"/>
            <x v="111"/>
            <x v="119"/>
            <x v="121"/>
            <x v="128"/>
            <x v="129"/>
            <x v="132"/>
            <x v="133"/>
            <x v="137"/>
            <x v="138"/>
            <x v="139"/>
            <x v="140"/>
            <x v="141"/>
            <x v="142"/>
            <x v="143"/>
          </reference>
        </references>
      </pivotArea>
    </format>
    <format dxfId="10">
      <pivotArea dataOnly="0" labelOnly="1" outline="0" fieldPosition="0">
        <references count="3">
          <reference field="2" count="1" selected="0">
            <x v="11"/>
          </reference>
          <reference field="5" count="0" selected="0"/>
          <reference field="6" count="19">
            <x v="64"/>
            <x v="70"/>
            <x v="97"/>
            <x v="98"/>
            <x v="109"/>
            <x v="119"/>
            <x v="121"/>
            <x v="128"/>
            <x v="129"/>
            <x v="131"/>
            <x v="132"/>
            <x v="133"/>
            <x v="138"/>
            <x v="144"/>
            <x v="145"/>
            <x v="146"/>
            <x v="147"/>
            <x v="148"/>
            <x v="149"/>
          </reference>
        </references>
      </pivotArea>
    </format>
    <format dxfId="9">
      <pivotArea dataOnly="0" labelOnly="1" outline="0" fieldPosition="0">
        <references count="3">
          <reference field="2" count="1" selected="0">
            <x v="12"/>
          </reference>
          <reference field="5" count="0" selected="0"/>
          <reference field="6" count="19">
            <x v="63"/>
            <x v="64"/>
            <x v="70"/>
            <x v="97"/>
            <x v="109"/>
            <x v="121"/>
            <x v="128"/>
            <x v="129"/>
            <x v="132"/>
            <x v="133"/>
            <x v="138"/>
            <x v="150"/>
            <x v="151"/>
            <x v="152"/>
            <x v="153"/>
            <x v="154"/>
            <x v="155"/>
            <x v="156"/>
            <x v="236"/>
          </reference>
        </references>
      </pivotArea>
    </format>
    <format dxfId="8">
      <pivotArea dataOnly="0" labelOnly="1" outline="0" fieldPosition="0">
        <references count="3">
          <reference field="2" count="1" selected="0">
            <x v="13"/>
          </reference>
          <reference field="5" count="0" selected="0"/>
          <reference field="6" count="12">
            <x v="158"/>
            <x v="160"/>
            <x v="161"/>
            <x v="162"/>
            <x v="163"/>
            <x v="164"/>
            <x v="165"/>
            <x v="166"/>
            <x v="167"/>
            <x v="168"/>
            <x v="169"/>
            <x v="192"/>
          </reference>
        </references>
      </pivotArea>
    </format>
    <format dxfId="7">
      <pivotArea dataOnly="0" labelOnly="1" outline="0" fieldPosition="0">
        <references count="3">
          <reference field="2" count="1" selected="0">
            <x v="14"/>
          </reference>
          <reference field="5" count="0" selected="0"/>
          <reference field="6" count="28">
            <x v="113"/>
            <x v="158"/>
            <x v="160"/>
            <x v="171"/>
            <x v="172"/>
            <x v="173"/>
            <x v="174"/>
            <x v="175"/>
            <x v="177"/>
            <x v="178"/>
            <x v="179"/>
            <x v="180"/>
            <x v="186"/>
            <x v="187"/>
            <x v="188"/>
            <x v="189"/>
            <x v="190"/>
            <x v="191"/>
            <x v="195"/>
            <x v="196"/>
            <x v="197"/>
            <x v="198"/>
            <x v="200"/>
            <x v="201"/>
            <x v="214"/>
            <x v="237"/>
            <x v="238"/>
            <x v="240"/>
          </reference>
        </references>
      </pivotArea>
    </format>
    <format dxfId="6">
      <pivotArea dataOnly="0" labelOnly="1" outline="0" fieldPosition="0">
        <references count="3">
          <reference field="2" count="1" selected="0">
            <x v="15"/>
          </reference>
          <reference field="5" count="0" selected="0"/>
          <reference field="6" count="25">
            <x v="70"/>
            <x v="158"/>
            <x v="160"/>
            <x v="171"/>
            <x v="172"/>
            <x v="177"/>
            <x v="180"/>
            <x v="201"/>
            <x v="202"/>
            <x v="203"/>
            <x v="204"/>
            <x v="205"/>
            <x v="206"/>
            <x v="207"/>
            <x v="208"/>
            <x v="209"/>
            <x v="210"/>
            <x v="211"/>
            <x v="212"/>
            <x v="213"/>
            <x v="215"/>
            <x v="216"/>
            <x v="217"/>
            <x v="218"/>
            <x v="219"/>
          </reference>
        </references>
      </pivotArea>
    </format>
    <format dxfId="5">
      <pivotArea dataOnly="0" labelOnly="1" outline="0" fieldPosition="0">
        <references count="3">
          <reference field="2" count="1" selected="0">
            <x v="16"/>
          </reference>
          <reference field="5" count="0" selected="0"/>
          <reference field="6" count="23">
            <x v="158"/>
            <x v="160"/>
            <x v="170"/>
            <x v="172"/>
            <x v="177"/>
            <x v="178"/>
            <x v="201"/>
            <x v="203"/>
            <x v="205"/>
            <x v="207"/>
            <x v="208"/>
            <x v="220"/>
            <x v="221"/>
            <x v="222"/>
            <x v="223"/>
            <x v="224"/>
            <x v="225"/>
            <x v="226"/>
            <x v="227"/>
            <x v="228"/>
            <x v="229"/>
            <x v="230"/>
            <x v="239"/>
          </reference>
        </references>
      </pivotArea>
    </format>
    <format dxfId="4">
      <pivotArea dataOnly="0" labelOnly="1" outline="0" fieldPosition="0">
        <references count="3">
          <reference field="2" count="1" selected="0">
            <x v="17"/>
          </reference>
          <reference field="5" count="0" selected="0"/>
          <reference field="6" count="17">
            <x v="160"/>
            <x v="171"/>
            <x v="172"/>
            <x v="178"/>
            <x v="201"/>
            <x v="203"/>
            <x v="205"/>
            <x v="207"/>
            <x v="208"/>
            <x v="221"/>
            <x v="222"/>
            <x v="223"/>
            <x v="231"/>
            <x v="232"/>
            <x v="233"/>
            <x v="234"/>
            <x v="235"/>
          </reference>
        </references>
      </pivotArea>
    </format>
    <format dxfId="3">
      <pivotArea dataOnly="0" labelOnly="1" outline="0" fieldPosition="0">
        <references count="3">
          <reference field="2" count="1" selected="0">
            <x v="18"/>
          </reference>
          <reference field="5" count="0" selected="0"/>
          <reference field="6" count="22">
            <x v="150"/>
            <x v="172"/>
            <x v="201"/>
            <x v="203"/>
            <x v="205"/>
            <x v="206"/>
            <x v="207"/>
            <x v="208"/>
            <x v="221"/>
            <x v="222"/>
            <x v="223"/>
            <x v="241"/>
            <x v="242"/>
            <x v="243"/>
            <x v="244"/>
            <x v="245"/>
            <x v="246"/>
            <x v="247"/>
            <x v="248"/>
            <x v="249"/>
            <x v="250"/>
            <x v="251"/>
          </reference>
        </references>
      </pivotArea>
    </format>
    <format dxfId="2">
      <pivotArea dataOnly="0" labelOnly="1" outline="0" fieldPosition="0">
        <references count="1">
          <reference field="7" count="0"/>
        </references>
      </pivotArea>
    </format>
    <format dxfId="1">
      <pivotArea dataOnly="0" labelOnly="1" outline="0" fieldPosition="0">
        <references count="2">
          <reference field="4294967294" count="2">
            <x v="0"/>
            <x v="1"/>
          </reference>
          <reference field="7" count="1" selected="0">
            <x v="1"/>
          </reference>
        </references>
      </pivotArea>
    </format>
    <format dxfId="0">
      <pivotArea dataOnly="0" labelOnly="1" outline="0" fieldPosition="0">
        <references count="2">
          <reference field="4294967294" count="2">
            <x v="0"/>
            <x v="1"/>
          </reference>
          <reference field="7" count="1" selected="0">
            <x v="2"/>
          </reference>
        </references>
      </pivotArea>
    </format>
  </formats>
  <pivotTableStyleInfo name="PivotStyleMedium1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3" Type="http://schemas.openxmlformats.org/officeDocument/2006/relationships/image" Target="../media/image3.png" /><Relationship Id="rId2" Type="http://schemas.openxmlformats.org/officeDocument/2006/relationships/image" Target="../media/image2.png" /><Relationship Id="rId1" Type="http://schemas.openxmlformats.org/officeDocument/2006/relationships/image" Target="../media/image1.png" /></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الحساب" xr10:uid="{A6D4B33A-D311-451C-8465-EC07BA35865A}" sourceName="الحساب">
  <pivotTables>
    <pivotTable tabId="11" name="PivotTable3"/>
  </pivotTables>
  <data>
    <tabular pivotCacheId="376888865" showMissing="0">
      <items count="26">
        <i x="14"/>
        <i x="3"/>
        <i x="1"/>
        <i x="23"/>
        <i x="19"/>
        <i x="21"/>
        <i x="11"/>
        <i x="17"/>
        <i x="13"/>
        <i x="16" s="1"/>
        <i x="22"/>
        <i x="0"/>
        <i x="2"/>
        <i x="5"/>
        <i x="4"/>
        <i x="9"/>
        <i x="15"/>
        <i x="8"/>
        <i x="7"/>
        <i x="10"/>
        <i x="18"/>
        <i x="12"/>
        <i x="6"/>
        <i x="20"/>
        <i x="25" nd="1"/>
        <i x="24"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الشهــــر" xr10:uid="{F301109E-30D0-42B6-88CE-1944D534B048}" sourceName="الشهــــر">
  <pivotTables>
    <pivotTable tabId="12" name="PivotTable1"/>
  </pivotTables>
  <data>
    <tabular pivotCacheId="376888865">
      <items count="2">
        <i x="0" s="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الحساب1" xr10:uid="{6848B47E-E4E3-4F8A-9264-4E18EFBE0F22}" sourceName="الحساب">
  <pivotTables>
    <pivotTable tabId="14" name="PivotTable3"/>
  </pivotTables>
  <data>
    <tabular pivotCacheId="376888865" showMissing="0">
      <items count="26">
        <i x="14"/>
        <i x="3"/>
        <i x="1"/>
        <i x="23"/>
        <i x="19"/>
        <i x="21"/>
        <i x="11"/>
        <i x="17"/>
        <i x="13"/>
        <i x="16" s="1"/>
        <i x="22"/>
        <i x="0"/>
        <i x="2"/>
        <i x="5"/>
        <i x="4"/>
        <i x="9"/>
        <i x="15"/>
        <i x="8"/>
        <i x="7"/>
        <i x="10"/>
        <i x="18"/>
        <i x="12"/>
        <i x="6"/>
        <i x="20"/>
        <i x="25" nd="1"/>
        <i x="24"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شهــــر" xr10:uid="{635CD5F3-5783-4C7B-81E4-3F1BD9A67353}" cache="مقسم_طريقة_العرض_الشهــــر" caption="الشهــــر" columnCount="10" style="SlicerStyleDark1" lockedPosition="1"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حساب" xr10:uid="{E5395FD7-AEDC-402F-87CC-B31E80AF1545}" cache="مقسم_طريقة_العرض_الحساب" caption="الحساب" columnCount="5" style="SlicerStyleDark1" rowHeight="36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حساب 1" xr10:uid="{2FFBB1C3-89CD-42E4-B791-A3C76B22241E}" cache="مقسم_طريقة_العرض_الحساب1" caption="الحساب" columnCount="5" style="SlicerStyleDark1"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6629D7-317B-4E25-9BD2-521EBD1C95AA}" name="TableJudje" displayName="TableJudje" ref="A2:Q196" totalsRowShown="0" headerRowDxfId="302" dataDxfId="301">
  <autoFilter ref="A2:Q196" xr:uid="{DF6629D7-317B-4E25-9BD2-521EBD1C95AA}"/>
  <sortState xmlns:xlrd2="http://schemas.microsoft.com/office/spreadsheetml/2017/richdata2" ref="A3:Q187">
    <sortCondition ref="D2:D187"/>
  </sortState>
  <tableColumns count="17">
    <tableColumn id="7" xr3:uid="{25228BC1-5015-42C0-9D26-1CC7F25FF03C}" name="م" dataDxfId="300">
      <calculatedColumnFormula>ROW()</calculatedColumnFormula>
    </tableColumn>
    <tableColumn id="1" xr3:uid="{7C7AECEA-F3E9-4113-8B59-7639754028AE}" name="رقم الحساب" dataDxfId="299"/>
    <tableColumn id="2" xr3:uid="{EDA95E67-4F22-4F18-9FF1-FD0A07337F45}" name="اسم الحساب" dataDxfId="298"/>
    <tableColumn id="4" xr3:uid="{3611E472-FA69-4AC4-9E5E-EB3711643101}" name="الحساب الرئيسي" dataDxfId="297"/>
    <tableColumn id="3" xr3:uid="{3013E6EF-DF0C-4C19-B5DB-0F0DE9D28628}" name="المستوى" dataDxfId="296"/>
    <tableColumn id="5" xr3:uid="{69155534-AA2A-458C-8E88-AF2993BE0E67}" name="النوع" dataDxfId="295"/>
    <tableColumn id="9" xr3:uid="{8AC1BB13-54F9-43C4-95D8-C6DB5FE78B9F}" name="نوع التقرير" dataDxfId="294"/>
    <tableColumn id="12" xr3:uid="{68D0ADE7-61A0-420F-940F-A1051CF8BBB1}" name="مجموعة الحساب" dataDxfId="293"/>
    <tableColumn id="8" xr3:uid="{644D6564-431B-47DD-966C-F6A2EA3805F6}" name="طبيعة الحساب" dataDxfId="292"/>
    <tableColumn id="10" xr3:uid="{55699DEE-79BD-4227-B73D-0E521287BFB7}" name="نوع الحساب التحليلي" dataDxfId="291"/>
    <tableColumn id="13" xr3:uid="{427B3D28-91FF-4F3B-BBF5-E22C89C1CADF}" name="حالة الحساب" dataDxfId="290"/>
    <tableColumn id="14" xr3:uid="{8BAB68BA-C15A-408F-BA2C-80CC07D185E3}" name="تصنيف الحساب" dataDxfId="289"/>
    <tableColumn id="6" xr3:uid="{907D8581-BD3C-4839-AD19-98827ABDBC78}" name="اسم الحساب الرئيسي" dataDxfId="288">
      <calculatedColumnFormula>IF(TableJudje[[#This Row],[الحساب الرئيسي]]=0,"اجمالي",INDEX(TableJudje[اسم الحساب],MATCH(TableJudje[[#This Row],[الحساب الرئيسي]],TableJudje[رقم الحساب],0)))</calculatedColumnFormula>
    </tableColumn>
    <tableColumn id="15" xr3:uid="{CA62C2C8-32DA-4B08-AD5D-F969BBF2CC94}" name="الحساب العام" dataDxfId="287">
      <calculatedColumnFormula>IF(TableJudje[[#This Row],[المستوى]]&gt;2,INDEX(TableJudje[اسم الحساب],MATCH(VALUE(LEFT(TableJudje[[#This Row],[الحساب الرئيسي]],2)),TableJudje[رقم الحساب],0)),"")</calculatedColumnFormula>
    </tableColumn>
    <tableColumn id="11" xr3:uid="{DA0784CB-5298-47C9-9176-0FA31918D411}" name="الحساب المساعد" dataDxfId="286">
      <calculatedColumnFormula>IF(TableJudje[[#This Row],[المستوى]]&gt;3,INDEX(TableJudje[اسم الحساب],MATCH(VALUE(LEFT(TableJudje[[#This Row],[الحساب الرئيسي]],4)),TableJudje[رقم الحساب],0)),"")</calculatedColumnFormula>
    </tableColumn>
    <tableColumn id="16" xr3:uid="{76A303F0-0B9E-4527-8F8D-4D4F1A2A3080}" name="الفرعي" dataDxfId="285">
      <calculatedColumnFormula>IF(TableJudje[[#This Row],[المستوى]]&gt;4,INDEX(TableJudje[اسم الحساب],MATCH(VALUE(LEFT(TableJudje[[#This Row],[الحساب الرئيسي]],6)),TableJudje[رقم الحساب],0)),"")</calculatedColumnFormula>
    </tableColumn>
    <tableColumn id="17" xr3:uid="{3B00F9FC-FDD2-4C34-926C-F910CFB4E96D}" name="الإجمالي" dataDxfId="284">
      <calculatedColumnFormula>IF(TableJudje[[#This Row],[المستوى]]&gt;1,INDEX(TableJudje[اسم الحساب],MATCH(VALUE(LEFT(TableJudje[[#This Row],[الحساب الرئيسي]],1)),TableJudje[رقم الحساب],0)),"")</calculatedColumnFormula>
    </tableColumn>
  </tableColumns>
  <tableStyleInfo name="TableStyleDark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D4A71F-42D2-4D11-8FD8-EF888851B220}" name="tablecurrncy" displayName="tablecurrncy" ref="A2:H5" totalsRowShown="0" headerRowDxfId="283" dataDxfId="282">
  <autoFilter ref="A2:H5" xr:uid="{DD3D3363-9A6F-4212-877F-2DC1F77C71BC}"/>
  <tableColumns count="8">
    <tableColumn id="1" xr3:uid="{DFBC3797-D2C8-4607-B52C-B7EB610F1F11}" name="م" dataDxfId="281">
      <calculatedColumnFormula>ROW()-2</calculatedColumnFormula>
    </tableColumn>
    <tableColumn id="2" xr3:uid="{FDD0503C-39E0-4A2A-8E6D-E5F6094F1C95}" name="رقم العملة" dataDxfId="280"/>
    <tableColumn id="3" xr3:uid="{C70A2916-608F-4A81-850E-4BE592DFB5E1}" name="اسم العملة" dataDxfId="279"/>
    <tableColumn id="4" xr3:uid="{C89FF72E-7B9E-40E5-AA05-BA0025F04716}" name="رمز العملة" dataDxfId="278"/>
    <tableColumn id="5" xr3:uid="{5F362526-F6F0-4E54-B0F6-6B6EF97032B7}" name="سعر الصرف" dataDxfId="277"/>
    <tableColumn id="6" xr3:uid="{8C5A82FD-87F4-438E-835E-B3425C48F440}" name="الحد الأدنى" dataDxfId="276"/>
    <tableColumn id="7" xr3:uid="{C598171C-F8D6-4A16-B7BC-143B340F2EE0}" name="الحد الأعلى" dataDxfId="275"/>
    <tableColumn id="8" xr3:uid="{641CAEDD-071C-4018-8A72-21D548316999}" name="نوع العملة" dataDxfId="274"/>
  </tableColumns>
  <tableStyleInfo name="TableStyleDark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321FBD5-1CB0-45F5-9206-277969DD9A85}" name="tablecost" displayName="tablecost" ref="O2:R10" totalsRowShown="0" headerRowDxfId="273" dataDxfId="272">
  <autoFilter ref="O2:R10" xr:uid="{972B7823-A914-42AC-9C60-266073BB0033}"/>
  <tableColumns count="4">
    <tableColumn id="1" xr3:uid="{8321202A-8612-4BFB-8F7C-969D9C7451C0}" name="رقم المركز" dataDxfId="271"/>
    <tableColumn id="2" xr3:uid="{27E50E70-2647-40B1-9951-C32E38B1F224}" name="الاسم" dataDxfId="270"/>
    <tableColumn id="3" xr3:uid="{C67F2DD3-3EBD-47A6-A995-836FD6F6795C}" name="نوع المركز" dataDxfId="269"/>
    <tableColumn id="4" xr3:uid="{F6DDA439-8FE6-4309-8C64-D178CB77825B}" name="ملاحظة" dataDxfId="268"/>
  </tableColumns>
  <tableStyleInfo name="TableStyleDark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DCFEDC-BAAC-4BAC-879F-2DFF75EA7EA0}" name="tabledatacom" displayName="tabledatacom" ref="I2:M3" totalsRowShown="0" headerRowDxfId="267" dataDxfId="266">
  <autoFilter ref="I2:M3" xr:uid="{DD67957D-7BE6-460E-8C59-07428E201B10}"/>
  <tableColumns count="5">
    <tableColumn id="1" xr3:uid="{FE5AD0F7-C5EA-4108-ADF0-F31FC7744BDE}" name="اسم المنشاة" dataDxfId="265"/>
    <tableColumn id="2" xr3:uid="{CF81C66A-107B-4E03-AAC7-9FACE8EDF60D}" name="العملة الرئيسية" dataDxfId="264"/>
    <tableColumn id="3" xr3:uid="{99473E0E-2EC2-4900-9FFA-29F9F952E9B2}" name="بداية العام" dataDxfId="263"/>
    <tableColumn id="4" xr3:uid="{CC197D65-16D1-4A7C-9B17-55E2B536F7F2}" name="نهاية العام" dataDxfId="262">
      <calculatedColumnFormula>TODAY()</calculatedColumnFormula>
    </tableColumn>
    <tableColumn id="5" xr3:uid="{A88E1DB8-12C6-4804-85C4-B8DCD3030037}" name="عدد مستويات الحسابات" dataDxfId="26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E411BB-6624-4510-8707-F853AAC639BF}" name="tableتصنيفالحسابات" displayName="tableتصنيفالحسابات" ref="X2:Z3" totalsRowShown="0" headerRowDxfId="260" dataDxfId="259">
  <autoFilter ref="X2:Z3" xr:uid="{CFFE673C-3A84-4D1F-AA1E-3CAE179CC54F}"/>
  <tableColumns count="3">
    <tableColumn id="1" xr3:uid="{DE689FD0-B7AD-4A13-BA06-4B5320A43886}" name="كود النوع" dataDxfId="258"/>
    <tableColumn id="2" xr3:uid="{61A0F8AC-A8E7-472B-9F86-CEA65C871FDC}" name="التصنيف" dataDxfId="257"/>
    <tableColumn id="3" xr3:uid="{88A0EF9B-D624-401C-95BD-1BDB8612B7DC}" name="ملاحظة" dataDxfId="256"/>
  </tableColumns>
  <tableStyleInfo name="TableStyleDark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E8BF87-CECB-4729-8F62-EF2F06CA3E03}" name="Tablelgroupaccount" displayName="Tablelgroupaccount" ref="AB2:AC3" insertRow="1" totalsRowShown="0" headerRowDxfId="255">
  <autoFilter ref="AB2:AC3" xr:uid="{0E357EA7-570B-45F5-8A58-A42C1C162F8F}"/>
  <tableColumns count="2">
    <tableColumn id="1" xr3:uid="{CF2AFA7F-AFF5-40C9-81A1-6C67D78AADE8}" name="رقم" dataDxfId="254"/>
    <tableColumn id="2" xr3:uid="{5A660317-D8FC-4403-A1C3-D360B42D755F}" name="اسم المجموعة" dataDxfId="253"/>
  </tableColumns>
  <tableStyleInfo name="TableStyleDark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EA4BD9-A353-4AAC-BD85-8EB58CE6CC0C}" name="tableانواعالقوائم" displayName="tableانواعالقوائم" ref="U2:V4" totalsRowShown="0" headerRowDxfId="252" dataDxfId="251">
  <autoFilter ref="U2:V4" xr:uid="{AB0D673D-7C97-49EB-A470-BF816ECE0A44}"/>
  <tableColumns count="2">
    <tableColumn id="1" xr3:uid="{07B2B869-622A-46BF-A85F-B4B57FEF6C7C}" name="الكود" dataDxfId="250"/>
    <tableColumn id="2" xr3:uid="{A7E048A1-A542-49E2-86E5-D2E105020F7B}" name="اسم القائمة" dataDxfId="249"/>
  </tableColumns>
  <tableStyleInfo name="TableStyleDark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993D898-CAF0-4909-ACF5-5FC02EDD8811}" name="tableنوعالحسابالتحليلي" displayName="tableنوعالحسابالتحليلي" ref="AF2:AG8" totalsRowShown="0" headerRowDxfId="248" dataDxfId="247">
  <autoFilter ref="AF2:AG8" xr:uid="{FBBF0C13-9F0C-4677-9ACA-F560DF8AE83E}"/>
  <tableColumns count="2">
    <tableColumn id="1" xr3:uid="{84D6CE7E-C8C6-4085-AA67-A0D7F4E4D005}" name="رقم" dataDxfId="246"/>
    <tableColumn id="2" xr3:uid="{F5515E1B-53D1-4FAE-9652-003A406FD668}" name="الاسم" dataDxfId="245"/>
  </tableColumns>
  <tableStyleInfo name="TableStyleDark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85E9FA0-F7BF-45E0-A218-0D31E9B01D64}" name="TablekindAcc" displayName="TablekindAcc" ref="AK2:AL7" totalsRowShown="0" headerRowDxfId="244" dataDxfId="243">
  <autoFilter ref="AK2:AL7" xr:uid="{758951E7-ACE4-4A8E-862D-1CC4DFC6A6F5}"/>
  <tableColumns count="2">
    <tableColumn id="1" xr3:uid="{9934F81F-E662-4DDE-993A-FA5FD05D277A}" name="رقم المستوى" dataDxfId="242"/>
    <tableColumn id="2" xr3:uid="{13F245A8-A069-4065-AD38-EE86FA47CE1C}" name="اسم النوع" dataDxfId="241"/>
  </tableColumns>
  <tableStyleInfo name="TableStyleDark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EFAFF08-B774-4C79-8F66-F0F1C9A83639}" name="Tabledaily" displayName="Tabledaily" ref="A2:AA371" totalsRowShown="0" headerRowDxfId="240" dataDxfId="238" headerRowBorderDxfId="239" tableBorderDxfId="237">
  <autoFilter ref="A2:AA371" xr:uid="{6EFAFF08-B774-4C79-8F66-F0F1C9A8363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FF11BCE0-F912-4687-AF81-D95AC2064E54}" name="رقم القيد" dataDxfId="236">
      <calculatedColumnFormula>ROW()-2</calculatedColumnFormula>
    </tableColumn>
    <tableColumn id="2" xr3:uid="{8C798691-D574-4878-A420-61C8E9344864}" name="رقم العملية" dataDxfId="235"/>
    <tableColumn id="3" xr3:uid="{D76E2652-A215-4B98-A11A-2D23F181D237}" name="التاريخ" dataDxfId="234"/>
    <tableColumn id="6" xr3:uid="{D61B6AFC-BD61-411E-ABDF-31E8200D6DD1}" name="نوع العمليــة" dataDxfId="233"/>
    <tableColumn id="4" xr3:uid="{B206A47A-98B8-4D23-B549-FC8219C59BF0}" name="رقم الحساب" dataDxfId="232">
      <calculatedColumnFormula>IFERROR(INDEX(TableJudje[رقم الحساب],MATCH(Tabledaily[[#This Row],[الحســاب الدئـــن]],TableJudje[اسم الحساب],0)),0)</calculatedColumnFormula>
    </tableColumn>
    <tableColumn id="5" xr3:uid="{DA2530DE-6D7F-4770-BC69-125BC0058F0A}" name="الحســاب الدئـــن" dataDxfId="231"/>
    <tableColumn id="7" xr3:uid="{059FFE06-29E6-45FA-A051-E4FD77F6F7C2}" name="البيــــــــــــــــــــــــــــــــــــان" dataDxfId="230"/>
    <tableColumn id="8" xr3:uid="{E5412C34-1F2A-430B-A949-2C0924757332}" name="رقــم-الحســــــاب" dataDxfId="229">
      <calculatedColumnFormula>IFERROR(INDEX(TableJudje[رقم الحساب],MATCH(Tabledaily[[#This Row],[الحســاب المديــــن]],TableJudje[اسم الحساب],0)),0)</calculatedColumnFormula>
    </tableColumn>
    <tableColumn id="9" xr3:uid="{8A3E057E-0A41-4DAA-AE4B-FEBD37DD9912}" name="الحســاب المديــــن" dataDxfId="228"/>
    <tableColumn id="10" xr3:uid="{3AA4CFBA-1230-4B50-A527-EC64D3E31BFC}" name="العملـــة" dataDxfId="227"/>
    <tableColumn id="11" xr3:uid="{79A3722F-BE0D-46D1-85EB-05E2A37567BA}" name="المبلـــــــغ" dataDxfId="226"/>
    <tableColumn id="12" xr3:uid="{5080DC90-DB8F-4072-ACD2-69B440299D3B}" name="سعــــــر_x000a_الصـــــرف" dataDxfId="225"/>
    <tableColumn id="13" xr3:uid="{151D5D07-F1B3-4C7C-87D1-95ECB48B9357}" name="اجمــالــي المبلـــغ_x000a_بالعملــة المحليـــــة" dataDxfId="224">
      <calculatedColumnFormula>IFERROR(Tabledaily[[#This Row],[المبلـــــــغ]]/Tabledaily[[#This Row],[سعــــــر
الصـــــرف]],"")</calculatedColumnFormula>
    </tableColumn>
    <tableColumn id="14" xr3:uid="{FC681CB1-0668-4819-961A-04FD7244431A}" name="المستفيــــــــد" dataDxfId="223"/>
    <tableColumn id="21" xr3:uid="{8764AACA-939C-4864-9CE8-C1CEBD5AA1B6}" name="المــــرجـــــــــع" dataDxfId="222"/>
    <tableColumn id="15" xr3:uid="{63B433DB-08BB-4C14-9789-22C9101AF252}" name="اســـــــم المــــرجــــع" dataDxfId="221"/>
    <tableColumn id="22" xr3:uid="{44140820-3FE6-4D33-B02C-FA500792E14A}" name="رقم المـــــرجـــع" dataDxfId="220"/>
    <tableColumn id="16" xr3:uid="{6FA72889-45F5-4907-B1BD-BAB71C221BE1}" name="مركـــــــزالتكلفــــــة" dataDxfId="219"/>
    <tableColumn id="17" xr3:uid="{FF1B3623-C332-43C9-B805-D33A16027199}" name="رقم مركز التكلفة" dataDxfId="218">
      <calculatedColumnFormula>IFERROR(INDEX(tablecost[رقم المركز],MATCH(Tabledaily[[#This Row],[مركـــــــزالتكلفــــــة]],tablecost[الاسم],0)),0)</calculatedColumnFormula>
    </tableColumn>
    <tableColumn id="18" xr3:uid="{4AB69A21-5024-4E79-BAA3-001B5D9EBB57}" name="date" dataDxfId="217">
      <calculatedColumnFormula>DATE(Tabledaily[[#This Row],[السنــــة]],Tabledaily[[#This Row],[الشهــــر]],Tabledaily[[#This Row],[الـــــيوم]])</calculatedColumnFormula>
    </tableColumn>
    <tableColumn id="19" xr3:uid="{2A1D9C22-609E-4F95-BDAF-26AE5C649697}" name="تاريخ الإضافة" dataDxfId="216"/>
    <tableColumn id="20" xr3:uid="{F15327A0-85AD-44D9-949A-14285F176281}" name="جهة الامر" dataDxfId="215"/>
    <tableColumn id="23" xr3:uid="{71BC62E1-54D8-4C19-94C8-E4DA42485C1F}" name="السنــــة" dataDxfId="214">
      <calculatedColumnFormula>YEAR(Tabledaily[[#This Row],[التاريخ]])</calculatedColumnFormula>
    </tableColumn>
    <tableColumn id="25" xr3:uid="{6DDBA511-7EE4-4B11-AEDA-679B730E26E2}" name="الشهــــر" dataDxfId="213">
      <calculatedColumnFormula>MONTH(Tabledaily[[#This Row],[التاريخ]])</calculatedColumnFormula>
    </tableColumn>
    <tableColumn id="24" xr3:uid="{5C837202-8028-4D15-A6BE-AFE6F3CF3019}" name="الـــــيوم" dataDxfId="212">
      <calculatedColumnFormula>DAY(Tabledaily[[#This Row],[التاريخ]])</calculatedColumnFormula>
    </tableColumn>
    <tableColumn id="26" xr3:uid="{359D1B5C-ED4A-4432-B007-26FE5850927A}" name="المرجع البياني" dataDxfId="211">
      <calculatedColumnFormula>"قيـد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calculatedColumnFormula>
    </tableColumn>
    <tableColumn id="27" xr3:uid="{41C37000-A3C9-4DBC-A2A4-C1135ED91E77}" name="ترحيل للاستذ" dataDxfId="210">
      <calculatedColumnFormula>IF(COUNTIF(TableDailyJournal[رقم العملية],Tabledaily[[#This Row],[رقم العملية]])&gt;1,"مرحل","غير مرحل")</calculatedColumnFormula>
    </tableColumn>
  </tableColumns>
  <tableStyleInfo name="TableStyleDark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F271F92-B7B5-49CE-A489-4688484FD212}" name="TableDailyJournal" displayName="TableDailyJournal" ref="B3:AB737" totalsRowShown="0" headerRowDxfId="205" dataDxfId="203" headerRowBorderDxfId="204" tableBorderDxfId="202">
  <autoFilter ref="B3:AB737" xr:uid="{5CDC23FA-DCDC-478D-985F-661F1B3D435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761A513D-B3C7-4277-903D-A5C3893F1C22}" name="رقم القيد" dataDxfId="201">
      <calculatedColumnFormula>ROW()-4</calculatedColumnFormula>
    </tableColumn>
    <tableColumn id="2" xr3:uid="{6E76E6B0-A42E-4DA5-8D25-87FE41D63C6D}" name="رقم العملية" dataDxfId="200"/>
    <tableColumn id="18" xr3:uid="{FE02C319-1D67-4E9A-BBE4-B57DB55135A0}" name="التاريخ" dataDxfId="199">
      <calculatedColumnFormula>INDEX(Tabledaily[date],MATCH(TableDailyJournal[[#This Row],[رقم العملية]],Tabledaily[رقم العملية],0))</calculatedColumnFormula>
    </tableColumn>
    <tableColumn id="4" xr3:uid="{5C850443-5BED-4461-B681-1E5FE9F2C9E8}" name="نوع العمليــة" dataDxfId="198">
      <calculatedColumnFormula>INDEX(Tabledaily[نوع العمليــة],MATCH(TableDailyJournal[[#This Row],[رقم العملية]],Tabledaily[رقم العملية],0))</calculatedColumnFormula>
    </tableColumn>
    <tableColumn id="5" xr3:uid="{AA0411E9-D161-48CA-BD22-22D12F664AC6}" name="رقم الحساب" dataDxfId="197">
      <calculatedColumnFormula>IFERROR(INDEX(TableJudje[رقم الحساب],MATCH(TableDailyJournal[[#This Row],[الحساب]],TableJudje[اسم الحساب],0)),0)</calculatedColumnFormula>
    </tableColumn>
    <tableColumn id="6" xr3:uid="{6E0466B8-1E36-4B37-B8F7-D3AE705849A8}" name="الحساب" dataDxfId="196"/>
    <tableColumn id="24" xr3:uid="{50DA1E18-B3D8-4004-9821-6E307A287E23}" name="البيــــــــــــــــــــــــــــــــــــــــــــــــــــــــــــان" dataDxfId="195">
      <calculatedColumnFormula>INDEX(Tabledaily[المرجع البياني],MATCH(TableDailyJournal[[#This Row],[رقم العملية]],Tabledaily[رقم العملية],0))</calculatedColumnFormula>
    </tableColumn>
    <tableColumn id="8" xr3:uid="{B428F2F0-64DD-4CB2-A852-EDEFC44A65A6}" name="العملـــة" dataDxfId="194">
      <calculatedColumnFormula>INDEX(Tabledaily[العملـــة],MATCH(TableDailyJournal[[#This Row],[رقم العملية]],Tabledaily[رقم العملية],0))</calculatedColumnFormula>
    </tableColumn>
    <tableColumn id="10" xr3:uid="{A3477EF6-C0C4-4D4F-9764-1F69DD94DA08}" name="سعــــــر_x000a_الصـــــرف" dataDxfId="193">
      <calculatedColumnFormula>IFERROR(INDEX(Tabledaily[سعــــــر
الصـــــرف],MATCH(C4,Tabledaily[رقم العملية],0)),1)</calculatedColumnFormula>
    </tableColumn>
    <tableColumn id="25" xr3:uid="{9765C071-49C5-460F-8F9E-13A6A3606CAD}" name="المبلغ مدين" dataDxfId="192">
      <calculatedColumnFormula array="1">IFERROR(INDEX(Tabledaily[المبلـــــــغ],MATCH(1,(TableDailyJournal[[#This Row],[رقم العملية]]=Tabledaily[رقم العملية])*(TableDailyJournal[[#This Row],[الحساب]]=Tabledaily[الحســاب المديــــن]),0)),0)</calculatedColumnFormula>
    </tableColumn>
    <tableColumn id="11" xr3:uid="{81266082-F647-47BD-A2B3-3689E98328C8}" name="المبلغ دائن" dataDxfId="191">
      <calculatedColumnFormula array="1">IFERROR(INDEX(Tabledaily[المبلـــــــغ],MATCH(1,(TableDailyJournal[[#This Row],[رقم العملية]]=Tabledaily[رقم العملية])*(TableDailyJournal[[#This Row],[الحساب]]=Tabledaily[الحســاب الدئـــن]),0)),0)</calculatedColumnFormula>
    </tableColumn>
    <tableColumn id="27" xr3:uid="{5A4E0C71-45D7-4725-95F1-6F28452BF9C0}" name="اجمالي مدين ريال سعودي" dataDxfId="190">
      <calculatedColumnFormula>IFERROR(TableDailyJournal[[#This Row],[المبلغ مدين]]/TableDailyJournal[[#This Row],[سعــــــر
الصـــــرف]],0)</calculatedColumnFormula>
    </tableColumn>
    <tableColumn id="26" xr3:uid="{03659C32-8ED2-4CF9-8946-8F5EA71F6CAE}" name="اجمالي دائن ريال سعودي" dataDxfId="189">
      <calculatedColumnFormula>IFERROR(TableDailyJournal[[#This Row],[المبلغ دائن]]/TableDailyJournal[[#This Row],[سعــــــر
الصـــــرف]],0)</calculatedColumnFormula>
    </tableColumn>
    <tableColumn id="12" xr3:uid="{3C43225A-EA81-49C7-9AC6-CD44EB139867}" name="المستفيــــــــد" dataDxfId="188">
      <calculatedColumnFormula>INDEX(Tabledaily[المستفيــــــــد],MATCH(TableDailyJournal[[#This Row],[رقم العملية]],Tabledaily[رقم العملية],0))</calculatedColumnFormula>
    </tableColumn>
    <tableColumn id="13" xr3:uid="{78318F46-EF79-4DF4-B094-76637CFC6FA5}" name="المــــرجـــــــــع" dataDxfId="187">
      <calculatedColumnFormula>INDEX(Tabledaily[المــــرجـــــــــع],MATCH(TableDailyJournal[[#This Row],[رقم العملية]],Tabledaily[رقم العملية],0))</calculatedColumnFormula>
    </tableColumn>
    <tableColumn id="14" xr3:uid="{8F0E6875-DFD5-4458-ABAB-61E510681481}" name="اســـــــم المــــرجــــع" dataDxfId="186">
      <calculatedColumnFormula>INDEX(Tabledaily[اســـــــم المــــرجــــع],MATCH(TableDailyJournal[[#This Row],[رقم العملية]],Tabledaily[رقم العملية],0))</calculatedColumnFormula>
    </tableColumn>
    <tableColumn id="15" xr3:uid="{8C2D263F-9161-490E-AC04-43A426B6DAD7}" name="رقم المـــــرجـــع" dataDxfId="185">
      <calculatedColumnFormula>INDEX(Tabledaily[رقم المـــــرجـــع],MATCH(TableDailyJournal[[#This Row],[رقم العملية]],Tabledaily[رقم العملية],0))</calculatedColumnFormula>
    </tableColumn>
    <tableColumn id="16" xr3:uid="{99D2D098-5AE6-4674-880A-ED8ACF53C41F}" name="مركـــــــزالتكلفــــــة" dataDxfId="184">
      <calculatedColumnFormula>INDEX(Tabledaily[مركـــــــزالتكلفــــــة],MATCH(TableDailyJournal[[#This Row],[رقم العملية]],Tabledaily[رقم العملية],0))</calculatedColumnFormula>
    </tableColumn>
    <tableColumn id="17" xr3:uid="{1F34FE8D-AC35-40D8-8E44-262CCEDA6D95}" name="رقم مركز التكلفة" dataDxfId="183">
      <calculatedColumnFormula>IFERROR(INDEX(tablecost[رقم المركز],MATCH(TableDailyJournal[[#This Row],[مركـــــــزالتكلفــــــة]],tablecost[الاسم],0)),0)</calculatedColumnFormula>
    </tableColumn>
    <tableColumn id="3" xr3:uid="{D7DDE5C6-1E2A-4B2D-ABE3-83B6A47FB929}" name="التاريخ." dataDxfId="182">
      <calculatedColumnFormula>IFERROR(DATE(TableDailyJournal[[#This Row],[السنــــة]],TableDailyJournal[[#This Row],[الشهــــر]],TableDailyJournal[[#This Row],[الـــــيوم]]),"01-01-2026")</calculatedColumnFormula>
    </tableColumn>
    <tableColumn id="19" xr3:uid="{A0891E05-2466-42BC-BE4D-ED6D76D308FE}" name="تاريخ الإضافة" dataDxfId="181"/>
    <tableColumn id="20" xr3:uid="{C9880145-73DE-4D2C-8BF1-88F7CF050311}" name="تاريخ التعديل" dataDxfId="180"/>
    <tableColumn id="21" xr3:uid="{9562F3A2-3486-4B34-B627-61BE09A7C1D9}" name="السنــــة" dataDxfId="179">
      <calculatedColumnFormula>IFERROR(YEAR(TableDailyJournal[[#This Row],[التاريخ]]),"")</calculatedColumnFormula>
    </tableColumn>
    <tableColumn id="22" xr3:uid="{9A623250-820F-4E1D-AA29-BE7D484B0438}" name="الشهــــر" dataDxfId="178">
      <calculatedColumnFormula>IFERROR(MONTH(TableDailyJournal[[#This Row],[التاريخ]]),"")</calculatedColumnFormula>
    </tableColumn>
    <tableColumn id="23" xr3:uid="{F4A0DD09-6A5E-4ECD-83C3-D572F7CC780A}" name="الـــــيوم" dataDxfId="177">
      <calculatedColumnFormula>IFERROR(DAY(TableDailyJournal[[#This Row],[التاريخ]]),"")</calculatedColumnFormula>
    </tableColumn>
    <tableColumn id="7" xr3:uid="{3508AE0F-0D36-41C4-BBBD-CC10E088BB5D}" name="البيــــــــــــــــــــــــــــــــــــان." dataDxfId="176">
      <calculatedColumnFormula>INDEX(Tabledaily[المرجع البياني],MATCH(TableDailyJournal[[#This Row],[رقم العملية]],Tabledaily[رقم العملية],0))</calculatedColumnFormula>
    </tableColumn>
    <tableColumn id="9" xr3:uid="{9B9BE5FC-FFA4-49F9-B26B-276E67E2B8E0}" name="جهة الامر" dataDxfId="175">
      <calculatedColumnFormula>INDEX(Tabledaily[جهة الامر],MATCH(TableDailyJournal[[#This Row],[رقم العملية]],Tabledaily[رقم العملية],0))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 /><Relationship Id="rId1" Type="http://schemas.openxmlformats.org/officeDocument/2006/relationships/drawing" Target="../drawings/drawing2.xml" /></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 /><Relationship Id="rId3" Type="http://schemas.openxmlformats.org/officeDocument/2006/relationships/table" Target="../tables/table2.xml" /><Relationship Id="rId7" Type="http://schemas.openxmlformats.org/officeDocument/2006/relationships/table" Target="../tables/table6.xml" /><Relationship Id="rId2" Type="http://schemas.openxmlformats.org/officeDocument/2006/relationships/drawing" Target="../drawings/drawing3.xml" /><Relationship Id="rId1" Type="http://schemas.openxmlformats.org/officeDocument/2006/relationships/printerSettings" Target="../printerSettings/printerSettings2.bin" /><Relationship Id="rId6" Type="http://schemas.openxmlformats.org/officeDocument/2006/relationships/table" Target="../tables/table5.xml" /><Relationship Id="rId5" Type="http://schemas.openxmlformats.org/officeDocument/2006/relationships/table" Target="../tables/table4.xml" /><Relationship Id="rId10" Type="http://schemas.openxmlformats.org/officeDocument/2006/relationships/table" Target="../tables/table9.xml" /><Relationship Id="rId4" Type="http://schemas.openxmlformats.org/officeDocument/2006/relationships/table" Target="../tables/table3.xml" /><Relationship Id="rId9" Type="http://schemas.openxmlformats.org/officeDocument/2006/relationships/table" Target="../tables/table8.xml" /></Relationships>
</file>

<file path=xl/worksheets/_rels/sheet4.xml.rels><?xml version="1.0" encoding="UTF-8" standalone="yes"?>
<Relationships xmlns="http://schemas.openxmlformats.org/package/2006/relationships"><Relationship Id="rId2" Type="http://schemas.openxmlformats.org/officeDocument/2006/relationships/table" Target="../tables/table10.xml" /><Relationship Id="rId1" Type="http://schemas.openxmlformats.org/officeDocument/2006/relationships/printerSettings" Target="../printerSettings/printerSettings3.bin" /></Relationships>
</file>

<file path=xl/worksheets/_rels/sheet5.xml.rels><?xml version="1.0" encoding="UTF-8" standalone="yes"?>
<Relationships xmlns="http://schemas.openxmlformats.org/package/2006/relationships"><Relationship Id="rId3" Type="http://schemas.microsoft.com/office/2007/relationships/slicer" Target="../slicers/slicer1.xml" /><Relationship Id="rId2" Type="http://schemas.openxmlformats.org/officeDocument/2006/relationships/drawing" Target="../drawings/drawing4.xml" /><Relationship Id="rId1" Type="http://schemas.openxmlformats.org/officeDocument/2006/relationships/pivotTable" Target="../pivotTables/pivotTable1.xml" /></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 /><Relationship Id="rId1" Type="http://schemas.openxmlformats.org/officeDocument/2006/relationships/pivotTable" Target="../pivotTables/pivotTable2.xml" /></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 /></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 /><Relationship Id="rId1" Type="http://schemas.openxmlformats.org/officeDocument/2006/relationships/printerSettings" Target="../printerSettings/printerSettings5.bin" /></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 /><Relationship Id="rId2" Type="http://schemas.openxmlformats.org/officeDocument/2006/relationships/printerSettings" Target="../printerSettings/printerSettings6.bin" /><Relationship Id="rId1" Type="http://schemas.openxmlformats.org/officeDocument/2006/relationships/pivotTable" Target="../pivotTables/pivotTable4.xml" /><Relationship Id="rId4" Type="http://schemas.microsoft.com/office/2007/relationships/slicer" Target="../slicers/slicer2.xml" /></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 /><Relationship Id="rId1" Type="http://schemas.openxmlformats.org/officeDocument/2006/relationships/printerSettings" Target="../printerSettings/printerSettings7.bin" /></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 /><Relationship Id="rId2" Type="http://schemas.openxmlformats.org/officeDocument/2006/relationships/printerSettings" Target="../printerSettings/printerSettings8.bin" /><Relationship Id="rId1" Type="http://schemas.openxmlformats.org/officeDocument/2006/relationships/pivotTable" Target="../pivotTables/pivotTable5.xml" /><Relationship Id="rId4" Type="http://schemas.microsoft.com/office/2007/relationships/slicer" Target="../slicers/slicer3.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925E7-3371-4181-BB00-488BD300C1FE}">
  <sheetPr codeName="Home"/>
  <dimension ref="A1:W28"/>
  <sheetViews>
    <sheetView showGridLines="0" showRowColHeaders="0" rightToLeft="1" zoomScale="103" zoomScaleNormal="70" zoomScaleSheetLayoutView="85" workbookViewId="0"/>
  </sheetViews>
  <sheetFormatPr defaultColWidth="0" defaultRowHeight="13.5" x14ac:dyDescent="0.15"/>
  <cols>
    <col min="1" max="6" width="9.78125" style="110" customWidth="1"/>
    <col min="7" max="7" width="22.6015625" style="110" customWidth="1"/>
    <col min="8" max="22" width="9.78125" style="110" customWidth="1"/>
    <col min="23" max="23" width="1.5859375" style="110" customWidth="1"/>
    <col min="24" max="16384" width="9.78125" style="110" hidden="1"/>
  </cols>
  <sheetData>
    <row r="1" spans="2:10" ht="4.5" customHeight="1" x14ac:dyDescent="0.15"/>
    <row r="2" spans="2:10" ht="1.5" customHeight="1" x14ac:dyDescent="0.15"/>
    <row r="3" spans="2:10" ht="27.75" x14ac:dyDescent="0.3">
      <c r="B3" s="111"/>
      <c r="J3" s="112" t="s">
        <v>437</v>
      </c>
    </row>
    <row r="28" spans="11:11" x14ac:dyDescent="0.15">
      <c r="K28" s="110" t="s">
        <v>438</v>
      </c>
    </row>
  </sheetData>
  <pageMargins left="0.7" right="0.7" top="0.75" bottom="0.75" header="0.3" footer="0.3"/>
  <pageSetup scale="53" orientation="landscape"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105FF-E22C-45AF-9C87-11017596928B}">
  <sheetPr codeName="ورقة2"/>
  <dimension ref="A1:Q196"/>
  <sheetViews>
    <sheetView rightToLeft="1" topLeftCell="A181" zoomScale="135" workbookViewId="0">
      <selection activeCell="C191" sqref="C191"/>
    </sheetView>
  </sheetViews>
  <sheetFormatPr defaultRowHeight="22.5" x14ac:dyDescent="0.5"/>
  <cols>
    <col min="1" max="1" width="6.4765625" bestFit="1" customWidth="1"/>
    <col min="2" max="2" width="21.80859375" customWidth="1"/>
    <col min="3" max="3" width="34.76171875" bestFit="1" customWidth="1"/>
    <col min="4" max="4" width="17.7109375" bestFit="1" customWidth="1"/>
    <col min="5" max="5" width="11.5" bestFit="1" customWidth="1"/>
    <col min="6" max="6" width="9.1171875" bestFit="1" customWidth="1"/>
    <col min="7" max="7" width="13.48046875" bestFit="1" customWidth="1"/>
    <col min="8" max="8" width="18.50390625" bestFit="1" customWidth="1"/>
    <col min="9" max="9" width="16.65234375" bestFit="1" customWidth="1"/>
    <col min="10" max="10" width="20.8828125" bestFit="1" customWidth="1"/>
    <col min="11" max="11" width="15.46484375" bestFit="1" customWidth="1"/>
    <col min="12" max="12" width="17.84375" bestFit="1" customWidth="1"/>
    <col min="13" max="13" width="28.55078125" bestFit="1" customWidth="1"/>
    <col min="14" max="14" width="15.7265625" bestFit="1" customWidth="1"/>
    <col min="15" max="15" width="18.109375" bestFit="1" customWidth="1"/>
    <col min="16" max="16" width="28.55078125" bestFit="1" customWidth="1"/>
    <col min="17" max="17" width="11.234375" bestFit="1" customWidth="1"/>
  </cols>
  <sheetData>
    <row r="1" spans="1:17" ht="90" customHeight="1" x14ac:dyDescent="0.5"/>
    <row r="2" spans="1:17" x14ac:dyDescent="0.5">
      <c r="A2" s="1" t="s">
        <v>0</v>
      </c>
      <c r="B2" s="1" t="s">
        <v>1</v>
      </c>
      <c r="C2" s="1" t="s">
        <v>2</v>
      </c>
      <c r="D2" s="1" t="s">
        <v>3</v>
      </c>
      <c r="E2" s="1" t="s">
        <v>4</v>
      </c>
      <c r="F2" s="1" t="s">
        <v>5</v>
      </c>
      <c r="G2" s="1" t="s">
        <v>6</v>
      </c>
      <c r="H2" s="1" t="s">
        <v>7</v>
      </c>
      <c r="I2" s="1" t="s">
        <v>8</v>
      </c>
      <c r="J2" s="1" t="s">
        <v>9</v>
      </c>
      <c r="K2" s="1" t="s">
        <v>10</v>
      </c>
      <c r="L2" s="1" t="s">
        <v>11</v>
      </c>
      <c r="M2" s="1" t="s">
        <v>12</v>
      </c>
      <c r="N2" s="1" t="s">
        <v>13</v>
      </c>
      <c r="O2" s="1" t="s">
        <v>14</v>
      </c>
      <c r="P2" s="1" t="s">
        <v>15</v>
      </c>
      <c r="Q2" s="1" t="s">
        <v>16</v>
      </c>
    </row>
    <row r="3" spans="1:17" x14ac:dyDescent="0.5">
      <c r="A3" s="2">
        <f>ROW()</f>
        <v>3</v>
      </c>
      <c r="B3" s="2">
        <v>1</v>
      </c>
      <c r="C3" s="2" t="s">
        <v>165</v>
      </c>
      <c r="D3" s="2">
        <v>0</v>
      </c>
      <c r="E3" s="2">
        <v>1</v>
      </c>
      <c r="F3" s="2" t="s">
        <v>166</v>
      </c>
      <c r="G3" s="2" t="s">
        <v>19</v>
      </c>
      <c r="H3" s="3"/>
      <c r="I3" s="2" t="s">
        <v>20</v>
      </c>
      <c r="J3" s="2"/>
      <c r="K3" s="2" t="s">
        <v>21</v>
      </c>
      <c r="L3" s="2"/>
      <c r="M3" s="2" t="str">
        <f>IF(TableJudje[[#This Row],[الحساب الرئيسي]]=0,"اجمالي",INDEX(TableJudje[اسم الحساب],MATCH(TableJudje[[#This Row],[الحساب الرئيسي]],TableJudje[رقم الحساب],0)))</f>
        <v>اجمالي</v>
      </c>
      <c r="N3" s="2" t="str">
        <f>IF(TableJudje[[#This Row],[المستوى]]&gt;2,INDEX(TableJudje[اسم الحساب],MATCH(VALUE(LEFT(TableJudje[[#This Row],[الحساب الرئيسي]],2)),TableJudje[رقم الحساب],0)),"")</f>
        <v/>
      </c>
      <c r="O3" s="2" t="str">
        <f>IF(TableJudje[[#This Row],[المستوى]]&gt;3,INDEX(TableJudje[اسم الحساب],MATCH(VALUE(LEFT(TableJudje[[#This Row],[الحساب الرئيسي]],4)),TableJudje[رقم الحساب],0)),"")</f>
        <v/>
      </c>
      <c r="P3" s="2" t="str">
        <f>IF(TableJudje[[#This Row],[المستوى]]&gt;4,INDEX(TableJudje[اسم الحساب],MATCH(VALUE(LEFT(TableJudje[[#This Row],[الحساب الرئيسي]],6)),TableJudje[رقم الحساب],0)),"")</f>
        <v/>
      </c>
      <c r="Q3" s="2" t="str">
        <f>IF(TableJudje[[#This Row],[المستوى]]&gt;1,INDEX(TableJudje[اسم الحساب],MATCH(VALUE(LEFT(TableJudje[[#This Row],[الحساب الرئيسي]],1)),TableJudje[رقم الحساب],0)),"")</f>
        <v/>
      </c>
    </row>
    <row r="4" spans="1:17" x14ac:dyDescent="0.5">
      <c r="A4" s="2">
        <f>ROW()</f>
        <v>4</v>
      </c>
      <c r="B4" s="2">
        <v>2</v>
      </c>
      <c r="C4" s="2" t="s">
        <v>167</v>
      </c>
      <c r="D4" s="2">
        <v>0</v>
      </c>
      <c r="E4" s="2">
        <v>1</v>
      </c>
      <c r="F4" s="2" t="s">
        <v>166</v>
      </c>
      <c r="G4" s="2" t="s">
        <v>19</v>
      </c>
      <c r="H4" s="3"/>
      <c r="I4" s="2" t="s">
        <v>85</v>
      </c>
      <c r="J4" s="2"/>
      <c r="K4" s="2" t="s">
        <v>21</v>
      </c>
      <c r="L4" s="2"/>
      <c r="M4" s="2" t="str">
        <f>IF(TableJudje[[#This Row],[الحساب الرئيسي]]=0,"اجمالي",INDEX(TableJudje[اسم الحساب],MATCH(TableJudje[[#This Row],[الحساب الرئيسي]],TableJudje[رقم الحساب],0)))</f>
        <v>اجمالي</v>
      </c>
      <c r="N4" s="2" t="str">
        <f>IF(TableJudje[[#This Row],[المستوى]]&gt;2,INDEX(TableJudje[اسم الحساب],MATCH(VALUE(LEFT(TableJudje[[#This Row],[الحساب الرئيسي]],2)),TableJudje[رقم الحساب],0)),"")</f>
        <v/>
      </c>
      <c r="O4" s="2" t="str">
        <f>IF(TableJudje[[#This Row],[المستوى]]&gt;3,INDEX(TableJudje[اسم الحساب],MATCH(VALUE(LEFT(TableJudje[[#This Row],[الحساب الرئيسي]],4)),TableJudje[رقم الحساب],0)),"")</f>
        <v/>
      </c>
      <c r="P4" s="2" t="str">
        <f>IF(TableJudje[[#This Row],[المستوى]]&gt;4,INDEX(TableJudje[اسم الحساب],MATCH(VALUE(LEFT(TableJudje[[#This Row],[الحساب الرئيسي]],6)),TableJudje[رقم الحساب],0)),"")</f>
        <v/>
      </c>
      <c r="Q4" s="2" t="str">
        <f>IF(TableJudje[[#This Row],[المستوى]]&gt;1,INDEX(TableJudje[اسم الحساب],MATCH(VALUE(LEFT(TableJudje[[#This Row],[الحساب الرئيسي]],1)),TableJudje[رقم الحساب],0)),"")</f>
        <v/>
      </c>
    </row>
    <row r="5" spans="1:17" x14ac:dyDescent="0.5">
      <c r="A5" s="2">
        <f>ROW()</f>
        <v>5</v>
      </c>
      <c r="B5" s="2">
        <v>3</v>
      </c>
      <c r="C5" s="2" t="s">
        <v>168</v>
      </c>
      <c r="D5" s="2">
        <v>0</v>
      </c>
      <c r="E5" s="2">
        <v>1</v>
      </c>
      <c r="F5" s="2" t="s">
        <v>166</v>
      </c>
      <c r="G5" s="2" t="s">
        <v>110</v>
      </c>
      <c r="H5" s="3"/>
      <c r="I5" s="2" t="s">
        <v>20</v>
      </c>
      <c r="J5" s="2"/>
      <c r="K5" s="2" t="s">
        <v>21</v>
      </c>
      <c r="L5" s="2"/>
      <c r="M5" s="2" t="str">
        <f>IF(TableJudje[[#This Row],[الحساب الرئيسي]]=0,"اجمالي",INDEX(TableJudje[اسم الحساب],MATCH(TableJudje[[#This Row],[الحساب الرئيسي]],TableJudje[رقم الحساب],0)))</f>
        <v>اجمالي</v>
      </c>
      <c r="N5" s="2" t="str">
        <f>IF(TableJudje[[#This Row],[المستوى]]&gt;2,INDEX(TableJudje[اسم الحساب],MATCH(VALUE(LEFT(TableJudje[[#This Row],[الحساب الرئيسي]],2)),TableJudje[رقم الحساب],0)),"")</f>
        <v/>
      </c>
      <c r="O5" s="2" t="str">
        <f>IF(TableJudje[[#This Row],[المستوى]]&gt;3,INDEX(TableJudje[اسم الحساب],MATCH(VALUE(LEFT(TableJudje[[#This Row],[الحساب الرئيسي]],4)),TableJudje[رقم الحساب],0)),"")</f>
        <v/>
      </c>
      <c r="P5" s="2" t="str">
        <f>IF(TableJudje[[#This Row],[المستوى]]&gt;4,INDEX(TableJudje[اسم الحساب],MATCH(VALUE(LEFT(TableJudje[[#This Row],[الحساب الرئيسي]],6)),TableJudje[رقم الحساب],0)),"")</f>
        <v/>
      </c>
      <c r="Q5" s="2" t="str">
        <f>IF(TableJudje[[#This Row],[المستوى]]&gt;1,INDEX(TableJudje[اسم الحساب],MATCH(VALUE(LEFT(TableJudje[[#This Row],[الحساب الرئيسي]],1)),TableJudje[رقم الحساب],0)),"")</f>
        <v/>
      </c>
    </row>
    <row r="6" spans="1:17" x14ac:dyDescent="0.5">
      <c r="A6" s="2">
        <f>ROW()</f>
        <v>6</v>
      </c>
      <c r="B6" s="2">
        <v>4</v>
      </c>
      <c r="C6" s="2" t="s">
        <v>169</v>
      </c>
      <c r="D6" s="2">
        <v>0</v>
      </c>
      <c r="E6" s="2">
        <v>1</v>
      </c>
      <c r="F6" s="2" t="s">
        <v>166</v>
      </c>
      <c r="G6" s="2" t="s">
        <v>110</v>
      </c>
      <c r="H6" s="3"/>
      <c r="I6" s="2" t="s">
        <v>85</v>
      </c>
      <c r="J6" s="2"/>
      <c r="K6" s="2" t="s">
        <v>21</v>
      </c>
      <c r="L6" s="2"/>
      <c r="M6" s="2" t="str">
        <f>IF(TableJudje[[#This Row],[الحساب الرئيسي]]=0,"اجمالي",INDEX(TableJudje[اسم الحساب],MATCH(TableJudje[[#This Row],[الحساب الرئيسي]],TableJudje[رقم الحساب],0)))</f>
        <v>اجمالي</v>
      </c>
      <c r="N6" s="2" t="str">
        <f>IF(TableJudje[[#This Row],[المستوى]]&gt;2,INDEX(TableJudje[اسم الحساب],MATCH(VALUE(LEFT(TableJudje[[#This Row],[الحساب الرئيسي]],2)),TableJudje[رقم الحساب],0)),"")</f>
        <v/>
      </c>
      <c r="O6" s="2" t="str">
        <f>IF(TableJudje[[#This Row],[المستوى]]&gt;3,INDEX(TableJudje[اسم الحساب],MATCH(VALUE(LEFT(TableJudje[[#This Row],[الحساب الرئيسي]],4)),TableJudje[رقم الحساب],0)),"")</f>
        <v/>
      </c>
      <c r="P6" s="2" t="str">
        <f>IF(TableJudje[[#This Row],[المستوى]]&gt;4,INDEX(TableJudje[اسم الحساب],MATCH(VALUE(LEFT(TableJudje[[#This Row],[الحساب الرئيسي]],6)),TableJudje[رقم الحساب],0)),"")</f>
        <v/>
      </c>
      <c r="Q6" s="2" t="str">
        <f>IF(TableJudje[[#This Row],[المستوى]]&gt;1,INDEX(TableJudje[اسم الحساب],MATCH(VALUE(LEFT(TableJudje[[#This Row],[الحساب الرئيسي]],1)),TableJudje[رقم الحساب],0)),"")</f>
        <v/>
      </c>
    </row>
    <row r="7" spans="1:17" x14ac:dyDescent="0.5">
      <c r="A7" s="2">
        <f>ROW()</f>
        <v>7</v>
      </c>
      <c r="B7" s="2">
        <v>11</v>
      </c>
      <c r="C7" s="2" t="s">
        <v>170</v>
      </c>
      <c r="D7" s="2">
        <v>1</v>
      </c>
      <c r="E7" s="2">
        <v>2</v>
      </c>
      <c r="F7" s="2" t="s">
        <v>45</v>
      </c>
      <c r="G7" s="2" t="s">
        <v>19</v>
      </c>
      <c r="H7" s="3"/>
      <c r="I7" s="2" t="s">
        <v>20</v>
      </c>
      <c r="J7" s="2"/>
      <c r="K7" s="2" t="s">
        <v>21</v>
      </c>
      <c r="L7" s="2"/>
      <c r="M7" s="2" t="str">
        <f>IF(TableJudje[[#This Row],[الحساب الرئيسي]]=0,"اجمالي",INDEX(TableJudje[اسم الحساب],MATCH(TableJudje[[#This Row],[الحساب الرئيسي]],TableJudje[رقم الحساب],0)))</f>
        <v>الاصول</v>
      </c>
      <c r="N7" s="2" t="str">
        <f>IF(TableJudje[[#This Row],[المستوى]]&gt;2,INDEX(TableJudje[اسم الحساب],MATCH(VALUE(LEFT(TableJudje[[#This Row],[الحساب الرئيسي]],2)),TableJudje[رقم الحساب],0)),"")</f>
        <v/>
      </c>
      <c r="O7" s="2" t="str">
        <f>IF(TableJudje[[#This Row],[المستوى]]&gt;3,INDEX(TableJudje[اسم الحساب],MATCH(VALUE(LEFT(TableJudje[[#This Row],[الحساب الرئيسي]],4)),TableJudje[رقم الحساب],0)),"")</f>
        <v/>
      </c>
      <c r="P7" s="2" t="str">
        <f>IF(TableJudje[[#This Row],[المستوى]]&gt;4,INDEX(TableJudje[اسم الحساب],MATCH(VALUE(LEFT(TableJudje[[#This Row],[الحساب الرئيسي]],6)),TableJudje[رقم الحساب],0)),"")</f>
        <v/>
      </c>
      <c r="Q7" s="2" t="str">
        <f>IF(TableJudje[[#This Row],[المستوى]]&gt;1,INDEX(TableJudje[اسم الحساب],MATCH(VALUE(LEFT(TableJudje[[#This Row],[الحساب الرئيسي]],1)),TableJudje[رقم الحساب],0)),"")</f>
        <v>الاصول</v>
      </c>
    </row>
    <row r="8" spans="1:17" x14ac:dyDescent="0.5">
      <c r="A8" s="2">
        <f>ROW()</f>
        <v>8</v>
      </c>
      <c r="B8" s="2">
        <v>12</v>
      </c>
      <c r="C8" s="2" t="s">
        <v>171</v>
      </c>
      <c r="D8" s="2">
        <v>1</v>
      </c>
      <c r="E8" s="2">
        <v>2</v>
      </c>
      <c r="F8" s="2" t="s">
        <v>45</v>
      </c>
      <c r="G8" s="2" t="s">
        <v>19</v>
      </c>
      <c r="H8" s="3"/>
      <c r="I8" s="2" t="s">
        <v>20</v>
      </c>
      <c r="J8" s="2"/>
      <c r="K8" s="2" t="s">
        <v>21</v>
      </c>
      <c r="L8" s="2"/>
      <c r="M8" s="2" t="str">
        <f>IF(TableJudje[[#This Row],[الحساب الرئيسي]]=0,"اجمالي",INDEX(TableJudje[اسم الحساب],MATCH(TableJudje[[#This Row],[الحساب الرئيسي]],TableJudje[رقم الحساب],0)))</f>
        <v>الاصول</v>
      </c>
      <c r="N8" s="2" t="str">
        <f>IF(TableJudje[[#This Row],[المستوى]]&gt;2,INDEX(TableJudje[اسم الحساب],MATCH(VALUE(LEFT(TableJudje[[#This Row],[الحساب الرئيسي]],2)),TableJudje[رقم الحساب],0)),"")</f>
        <v/>
      </c>
      <c r="O8" s="2" t="str">
        <f>IF(TableJudje[[#This Row],[المستوى]]&gt;3,INDEX(TableJudje[اسم الحساب],MATCH(VALUE(LEFT(TableJudje[[#This Row],[الحساب الرئيسي]],4)),TableJudje[رقم الحساب],0)),"")</f>
        <v/>
      </c>
      <c r="P8" s="2" t="str">
        <f>IF(TableJudje[[#This Row],[المستوى]]&gt;4,INDEX(TableJudje[اسم الحساب],MATCH(VALUE(LEFT(TableJudje[[#This Row],[الحساب الرئيسي]],6)),TableJudje[رقم الحساب],0)),"")</f>
        <v/>
      </c>
      <c r="Q8" s="2" t="str">
        <f>IF(TableJudje[[#This Row],[المستوى]]&gt;1,INDEX(TableJudje[اسم الحساب],MATCH(VALUE(LEFT(TableJudje[[#This Row],[الحساب الرئيسي]],1)),TableJudje[رقم الحساب],0)),"")</f>
        <v>الاصول</v>
      </c>
    </row>
    <row r="9" spans="1:17" x14ac:dyDescent="0.5">
      <c r="A9" s="2">
        <f>ROW()</f>
        <v>9</v>
      </c>
      <c r="B9" s="2">
        <v>21</v>
      </c>
      <c r="C9" s="2" t="s">
        <v>172</v>
      </c>
      <c r="D9" s="2">
        <v>2</v>
      </c>
      <c r="E9" s="2">
        <v>2</v>
      </c>
      <c r="F9" s="2" t="s">
        <v>45</v>
      </c>
      <c r="G9" s="2" t="s">
        <v>19</v>
      </c>
      <c r="H9" s="3"/>
      <c r="I9" s="2" t="s">
        <v>85</v>
      </c>
      <c r="J9" s="2"/>
      <c r="K9" s="2" t="s">
        <v>21</v>
      </c>
      <c r="L9" s="2"/>
      <c r="M9" s="2" t="str">
        <f>IF(TableJudje[[#This Row],[الحساب الرئيسي]]=0,"اجمالي",INDEX(TableJudje[اسم الحساب],MATCH(TableJudje[[#This Row],[الحساب الرئيسي]],TableJudje[رقم الحساب],0)))</f>
        <v>الخصوم</v>
      </c>
      <c r="N9" s="2" t="str">
        <f>IF(TableJudje[[#This Row],[المستوى]]&gt;2,INDEX(TableJudje[اسم الحساب],MATCH(VALUE(LEFT(TableJudje[[#This Row],[الحساب الرئيسي]],2)),TableJudje[رقم الحساب],0)),"")</f>
        <v/>
      </c>
      <c r="O9" s="2" t="str">
        <f>IF(TableJudje[[#This Row],[المستوى]]&gt;3,INDEX(TableJudje[اسم الحساب],MATCH(VALUE(LEFT(TableJudje[[#This Row],[الحساب الرئيسي]],4)),TableJudje[رقم الحساب],0)),"")</f>
        <v/>
      </c>
      <c r="P9" s="2" t="str">
        <f>IF(TableJudje[[#This Row],[المستوى]]&gt;4,INDEX(TableJudje[اسم الحساب],MATCH(VALUE(LEFT(TableJudje[[#This Row],[الحساب الرئيسي]],6)),TableJudje[رقم الحساب],0)),"")</f>
        <v/>
      </c>
      <c r="Q9" s="2" t="str">
        <f>IF(TableJudje[[#This Row],[المستوى]]&gt;1,INDEX(TableJudje[اسم الحساب],MATCH(VALUE(LEFT(TableJudje[[#This Row],[الحساب الرئيسي]],1)),TableJudje[رقم الحساب],0)),"")</f>
        <v>الخصوم</v>
      </c>
    </row>
    <row r="10" spans="1:17" x14ac:dyDescent="0.5">
      <c r="A10" s="2">
        <f>ROW()</f>
        <v>10</v>
      </c>
      <c r="B10" s="2">
        <v>22</v>
      </c>
      <c r="C10" s="2" t="s">
        <v>173</v>
      </c>
      <c r="D10" s="2">
        <v>2</v>
      </c>
      <c r="E10" s="2">
        <v>2</v>
      </c>
      <c r="F10" s="2" t="s">
        <v>45</v>
      </c>
      <c r="G10" s="2" t="s">
        <v>19</v>
      </c>
      <c r="H10" s="3"/>
      <c r="I10" s="2" t="s">
        <v>85</v>
      </c>
      <c r="J10" s="2"/>
      <c r="K10" s="2" t="s">
        <v>21</v>
      </c>
      <c r="L10" s="2"/>
      <c r="M10" s="2" t="str">
        <f>IF(TableJudje[[#This Row],[الحساب الرئيسي]]=0,"اجمالي",INDEX(TableJudje[اسم الحساب],MATCH(TableJudje[[#This Row],[الحساب الرئيسي]],TableJudje[رقم الحساب],0)))</f>
        <v>الخصوم</v>
      </c>
      <c r="N10" s="2" t="str">
        <f>IF(TableJudje[[#This Row],[المستوى]]&gt;2,INDEX(TableJudje[اسم الحساب],MATCH(VALUE(LEFT(TableJudje[[#This Row],[الحساب الرئيسي]],2)),TableJudje[رقم الحساب],0)),"")</f>
        <v/>
      </c>
      <c r="O10" s="2" t="str">
        <f>IF(TableJudje[[#This Row],[المستوى]]&gt;3,INDEX(TableJudje[اسم الحساب],MATCH(VALUE(LEFT(TableJudje[[#This Row],[الحساب الرئيسي]],4)),TableJudje[رقم الحساب],0)),"")</f>
        <v/>
      </c>
      <c r="P10" s="2" t="str">
        <f>IF(TableJudje[[#This Row],[المستوى]]&gt;4,INDEX(TableJudje[اسم الحساب],MATCH(VALUE(LEFT(TableJudje[[#This Row],[الحساب الرئيسي]],6)),TableJudje[رقم الحساب],0)),"")</f>
        <v/>
      </c>
      <c r="Q10" s="2" t="str">
        <f>IF(TableJudje[[#This Row],[المستوى]]&gt;1,INDEX(TableJudje[اسم الحساب],MATCH(VALUE(LEFT(TableJudje[[#This Row],[الحساب الرئيسي]],1)),TableJudje[رقم الحساب],0)),"")</f>
        <v>الخصوم</v>
      </c>
    </row>
    <row r="11" spans="1:17" x14ac:dyDescent="0.5">
      <c r="A11" s="2">
        <f>ROW()</f>
        <v>11</v>
      </c>
      <c r="B11" s="2">
        <v>23</v>
      </c>
      <c r="C11" s="2" t="s">
        <v>174</v>
      </c>
      <c r="D11" s="2">
        <v>2</v>
      </c>
      <c r="E11" s="2">
        <v>2</v>
      </c>
      <c r="F11" s="2" t="s">
        <v>45</v>
      </c>
      <c r="G11" s="2" t="s">
        <v>19</v>
      </c>
      <c r="H11" s="3"/>
      <c r="I11" s="2" t="s">
        <v>85</v>
      </c>
      <c r="J11" s="2"/>
      <c r="K11" s="2" t="s">
        <v>21</v>
      </c>
      <c r="L11" s="2"/>
      <c r="M11" s="2" t="str">
        <f>IF(TableJudje[[#This Row],[الحساب الرئيسي]]=0,"اجمالي",INDEX(TableJudje[اسم الحساب],MATCH(TableJudje[[#This Row],[الحساب الرئيسي]],TableJudje[رقم الحساب],0)))</f>
        <v>الخصوم</v>
      </c>
      <c r="N11" s="2" t="str">
        <f>IF(TableJudje[[#This Row],[المستوى]]&gt;2,INDEX(TableJudje[اسم الحساب],MATCH(VALUE(LEFT(TableJudje[[#This Row],[الحساب الرئيسي]],2)),TableJudje[رقم الحساب],0)),"")</f>
        <v/>
      </c>
      <c r="O11" s="2" t="str">
        <f>IF(TableJudje[[#This Row],[المستوى]]&gt;3,INDEX(TableJudje[اسم الحساب],MATCH(VALUE(LEFT(TableJudje[[#This Row],[الحساب الرئيسي]],4)),TableJudje[رقم الحساب],0)),"")</f>
        <v/>
      </c>
      <c r="P11" s="2" t="str">
        <f>IF(TableJudje[[#This Row],[المستوى]]&gt;4,INDEX(TableJudje[اسم الحساب],MATCH(VALUE(LEFT(TableJudje[[#This Row],[الحساب الرئيسي]],6)),TableJudje[رقم الحساب],0)),"")</f>
        <v/>
      </c>
      <c r="Q11" s="2" t="str">
        <f>IF(TableJudje[[#This Row],[المستوى]]&gt;1,INDEX(TableJudje[اسم الحساب],MATCH(VALUE(LEFT(TableJudje[[#This Row],[الحساب الرئيسي]],1)),TableJudje[رقم الحساب],0)),"")</f>
        <v>الخصوم</v>
      </c>
    </row>
    <row r="12" spans="1:17" x14ac:dyDescent="0.5">
      <c r="A12" s="2">
        <f>ROW()</f>
        <v>12</v>
      </c>
      <c r="B12" s="2">
        <v>31</v>
      </c>
      <c r="C12" s="6" t="s">
        <v>202</v>
      </c>
      <c r="D12" s="2">
        <v>3</v>
      </c>
      <c r="E12" s="2">
        <v>2</v>
      </c>
      <c r="F12" s="2" t="s">
        <v>45</v>
      </c>
      <c r="G12" s="2" t="s">
        <v>110</v>
      </c>
      <c r="H12" s="3"/>
      <c r="I12" s="2" t="s">
        <v>20</v>
      </c>
      <c r="J12" s="2"/>
      <c r="K12" s="2" t="s">
        <v>21</v>
      </c>
      <c r="L12" s="2"/>
      <c r="M12" s="2" t="str">
        <f>IF(TableJudje[[#This Row],[الحساب الرئيسي]]=0,"اجمالي",INDEX(TableJudje[اسم الحساب],MATCH(TableJudje[[#This Row],[الحساب الرئيسي]],TableJudje[رقم الحساب],0)))</f>
        <v>المصروفات</v>
      </c>
      <c r="N12" s="2" t="str">
        <f>IF(TableJudje[[#This Row],[المستوى]]&gt;2,INDEX(TableJudje[اسم الحساب],MATCH(VALUE(LEFT(TableJudje[[#This Row],[الحساب الرئيسي]],2)),TableJudje[رقم الحساب],0)),"")</f>
        <v/>
      </c>
      <c r="O12" s="2" t="str">
        <f>IF(TableJudje[[#This Row],[المستوى]]&gt;3,INDEX(TableJudje[اسم الحساب],MATCH(VALUE(LEFT(TableJudje[[#This Row],[الحساب الرئيسي]],4)),TableJudje[رقم الحساب],0)),"")</f>
        <v/>
      </c>
      <c r="P12" s="2" t="str">
        <f>IF(TableJudje[[#This Row],[المستوى]]&gt;4,INDEX(TableJudje[اسم الحساب],MATCH(VALUE(LEFT(TableJudje[[#This Row],[الحساب الرئيسي]],6)),TableJudje[رقم الحساب],0)),"")</f>
        <v/>
      </c>
      <c r="Q12" s="2" t="str">
        <f>IF(TableJudje[[#This Row],[المستوى]]&gt;1,INDEX(TableJudje[اسم الحساب],MATCH(VALUE(LEFT(TableJudje[[#This Row],[الحساب الرئيسي]],1)),TableJudje[رقم الحساب],0)),"")</f>
        <v>المصروفات</v>
      </c>
    </row>
    <row r="13" spans="1:17" x14ac:dyDescent="0.5">
      <c r="A13" s="2">
        <f>ROW()</f>
        <v>13</v>
      </c>
      <c r="B13" s="2">
        <v>33</v>
      </c>
      <c r="C13" s="2" t="s">
        <v>176</v>
      </c>
      <c r="D13" s="2">
        <v>3</v>
      </c>
      <c r="E13" s="2">
        <v>2</v>
      </c>
      <c r="F13" s="2" t="s">
        <v>45</v>
      </c>
      <c r="G13" s="2" t="s">
        <v>110</v>
      </c>
      <c r="H13" s="3"/>
      <c r="I13" s="2" t="s">
        <v>20</v>
      </c>
      <c r="J13" s="2"/>
      <c r="K13" s="2" t="s">
        <v>21</v>
      </c>
      <c r="L13" s="2"/>
      <c r="M13" s="2" t="str">
        <f>IF(TableJudje[[#This Row],[الحساب الرئيسي]]=0,"اجمالي",INDEX(TableJudje[اسم الحساب],MATCH(TableJudje[[#This Row],[الحساب الرئيسي]],TableJudje[رقم الحساب],0)))</f>
        <v>المصروفات</v>
      </c>
      <c r="N13" s="2" t="str">
        <f>IF(TableJudje[[#This Row],[المستوى]]&gt;2,INDEX(TableJudje[اسم الحساب],MATCH(VALUE(LEFT(TableJudje[[#This Row],[الحساب الرئيسي]],2)),TableJudje[رقم الحساب],0)),"")</f>
        <v/>
      </c>
      <c r="O13" s="2" t="str">
        <f>IF(TableJudje[[#This Row],[المستوى]]&gt;3,INDEX(TableJudje[اسم الحساب],MATCH(VALUE(LEFT(TableJudje[[#This Row],[الحساب الرئيسي]],4)),TableJudje[رقم الحساب],0)),"")</f>
        <v/>
      </c>
      <c r="P13" s="2" t="str">
        <f>IF(TableJudje[[#This Row],[المستوى]]&gt;4,INDEX(TableJudje[اسم الحساب],MATCH(VALUE(LEFT(TableJudje[[#This Row],[الحساب الرئيسي]],6)),TableJudje[رقم الحساب],0)),"")</f>
        <v/>
      </c>
      <c r="Q13" s="2" t="str">
        <f>IF(TableJudje[[#This Row],[المستوى]]&gt;1,INDEX(TableJudje[اسم الحساب],MATCH(VALUE(LEFT(TableJudje[[#This Row],[الحساب الرئيسي]],1)),TableJudje[رقم الحساب],0)),"")</f>
        <v>المصروفات</v>
      </c>
    </row>
    <row r="14" spans="1:17" x14ac:dyDescent="0.5">
      <c r="A14" s="2">
        <f>ROW()</f>
        <v>14</v>
      </c>
      <c r="B14" s="2">
        <v>41</v>
      </c>
      <c r="C14" s="6" t="s">
        <v>203</v>
      </c>
      <c r="D14" s="2">
        <v>4</v>
      </c>
      <c r="E14" s="2">
        <v>2</v>
      </c>
      <c r="F14" s="2" t="s">
        <v>45</v>
      </c>
      <c r="G14" s="2" t="s">
        <v>110</v>
      </c>
      <c r="H14" s="3"/>
      <c r="I14" s="2" t="s">
        <v>85</v>
      </c>
      <c r="J14" s="2"/>
      <c r="K14" s="2" t="s">
        <v>21</v>
      </c>
      <c r="L14" s="2"/>
      <c r="M14" s="2" t="str">
        <f>IF(TableJudje[[#This Row],[الحساب الرئيسي]]=0,"اجمالي",INDEX(TableJudje[اسم الحساب],MATCH(TableJudje[[#This Row],[الحساب الرئيسي]],TableJudje[رقم الحساب],0)))</f>
        <v>الايرادات</v>
      </c>
      <c r="N14" s="2" t="str">
        <f>IF(TableJudje[[#This Row],[المستوى]]&gt;2,INDEX(TableJudje[اسم الحساب],MATCH(VALUE(LEFT(TableJudje[[#This Row],[الحساب الرئيسي]],2)),TableJudje[رقم الحساب],0)),"")</f>
        <v/>
      </c>
      <c r="O14" s="2" t="str">
        <f>IF(TableJudje[[#This Row],[المستوى]]&gt;3,INDEX(TableJudje[اسم الحساب],MATCH(VALUE(LEFT(TableJudje[[#This Row],[الحساب الرئيسي]],4)),TableJudje[رقم الحساب],0)),"")</f>
        <v/>
      </c>
      <c r="P14" s="2" t="str">
        <f>IF(TableJudje[[#This Row],[المستوى]]&gt;4,INDEX(TableJudje[اسم الحساب],MATCH(VALUE(LEFT(TableJudje[[#This Row],[الحساب الرئيسي]],6)),TableJudje[رقم الحساب],0)),"")</f>
        <v/>
      </c>
      <c r="Q14" s="2" t="str">
        <f>IF(TableJudje[[#This Row],[المستوى]]&gt;1,INDEX(TableJudje[اسم الحساب],MATCH(VALUE(LEFT(TableJudje[[#This Row],[الحساب الرئيسي]],1)),TableJudje[رقم الحساب],0)),"")</f>
        <v>الايرادات</v>
      </c>
    </row>
    <row r="15" spans="1:17" x14ac:dyDescent="0.5">
      <c r="A15" s="2">
        <f>ROW()</f>
        <v>15</v>
      </c>
      <c r="B15" s="2">
        <v>1101</v>
      </c>
      <c r="C15" s="2" t="s">
        <v>177</v>
      </c>
      <c r="D15" s="2">
        <v>11</v>
      </c>
      <c r="E15" s="2">
        <v>3</v>
      </c>
      <c r="F15" s="2" t="s">
        <v>178</v>
      </c>
      <c r="G15" s="2" t="s">
        <v>19</v>
      </c>
      <c r="H15" s="3"/>
      <c r="I15" s="2" t="s">
        <v>20</v>
      </c>
      <c r="J15" s="2"/>
      <c r="K15" s="2" t="s">
        <v>21</v>
      </c>
      <c r="L15" s="2"/>
      <c r="M15" s="2" t="str">
        <f>IF(TableJudje[[#This Row],[الحساب الرئيسي]]=0,"اجمالي",INDEX(TableJudje[اسم الحساب],MATCH(TableJudje[[#This Row],[الحساب الرئيسي]],TableJudje[رقم الحساب],0)))</f>
        <v>الاصول المتداولة</v>
      </c>
      <c r="N15" s="2" t="str">
        <f>IF(TableJudje[[#This Row],[المستوى]]&gt;2,INDEX(TableJudje[اسم الحساب],MATCH(VALUE(LEFT(TableJudje[[#This Row],[الحساب الرئيسي]],2)),TableJudje[رقم الحساب],0)),"")</f>
        <v>الاصول المتداولة</v>
      </c>
      <c r="O15" s="2" t="str">
        <f>IF(TableJudje[[#This Row],[المستوى]]&gt;3,INDEX(TableJudje[اسم الحساب],MATCH(VALUE(LEFT(TableJudje[[#This Row],[الحساب الرئيسي]],4)),TableJudje[رقم الحساب],0)),"")</f>
        <v/>
      </c>
      <c r="P15" s="2" t="str">
        <f>IF(TableJudje[[#This Row],[المستوى]]&gt;4,INDEX(TableJudje[اسم الحساب],MATCH(VALUE(LEFT(TableJudje[[#This Row],[الحساب الرئيسي]],6)),TableJudje[رقم الحساب],0)),"")</f>
        <v/>
      </c>
      <c r="Q15" s="2" t="str">
        <f>IF(TableJudje[[#This Row],[المستوى]]&gt;1,INDEX(TableJudje[اسم الحساب],MATCH(VALUE(LEFT(TableJudje[[#This Row],[الحساب الرئيسي]],1)),TableJudje[رقم الحساب],0)),"")</f>
        <v>الاصول</v>
      </c>
    </row>
    <row r="16" spans="1:17" x14ac:dyDescent="0.5">
      <c r="A16" s="2">
        <f>ROW()</f>
        <v>16</v>
      </c>
      <c r="B16" s="2">
        <v>1102</v>
      </c>
      <c r="C16" s="2" t="s">
        <v>179</v>
      </c>
      <c r="D16" s="2">
        <v>11</v>
      </c>
      <c r="E16" s="2">
        <v>3</v>
      </c>
      <c r="F16" s="2" t="s">
        <v>178</v>
      </c>
      <c r="G16" s="2" t="s">
        <v>19</v>
      </c>
      <c r="H16" s="3"/>
      <c r="I16" s="2" t="s">
        <v>20</v>
      </c>
      <c r="J16" s="2"/>
      <c r="K16" s="2" t="s">
        <v>21</v>
      </c>
      <c r="L16" s="2"/>
      <c r="M16" s="2" t="str">
        <f>IF(TableJudje[[#This Row],[الحساب الرئيسي]]=0,"اجمالي",INDEX(TableJudje[اسم الحساب],MATCH(TableJudje[[#This Row],[الحساب الرئيسي]],TableJudje[رقم الحساب],0)))</f>
        <v>الاصول المتداولة</v>
      </c>
      <c r="N16" s="2" t="str">
        <f>IF(TableJudje[[#This Row],[المستوى]]&gt;2,INDEX(TableJudje[اسم الحساب],MATCH(VALUE(LEFT(TableJudje[[#This Row],[الحساب الرئيسي]],2)),TableJudje[رقم الحساب],0)),"")</f>
        <v>الاصول المتداولة</v>
      </c>
      <c r="O16" s="2" t="str">
        <f>IF(TableJudje[[#This Row],[المستوى]]&gt;3,INDEX(TableJudje[اسم الحساب],MATCH(VALUE(LEFT(TableJudje[[#This Row],[الحساب الرئيسي]],4)),TableJudje[رقم الحساب],0)),"")</f>
        <v/>
      </c>
      <c r="P16" s="2" t="str">
        <f>IF(TableJudje[[#This Row],[المستوى]]&gt;4,INDEX(TableJudje[اسم الحساب],MATCH(VALUE(LEFT(TableJudje[[#This Row],[الحساب الرئيسي]],6)),TableJudje[رقم الحساب],0)),"")</f>
        <v/>
      </c>
      <c r="Q16" s="2" t="str">
        <f>IF(TableJudje[[#This Row],[المستوى]]&gt;1,INDEX(TableJudje[اسم الحساب],MATCH(VALUE(LEFT(TableJudje[[#This Row],[الحساب الرئيسي]],1)),TableJudje[رقم الحساب],0)),"")</f>
        <v>الاصول</v>
      </c>
    </row>
    <row r="17" spans="1:17" x14ac:dyDescent="0.5">
      <c r="A17" s="2">
        <f>ROW()</f>
        <v>17</v>
      </c>
      <c r="B17" s="2">
        <v>1103</v>
      </c>
      <c r="C17" s="2" t="s">
        <v>180</v>
      </c>
      <c r="D17" s="2">
        <v>11</v>
      </c>
      <c r="E17" s="2">
        <v>3</v>
      </c>
      <c r="F17" s="2" t="s">
        <v>178</v>
      </c>
      <c r="G17" s="2" t="s">
        <v>19</v>
      </c>
      <c r="H17" s="3"/>
      <c r="I17" s="2" t="s">
        <v>20</v>
      </c>
      <c r="J17" s="2"/>
      <c r="K17" s="2" t="s">
        <v>21</v>
      </c>
      <c r="L17" s="2"/>
      <c r="M17" s="2" t="str">
        <f>IF(TableJudje[[#This Row],[الحساب الرئيسي]]=0,"اجمالي",INDEX(TableJudje[اسم الحساب],MATCH(TableJudje[[#This Row],[الحساب الرئيسي]],TableJudje[رقم الحساب],0)))</f>
        <v>الاصول المتداولة</v>
      </c>
      <c r="N17" s="2" t="str">
        <f>IF(TableJudje[[#This Row],[المستوى]]&gt;2,INDEX(TableJudje[اسم الحساب],MATCH(VALUE(LEFT(TableJudje[[#This Row],[الحساب الرئيسي]],2)),TableJudje[رقم الحساب],0)),"")</f>
        <v>الاصول المتداولة</v>
      </c>
      <c r="O17" s="2" t="str">
        <f>IF(TableJudje[[#This Row],[المستوى]]&gt;3,INDEX(TableJudje[اسم الحساب],MATCH(VALUE(LEFT(TableJudje[[#This Row],[الحساب الرئيسي]],4)),TableJudje[رقم الحساب],0)),"")</f>
        <v/>
      </c>
      <c r="P17" s="2" t="str">
        <f>IF(TableJudje[[#This Row],[المستوى]]&gt;4,INDEX(TableJudje[اسم الحساب],MATCH(VALUE(LEFT(TableJudje[[#This Row],[الحساب الرئيسي]],6)),TableJudje[رقم الحساب],0)),"")</f>
        <v/>
      </c>
      <c r="Q17" s="2" t="str">
        <f>IF(TableJudje[[#This Row],[المستوى]]&gt;1,INDEX(TableJudje[اسم الحساب],MATCH(VALUE(LEFT(TableJudje[[#This Row],[الحساب الرئيسي]],1)),TableJudje[رقم الحساب],0)),"")</f>
        <v>الاصول</v>
      </c>
    </row>
    <row r="18" spans="1:17" x14ac:dyDescent="0.5">
      <c r="A18" s="2">
        <f>ROW()</f>
        <v>18</v>
      </c>
      <c r="B18" s="2">
        <v>1104</v>
      </c>
      <c r="C18" s="2" t="s">
        <v>181</v>
      </c>
      <c r="D18" s="2">
        <v>11</v>
      </c>
      <c r="E18" s="2">
        <v>3</v>
      </c>
      <c r="F18" s="2" t="s">
        <v>178</v>
      </c>
      <c r="G18" s="2" t="s">
        <v>19</v>
      </c>
      <c r="H18" s="3"/>
      <c r="I18" s="2" t="s">
        <v>20</v>
      </c>
      <c r="J18" s="2"/>
      <c r="K18" s="2" t="s">
        <v>21</v>
      </c>
      <c r="L18" s="2"/>
      <c r="M18" s="2" t="str">
        <f>IF(TableJudje[[#This Row],[الحساب الرئيسي]]=0,"اجمالي",INDEX(TableJudje[اسم الحساب],MATCH(TableJudje[[#This Row],[الحساب الرئيسي]],TableJudje[رقم الحساب],0)))</f>
        <v>الاصول المتداولة</v>
      </c>
      <c r="N18" s="2" t="str">
        <f>IF(TableJudje[[#This Row],[المستوى]]&gt;2,INDEX(TableJudje[اسم الحساب],MATCH(VALUE(LEFT(TableJudje[[#This Row],[الحساب الرئيسي]],2)),TableJudje[رقم الحساب],0)),"")</f>
        <v>الاصول المتداولة</v>
      </c>
      <c r="O18" s="2" t="str">
        <f>IF(TableJudje[[#This Row],[المستوى]]&gt;3,INDEX(TableJudje[اسم الحساب],MATCH(VALUE(LEFT(TableJudje[[#This Row],[الحساب الرئيسي]],4)),TableJudje[رقم الحساب],0)),"")</f>
        <v/>
      </c>
      <c r="P18" s="2" t="str">
        <f>IF(TableJudje[[#This Row],[المستوى]]&gt;4,INDEX(TableJudje[اسم الحساب],MATCH(VALUE(LEFT(TableJudje[[#This Row],[الحساب الرئيسي]],6)),TableJudje[رقم الحساب],0)),"")</f>
        <v/>
      </c>
      <c r="Q18" s="2" t="str">
        <f>IF(TableJudje[[#This Row],[المستوى]]&gt;1,INDEX(TableJudje[اسم الحساب],MATCH(VALUE(LEFT(TableJudje[[#This Row],[الحساب الرئيسي]],1)),TableJudje[رقم الحساب],0)),"")</f>
        <v>الاصول</v>
      </c>
    </row>
    <row r="19" spans="1:17" x14ac:dyDescent="0.5">
      <c r="A19" s="2">
        <f>ROW()</f>
        <v>19</v>
      </c>
      <c r="B19" s="2">
        <v>1105</v>
      </c>
      <c r="C19" s="2" t="s">
        <v>182</v>
      </c>
      <c r="D19" s="2">
        <v>11</v>
      </c>
      <c r="E19" s="2">
        <v>3</v>
      </c>
      <c r="F19" s="2" t="s">
        <v>178</v>
      </c>
      <c r="G19" s="2" t="s">
        <v>19</v>
      </c>
      <c r="H19" s="3"/>
      <c r="I19" s="2" t="s">
        <v>20</v>
      </c>
      <c r="J19" s="2"/>
      <c r="K19" s="2" t="s">
        <v>21</v>
      </c>
      <c r="L19" s="2"/>
      <c r="M19" s="2" t="str">
        <f>IF(TableJudje[[#This Row],[الحساب الرئيسي]]=0,"اجمالي",INDEX(TableJudje[اسم الحساب],MATCH(TableJudje[[#This Row],[الحساب الرئيسي]],TableJudje[رقم الحساب],0)))</f>
        <v>الاصول المتداولة</v>
      </c>
      <c r="N19" s="2" t="str">
        <f>IF(TableJudje[[#This Row],[المستوى]]&gt;2,INDEX(TableJudje[اسم الحساب],MATCH(VALUE(LEFT(TableJudje[[#This Row],[الحساب الرئيسي]],2)),TableJudje[رقم الحساب],0)),"")</f>
        <v>الاصول المتداولة</v>
      </c>
      <c r="O19" s="2" t="str">
        <f>IF(TableJudje[[#This Row],[المستوى]]&gt;3,INDEX(TableJudje[اسم الحساب],MATCH(VALUE(LEFT(TableJudje[[#This Row],[الحساب الرئيسي]],4)),TableJudje[رقم الحساب],0)),"")</f>
        <v/>
      </c>
      <c r="P19" s="2" t="str">
        <f>IF(TableJudje[[#This Row],[المستوى]]&gt;4,INDEX(TableJudje[اسم الحساب],MATCH(VALUE(LEFT(TableJudje[[#This Row],[الحساب الرئيسي]],6)),TableJudje[رقم الحساب],0)),"")</f>
        <v/>
      </c>
      <c r="Q19" s="2" t="str">
        <f>IF(TableJudje[[#This Row],[المستوى]]&gt;1,INDEX(TableJudje[اسم الحساب],MATCH(VALUE(LEFT(TableJudje[[#This Row],[الحساب الرئيسي]],1)),TableJudje[رقم الحساب],0)),"")</f>
        <v>الاصول</v>
      </c>
    </row>
    <row r="20" spans="1:17" x14ac:dyDescent="0.5">
      <c r="A20" s="2">
        <f>ROW()</f>
        <v>20</v>
      </c>
      <c r="B20" s="2">
        <v>1106</v>
      </c>
      <c r="C20" s="2" t="s">
        <v>183</v>
      </c>
      <c r="D20" s="2">
        <v>11</v>
      </c>
      <c r="E20" s="2">
        <v>3</v>
      </c>
      <c r="F20" s="2" t="s">
        <v>178</v>
      </c>
      <c r="G20" s="2" t="s">
        <v>19</v>
      </c>
      <c r="H20" s="3"/>
      <c r="I20" s="2" t="s">
        <v>20</v>
      </c>
      <c r="J20" s="2"/>
      <c r="K20" s="2" t="s">
        <v>21</v>
      </c>
      <c r="L20" s="2"/>
      <c r="M20" s="2" t="str">
        <f>IF(TableJudje[[#This Row],[الحساب الرئيسي]]=0,"اجمالي",INDEX(TableJudje[اسم الحساب],MATCH(TableJudje[[#This Row],[الحساب الرئيسي]],TableJudje[رقم الحساب],0)))</f>
        <v>الاصول المتداولة</v>
      </c>
      <c r="N20" s="2" t="str">
        <f>IF(TableJudje[[#This Row],[المستوى]]&gt;2,INDEX(TableJudje[اسم الحساب],MATCH(VALUE(LEFT(TableJudje[[#This Row],[الحساب الرئيسي]],2)),TableJudje[رقم الحساب],0)),"")</f>
        <v>الاصول المتداولة</v>
      </c>
      <c r="O20" s="2" t="str">
        <f>IF(TableJudje[[#This Row],[المستوى]]&gt;3,INDEX(TableJudje[اسم الحساب],MATCH(VALUE(LEFT(TableJudje[[#This Row],[الحساب الرئيسي]],4)),TableJudje[رقم الحساب],0)),"")</f>
        <v/>
      </c>
      <c r="P20" s="2" t="str">
        <f>IF(TableJudje[[#This Row],[المستوى]]&gt;4,INDEX(TableJudje[اسم الحساب],MATCH(VALUE(LEFT(TableJudje[[#This Row],[الحساب الرئيسي]],6)),TableJudje[رقم الحساب],0)),"")</f>
        <v/>
      </c>
      <c r="Q20" s="2" t="str">
        <f>IF(TableJudje[[#This Row],[المستوى]]&gt;1,INDEX(TableJudje[اسم الحساب],MATCH(VALUE(LEFT(TableJudje[[#This Row],[الحساب الرئيسي]],1)),TableJudje[رقم الحساب],0)),"")</f>
        <v>الاصول</v>
      </c>
    </row>
    <row r="21" spans="1:17" x14ac:dyDescent="0.5">
      <c r="A21" s="2">
        <f>ROW()</f>
        <v>21</v>
      </c>
      <c r="B21" s="2">
        <v>1201</v>
      </c>
      <c r="C21" s="2" t="s">
        <v>184</v>
      </c>
      <c r="D21" s="2">
        <v>12</v>
      </c>
      <c r="E21" s="2">
        <v>3</v>
      </c>
      <c r="F21" s="2" t="s">
        <v>178</v>
      </c>
      <c r="G21" s="2" t="s">
        <v>19</v>
      </c>
      <c r="H21" s="3"/>
      <c r="I21" s="2" t="s">
        <v>20</v>
      </c>
      <c r="J21" s="2"/>
      <c r="K21" s="2" t="s">
        <v>21</v>
      </c>
      <c r="L21" s="2"/>
      <c r="M21" s="2" t="str">
        <f>IF(TableJudje[[#This Row],[الحساب الرئيسي]]=0,"اجمالي",INDEX(TableJudje[اسم الحساب],MATCH(TableJudje[[#This Row],[الحساب الرئيسي]],TableJudje[رقم الحساب],0)))</f>
        <v>الاصول الغير متداولة</v>
      </c>
      <c r="N21" s="2" t="str">
        <f>IF(TableJudje[[#This Row],[المستوى]]&gt;2,INDEX(TableJudje[اسم الحساب],MATCH(VALUE(LEFT(TableJudje[[#This Row],[الحساب الرئيسي]],2)),TableJudje[رقم الحساب],0)),"")</f>
        <v>الاصول الغير متداولة</v>
      </c>
      <c r="O21" s="2" t="str">
        <f>IF(TableJudje[[#This Row],[المستوى]]&gt;3,INDEX(TableJudje[اسم الحساب],MATCH(VALUE(LEFT(TableJudje[[#This Row],[الحساب الرئيسي]],4)),TableJudje[رقم الحساب],0)),"")</f>
        <v/>
      </c>
      <c r="P21" s="2" t="str">
        <f>IF(TableJudje[[#This Row],[المستوى]]&gt;4,INDEX(TableJudje[اسم الحساب],MATCH(VALUE(LEFT(TableJudje[[#This Row],[الحساب الرئيسي]],6)),TableJudje[رقم الحساب],0)),"")</f>
        <v/>
      </c>
      <c r="Q21" s="2" t="str">
        <f>IF(TableJudje[[#This Row],[المستوى]]&gt;1,INDEX(TableJudje[اسم الحساب],MATCH(VALUE(LEFT(TableJudje[[#This Row],[الحساب الرئيسي]],1)),TableJudje[رقم الحساب],0)),"")</f>
        <v>الاصول</v>
      </c>
    </row>
    <row r="22" spans="1:17" x14ac:dyDescent="0.5">
      <c r="A22" s="2">
        <f>ROW()</f>
        <v>22</v>
      </c>
      <c r="B22" s="2">
        <v>1202</v>
      </c>
      <c r="C22" s="2" t="s">
        <v>185</v>
      </c>
      <c r="D22" s="2">
        <v>12</v>
      </c>
      <c r="E22" s="2">
        <v>3</v>
      </c>
      <c r="F22" s="2" t="s">
        <v>178</v>
      </c>
      <c r="G22" s="2" t="s">
        <v>19</v>
      </c>
      <c r="H22" s="3"/>
      <c r="I22" s="2" t="s">
        <v>20</v>
      </c>
      <c r="J22" s="2"/>
      <c r="K22" s="2" t="s">
        <v>21</v>
      </c>
      <c r="L22" s="2"/>
      <c r="M22" s="2" t="str">
        <f>IF(TableJudje[[#This Row],[الحساب الرئيسي]]=0,"اجمالي",INDEX(TableJudje[اسم الحساب],MATCH(TableJudje[[#This Row],[الحساب الرئيسي]],TableJudje[رقم الحساب],0)))</f>
        <v>الاصول الغير متداولة</v>
      </c>
      <c r="N22" s="2" t="str">
        <f>IF(TableJudje[[#This Row],[المستوى]]&gt;2,INDEX(TableJudje[اسم الحساب],MATCH(VALUE(LEFT(TableJudje[[#This Row],[الحساب الرئيسي]],2)),TableJudje[رقم الحساب],0)),"")</f>
        <v>الاصول الغير متداولة</v>
      </c>
      <c r="O22" s="2" t="str">
        <f>IF(TableJudje[[#This Row],[المستوى]]&gt;3,INDEX(TableJudje[اسم الحساب],MATCH(VALUE(LEFT(TableJudje[[#This Row],[الحساب الرئيسي]],4)),TableJudje[رقم الحساب],0)),"")</f>
        <v/>
      </c>
      <c r="P22" s="2" t="str">
        <f>IF(TableJudje[[#This Row],[المستوى]]&gt;4,INDEX(TableJudje[اسم الحساب],MATCH(VALUE(LEFT(TableJudje[[#This Row],[الحساب الرئيسي]],6)),TableJudje[رقم الحساب],0)),"")</f>
        <v/>
      </c>
      <c r="Q22" s="2" t="str">
        <f>IF(TableJudje[[#This Row],[المستوى]]&gt;1,INDEX(TableJudje[اسم الحساب],MATCH(VALUE(LEFT(TableJudje[[#This Row],[الحساب الرئيسي]],1)),TableJudje[رقم الحساب],0)),"")</f>
        <v>الاصول</v>
      </c>
    </row>
    <row r="23" spans="1:17" x14ac:dyDescent="0.5">
      <c r="A23" s="2">
        <f>ROW()</f>
        <v>23</v>
      </c>
      <c r="B23" s="2">
        <v>1203</v>
      </c>
      <c r="C23" s="2" t="s">
        <v>186</v>
      </c>
      <c r="D23" s="2">
        <v>12</v>
      </c>
      <c r="E23" s="2">
        <v>3</v>
      </c>
      <c r="F23" s="2" t="s">
        <v>178</v>
      </c>
      <c r="G23" s="2" t="s">
        <v>19</v>
      </c>
      <c r="H23" s="3"/>
      <c r="I23" s="2" t="s">
        <v>20</v>
      </c>
      <c r="J23" s="2"/>
      <c r="K23" s="2" t="s">
        <v>21</v>
      </c>
      <c r="L23" s="2"/>
      <c r="M23" s="2" t="str">
        <f>IF(TableJudje[[#This Row],[الحساب الرئيسي]]=0,"اجمالي",INDEX(TableJudje[اسم الحساب],MATCH(TableJudje[[#This Row],[الحساب الرئيسي]],TableJudje[رقم الحساب],0)))</f>
        <v>الاصول الغير متداولة</v>
      </c>
      <c r="N23" s="2" t="str">
        <f>IF(TableJudje[[#This Row],[المستوى]]&gt;2,INDEX(TableJudje[اسم الحساب],MATCH(VALUE(LEFT(TableJudje[[#This Row],[الحساب الرئيسي]],2)),TableJudje[رقم الحساب],0)),"")</f>
        <v>الاصول الغير متداولة</v>
      </c>
      <c r="O23" s="2" t="str">
        <f>IF(TableJudje[[#This Row],[المستوى]]&gt;3,INDEX(TableJudje[اسم الحساب],MATCH(VALUE(LEFT(TableJudje[[#This Row],[الحساب الرئيسي]],4)),TableJudje[رقم الحساب],0)),"")</f>
        <v/>
      </c>
      <c r="P23" s="2" t="str">
        <f>IF(TableJudje[[#This Row],[المستوى]]&gt;4,INDEX(TableJudje[اسم الحساب],MATCH(VALUE(LEFT(TableJudje[[#This Row],[الحساب الرئيسي]],6)),TableJudje[رقم الحساب],0)),"")</f>
        <v/>
      </c>
      <c r="Q23" s="2" t="str">
        <f>IF(TableJudje[[#This Row],[المستوى]]&gt;1,INDEX(TableJudje[اسم الحساب],MATCH(VALUE(LEFT(TableJudje[[#This Row],[الحساب الرئيسي]],1)),TableJudje[رقم الحساب],0)),"")</f>
        <v>الاصول</v>
      </c>
    </row>
    <row r="24" spans="1:17" x14ac:dyDescent="0.5">
      <c r="A24" s="2">
        <f>ROW()</f>
        <v>24</v>
      </c>
      <c r="B24" s="2">
        <v>1204</v>
      </c>
      <c r="C24" s="2" t="s">
        <v>187</v>
      </c>
      <c r="D24" s="2">
        <v>12</v>
      </c>
      <c r="E24" s="2">
        <v>3</v>
      </c>
      <c r="F24" s="2" t="s">
        <v>178</v>
      </c>
      <c r="G24" s="2" t="s">
        <v>19</v>
      </c>
      <c r="H24" s="3"/>
      <c r="I24" s="2" t="s">
        <v>20</v>
      </c>
      <c r="J24" s="2"/>
      <c r="K24" s="2" t="s">
        <v>21</v>
      </c>
      <c r="L24" s="2"/>
      <c r="M24" s="2" t="str">
        <f>IF(TableJudje[[#This Row],[الحساب الرئيسي]]=0,"اجمالي",INDEX(TableJudje[اسم الحساب],MATCH(TableJudje[[#This Row],[الحساب الرئيسي]],TableJudje[رقم الحساب],0)))</f>
        <v>الاصول الغير متداولة</v>
      </c>
      <c r="N24" s="2" t="str">
        <f>IF(TableJudje[[#This Row],[المستوى]]&gt;2,INDEX(TableJudje[اسم الحساب],MATCH(VALUE(LEFT(TableJudje[[#This Row],[الحساب الرئيسي]],2)),TableJudje[رقم الحساب],0)),"")</f>
        <v>الاصول الغير متداولة</v>
      </c>
      <c r="O24" s="2" t="str">
        <f>IF(TableJudje[[#This Row],[المستوى]]&gt;3,INDEX(TableJudje[اسم الحساب],MATCH(VALUE(LEFT(TableJudje[[#This Row],[الحساب الرئيسي]],4)),TableJudje[رقم الحساب],0)),"")</f>
        <v/>
      </c>
      <c r="P24" s="2" t="str">
        <f>IF(TableJudje[[#This Row],[المستوى]]&gt;4,INDEX(TableJudje[اسم الحساب],MATCH(VALUE(LEFT(TableJudje[[#This Row],[الحساب الرئيسي]],6)),TableJudje[رقم الحساب],0)),"")</f>
        <v/>
      </c>
      <c r="Q24" s="2" t="str">
        <f>IF(TableJudje[[#This Row],[المستوى]]&gt;1,INDEX(TableJudje[اسم الحساب],MATCH(VALUE(LEFT(TableJudje[[#This Row],[الحساب الرئيسي]],1)),TableJudje[رقم الحساب],0)),"")</f>
        <v>الاصول</v>
      </c>
    </row>
    <row r="25" spans="1:17" x14ac:dyDescent="0.5">
      <c r="A25" s="2">
        <f>ROW()</f>
        <v>25</v>
      </c>
      <c r="B25" s="2">
        <v>1205</v>
      </c>
      <c r="C25" s="2" t="s">
        <v>188</v>
      </c>
      <c r="D25" s="2">
        <v>12</v>
      </c>
      <c r="E25" s="2">
        <v>3</v>
      </c>
      <c r="F25" s="2" t="s">
        <v>178</v>
      </c>
      <c r="G25" s="2" t="s">
        <v>19</v>
      </c>
      <c r="H25" s="3"/>
      <c r="I25" s="2" t="s">
        <v>20</v>
      </c>
      <c r="J25" s="2"/>
      <c r="K25" s="2" t="s">
        <v>21</v>
      </c>
      <c r="L25" s="2"/>
      <c r="M25" s="2" t="str">
        <f>IF(TableJudje[[#This Row],[الحساب الرئيسي]]=0,"اجمالي",INDEX(TableJudje[اسم الحساب],MATCH(TableJudje[[#This Row],[الحساب الرئيسي]],TableJudje[رقم الحساب],0)))</f>
        <v>الاصول الغير متداولة</v>
      </c>
      <c r="N25" s="2" t="str">
        <f>IF(TableJudje[[#This Row],[المستوى]]&gt;2,INDEX(TableJudje[اسم الحساب],MATCH(VALUE(LEFT(TableJudje[[#This Row],[الحساب الرئيسي]],2)),TableJudje[رقم الحساب],0)),"")</f>
        <v>الاصول الغير متداولة</v>
      </c>
      <c r="O25" s="2" t="str">
        <f>IF(TableJudje[[#This Row],[المستوى]]&gt;3,INDEX(TableJudje[اسم الحساب],MATCH(VALUE(LEFT(TableJudje[[#This Row],[الحساب الرئيسي]],4)),TableJudje[رقم الحساب],0)),"")</f>
        <v/>
      </c>
      <c r="P25" s="2" t="str">
        <f>IF(TableJudje[[#This Row],[المستوى]]&gt;4,INDEX(TableJudje[اسم الحساب],MATCH(VALUE(LEFT(TableJudje[[#This Row],[الحساب الرئيسي]],6)),TableJudje[رقم الحساب],0)),"")</f>
        <v/>
      </c>
      <c r="Q25" s="2" t="str">
        <f>IF(TableJudje[[#This Row],[المستوى]]&gt;1,INDEX(TableJudje[اسم الحساب],MATCH(VALUE(LEFT(TableJudje[[#This Row],[الحساب الرئيسي]],1)),TableJudje[رقم الحساب],0)),"")</f>
        <v>الاصول</v>
      </c>
    </row>
    <row r="26" spans="1:17" x14ac:dyDescent="0.5">
      <c r="A26" s="2">
        <f>ROW()</f>
        <v>26</v>
      </c>
      <c r="B26" s="2">
        <v>1206</v>
      </c>
      <c r="C26" s="2" t="s">
        <v>189</v>
      </c>
      <c r="D26" s="2">
        <v>12</v>
      </c>
      <c r="E26" s="2">
        <v>3</v>
      </c>
      <c r="F26" s="2" t="s">
        <v>178</v>
      </c>
      <c r="G26" s="2" t="s">
        <v>19</v>
      </c>
      <c r="H26" s="3"/>
      <c r="I26" s="2" t="s">
        <v>20</v>
      </c>
      <c r="J26" s="2"/>
      <c r="K26" s="2" t="s">
        <v>21</v>
      </c>
      <c r="L26" s="2"/>
      <c r="M26" s="2" t="str">
        <f>IF(TableJudje[[#This Row],[الحساب الرئيسي]]=0,"اجمالي",INDEX(TableJudje[اسم الحساب],MATCH(TableJudje[[#This Row],[الحساب الرئيسي]],TableJudje[رقم الحساب],0)))</f>
        <v>الاصول الغير متداولة</v>
      </c>
      <c r="N26" s="2" t="str">
        <f>IF(TableJudje[[#This Row],[المستوى]]&gt;2,INDEX(TableJudje[اسم الحساب],MATCH(VALUE(LEFT(TableJudje[[#This Row],[الحساب الرئيسي]],2)),TableJudje[رقم الحساب],0)),"")</f>
        <v>الاصول الغير متداولة</v>
      </c>
      <c r="O26" s="2" t="str">
        <f>IF(TableJudje[[#This Row],[المستوى]]&gt;3,INDEX(TableJudje[اسم الحساب],MATCH(VALUE(LEFT(TableJudje[[#This Row],[الحساب الرئيسي]],4)),TableJudje[رقم الحساب],0)),"")</f>
        <v/>
      </c>
      <c r="P26" s="2" t="str">
        <f>IF(TableJudje[[#This Row],[المستوى]]&gt;4,INDEX(TableJudje[اسم الحساب],MATCH(VALUE(LEFT(TableJudje[[#This Row],[الحساب الرئيسي]],6)),TableJudje[رقم الحساب],0)),"")</f>
        <v/>
      </c>
      <c r="Q26" s="2" t="str">
        <f>IF(TableJudje[[#This Row],[المستوى]]&gt;1,INDEX(TableJudje[اسم الحساب],MATCH(VALUE(LEFT(TableJudje[[#This Row],[الحساب الرئيسي]],1)),TableJudje[رقم الحساب],0)),"")</f>
        <v>الاصول</v>
      </c>
    </row>
    <row r="27" spans="1:17" x14ac:dyDescent="0.5">
      <c r="A27" s="2">
        <f>ROW()</f>
        <v>27</v>
      </c>
      <c r="B27" s="2">
        <v>1207</v>
      </c>
      <c r="C27" s="2" t="s">
        <v>190</v>
      </c>
      <c r="D27" s="2">
        <v>12</v>
      </c>
      <c r="E27" s="2">
        <v>3</v>
      </c>
      <c r="F27" s="2" t="s">
        <v>178</v>
      </c>
      <c r="G27" s="2" t="s">
        <v>19</v>
      </c>
      <c r="H27" s="3"/>
      <c r="I27" s="2" t="s">
        <v>20</v>
      </c>
      <c r="J27" s="2"/>
      <c r="K27" s="2" t="s">
        <v>21</v>
      </c>
      <c r="L27" s="2"/>
      <c r="M27" s="2" t="str">
        <f>IF(TableJudje[[#This Row],[الحساب الرئيسي]]=0,"اجمالي",INDEX(TableJudje[اسم الحساب],MATCH(TableJudje[[#This Row],[الحساب الرئيسي]],TableJudje[رقم الحساب],0)))</f>
        <v>الاصول الغير متداولة</v>
      </c>
      <c r="N27" s="2" t="str">
        <f>IF(TableJudje[[#This Row],[المستوى]]&gt;2,INDEX(TableJudje[اسم الحساب],MATCH(VALUE(LEFT(TableJudje[[#This Row],[الحساب الرئيسي]],2)),TableJudje[رقم الحساب],0)),"")</f>
        <v>الاصول الغير متداولة</v>
      </c>
      <c r="O27" s="2" t="str">
        <f>IF(TableJudje[[#This Row],[المستوى]]&gt;3,INDEX(TableJudje[اسم الحساب],MATCH(VALUE(LEFT(TableJudje[[#This Row],[الحساب الرئيسي]],4)),TableJudje[رقم الحساب],0)),"")</f>
        <v/>
      </c>
      <c r="P27" s="2" t="str">
        <f>IF(TableJudje[[#This Row],[المستوى]]&gt;4,INDEX(TableJudje[اسم الحساب],MATCH(VALUE(LEFT(TableJudje[[#This Row],[الحساب الرئيسي]],6)),TableJudje[رقم الحساب],0)),"")</f>
        <v/>
      </c>
      <c r="Q27" s="2" t="str">
        <f>IF(TableJudje[[#This Row],[المستوى]]&gt;1,INDEX(TableJudje[اسم الحساب],MATCH(VALUE(LEFT(TableJudje[[#This Row],[الحساب الرئيسي]],1)),TableJudje[رقم الحساب],0)),"")</f>
        <v>الاصول</v>
      </c>
    </row>
    <row r="28" spans="1:17" x14ac:dyDescent="0.5">
      <c r="A28" s="2">
        <f>ROW()</f>
        <v>28</v>
      </c>
      <c r="B28" s="2">
        <v>1208</v>
      </c>
      <c r="C28" s="2" t="s">
        <v>191</v>
      </c>
      <c r="D28" s="2">
        <v>12</v>
      </c>
      <c r="E28" s="2">
        <v>3</v>
      </c>
      <c r="F28" s="2" t="s">
        <v>178</v>
      </c>
      <c r="G28" s="2" t="s">
        <v>19</v>
      </c>
      <c r="H28" s="3"/>
      <c r="I28" s="2" t="s">
        <v>20</v>
      </c>
      <c r="J28" s="2"/>
      <c r="K28" s="2" t="s">
        <v>21</v>
      </c>
      <c r="L28" s="2"/>
      <c r="M28" s="2" t="str">
        <f>IF(TableJudje[[#This Row],[الحساب الرئيسي]]=0,"اجمالي",INDEX(TableJudje[اسم الحساب],MATCH(TableJudje[[#This Row],[الحساب الرئيسي]],TableJudje[رقم الحساب],0)))</f>
        <v>الاصول الغير متداولة</v>
      </c>
      <c r="N28" s="2" t="str">
        <f>IF(TableJudje[[#This Row],[المستوى]]&gt;2,INDEX(TableJudje[اسم الحساب],MATCH(VALUE(LEFT(TableJudje[[#This Row],[الحساب الرئيسي]],2)),TableJudje[رقم الحساب],0)),"")</f>
        <v>الاصول الغير متداولة</v>
      </c>
      <c r="O28" s="2" t="str">
        <f>IF(TableJudje[[#This Row],[المستوى]]&gt;3,INDEX(TableJudje[اسم الحساب],MATCH(VALUE(LEFT(TableJudje[[#This Row],[الحساب الرئيسي]],4)),TableJudje[رقم الحساب],0)),"")</f>
        <v/>
      </c>
      <c r="P28" s="2" t="str">
        <f>IF(TableJudje[[#This Row],[المستوى]]&gt;4,INDEX(TableJudje[اسم الحساب],MATCH(VALUE(LEFT(TableJudje[[#This Row],[الحساب الرئيسي]],6)),TableJudje[رقم الحساب],0)),"")</f>
        <v/>
      </c>
      <c r="Q28" s="2" t="str">
        <f>IF(TableJudje[[#This Row],[المستوى]]&gt;1,INDEX(TableJudje[اسم الحساب],MATCH(VALUE(LEFT(TableJudje[[#This Row],[الحساب الرئيسي]],1)),TableJudje[رقم الحساب],0)),"")</f>
        <v>الاصول</v>
      </c>
    </row>
    <row r="29" spans="1:17" x14ac:dyDescent="0.5">
      <c r="A29" s="2">
        <f>ROW()</f>
        <v>29</v>
      </c>
      <c r="B29" s="2">
        <v>1209</v>
      </c>
      <c r="C29" s="2" t="s">
        <v>192</v>
      </c>
      <c r="D29" s="2">
        <v>12</v>
      </c>
      <c r="E29" s="2">
        <v>3</v>
      </c>
      <c r="F29" s="2" t="s">
        <v>178</v>
      </c>
      <c r="G29" s="2" t="s">
        <v>19</v>
      </c>
      <c r="H29" s="3"/>
      <c r="I29" s="2" t="s">
        <v>20</v>
      </c>
      <c r="J29" s="2"/>
      <c r="K29" s="2" t="s">
        <v>21</v>
      </c>
      <c r="L29" s="2"/>
      <c r="M29" s="2" t="str">
        <f>IF(TableJudje[[#This Row],[الحساب الرئيسي]]=0,"اجمالي",INDEX(TableJudje[اسم الحساب],MATCH(TableJudje[[#This Row],[الحساب الرئيسي]],TableJudje[رقم الحساب],0)))</f>
        <v>الاصول الغير متداولة</v>
      </c>
      <c r="N29" s="2" t="str">
        <f>IF(TableJudje[[#This Row],[المستوى]]&gt;2,INDEX(TableJudje[اسم الحساب],MATCH(VALUE(LEFT(TableJudje[[#This Row],[الحساب الرئيسي]],2)),TableJudje[رقم الحساب],0)),"")</f>
        <v>الاصول الغير متداولة</v>
      </c>
      <c r="O29" s="2" t="str">
        <f>IF(TableJudje[[#This Row],[المستوى]]&gt;3,INDEX(TableJudje[اسم الحساب],MATCH(VALUE(LEFT(TableJudje[[#This Row],[الحساب الرئيسي]],4)),TableJudje[رقم الحساب],0)),"")</f>
        <v/>
      </c>
      <c r="P29" s="2" t="str">
        <f>IF(TableJudje[[#This Row],[المستوى]]&gt;4,INDEX(TableJudje[اسم الحساب],MATCH(VALUE(LEFT(TableJudje[[#This Row],[الحساب الرئيسي]],6)),TableJudje[رقم الحساب],0)),"")</f>
        <v/>
      </c>
      <c r="Q29" s="2" t="str">
        <f>IF(TableJudje[[#This Row],[المستوى]]&gt;1,INDEX(TableJudje[اسم الحساب],MATCH(VALUE(LEFT(TableJudje[[#This Row],[الحساب الرئيسي]],1)),TableJudje[رقم الحساب],0)),"")</f>
        <v>الاصول</v>
      </c>
    </row>
    <row r="30" spans="1:17" x14ac:dyDescent="0.5">
      <c r="A30" s="2">
        <f>ROW()</f>
        <v>30</v>
      </c>
      <c r="B30" s="2">
        <v>1210</v>
      </c>
      <c r="C30" s="2" t="s">
        <v>193</v>
      </c>
      <c r="D30" s="2">
        <v>12</v>
      </c>
      <c r="E30" s="2">
        <v>3</v>
      </c>
      <c r="F30" s="2" t="s">
        <v>178</v>
      </c>
      <c r="G30" s="2" t="s">
        <v>19</v>
      </c>
      <c r="H30" s="3"/>
      <c r="I30" s="2" t="s">
        <v>20</v>
      </c>
      <c r="J30" s="2"/>
      <c r="K30" s="2" t="s">
        <v>21</v>
      </c>
      <c r="L30" s="2"/>
      <c r="M30" s="2" t="str">
        <f>IF(TableJudje[[#This Row],[الحساب الرئيسي]]=0,"اجمالي",INDEX(TableJudje[اسم الحساب],MATCH(TableJudje[[#This Row],[الحساب الرئيسي]],TableJudje[رقم الحساب],0)))</f>
        <v>الاصول الغير متداولة</v>
      </c>
      <c r="N30" s="2" t="str">
        <f>IF(TableJudje[[#This Row],[المستوى]]&gt;2,INDEX(TableJudje[اسم الحساب],MATCH(VALUE(LEFT(TableJudje[[#This Row],[الحساب الرئيسي]],2)),TableJudje[رقم الحساب],0)),"")</f>
        <v>الاصول الغير متداولة</v>
      </c>
      <c r="O30" s="2" t="str">
        <f>IF(TableJudje[[#This Row],[المستوى]]&gt;3,INDEX(TableJudje[اسم الحساب],MATCH(VALUE(LEFT(TableJudje[[#This Row],[الحساب الرئيسي]],4)),TableJudje[رقم الحساب],0)),"")</f>
        <v/>
      </c>
      <c r="P30" s="2" t="str">
        <f>IF(TableJudje[[#This Row],[المستوى]]&gt;4,INDEX(TableJudje[اسم الحساب],MATCH(VALUE(LEFT(TableJudje[[#This Row],[الحساب الرئيسي]],6)),TableJudje[رقم الحساب],0)),"")</f>
        <v/>
      </c>
      <c r="Q30" s="2" t="str">
        <f>IF(TableJudje[[#This Row],[المستوى]]&gt;1,INDEX(TableJudje[اسم الحساب],MATCH(VALUE(LEFT(TableJudje[[#This Row],[الحساب الرئيسي]],1)),TableJudje[رقم الحساب],0)),"")</f>
        <v>الاصول</v>
      </c>
    </row>
    <row r="31" spans="1:17" x14ac:dyDescent="0.5">
      <c r="A31" s="2">
        <f>ROW()</f>
        <v>31</v>
      </c>
      <c r="B31" s="2">
        <v>1211</v>
      </c>
      <c r="C31" s="2" t="s">
        <v>194</v>
      </c>
      <c r="D31" s="2">
        <v>12</v>
      </c>
      <c r="E31" s="2">
        <v>3</v>
      </c>
      <c r="F31" s="2" t="s">
        <v>178</v>
      </c>
      <c r="G31" s="2" t="s">
        <v>19</v>
      </c>
      <c r="H31" s="3"/>
      <c r="I31" s="2" t="s">
        <v>20</v>
      </c>
      <c r="J31" s="2"/>
      <c r="K31" s="2" t="s">
        <v>21</v>
      </c>
      <c r="L31" s="2"/>
      <c r="M31" s="2" t="str">
        <f>IF(TableJudje[[#This Row],[الحساب الرئيسي]]=0,"اجمالي",INDEX(TableJudje[اسم الحساب],MATCH(TableJudje[[#This Row],[الحساب الرئيسي]],TableJudje[رقم الحساب],0)))</f>
        <v>الاصول الغير متداولة</v>
      </c>
      <c r="N31" s="2" t="str">
        <f>IF(TableJudje[[#This Row],[المستوى]]&gt;2,INDEX(TableJudje[اسم الحساب],MATCH(VALUE(LEFT(TableJudje[[#This Row],[الحساب الرئيسي]],2)),TableJudje[رقم الحساب],0)),"")</f>
        <v>الاصول الغير متداولة</v>
      </c>
      <c r="O31" s="2" t="str">
        <f>IF(TableJudje[[#This Row],[المستوى]]&gt;3,INDEX(TableJudje[اسم الحساب],MATCH(VALUE(LEFT(TableJudje[[#This Row],[الحساب الرئيسي]],4)),TableJudje[رقم الحساب],0)),"")</f>
        <v/>
      </c>
      <c r="P31" s="2" t="str">
        <f>IF(TableJudje[[#This Row],[المستوى]]&gt;4,INDEX(TableJudje[اسم الحساب],MATCH(VALUE(LEFT(TableJudje[[#This Row],[الحساب الرئيسي]],6)),TableJudje[رقم الحساب],0)),"")</f>
        <v/>
      </c>
      <c r="Q31" s="2" t="str">
        <f>IF(TableJudje[[#This Row],[المستوى]]&gt;1,INDEX(TableJudje[اسم الحساب],MATCH(VALUE(LEFT(TableJudje[[#This Row],[الحساب الرئيسي]],1)),TableJudje[رقم الحساب],0)),"")</f>
        <v>الاصول</v>
      </c>
    </row>
    <row r="32" spans="1:17" x14ac:dyDescent="0.5">
      <c r="A32" s="2">
        <f>ROW()</f>
        <v>32</v>
      </c>
      <c r="B32" s="2">
        <v>2101</v>
      </c>
      <c r="C32" s="2" t="s">
        <v>195</v>
      </c>
      <c r="D32" s="2">
        <v>21</v>
      </c>
      <c r="E32" s="2">
        <v>3</v>
      </c>
      <c r="F32" s="2" t="s">
        <v>178</v>
      </c>
      <c r="G32" s="2" t="s">
        <v>19</v>
      </c>
      <c r="H32" s="3"/>
      <c r="I32" s="2" t="s">
        <v>85</v>
      </c>
      <c r="J32" s="2"/>
      <c r="K32" s="2" t="s">
        <v>21</v>
      </c>
      <c r="L32" s="2"/>
      <c r="M32" s="2" t="str">
        <f>IF(TableJudje[[#This Row],[الحساب الرئيسي]]=0,"اجمالي",INDEX(TableJudje[اسم الحساب],MATCH(TableJudje[[#This Row],[الحساب الرئيسي]],TableJudje[رقم الحساب],0)))</f>
        <v>الخصوم المتداولة</v>
      </c>
      <c r="N32" s="2" t="str">
        <f>IF(TableJudje[[#This Row],[المستوى]]&gt;2,INDEX(TableJudje[اسم الحساب],MATCH(VALUE(LEFT(TableJudje[[#This Row],[الحساب الرئيسي]],2)),TableJudje[رقم الحساب],0)),"")</f>
        <v>الخصوم المتداولة</v>
      </c>
      <c r="O32" s="2" t="str">
        <f>IF(TableJudje[[#This Row],[المستوى]]&gt;3,INDEX(TableJudje[اسم الحساب],MATCH(VALUE(LEFT(TableJudje[[#This Row],[الحساب الرئيسي]],4)),TableJudje[رقم الحساب],0)),"")</f>
        <v/>
      </c>
      <c r="P32" s="2" t="str">
        <f>IF(TableJudje[[#This Row],[المستوى]]&gt;4,INDEX(TableJudje[اسم الحساب],MATCH(VALUE(LEFT(TableJudje[[#This Row],[الحساب الرئيسي]],6)),TableJudje[رقم الحساب],0)),"")</f>
        <v/>
      </c>
      <c r="Q32" s="2" t="str">
        <f>IF(TableJudje[[#This Row],[المستوى]]&gt;1,INDEX(TableJudje[اسم الحساب],MATCH(VALUE(LEFT(TableJudje[[#This Row],[الحساب الرئيسي]],1)),TableJudje[رقم الحساب],0)),"")</f>
        <v>الخصوم</v>
      </c>
    </row>
    <row r="33" spans="1:17" x14ac:dyDescent="0.5">
      <c r="A33" s="2">
        <f>ROW()</f>
        <v>33</v>
      </c>
      <c r="B33" s="2">
        <v>2102</v>
      </c>
      <c r="C33" s="2" t="s">
        <v>196</v>
      </c>
      <c r="D33" s="2">
        <v>21</v>
      </c>
      <c r="E33" s="2">
        <v>3</v>
      </c>
      <c r="F33" s="2" t="s">
        <v>178</v>
      </c>
      <c r="G33" s="2" t="s">
        <v>19</v>
      </c>
      <c r="H33" s="3"/>
      <c r="I33" s="2" t="s">
        <v>85</v>
      </c>
      <c r="J33" s="2"/>
      <c r="K33" s="2" t="s">
        <v>21</v>
      </c>
      <c r="L33" s="2"/>
      <c r="M33" s="2" t="str">
        <f>IF(TableJudje[[#This Row],[الحساب الرئيسي]]=0,"اجمالي",INDEX(TableJudje[اسم الحساب],MATCH(TableJudje[[#This Row],[الحساب الرئيسي]],TableJudje[رقم الحساب],0)))</f>
        <v>الخصوم المتداولة</v>
      </c>
      <c r="N33" s="2" t="str">
        <f>IF(TableJudje[[#This Row],[المستوى]]&gt;2,INDEX(TableJudje[اسم الحساب],MATCH(VALUE(LEFT(TableJudje[[#This Row],[الحساب الرئيسي]],2)),TableJudje[رقم الحساب],0)),"")</f>
        <v>الخصوم المتداولة</v>
      </c>
      <c r="O33" s="2" t="str">
        <f>IF(TableJudje[[#This Row],[المستوى]]&gt;3,INDEX(TableJudje[اسم الحساب],MATCH(VALUE(LEFT(TableJudje[[#This Row],[الحساب الرئيسي]],4)),TableJudje[رقم الحساب],0)),"")</f>
        <v/>
      </c>
      <c r="P33" s="2" t="str">
        <f>IF(TableJudje[[#This Row],[المستوى]]&gt;4,INDEX(TableJudje[اسم الحساب],MATCH(VALUE(LEFT(TableJudje[[#This Row],[الحساب الرئيسي]],6)),TableJudje[رقم الحساب],0)),"")</f>
        <v/>
      </c>
      <c r="Q33" s="2" t="str">
        <f>IF(TableJudje[[#This Row],[المستوى]]&gt;1,INDEX(TableJudje[اسم الحساب],MATCH(VALUE(LEFT(TableJudje[[#This Row],[الحساب الرئيسي]],1)),TableJudje[رقم الحساب],0)),"")</f>
        <v>الخصوم</v>
      </c>
    </row>
    <row r="34" spans="1:17" x14ac:dyDescent="0.5">
      <c r="A34" s="2">
        <f>ROW()</f>
        <v>34</v>
      </c>
      <c r="B34" s="2">
        <v>2301</v>
      </c>
      <c r="C34" s="2" t="s">
        <v>197</v>
      </c>
      <c r="D34" s="2">
        <v>23</v>
      </c>
      <c r="E34" s="2">
        <v>3</v>
      </c>
      <c r="F34" s="2" t="s">
        <v>178</v>
      </c>
      <c r="G34" s="2" t="s">
        <v>19</v>
      </c>
      <c r="H34" s="3"/>
      <c r="I34" s="2" t="s">
        <v>85</v>
      </c>
      <c r="J34" s="2"/>
      <c r="K34" s="2" t="s">
        <v>21</v>
      </c>
      <c r="L34" s="2"/>
      <c r="M34" s="2" t="str">
        <f>IF(TableJudje[[#This Row],[الحساب الرئيسي]]=0,"اجمالي",INDEX(TableJudje[اسم الحساب],MATCH(TableJudje[[#This Row],[الحساب الرئيسي]],TableJudje[رقم الحساب],0)))</f>
        <v>حقوق الملكية</v>
      </c>
      <c r="N34" s="2" t="str">
        <f>IF(TableJudje[[#This Row],[المستوى]]&gt;2,INDEX(TableJudje[اسم الحساب],MATCH(VALUE(LEFT(TableJudje[[#This Row],[الحساب الرئيسي]],2)),TableJudje[رقم الحساب],0)),"")</f>
        <v>حقوق الملكية</v>
      </c>
      <c r="O34" s="2" t="str">
        <f>IF(TableJudje[[#This Row],[المستوى]]&gt;3,INDEX(TableJudje[اسم الحساب],MATCH(VALUE(LEFT(TableJudje[[#This Row],[الحساب الرئيسي]],4)),TableJudje[رقم الحساب],0)),"")</f>
        <v/>
      </c>
      <c r="P34" s="2" t="str">
        <f>IF(TableJudje[[#This Row],[المستوى]]&gt;4,INDEX(TableJudje[اسم الحساب],MATCH(VALUE(LEFT(TableJudje[[#This Row],[الحساب الرئيسي]],6)),TableJudje[رقم الحساب],0)),"")</f>
        <v/>
      </c>
      <c r="Q34" s="2" t="str">
        <f>IF(TableJudje[[#This Row],[المستوى]]&gt;1,INDEX(TableJudje[اسم الحساب],MATCH(VALUE(LEFT(TableJudje[[#This Row],[الحساب الرئيسي]],1)),TableJudje[رقم الحساب],0)),"")</f>
        <v>الخصوم</v>
      </c>
    </row>
    <row r="35" spans="1:17" x14ac:dyDescent="0.5">
      <c r="A35" s="2">
        <f>ROW()</f>
        <v>35</v>
      </c>
      <c r="B35" s="2">
        <v>2302</v>
      </c>
      <c r="C35" s="2" t="s">
        <v>198</v>
      </c>
      <c r="D35" s="2">
        <v>23</v>
      </c>
      <c r="E35" s="2">
        <v>3</v>
      </c>
      <c r="F35" s="2" t="s">
        <v>178</v>
      </c>
      <c r="G35" s="2" t="s">
        <v>19</v>
      </c>
      <c r="H35" s="3"/>
      <c r="I35" s="2" t="s">
        <v>85</v>
      </c>
      <c r="J35" s="2"/>
      <c r="K35" s="2" t="s">
        <v>21</v>
      </c>
      <c r="L35" s="2"/>
      <c r="M35" s="2" t="str">
        <f>IF(TableJudje[[#This Row],[الحساب الرئيسي]]=0,"اجمالي",INDEX(TableJudje[اسم الحساب],MATCH(TableJudje[[#This Row],[الحساب الرئيسي]],TableJudje[رقم الحساب],0)))</f>
        <v>حقوق الملكية</v>
      </c>
      <c r="N35" s="2" t="str">
        <f>IF(TableJudje[[#This Row],[المستوى]]&gt;2,INDEX(TableJudje[اسم الحساب],MATCH(VALUE(LEFT(TableJudje[[#This Row],[الحساب الرئيسي]],2)),TableJudje[رقم الحساب],0)),"")</f>
        <v>حقوق الملكية</v>
      </c>
      <c r="O35" s="2" t="str">
        <f>IF(TableJudje[[#This Row],[المستوى]]&gt;3,INDEX(TableJudje[اسم الحساب],MATCH(VALUE(LEFT(TableJudje[[#This Row],[الحساب الرئيسي]],4)),TableJudje[رقم الحساب],0)),"")</f>
        <v/>
      </c>
      <c r="P35" s="2" t="str">
        <f>IF(TableJudje[[#This Row],[المستوى]]&gt;4,INDEX(TableJudje[اسم الحساب],MATCH(VALUE(LEFT(TableJudje[[#This Row],[الحساب الرئيسي]],6)),TableJudje[رقم الحساب],0)),"")</f>
        <v/>
      </c>
      <c r="Q35" s="2" t="str">
        <f>IF(TableJudje[[#This Row],[المستوى]]&gt;1,INDEX(TableJudje[اسم الحساب],MATCH(VALUE(LEFT(TableJudje[[#This Row],[الحساب الرئيسي]],1)),TableJudje[رقم الحساب],0)),"")</f>
        <v>الخصوم</v>
      </c>
    </row>
    <row r="36" spans="1:17" x14ac:dyDescent="0.5">
      <c r="A36" s="2">
        <f>ROW()</f>
        <v>36</v>
      </c>
      <c r="B36" s="2">
        <v>3101</v>
      </c>
      <c r="C36" s="2" t="s">
        <v>175</v>
      </c>
      <c r="D36" s="2">
        <v>31</v>
      </c>
      <c r="E36" s="2">
        <v>3</v>
      </c>
      <c r="F36" s="2" t="s">
        <v>178</v>
      </c>
      <c r="G36" s="2" t="s">
        <v>110</v>
      </c>
      <c r="H36" s="3"/>
      <c r="I36" s="2" t="s">
        <v>20</v>
      </c>
      <c r="J36" s="2"/>
      <c r="K36" s="2" t="s">
        <v>21</v>
      </c>
      <c r="L36" s="2"/>
      <c r="M36" s="2" t="str">
        <f>IF(TableJudje[[#This Row],[الحساب الرئيسي]]=0,"اجمالي",INDEX(TableJudje[اسم الحساب],MATCH(TableJudje[[#This Row],[الحساب الرئيسي]],TableJudje[رقم الحساب],0)))</f>
        <v>المصروفات التشغيلية</v>
      </c>
      <c r="N36" s="2" t="str">
        <f>IF(TableJudje[[#This Row],[المستوى]]&gt;2,INDEX(TableJudje[اسم الحساب],MATCH(VALUE(LEFT(TableJudje[[#This Row],[الحساب الرئيسي]],2)),TableJudje[رقم الحساب],0)),"")</f>
        <v>المصروفات التشغيلية</v>
      </c>
      <c r="O36" s="2" t="str">
        <f>IF(TableJudje[[#This Row],[المستوى]]&gt;3,INDEX(TableJudje[اسم الحساب],MATCH(VALUE(LEFT(TableJudje[[#This Row],[الحساب الرئيسي]],4)),TableJudje[رقم الحساب],0)),"")</f>
        <v/>
      </c>
      <c r="P36" s="2" t="str">
        <f>IF(TableJudje[[#This Row],[المستوى]]&gt;4,INDEX(TableJudje[اسم الحساب],MATCH(VALUE(LEFT(TableJudje[[#This Row],[الحساب الرئيسي]],6)),TableJudje[رقم الحساب],0)),"")</f>
        <v/>
      </c>
      <c r="Q36" s="2" t="str">
        <f>IF(TableJudje[[#This Row],[المستوى]]&gt;1,INDEX(TableJudje[اسم الحساب],MATCH(VALUE(LEFT(TableJudje[[#This Row],[الحساب الرئيسي]],1)),TableJudje[رقم الحساب],0)),"")</f>
        <v>المصروفات</v>
      </c>
    </row>
    <row r="37" spans="1:17" x14ac:dyDescent="0.5">
      <c r="A37" s="2">
        <f>ROW()</f>
        <v>37</v>
      </c>
      <c r="B37" s="2">
        <v>3301</v>
      </c>
      <c r="C37" s="2" t="s">
        <v>199</v>
      </c>
      <c r="D37" s="2">
        <v>33</v>
      </c>
      <c r="E37" s="2">
        <v>3</v>
      </c>
      <c r="F37" s="2" t="s">
        <v>178</v>
      </c>
      <c r="G37" s="2" t="s">
        <v>110</v>
      </c>
      <c r="H37" s="3"/>
      <c r="I37" s="2" t="s">
        <v>20</v>
      </c>
      <c r="J37" s="2"/>
      <c r="K37" s="2" t="s">
        <v>21</v>
      </c>
      <c r="L37" s="2"/>
      <c r="M37" s="2" t="str">
        <f>IF(TableJudje[[#This Row],[الحساب الرئيسي]]=0,"اجمالي",INDEX(TableJudje[اسم الحساب],MATCH(TableJudje[[#This Row],[الحساب الرئيسي]],TableJudje[رقم الحساب],0)))</f>
        <v xml:space="preserve">مرتبات </v>
      </c>
      <c r="N37" s="2" t="str">
        <f>IF(TableJudje[[#This Row],[المستوى]]&gt;2,INDEX(TableJudje[اسم الحساب],MATCH(VALUE(LEFT(TableJudje[[#This Row],[الحساب الرئيسي]],2)),TableJudje[رقم الحساب],0)),"")</f>
        <v xml:space="preserve">مرتبات </v>
      </c>
      <c r="O37" s="2" t="str">
        <f>IF(TableJudje[[#This Row],[المستوى]]&gt;3,INDEX(TableJudje[اسم الحساب],MATCH(VALUE(LEFT(TableJudje[[#This Row],[الحساب الرئيسي]],4)),TableJudje[رقم الحساب],0)),"")</f>
        <v/>
      </c>
      <c r="P37" s="2" t="str">
        <f>IF(TableJudje[[#This Row],[المستوى]]&gt;4,INDEX(TableJudje[اسم الحساب],MATCH(VALUE(LEFT(TableJudje[[#This Row],[الحساب الرئيسي]],6)),TableJudje[رقم الحساب],0)),"")</f>
        <v/>
      </c>
      <c r="Q37" s="2" t="str">
        <f>IF(TableJudje[[#This Row],[المستوى]]&gt;1,INDEX(TableJudje[اسم الحساب],MATCH(VALUE(LEFT(TableJudje[[#This Row],[الحساب الرئيسي]],1)),TableJudje[رقم الحساب],0)),"")</f>
        <v>المصروفات</v>
      </c>
    </row>
    <row r="38" spans="1:17" x14ac:dyDescent="0.5">
      <c r="A38" s="2">
        <f>ROW()</f>
        <v>38</v>
      </c>
      <c r="B38" s="2">
        <v>3302</v>
      </c>
      <c r="C38" s="2" t="s">
        <v>200</v>
      </c>
      <c r="D38" s="2">
        <v>33</v>
      </c>
      <c r="E38" s="2">
        <v>3</v>
      </c>
      <c r="F38" s="2" t="s">
        <v>178</v>
      </c>
      <c r="G38" s="2" t="s">
        <v>110</v>
      </c>
      <c r="H38" s="3"/>
      <c r="I38" s="2" t="s">
        <v>20</v>
      </c>
      <c r="J38" s="2"/>
      <c r="K38" s="2" t="s">
        <v>21</v>
      </c>
      <c r="L38" s="2"/>
      <c r="M38" s="2" t="str">
        <f>IF(TableJudje[[#This Row],[الحساب الرئيسي]]=0,"اجمالي",INDEX(TableJudje[اسم الحساب],MATCH(TableJudje[[#This Row],[الحساب الرئيسي]],TableJudje[رقم الحساب],0)))</f>
        <v xml:space="preserve">مرتبات </v>
      </c>
      <c r="N38" s="2" t="str">
        <f>IF(TableJudje[[#This Row],[المستوى]]&gt;2,INDEX(TableJudje[اسم الحساب],MATCH(VALUE(LEFT(TableJudje[[#This Row],[الحساب الرئيسي]],2)),TableJudje[رقم الحساب],0)),"")</f>
        <v xml:space="preserve">مرتبات </v>
      </c>
      <c r="O38" s="2" t="str">
        <f>IF(TableJudje[[#This Row],[المستوى]]&gt;3,INDEX(TableJudje[اسم الحساب],MATCH(VALUE(LEFT(TableJudje[[#This Row],[الحساب الرئيسي]],4)),TableJudje[رقم الحساب],0)),"")</f>
        <v/>
      </c>
      <c r="P38" s="2" t="str">
        <f>IF(TableJudje[[#This Row],[المستوى]]&gt;4,INDEX(TableJudje[اسم الحساب],MATCH(VALUE(LEFT(TableJudje[[#This Row],[الحساب الرئيسي]],6)),TableJudje[رقم الحساب],0)),"")</f>
        <v/>
      </c>
      <c r="Q38" s="2" t="str">
        <f>IF(TableJudje[[#This Row],[المستوى]]&gt;1,INDEX(TableJudje[اسم الحساب],MATCH(VALUE(LEFT(TableJudje[[#This Row],[الحساب الرئيسي]],1)),TableJudje[رقم الحساب],0)),"")</f>
        <v>المصروفات</v>
      </c>
    </row>
    <row r="39" spans="1:17" x14ac:dyDescent="0.5">
      <c r="A39" s="2">
        <f>ROW()</f>
        <v>39</v>
      </c>
      <c r="B39" s="2">
        <v>4101</v>
      </c>
      <c r="C39" s="2" t="s">
        <v>201</v>
      </c>
      <c r="D39" s="2">
        <v>41</v>
      </c>
      <c r="E39" s="2">
        <v>3</v>
      </c>
      <c r="F39" s="2" t="s">
        <v>178</v>
      </c>
      <c r="G39" s="2" t="s">
        <v>110</v>
      </c>
      <c r="H39" s="3"/>
      <c r="I39" s="2" t="s">
        <v>20</v>
      </c>
      <c r="J39" s="2"/>
      <c r="K39" s="2" t="s">
        <v>21</v>
      </c>
      <c r="L39" s="2"/>
      <c r="M39" s="2" t="str">
        <f>IF(TableJudje[[#This Row],[الحساب الرئيسي]]=0,"اجمالي",INDEX(TableJudje[اسم الحساب],MATCH(TableJudje[[#This Row],[الحساب الرئيسي]],TableJudje[رقم الحساب],0)))</f>
        <v>ايراد النشاط</v>
      </c>
      <c r="N39" s="2" t="str">
        <f>IF(TableJudje[[#This Row],[المستوى]]&gt;2,INDEX(TableJudje[اسم الحساب],MATCH(VALUE(LEFT(TableJudje[[#This Row],[الحساب الرئيسي]],2)),TableJudje[رقم الحساب],0)),"")</f>
        <v>ايراد النشاط</v>
      </c>
      <c r="O39" s="2" t="str">
        <f>IF(TableJudje[[#This Row],[المستوى]]&gt;3,INDEX(TableJudje[اسم الحساب],MATCH(VALUE(LEFT(TableJudje[[#This Row],[الحساب الرئيسي]],4)),TableJudje[رقم الحساب],0)),"")</f>
        <v/>
      </c>
      <c r="P39" s="2" t="str">
        <f>IF(TableJudje[[#This Row],[المستوى]]&gt;4,INDEX(TableJudje[اسم الحساب],MATCH(VALUE(LEFT(TableJudje[[#This Row],[الحساب الرئيسي]],6)),TableJudje[رقم الحساب],0)),"")</f>
        <v/>
      </c>
      <c r="Q39" s="2" t="str">
        <f>IF(TableJudje[[#This Row],[المستوى]]&gt;1,INDEX(TableJudje[اسم الحساب],MATCH(VALUE(LEFT(TableJudje[[#This Row],[الحساب الرئيسي]],1)),TableJudje[رقم الحساب],0)),"")</f>
        <v>الايرادات</v>
      </c>
    </row>
    <row r="40" spans="1:17" x14ac:dyDescent="0.5">
      <c r="A40" s="2">
        <f>ROW()</f>
        <v>40</v>
      </c>
      <c r="B40" s="2">
        <v>110101</v>
      </c>
      <c r="C40" s="2" t="s">
        <v>17</v>
      </c>
      <c r="D40" s="2">
        <v>1101</v>
      </c>
      <c r="E40" s="2">
        <v>4</v>
      </c>
      <c r="F40" s="2" t="s">
        <v>18</v>
      </c>
      <c r="G40" s="2" t="s">
        <v>19</v>
      </c>
      <c r="H40" s="3"/>
      <c r="I40" s="2" t="s">
        <v>20</v>
      </c>
      <c r="J40" s="2"/>
      <c r="K40" s="2" t="s">
        <v>21</v>
      </c>
      <c r="L40" s="2"/>
      <c r="M40" s="2" t="str">
        <f>IF(TableJudje[[#This Row],[الحساب الرئيسي]]=0,"اجمالي",INDEX(TableJudje[اسم الحساب],MATCH(TableJudje[[#This Row],[الحساب الرئيسي]],TableJudje[رقم الحساب],0)))</f>
        <v>النقدية في الصناديق</v>
      </c>
      <c r="N40" s="2" t="str">
        <f>IF(TableJudje[[#This Row],[المستوى]]&gt;2,INDEX(TableJudje[اسم الحساب],MATCH(VALUE(LEFT(TableJudje[[#This Row],[الحساب الرئيسي]],2)),TableJudje[رقم الحساب],0)),"")</f>
        <v>الاصول المتداولة</v>
      </c>
      <c r="O40" s="2" t="str">
        <f>IF(TableJudje[[#This Row],[المستوى]]&gt;3,INDEX(TableJudje[اسم الحساب],MATCH(VALUE(LEFT(TableJudje[[#This Row],[الحساب الرئيسي]],4)),TableJudje[رقم الحساب],0)),"")</f>
        <v>النقدية في الصناديق</v>
      </c>
      <c r="P40" s="2" t="str">
        <f>IF(TableJudje[[#This Row],[المستوى]]&gt;4,INDEX(TableJudje[اسم الحساب],MATCH(VALUE(LEFT(TableJudje[[#This Row],[الحساب الرئيسي]],6)),TableJudje[رقم الحساب],0)),"")</f>
        <v/>
      </c>
      <c r="Q40" s="2" t="str">
        <f>IF(TableJudje[[#This Row],[المستوى]]&gt;1,INDEX(TableJudje[اسم الحساب],MATCH(VALUE(LEFT(TableJudje[[#This Row],[الحساب الرئيسي]],1)),TableJudje[رقم الحساب],0)),"")</f>
        <v>الاصول</v>
      </c>
    </row>
    <row r="41" spans="1:17" x14ac:dyDescent="0.5">
      <c r="A41" s="2">
        <f>ROW()</f>
        <v>41</v>
      </c>
      <c r="B41" s="2">
        <v>110102</v>
      </c>
      <c r="C41" s="2" t="s">
        <v>22</v>
      </c>
      <c r="D41" s="2">
        <v>1101</v>
      </c>
      <c r="E41" s="2">
        <v>4</v>
      </c>
      <c r="F41" s="2" t="s">
        <v>18</v>
      </c>
      <c r="G41" s="2" t="s">
        <v>19</v>
      </c>
      <c r="H41" s="3"/>
      <c r="I41" s="2" t="s">
        <v>20</v>
      </c>
      <c r="J41" s="2"/>
      <c r="K41" s="2" t="s">
        <v>21</v>
      </c>
      <c r="L41" s="2"/>
      <c r="M41" s="2" t="str">
        <f>IF(TableJudje[[#This Row],[الحساب الرئيسي]]=0,"اجمالي",INDEX(TableJudje[اسم الحساب],MATCH(TableJudje[[#This Row],[الحساب الرئيسي]],TableJudje[رقم الحساب],0)))</f>
        <v>النقدية في الصناديق</v>
      </c>
      <c r="N41" s="2" t="str">
        <f>IF(TableJudje[[#This Row],[المستوى]]&gt;2,INDEX(TableJudje[اسم الحساب],MATCH(VALUE(LEFT(TableJudje[[#This Row],[الحساب الرئيسي]],2)),TableJudje[رقم الحساب],0)),"")</f>
        <v>الاصول المتداولة</v>
      </c>
      <c r="O41" s="2" t="str">
        <f>IF(TableJudje[[#This Row],[المستوى]]&gt;3,INDEX(TableJudje[اسم الحساب],MATCH(VALUE(LEFT(TableJudje[[#This Row],[الحساب الرئيسي]],4)),TableJudje[رقم الحساب],0)),"")</f>
        <v>النقدية في الصناديق</v>
      </c>
      <c r="P41" s="2" t="str">
        <f>IF(TableJudje[[#This Row],[المستوى]]&gt;4,INDEX(TableJudje[اسم الحساب],MATCH(VALUE(LEFT(TableJudje[[#This Row],[الحساب الرئيسي]],6)),TableJudje[رقم الحساب],0)),"")</f>
        <v/>
      </c>
      <c r="Q41" s="2" t="str">
        <f>IF(TableJudje[[#This Row],[المستوى]]&gt;1,INDEX(TableJudje[اسم الحساب],MATCH(VALUE(LEFT(TableJudje[[#This Row],[الحساب الرئيسي]],1)),TableJudje[رقم الحساب],0)),"")</f>
        <v>الاصول</v>
      </c>
    </row>
    <row r="42" spans="1:17" x14ac:dyDescent="0.5">
      <c r="A42" s="2">
        <f>ROW()</f>
        <v>42</v>
      </c>
      <c r="B42" s="2">
        <v>110201</v>
      </c>
      <c r="C42" s="2" t="s">
        <v>32</v>
      </c>
      <c r="D42" s="2">
        <v>1102</v>
      </c>
      <c r="E42" s="2">
        <v>4</v>
      </c>
      <c r="F42" s="2" t="s">
        <v>18</v>
      </c>
      <c r="G42" s="2" t="s">
        <v>19</v>
      </c>
      <c r="H42" s="3"/>
      <c r="I42" s="2" t="s">
        <v>20</v>
      </c>
      <c r="J42" s="2" t="s">
        <v>33</v>
      </c>
      <c r="K42" s="2" t="s">
        <v>21</v>
      </c>
      <c r="L42" s="2"/>
      <c r="M42" s="2" t="str">
        <f>IF(TableJudje[[#This Row],[الحساب الرئيسي]]=0,"اجمالي",INDEX(TableJudje[اسم الحساب],MATCH(TableJudje[[#This Row],[الحساب الرئيسي]],TableJudje[رقم الحساب],0)))</f>
        <v>النقدية في البنوك</v>
      </c>
      <c r="N42" s="2" t="str">
        <f>IF(TableJudje[[#This Row],[المستوى]]&gt;2,INDEX(TableJudje[اسم الحساب],MATCH(VALUE(LEFT(TableJudje[[#This Row],[الحساب الرئيسي]],2)),TableJudje[رقم الحساب],0)),"")</f>
        <v>الاصول المتداولة</v>
      </c>
      <c r="O42" s="2" t="str">
        <f>IF(TableJudje[[#This Row],[المستوى]]&gt;3,INDEX(TableJudje[اسم الحساب],MATCH(VALUE(LEFT(TableJudje[[#This Row],[الحساب الرئيسي]],4)),TableJudje[رقم الحساب],0)),"")</f>
        <v>النقدية في البنوك</v>
      </c>
      <c r="P42" s="2" t="str">
        <f>IF(TableJudje[[#This Row],[المستوى]]&gt;4,INDEX(TableJudje[اسم الحساب],MATCH(VALUE(LEFT(TableJudje[[#This Row],[الحساب الرئيسي]],6)),TableJudje[رقم الحساب],0)),"")</f>
        <v/>
      </c>
      <c r="Q42" s="2" t="str">
        <f>IF(TableJudje[[#This Row],[المستوى]]&gt;1,INDEX(TableJudje[اسم الحساب],MATCH(VALUE(LEFT(TableJudje[[#This Row],[الحساب الرئيسي]],1)),TableJudje[رقم الحساب],0)),"")</f>
        <v>الاصول</v>
      </c>
    </row>
    <row r="43" spans="1:17" x14ac:dyDescent="0.5">
      <c r="A43" s="2">
        <f>ROW()</f>
        <v>43</v>
      </c>
      <c r="B43" s="2">
        <v>110301</v>
      </c>
      <c r="C43" s="2" t="s">
        <v>38</v>
      </c>
      <c r="D43" s="2">
        <v>1103</v>
      </c>
      <c r="E43" s="2">
        <v>4</v>
      </c>
      <c r="F43" s="2" t="s">
        <v>18</v>
      </c>
      <c r="G43" s="2" t="s">
        <v>19</v>
      </c>
      <c r="H43" s="3"/>
      <c r="I43" s="2" t="s">
        <v>20</v>
      </c>
      <c r="J43" s="2"/>
      <c r="K43" s="2" t="s">
        <v>21</v>
      </c>
      <c r="L43" s="2"/>
      <c r="M43" s="2" t="str">
        <f>IF(TableJudje[[#This Row],[الحساب الرئيسي]]=0,"اجمالي",INDEX(TableJudje[اسم الحساب],MATCH(TableJudje[[#This Row],[الحساب الرئيسي]],TableJudje[رقم الحساب],0)))</f>
        <v>العملاء</v>
      </c>
      <c r="N43" s="2" t="str">
        <f>IF(TableJudje[[#This Row],[المستوى]]&gt;2,INDEX(TableJudje[اسم الحساب],MATCH(VALUE(LEFT(TableJudje[[#This Row],[الحساب الرئيسي]],2)),TableJudje[رقم الحساب],0)),"")</f>
        <v>الاصول المتداولة</v>
      </c>
      <c r="O43" s="2" t="str">
        <f>IF(TableJudje[[#This Row],[المستوى]]&gt;3,INDEX(TableJudje[اسم الحساب],MATCH(VALUE(LEFT(TableJudje[[#This Row],[الحساب الرئيسي]],4)),TableJudje[رقم الحساب],0)),"")</f>
        <v>العملاء</v>
      </c>
      <c r="P43" s="2" t="str">
        <f>IF(TableJudje[[#This Row],[المستوى]]&gt;4,INDEX(TableJudje[اسم الحساب],MATCH(VALUE(LEFT(TableJudje[[#This Row],[الحساب الرئيسي]],6)),TableJudje[رقم الحساب],0)),"")</f>
        <v/>
      </c>
      <c r="Q43" s="2" t="str">
        <f>IF(TableJudje[[#This Row],[المستوى]]&gt;1,INDEX(TableJudje[اسم الحساب],MATCH(VALUE(LEFT(TableJudje[[#This Row],[الحساب الرئيسي]],1)),TableJudje[رقم الحساب],0)),"")</f>
        <v>الاصول</v>
      </c>
    </row>
    <row r="44" spans="1:17" x14ac:dyDescent="0.5">
      <c r="A44" s="2">
        <f>ROW()</f>
        <v>44</v>
      </c>
      <c r="B44" s="2">
        <v>110302</v>
      </c>
      <c r="C44" s="2" t="s">
        <v>41</v>
      </c>
      <c r="D44" s="2">
        <v>1103</v>
      </c>
      <c r="E44" s="2">
        <v>4</v>
      </c>
      <c r="F44" s="2" t="s">
        <v>18</v>
      </c>
      <c r="G44" s="2" t="s">
        <v>19</v>
      </c>
      <c r="H44" s="3"/>
      <c r="I44" s="2" t="s">
        <v>20</v>
      </c>
      <c r="J44" s="2"/>
      <c r="K44" s="2" t="s">
        <v>21</v>
      </c>
      <c r="L44" s="2"/>
      <c r="M44" s="2" t="str">
        <f>IF(TableJudje[[#This Row],[الحساب الرئيسي]]=0,"اجمالي",INDEX(TableJudje[اسم الحساب],MATCH(TableJudje[[#This Row],[الحساب الرئيسي]],TableJudje[رقم الحساب],0)))</f>
        <v>العملاء</v>
      </c>
      <c r="N44" s="2" t="str">
        <f>IF(TableJudje[[#This Row],[المستوى]]&gt;2,INDEX(TableJudje[اسم الحساب],MATCH(VALUE(LEFT(TableJudje[[#This Row],[الحساب الرئيسي]],2)),TableJudje[رقم الحساب],0)),"")</f>
        <v>الاصول المتداولة</v>
      </c>
      <c r="O44" s="2" t="str">
        <f>IF(TableJudje[[#This Row],[المستوى]]&gt;3,INDEX(TableJudje[اسم الحساب],MATCH(VALUE(LEFT(TableJudje[[#This Row],[الحساب الرئيسي]],4)),TableJudje[رقم الحساب],0)),"")</f>
        <v>العملاء</v>
      </c>
      <c r="P44" s="2" t="str">
        <f>IF(TableJudje[[#This Row],[المستوى]]&gt;4,INDEX(TableJudje[اسم الحساب],MATCH(VALUE(LEFT(TableJudje[[#This Row],[الحساب الرئيسي]],6)),TableJudje[رقم الحساب],0)),"")</f>
        <v/>
      </c>
      <c r="Q44" s="2" t="str">
        <f>IF(TableJudje[[#This Row],[المستوى]]&gt;1,INDEX(TableJudje[اسم الحساب],MATCH(VALUE(LEFT(TableJudje[[#This Row],[الحساب الرئيسي]],1)),TableJudje[رقم الحساب],0)),"")</f>
        <v>الاصول</v>
      </c>
    </row>
    <row r="45" spans="1:17" x14ac:dyDescent="0.5">
      <c r="A45" s="2">
        <f>ROW()</f>
        <v>45</v>
      </c>
      <c r="B45" s="2">
        <v>110401</v>
      </c>
      <c r="C45" s="2" t="s">
        <v>43</v>
      </c>
      <c r="D45" s="2">
        <v>1104</v>
      </c>
      <c r="E45" s="2">
        <v>4</v>
      </c>
      <c r="F45" s="2" t="s">
        <v>18</v>
      </c>
      <c r="G45" s="2" t="s">
        <v>19</v>
      </c>
      <c r="H45" s="3"/>
      <c r="I45" s="2" t="s">
        <v>20</v>
      </c>
      <c r="J45" s="2"/>
      <c r="K45" s="2" t="s">
        <v>21</v>
      </c>
      <c r="L45" s="2"/>
      <c r="M45" s="2" t="str">
        <f>IF(TableJudje[[#This Row],[الحساب الرئيسي]]=0,"اجمالي",INDEX(TableJudje[اسم الحساب],MATCH(TableJudje[[#This Row],[الحساب الرئيسي]],TableJudje[رقم الحساب],0)))</f>
        <v>ارصدة مدينة</v>
      </c>
      <c r="N45" s="2" t="str">
        <f>IF(TableJudje[[#This Row],[المستوى]]&gt;2,INDEX(TableJudje[اسم الحساب],MATCH(VALUE(LEFT(TableJudje[[#This Row],[الحساب الرئيسي]],2)),TableJudje[رقم الحساب],0)),"")</f>
        <v>الاصول المتداولة</v>
      </c>
      <c r="O45" s="2" t="str">
        <f>IF(TableJudje[[#This Row],[المستوى]]&gt;3,INDEX(TableJudje[اسم الحساب],MATCH(VALUE(LEFT(TableJudje[[#This Row],[الحساب الرئيسي]],4)),TableJudje[رقم الحساب],0)),"")</f>
        <v>ارصدة مدينة</v>
      </c>
      <c r="P45" s="2" t="str">
        <f>IF(TableJudje[[#This Row],[المستوى]]&gt;4,INDEX(TableJudje[اسم الحساب],MATCH(VALUE(LEFT(TableJudje[[#This Row],[الحساب الرئيسي]],6)),TableJudje[رقم الحساب],0)),"")</f>
        <v/>
      </c>
      <c r="Q45" s="2" t="str">
        <f>IF(TableJudje[[#This Row],[المستوى]]&gt;1,INDEX(TableJudje[اسم الحساب],MATCH(VALUE(LEFT(TableJudje[[#This Row],[الحساب الرئيسي]],1)),TableJudje[رقم الحساب],0)),"")</f>
        <v>الاصول</v>
      </c>
    </row>
    <row r="46" spans="1:17" x14ac:dyDescent="0.5">
      <c r="A46" s="2">
        <f>ROW()</f>
        <v>46</v>
      </c>
      <c r="B46" s="2">
        <v>110402</v>
      </c>
      <c r="C46" s="2" t="s">
        <v>52</v>
      </c>
      <c r="D46" s="2">
        <v>1104</v>
      </c>
      <c r="E46" s="2">
        <v>4</v>
      </c>
      <c r="F46" s="2" t="s">
        <v>18</v>
      </c>
      <c r="G46" s="2" t="s">
        <v>19</v>
      </c>
      <c r="H46" s="3"/>
      <c r="I46" s="2" t="s">
        <v>20</v>
      </c>
      <c r="J46" s="2"/>
      <c r="K46" s="2" t="s">
        <v>21</v>
      </c>
      <c r="L46" s="2"/>
      <c r="M46" s="2" t="str">
        <f>IF(TableJudje[[#This Row],[الحساب الرئيسي]]=0,"اجمالي",INDEX(TableJudje[اسم الحساب],MATCH(TableJudje[[#This Row],[الحساب الرئيسي]],TableJudje[رقم الحساب],0)))</f>
        <v>ارصدة مدينة</v>
      </c>
      <c r="N46" s="2" t="str">
        <f>IF(TableJudje[[#This Row],[المستوى]]&gt;2,INDEX(TableJudje[اسم الحساب],MATCH(VALUE(LEFT(TableJudje[[#This Row],[الحساب الرئيسي]],2)),TableJudje[رقم الحساب],0)),"")</f>
        <v>الاصول المتداولة</v>
      </c>
      <c r="O46" s="2" t="str">
        <f>IF(TableJudje[[#This Row],[المستوى]]&gt;3,INDEX(TableJudje[اسم الحساب],MATCH(VALUE(LEFT(TableJudje[[#This Row],[الحساب الرئيسي]],4)),TableJudje[رقم الحساب],0)),"")</f>
        <v>ارصدة مدينة</v>
      </c>
      <c r="P46" s="2" t="str">
        <f>IF(TableJudje[[#This Row],[المستوى]]&gt;4,INDEX(TableJudje[اسم الحساب],MATCH(VALUE(LEFT(TableJudje[[#This Row],[الحساب الرئيسي]],6)),TableJudje[رقم الحساب],0)),"")</f>
        <v/>
      </c>
      <c r="Q46" s="2" t="str">
        <f>IF(TableJudje[[#This Row],[المستوى]]&gt;1,INDEX(TableJudje[اسم الحساب],MATCH(VALUE(LEFT(TableJudje[[#This Row],[الحساب الرئيسي]],1)),TableJudje[رقم الحساب],0)),"")</f>
        <v>الاصول</v>
      </c>
    </row>
    <row r="47" spans="1:17" x14ac:dyDescent="0.5">
      <c r="A47" s="2">
        <f>ROW()</f>
        <v>47</v>
      </c>
      <c r="B47" s="2">
        <v>110501</v>
      </c>
      <c r="C47" s="2" t="s">
        <v>46</v>
      </c>
      <c r="D47" s="2">
        <v>1105</v>
      </c>
      <c r="E47" s="2">
        <v>4</v>
      </c>
      <c r="F47" s="2" t="s">
        <v>18</v>
      </c>
      <c r="G47" s="2" t="s">
        <v>19</v>
      </c>
      <c r="H47" s="3"/>
      <c r="I47" s="2" t="s">
        <v>20</v>
      </c>
      <c r="J47" s="2"/>
      <c r="K47" s="2" t="s">
        <v>21</v>
      </c>
      <c r="L47" s="2"/>
      <c r="M47" s="2" t="str">
        <f>IF(TableJudje[[#This Row],[الحساب الرئيسي]]=0,"اجمالي",INDEX(TableJudje[اسم الحساب],MATCH(TableJudje[[#This Row],[الحساب الرئيسي]],TableJudje[رقم الحساب],0)))</f>
        <v>المخزون</v>
      </c>
      <c r="N47" s="2" t="str">
        <f>IF(TableJudje[[#This Row],[المستوى]]&gt;2,INDEX(TableJudje[اسم الحساب],MATCH(VALUE(LEFT(TableJudje[[#This Row],[الحساب الرئيسي]],2)),TableJudje[رقم الحساب],0)),"")</f>
        <v>الاصول المتداولة</v>
      </c>
      <c r="O47" s="2" t="str">
        <f>IF(TableJudje[[#This Row],[المستوى]]&gt;3,INDEX(TableJudje[اسم الحساب],MATCH(VALUE(LEFT(TableJudje[[#This Row],[الحساب الرئيسي]],4)),TableJudje[رقم الحساب],0)),"")</f>
        <v>المخزون</v>
      </c>
      <c r="P47" s="2" t="str">
        <f>IF(TableJudje[[#This Row],[المستوى]]&gt;4,INDEX(TableJudje[اسم الحساب],MATCH(VALUE(LEFT(TableJudje[[#This Row],[الحساب الرئيسي]],6)),TableJudje[رقم الحساب],0)),"")</f>
        <v/>
      </c>
      <c r="Q47" s="2" t="str">
        <f>IF(TableJudje[[#This Row],[المستوى]]&gt;1,INDEX(TableJudje[اسم الحساب],MATCH(VALUE(LEFT(TableJudje[[#This Row],[الحساب الرئيسي]],1)),TableJudje[رقم الحساب],0)),"")</f>
        <v>الاصول</v>
      </c>
    </row>
    <row r="48" spans="1:17" x14ac:dyDescent="0.5">
      <c r="A48" s="2">
        <f>ROW()</f>
        <v>48</v>
      </c>
      <c r="B48" s="2">
        <v>110601</v>
      </c>
      <c r="C48" s="2" t="s">
        <v>55</v>
      </c>
      <c r="D48" s="2">
        <v>1106</v>
      </c>
      <c r="E48" s="2">
        <v>4</v>
      </c>
      <c r="F48" s="2" t="s">
        <v>18</v>
      </c>
      <c r="G48" s="2" t="s">
        <v>19</v>
      </c>
      <c r="H48" s="3"/>
      <c r="I48" s="2" t="s">
        <v>20</v>
      </c>
      <c r="J48" s="2"/>
      <c r="K48" s="2" t="s">
        <v>21</v>
      </c>
      <c r="L48" s="2"/>
      <c r="M48" s="2" t="str">
        <f>IF(TableJudje[[#This Row],[الحساب الرئيسي]]=0,"اجمالي",INDEX(TableJudje[اسم الحساب],MATCH(TableJudje[[#This Row],[الحساب الرئيسي]],TableJudje[رقم الحساب],0)))</f>
        <v>سلف و عهد الموضفين</v>
      </c>
      <c r="N48" s="2" t="str">
        <f>IF(TableJudje[[#This Row],[المستوى]]&gt;2,INDEX(TableJudje[اسم الحساب],MATCH(VALUE(LEFT(TableJudje[[#This Row],[الحساب الرئيسي]],2)),TableJudje[رقم الحساب],0)),"")</f>
        <v>الاصول المتداولة</v>
      </c>
      <c r="O48" s="2" t="str">
        <f>IF(TableJudje[[#This Row],[المستوى]]&gt;3,INDEX(TableJudje[اسم الحساب],MATCH(VALUE(LEFT(TableJudje[[#This Row],[الحساب الرئيسي]],4)),TableJudje[رقم الحساب],0)),"")</f>
        <v>سلف و عهد الموضفين</v>
      </c>
      <c r="P48" s="2" t="str">
        <f>IF(TableJudje[[#This Row],[المستوى]]&gt;4,INDEX(TableJudje[اسم الحساب],MATCH(VALUE(LEFT(TableJudje[[#This Row],[الحساب الرئيسي]],6)),TableJudje[رقم الحساب],0)),"")</f>
        <v/>
      </c>
      <c r="Q48" s="2" t="str">
        <f>IF(TableJudje[[#This Row],[المستوى]]&gt;1,INDEX(TableJudje[اسم الحساب],MATCH(VALUE(LEFT(TableJudje[[#This Row],[الحساب الرئيسي]],1)),TableJudje[رقم الحساب],0)),"")</f>
        <v>الاصول</v>
      </c>
    </row>
    <row r="49" spans="1:17" x14ac:dyDescent="0.5">
      <c r="A49" s="2">
        <f>ROW()</f>
        <v>49</v>
      </c>
      <c r="B49" s="2">
        <v>110602</v>
      </c>
      <c r="C49" s="2" t="s">
        <v>56</v>
      </c>
      <c r="D49" s="2">
        <v>1106</v>
      </c>
      <c r="E49" s="2">
        <v>4</v>
      </c>
      <c r="F49" s="2" t="s">
        <v>18</v>
      </c>
      <c r="G49" s="2" t="s">
        <v>19</v>
      </c>
      <c r="H49" s="3"/>
      <c r="I49" s="2" t="s">
        <v>20</v>
      </c>
      <c r="J49" s="2"/>
      <c r="K49" s="2" t="s">
        <v>21</v>
      </c>
      <c r="L49" s="2"/>
      <c r="M49" s="2" t="str">
        <f>IF(TableJudje[[#This Row],[الحساب الرئيسي]]=0,"اجمالي",INDEX(TableJudje[اسم الحساب],MATCH(TableJudje[[#This Row],[الحساب الرئيسي]],TableJudje[رقم الحساب],0)))</f>
        <v>سلف و عهد الموضفين</v>
      </c>
      <c r="N49" s="2" t="str">
        <f>IF(TableJudje[[#This Row],[المستوى]]&gt;2,INDEX(TableJudje[اسم الحساب],MATCH(VALUE(LEFT(TableJudje[[#This Row],[الحساب الرئيسي]],2)),TableJudje[رقم الحساب],0)),"")</f>
        <v>الاصول المتداولة</v>
      </c>
      <c r="O49" s="2" t="str">
        <f>IF(TableJudje[[#This Row],[المستوى]]&gt;3,INDEX(TableJudje[اسم الحساب],MATCH(VALUE(LEFT(TableJudje[[#This Row],[الحساب الرئيسي]],4)),TableJudje[رقم الحساب],0)),"")</f>
        <v>سلف و عهد الموضفين</v>
      </c>
      <c r="P49" s="2" t="str">
        <f>IF(TableJudje[[#This Row],[المستوى]]&gt;4,INDEX(TableJudje[اسم الحساب],MATCH(VALUE(LEFT(TableJudje[[#This Row],[الحساب الرئيسي]],6)),TableJudje[رقم الحساب],0)),"")</f>
        <v/>
      </c>
      <c r="Q49" s="2" t="str">
        <f>IF(TableJudje[[#This Row],[المستوى]]&gt;1,INDEX(TableJudje[اسم الحساب],MATCH(VALUE(LEFT(TableJudje[[#This Row],[الحساب الرئيسي]],1)),TableJudje[رقم الحساب],0)),"")</f>
        <v>الاصول</v>
      </c>
    </row>
    <row r="50" spans="1:17" x14ac:dyDescent="0.5">
      <c r="A50" s="2">
        <f>ROW()</f>
        <v>50</v>
      </c>
      <c r="B50" s="2">
        <v>120101</v>
      </c>
      <c r="C50" s="2" t="s">
        <v>63</v>
      </c>
      <c r="D50" s="2">
        <v>1201</v>
      </c>
      <c r="E50" s="2">
        <v>4</v>
      </c>
      <c r="F50" s="2" t="s">
        <v>18</v>
      </c>
      <c r="G50" s="2" t="s">
        <v>19</v>
      </c>
      <c r="H50" s="3"/>
      <c r="I50" s="2" t="s">
        <v>20</v>
      </c>
      <c r="J50" s="2"/>
      <c r="K50" s="2" t="s">
        <v>21</v>
      </c>
      <c r="L50" s="2"/>
      <c r="M50" s="2" t="str">
        <f>IF(TableJudje[[#This Row],[الحساب الرئيسي]]=0,"اجمالي",INDEX(TableJudje[اسم الحساب],MATCH(TableJudje[[#This Row],[الحساب الرئيسي]],TableJudje[رقم الحساب],0)))</f>
        <v>السيارات والباصات</v>
      </c>
      <c r="N50" s="2" t="str">
        <f>IF(TableJudje[[#This Row],[المستوى]]&gt;2,INDEX(TableJudje[اسم الحساب],MATCH(VALUE(LEFT(TableJudje[[#This Row],[الحساب الرئيسي]],2)),TableJudje[رقم الحساب],0)),"")</f>
        <v>الاصول الغير متداولة</v>
      </c>
      <c r="O50" s="2" t="str">
        <f>IF(TableJudje[[#This Row],[المستوى]]&gt;3,INDEX(TableJudje[اسم الحساب],MATCH(VALUE(LEFT(TableJudje[[#This Row],[الحساب الرئيسي]],4)),TableJudje[رقم الحساب],0)),"")</f>
        <v>السيارات والباصات</v>
      </c>
      <c r="P50" s="2" t="str">
        <f>IF(TableJudje[[#This Row],[المستوى]]&gt;4,INDEX(TableJudje[اسم الحساب],MATCH(VALUE(LEFT(TableJudje[[#This Row],[الحساب الرئيسي]],6)),TableJudje[رقم الحساب],0)),"")</f>
        <v/>
      </c>
      <c r="Q50" s="2" t="str">
        <f>IF(TableJudje[[#This Row],[المستوى]]&gt;1,INDEX(TableJudje[اسم الحساب],MATCH(VALUE(LEFT(TableJudje[[#This Row],[الحساب الرئيسي]],1)),TableJudje[رقم الحساب],0)),"")</f>
        <v>الاصول</v>
      </c>
    </row>
    <row r="51" spans="1:17" x14ac:dyDescent="0.5">
      <c r="A51" s="2">
        <f>ROW()</f>
        <v>51</v>
      </c>
      <c r="B51" s="2">
        <v>120201</v>
      </c>
      <c r="C51" s="2" t="s">
        <v>64</v>
      </c>
      <c r="D51" s="2">
        <v>1202</v>
      </c>
      <c r="E51" s="2">
        <v>4</v>
      </c>
      <c r="F51" s="2" t="s">
        <v>18</v>
      </c>
      <c r="G51" s="2" t="s">
        <v>19</v>
      </c>
      <c r="H51" s="3"/>
      <c r="I51" s="2" t="s">
        <v>20</v>
      </c>
      <c r="J51" s="2"/>
      <c r="K51" s="2" t="s">
        <v>21</v>
      </c>
      <c r="L51" s="2"/>
      <c r="M51" s="2" t="str">
        <f>IF(TableJudje[[#This Row],[الحساب الرئيسي]]=0,"اجمالي",INDEX(TableJudje[اسم الحساب],MATCH(TableJudje[[#This Row],[الحساب الرئيسي]],TableJudje[رقم الحساب],0)))</f>
        <v>الأثاث المكتبي والمفروشات</v>
      </c>
      <c r="N51" s="2" t="str">
        <f>IF(TableJudje[[#This Row],[المستوى]]&gt;2,INDEX(TableJudje[اسم الحساب],MATCH(VALUE(LEFT(TableJudje[[#This Row],[الحساب الرئيسي]],2)),TableJudje[رقم الحساب],0)),"")</f>
        <v>الاصول الغير متداولة</v>
      </c>
      <c r="O51" s="2" t="str">
        <f>IF(TableJudje[[#This Row],[المستوى]]&gt;3,INDEX(TableJudje[اسم الحساب],MATCH(VALUE(LEFT(TableJudje[[#This Row],[الحساب الرئيسي]],4)),TableJudje[رقم الحساب],0)),"")</f>
        <v>الأثاث المكتبي والمفروشات</v>
      </c>
      <c r="P51" s="2" t="str">
        <f>IF(TableJudje[[#This Row],[المستوى]]&gt;4,INDEX(TableJudje[اسم الحساب],MATCH(VALUE(LEFT(TableJudje[[#This Row],[الحساب الرئيسي]],6)),TableJudje[رقم الحساب],0)),"")</f>
        <v/>
      </c>
      <c r="Q51" s="2" t="str">
        <f>IF(TableJudje[[#This Row],[المستوى]]&gt;1,INDEX(TableJudje[اسم الحساب],MATCH(VALUE(LEFT(TableJudje[[#This Row],[الحساب الرئيسي]],1)),TableJudje[رقم الحساب],0)),"")</f>
        <v>الاصول</v>
      </c>
    </row>
    <row r="52" spans="1:17" x14ac:dyDescent="0.5">
      <c r="A52" s="2">
        <f>ROW()</f>
        <v>52</v>
      </c>
      <c r="B52" s="2">
        <v>120301</v>
      </c>
      <c r="C52" s="2" t="s">
        <v>66</v>
      </c>
      <c r="D52" s="2">
        <v>1203</v>
      </c>
      <c r="E52" s="2">
        <v>4</v>
      </c>
      <c r="F52" s="2" t="s">
        <v>18</v>
      </c>
      <c r="G52" s="2" t="s">
        <v>19</v>
      </c>
      <c r="H52" s="3"/>
      <c r="I52" s="2" t="s">
        <v>20</v>
      </c>
      <c r="J52" s="2"/>
      <c r="K52" s="2" t="s">
        <v>21</v>
      </c>
      <c r="L52" s="2"/>
      <c r="M52" s="2" t="str">
        <f>IF(TableJudje[[#This Row],[الحساب الرئيسي]]=0,"اجمالي",INDEX(TableJudje[اسم الحساب],MATCH(TableJudje[[#This Row],[الحساب الرئيسي]],TableJudje[رقم الحساب],0)))</f>
        <v>الكمبيوترات والطابعات</v>
      </c>
      <c r="N52" s="2" t="str">
        <f>IF(TableJudje[[#This Row],[المستوى]]&gt;2,INDEX(TableJudje[اسم الحساب],MATCH(VALUE(LEFT(TableJudje[[#This Row],[الحساب الرئيسي]],2)),TableJudje[رقم الحساب],0)),"")</f>
        <v>الاصول الغير متداولة</v>
      </c>
      <c r="O52" s="2" t="str">
        <f>IF(TableJudje[[#This Row],[المستوى]]&gt;3,INDEX(TableJudje[اسم الحساب],MATCH(VALUE(LEFT(TableJudje[[#This Row],[الحساب الرئيسي]],4)),TableJudje[رقم الحساب],0)),"")</f>
        <v>الكمبيوترات والطابعات</v>
      </c>
      <c r="P52" s="2" t="str">
        <f>IF(TableJudje[[#This Row],[المستوى]]&gt;4,INDEX(TableJudje[اسم الحساب],MATCH(VALUE(LEFT(TableJudje[[#This Row],[الحساب الرئيسي]],6)),TableJudje[رقم الحساب],0)),"")</f>
        <v/>
      </c>
      <c r="Q52" s="2" t="str">
        <f>IF(TableJudje[[#This Row],[المستوى]]&gt;1,INDEX(TableJudje[اسم الحساب],MATCH(VALUE(LEFT(TableJudje[[#This Row],[الحساب الرئيسي]],1)),TableJudje[رقم الحساب],0)),"")</f>
        <v>الاصول</v>
      </c>
    </row>
    <row r="53" spans="1:17" x14ac:dyDescent="0.5">
      <c r="A53" s="2">
        <f>ROW()</f>
        <v>53</v>
      </c>
      <c r="B53" s="2">
        <v>120302</v>
      </c>
      <c r="C53" s="2" t="s">
        <v>67</v>
      </c>
      <c r="D53" s="2">
        <v>1203</v>
      </c>
      <c r="E53" s="2">
        <v>4</v>
      </c>
      <c r="F53" s="2" t="s">
        <v>18</v>
      </c>
      <c r="G53" s="2" t="s">
        <v>19</v>
      </c>
      <c r="H53" s="3"/>
      <c r="I53" s="2" t="s">
        <v>20</v>
      </c>
      <c r="J53" s="2"/>
      <c r="K53" s="2" t="s">
        <v>21</v>
      </c>
      <c r="L53" s="2"/>
      <c r="M53" s="2" t="str">
        <f>IF(TableJudje[[#This Row],[الحساب الرئيسي]]=0,"اجمالي",INDEX(TableJudje[اسم الحساب],MATCH(TableJudje[[#This Row],[الحساب الرئيسي]],TableJudje[رقم الحساب],0)))</f>
        <v>الكمبيوترات والطابعات</v>
      </c>
      <c r="N53" s="2" t="str">
        <f>IF(TableJudje[[#This Row],[المستوى]]&gt;2,INDEX(TableJudje[اسم الحساب],MATCH(VALUE(LEFT(TableJudje[[#This Row],[الحساب الرئيسي]],2)),TableJudje[رقم الحساب],0)),"")</f>
        <v>الاصول الغير متداولة</v>
      </c>
      <c r="O53" s="2" t="str">
        <f>IF(TableJudje[[#This Row],[المستوى]]&gt;3,INDEX(TableJudje[اسم الحساب],MATCH(VALUE(LEFT(TableJudje[[#This Row],[الحساب الرئيسي]],4)),TableJudje[رقم الحساب],0)),"")</f>
        <v>الكمبيوترات والطابعات</v>
      </c>
      <c r="P53" s="2" t="str">
        <f>IF(TableJudje[[#This Row],[المستوى]]&gt;4,INDEX(TableJudje[اسم الحساب],MATCH(VALUE(LEFT(TableJudje[[#This Row],[الحساب الرئيسي]],6)),TableJudje[رقم الحساب],0)),"")</f>
        <v/>
      </c>
      <c r="Q53" s="2" t="str">
        <f>IF(TableJudje[[#This Row],[المستوى]]&gt;1,INDEX(TableJudje[اسم الحساب],MATCH(VALUE(LEFT(TableJudje[[#This Row],[الحساب الرئيسي]],1)),TableJudje[رقم الحساب],0)),"")</f>
        <v>الاصول</v>
      </c>
    </row>
    <row r="54" spans="1:17" x14ac:dyDescent="0.5">
      <c r="A54" s="2">
        <f>ROW()</f>
        <v>54</v>
      </c>
      <c r="B54" s="2">
        <v>120401</v>
      </c>
      <c r="C54" s="2" t="s">
        <v>68</v>
      </c>
      <c r="D54" s="2">
        <v>1204</v>
      </c>
      <c r="E54" s="2">
        <v>4</v>
      </c>
      <c r="F54" s="2" t="s">
        <v>18</v>
      </c>
      <c r="G54" s="2" t="s">
        <v>19</v>
      </c>
      <c r="H54" s="3"/>
      <c r="I54" s="2" t="s">
        <v>20</v>
      </c>
      <c r="J54" s="2"/>
      <c r="K54" s="2" t="s">
        <v>21</v>
      </c>
      <c r="L54" s="2"/>
      <c r="M54" s="2" t="str">
        <f>IF(TableJudje[[#This Row],[الحساب الرئيسي]]=0,"اجمالي",INDEX(TableJudje[اسم الحساب],MATCH(TableJudje[[#This Row],[الحساب الرئيسي]],TableJudje[رقم الحساب],0)))</f>
        <v>الأجهزة الكهربائية والالكترونية</v>
      </c>
      <c r="N54" s="2" t="str">
        <f>IF(TableJudje[[#This Row],[المستوى]]&gt;2,INDEX(TableJudje[اسم الحساب],MATCH(VALUE(LEFT(TableJudje[[#This Row],[الحساب الرئيسي]],2)),TableJudje[رقم الحساب],0)),"")</f>
        <v>الاصول الغير متداولة</v>
      </c>
      <c r="O54" s="2" t="str">
        <f>IF(TableJudje[[#This Row],[المستوى]]&gt;3,INDEX(TableJudje[اسم الحساب],MATCH(VALUE(LEFT(TableJudje[[#This Row],[الحساب الرئيسي]],4)),TableJudje[رقم الحساب],0)),"")</f>
        <v>الأجهزة الكهربائية والالكترونية</v>
      </c>
      <c r="P54" s="2" t="str">
        <f>IF(TableJudje[[#This Row],[المستوى]]&gt;4,INDEX(TableJudje[اسم الحساب],MATCH(VALUE(LEFT(TableJudje[[#This Row],[الحساب الرئيسي]],6)),TableJudje[رقم الحساب],0)),"")</f>
        <v/>
      </c>
      <c r="Q54" s="2" t="str">
        <f>IF(TableJudje[[#This Row],[المستوى]]&gt;1,INDEX(TableJudje[اسم الحساب],MATCH(VALUE(LEFT(TableJudje[[#This Row],[الحساب الرئيسي]],1)),TableJudje[رقم الحساب],0)),"")</f>
        <v>الاصول</v>
      </c>
    </row>
    <row r="55" spans="1:17" x14ac:dyDescent="0.5">
      <c r="A55" s="2">
        <f>ROW()</f>
        <v>55</v>
      </c>
      <c r="B55" s="2">
        <v>120402</v>
      </c>
      <c r="C55" s="2" t="s">
        <v>69</v>
      </c>
      <c r="D55" s="2">
        <v>1204</v>
      </c>
      <c r="E55" s="2">
        <v>4</v>
      </c>
      <c r="F55" s="2" t="s">
        <v>18</v>
      </c>
      <c r="G55" s="2" t="s">
        <v>19</v>
      </c>
      <c r="H55" s="3"/>
      <c r="I55" s="2" t="s">
        <v>20</v>
      </c>
      <c r="J55" s="2"/>
      <c r="K55" s="2" t="s">
        <v>21</v>
      </c>
      <c r="L55" s="2"/>
      <c r="M55" s="2" t="str">
        <f>IF(TableJudje[[#This Row],[الحساب الرئيسي]]=0,"اجمالي",INDEX(TableJudje[اسم الحساب],MATCH(TableJudje[[#This Row],[الحساب الرئيسي]],TableJudje[رقم الحساب],0)))</f>
        <v>الأجهزة الكهربائية والالكترونية</v>
      </c>
      <c r="N55" s="2" t="str">
        <f>IF(TableJudje[[#This Row],[المستوى]]&gt;2,INDEX(TableJudje[اسم الحساب],MATCH(VALUE(LEFT(TableJudje[[#This Row],[الحساب الرئيسي]],2)),TableJudje[رقم الحساب],0)),"")</f>
        <v>الاصول الغير متداولة</v>
      </c>
      <c r="O55" s="2" t="str">
        <f>IF(TableJudje[[#This Row],[المستوى]]&gt;3,INDEX(TableJudje[اسم الحساب],MATCH(VALUE(LEFT(TableJudje[[#This Row],[الحساب الرئيسي]],4)),TableJudje[رقم الحساب],0)),"")</f>
        <v>الأجهزة الكهربائية والالكترونية</v>
      </c>
      <c r="P55" s="2" t="str">
        <f>IF(TableJudje[[#This Row],[المستوى]]&gt;4,INDEX(TableJudje[اسم الحساب],MATCH(VALUE(LEFT(TableJudje[[#This Row],[الحساب الرئيسي]],6)),TableJudje[رقم الحساب],0)),"")</f>
        <v/>
      </c>
      <c r="Q55" s="2" t="str">
        <f>IF(TableJudje[[#This Row],[المستوى]]&gt;1,INDEX(TableJudje[اسم الحساب],MATCH(VALUE(LEFT(TableJudje[[#This Row],[الحساب الرئيسي]],1)),TableJudje[رقم الحساب],0)),"")</f>
        <v>الاصول</v>
      </c>
    </row>
    <row r="56" spans="1:17" x14ac:dyDescent="0.5">
      <c r="A56" s="2">
        <f>ROW()</f>
        <v>56</v>
      </c>
      <c r="B56" s="2">
        <v>120501</v>
      </c>
      <c r="C56" s="2" t="s">
        <v>70</v>
      </c>
      <c r="D56" s="2">
        <v>1205</v>
      </c>
      <c r="E56" s="2">
        <v>4</v>
      </c>
      <c r="F56" s="2" t="s">
        <v>18</v>
      </c>
      <c r="G56" s="2" t="s">
        <v>19</v>
      </c>
      <c r="H56" s="3"/>
      <c r="I56" s="2" t="s">
        <v>20</v>
      </c>
      <c r="J56" s="2"/>
      <c r="K56" s="2" t="s">
        <v>21</v>
      </c>
      <c r="L56" s="2"/>
      <c r="M56" s="2" t="str">
        <f>IF(TableJudje[[#This Row],[الحساب الرئيسي]]=0,"اجمالي",INDEX(TableJudje[اسم الحساب],MATCH(TableJudje[[#This Row],[الحساب الرئيسي]],TableJudje[رقم الحساب],0)))</f>
        <v xml:space="preserve">مصاريف التاسيس </v>
      </c>
      <c r="N56" s="2" t="str">
        <f>IF(TableJudje[[#This Row],[المستوى]]&gt;2,INDEX(TableJudje[اسم الحساب],MATCH(VALUE(LEFT(TableJudje[[#This Row],[الحساب الرئيسي]],2)),TableJudje[رقم الحساب],0)),"")</f>
        <v>الاصول الغير متداولة</v>
      </c>
      <c r="O56" s="2" t="str">
        <f>IF(TableJudje[[#This Row],[المستوى]]&gt;3,INDEX(TableJudje[اسم الحساب],MATCH(VALUE(LEFT(TableJudje[[#This Row],[الحساب الرئيسي]],4)),TableJudje[رقم الحساب],0)),"")</f>
        <v xml:space="preserve">مصاريف التاسيس </v>
      </c>
      <c r="P56" s="2" t="str">
        <f>IF(TableJudje[[#This Row],[المستوى]]&gt;4,INDEX(TableJudje[اسم الحساب],MATCH(VALUE(LEFT(TableJudje[[#This Row],[الحساب الرئيسي]],6)),TableJudje[رقم الحساب],0)),"")</f>
        <v/>
      </c>
      <c r="Q56" s="2" t="str">
        <f>IF(TableJudje[[#This Row],[المستوى]]&gt;1,INDEX(TableJudje[اسم الحساب],MATCH(VALUE(LEFT(TableJudje[[#This Row],[الحساب الرئيسي]],1)),TableJudje[رقم الحساب],0)),"")</f>
        <v>الاصول</v>
      </c>
    </row>
    <row r="57" spans="1:17" x14ac:dyDescent="0.5">
      <c r="A57" s="2">
        <f>ROW()</f>
        <v>57</v>
      </c>
      <c r="B57" s="2">
        <v>120601</v>
      </c>
      <c r="C57" s="2" t="s">
        <v>72</v>
      </c>
      <c r="D57" s="2">
        <v>1206</v>
      </c>
      <c r="E57" s="2">
        <v>4</v>
      </c>
      <c r="F57" s="2" t="s">
        <v>18</v>
      </c>
      <c r="G57" s="2" t="s">
        <v>19</v>
      </c>
      <c r="H57" s="3"/>
      <c r="I57" s="2" t="s">
        <v>20</v>
      </c>
      <c r="J57" s="2"/>
      <c r="K57" s="2" t="s">
        <v>21</v>
      </c>
      <c r="L57" s="2"/>
      <c r="M57" s="2" t="str">
        <f>IF(TableJudje[[#This Row],[الحساب الرئيسي]]=0,"اجمالي",INDEX(TableJudje[اسم الحساب],MATCH(TableJudje[[#This Row],[الحساب الرئيسي]],TableJudje[رقم الحساب],0)))</f>
        <v>المولدات الكهربائية  والطاقة الشمسية</v>
      </c>
      <c r="N57" s="2" t="str">
        <f>IF(TableJudje[[#This Row],[المستوى]]&gt;2,INDEX(TableJudje[اسم الحساب],MATCH(VALUE(LEFT(TableJudje[[#This Row],[الحساب الرئيسي]],2)),TableJudje[رقم الحساب],0)),"")</f>
        <v>الاصول الغير متداولة</v>
      </c>
      <c r="O57" s="2" t="str">
        <f>IF(TableJudje[[#This Row],[المستوى]]&gt;3,INDEX(TableJudje[اسم الحساب],MATCH(VALUE(LEFT(TableJudje[[#This Row],[الحساب الرئيسي]],4)),TableJudje[رقم الحساب],0)),"")</f>
        <v>المولدات الكهربائية  والطاقة الشمسية</v>
      </c>
      <c r="P57" s="2" t="str">
        <f>IF(TableJudje[[#This Row],[المستوى]]&gt;4,INDEX(TableJudje[اسم الحساب],MATCH(VALUE(LEFT(TableJudje[[#This Row],[الحساب الرئيسي]],6)),TableJudje[رقم الحساب],0)),"")</f>
        <v/>
      </c>
      <c r="Q57" s="2" t="str">
        <f>IF(TableJudje[[#This Row],[المستوى]]&gt;1,INDEX(TableJudje[اسم الحساب],MATCH(VALUE(LEFT(TableJudje[[#This Row],[الحساب الرئيسي]],1)),TableJudje[رقم الحساب],0)),"")</f>
        <v>الاصول</v>
      </c>
    </row>
    <row r="58" spans="1:17" x14ac:dyDescent="0.5">
      <c r="A58" s="2">
        <f>ROW()</f>
        <v>58</v>
      </c>
      <c r="B58" s="2">
        <v>120602</v>
      </c>
      <c r="C58" s="2" t="s">
        <v>73</v>
      </c>
      <c r="D58" s="2">
        <v>1206</v>
      </c>
      <c r="E58" s="2">
        <v>4</v>
      </c>
      <c r="F58" s="2" t="s">
        <v>18</v>
      </c>
      <c r="G58" s="2" t="s">
        <v>19</v>
      </c>
      <c r="H58" s="3"/>
      <c r="I58" s="2" t="s">
        <v>20</v>
      </c>
      <c r="J58" s="2"/>
      <c r="K58" s="2" t="s">
        <v>21</v>
      </c>
      <c r="L58" s="2"/>
      <c r="M58" s="2" t="str">
        <f>IF(TableJudje[[#This Row],[الحساب الرئيسي]]=0,"اجمالي",INDEX(TableJudje[اسم الحساب],MATCH(TableJudje[[#This Row],[الحساب الرئيسي]],TableJudje[رقم الحساب],0)))</f>
        <v>المولدات الكهربائية  والطاقة الشمسية</v>
      </c>
      <c r="N58" s="2" t="str">
        <f>IF(TableJudje[[#This Row],[المستوى]]&gt;2,INDEX(TableJudje[اسم الحساب],MATCH(VALUE(LEFT(TableJudje[[#This Row],[الحساب الرئيسي]],2)),TableJudje[رقم الحساب],0)),"")</f>
        <v>الاصول الغير متداولة</v>
      </c>
      <c r="O58" s="2" t="str">
        <f>IF(TableJudje[[#This Row],[المستوى]]&gt;3,INDEX(TableJudje[اسم الحساب],MATCH(VALUE(LEFT(TableJudje[[#This Row],[الحساب الرئيسي]],4)),TableJudje[رقم الحساب],0)),"")</f>
        <v>المولدات الكهربائية  والطاقة الشمسية</v>
      </c>
      <c r="P58" s="2" t="str">
        <f>IF(TableJudje[[#This Row],[المستوى]]&gt;4,INDEX(TableJudje[اسم الحساب],MATCH(VALUE(LEFT(TableJudje[[#This Row],[الحساب الرئيسي]],6)),TableJudje[رقم الحساب],0)),"")</f>
        <v/>
      </c>
      <c r="Q58" s="2" t="str">
        <f>IF(TableJudje[[#This Row],[المستوى]]&gt;1,INDEX(TableJudje[اسم الحساب],MATCH(VALUE(LEFT(TableJudje[[#This Row],[الحساب الرئيسي]],1)),TableJudje[رقم الحساب],0)),"")</f>
        <v>الاصول</v>
      </c>
    </row>
    <row r="59" spans="1:17" x14ac:dyDescent="0.5">
      <c r="A59" s="2">
        <f>ROW()</f>
        <v>59</v>
      </c>
      <c r="B59" s="2">
        <v>120701</v>
      </c>
      <c r="C59" s="2" t="s">
        <v>75</v>
      </c>
      <c r="D59" s="2">
        <v>1207</v>
      </c>
      <c r="E59" s="2">
        <v>4</v>
      </c>
      <c r="F59" s="2" t="s">
        <v>18</v>
      </c>
      <c r="G59" s="2" t="s">
        <v>19</v>
      </c>
      <c r="H59" s="3"/>
      <c r="I59" s="2" t="s">
        <v>20</v>
      </c>
      <c r="J59" s="2"/>
      <c r="K59" s="2" t="s">
        <v>21</v>
      </c>
      <c r="L59" s="2"/>
      <c r="M59" s="2" t="str">
        <f>IF(TableJudje[[#This Row],[الحساب الرئيسي]]=0,"اجمالي",INDEX(TableJudje[اسم الحساب],MATCH(TableJudje[[#This Row],[الحساب الرئيسي]],TableJudje[رقم الحساب],0)))</f>
        <v>الأنظمة والبرامج</v>
      </c>
      <c r="N59" s="2" t="str">
        <f>IF(TableJudje[[#This Row],[المستوى]]&gt;2,INDEX(TableJudje[اسم الحساب],MATCH(VALUE(LEFT(TableJudje[[#This Row],[الحساب الرئيسي]],2)),TableJudje[رقم الحساب],0)),"")</f>
        <v>الاصول الغير متداولة</v>
      </c>
      <c r="O59" s="2" t="str">
        <f>IF(TableJudje[[#This Row],[المستوى]]&gt;3,INDEX(TableJudje[اسم الحساب],MATCH(VALUE(LEFT(TableJudje[[#This Row],[الحساب الرئيسي]],4)),TableJudje[رقم الحساب],0)),"")</f>
        <v>الأنظمة والبرامج</v>
      </c>
      <c r="P59" s="2" t="str">
        <f>IF(TableJudje[[#This Row],[المستوى]]&gt;4,INDEX(TableJudje[اسم الحساب],MATCH(VALUE(LEFT(TableJudje[[#This Row],[الحساب الرئيسي]],6)),TableJudje[رقم الحساب],0)),"")</f>
        <v/>
      </c>
      <c r="Q59" s="2" t="str">
        <f>IF(TableJudje[[#This Row],[المستوى]]&gt;1,INDEX(TableJudje[اسم الحساب],MATCH(VALUE(LEFT(TableJudje[[#This Row],[الحساب الرئيسي]],1)),TableJudje[رقم الحساب],0)),"")</f>
        <v>الاصول</v>
      </c>
    </row>
    <row r="60" spans="1:17" x14ac:dyDescent="0.5">
      <c r="A60" s="2">
        <f>ROW()</f>
        <v>60</v>
      </c>
      <c r="B60" s="2">
        <v>120801</v>
      </c>
      <c r="C60" s="2" t="s">
        <v>77</v>
      </c>
      <c r="D60" s="2">
        <v>1208</v>
      </c>
      <c r="E60" s="2">
        <v>4</v>
      </c>
      <c r="F60" s="2" t="s">
        <v>18</v>
      </c>
      <c r="G60" s="2" t="s">
        <v>19</v>
      </c>
      <c r="H60" s="3"/>
      <c r="I60" s="2" t="s">
        <v>20</v>
      </c>
      <c r="J60" s="2"/>
      <c r="K60" s="2" t="s">
        <v>21</v>
      </c>
      <c r="L60" s="2"/>
      <c r="M60" s="2" t="str">
        <f>IF(TableJudje[[#This Row],[الحساب الرئيسي]]=0,"اجمالي",INDEX(TableJudje[اسم الحساب],MATCH(TableJudje[[#This Row],[الحساب الرئيسي]],TableJudje[رقم الحساب],0)))</f>
        <v>أجهزة مراقبة امنية</v>
      </c>
      <c r="N60" s="2" t="str">
        <f>IF(TableJudje[[#This Row],[المستوى]]&gt;2,INDEX(TableJudje[اسم الحساب],MATCH(VALUE(LEFT(TableJudje[[#This Row],[الحساب الرئيسي]],2)),TableJudje[رقم الحساب],0)),"")</f>
        <v>الاصول الغير متداولة</v>
      </c>
      <c r="O60" s="2" t="str">
        <f>IF(TableJudje[[#This Row],[المستوى]]&gt;3,INDEX(TableJudje[اسم الحساب],MATCH(VALUE(LEFT(TableJudje[[#This Row],[الحساب الرئيسي]],4)),TableJudje[رقم الحساب],0)),"")</f>
        <v>أجهزة مراقبة امنية</v>
      </c>
      <c r="P60" s="2" t="str">
        <f>IF(TableJudje[[#This Row],[المستوى]]&gt;4,INDEX(TableJudje[اسم الحساب],MATCH(VALUE(LEFT(TableJudje[[#This Row],[الحساب الرئيسي]],6)),TableJudje[رقم الحساب],0)),"")</f>
        <v/>
      </c>
      <c r="Q60" s="2" t="str">
        <f>IF(TableJudje[[#This Row],[المستوى]]&gt;1,INDEX(TableJudje[اسم الحساب],MATCH(VALUE(LEFT(TableJudje[[#This Row],[الحساب الرئيسي]],1)),TableJudje[رقم الحساب],0)),"")</f>
        <v>الاصول</v>
      </c>
    </row>
    <row r="61" spans="1:17" x14ac:dyDescent="0.5">
      <c r="A61" s="2">
        <f>ROW()</f>
        <v>61</v>
      </c>
      <c r="B61" s="2">
        <v>120901</v>
      </c>
      <c r="C61" s="2" t="s">
        <v>79</v>
      </c>
      <c r="D61" s="2">
        <v>1209</v>
      </c>
      <c r="E61" s="2">
        <v>4</v>
      </c>
      <c r="F61" s="2" t="s">
        <v>18</v>
      </c>
      <c r="G61" s="2" t="s">
        <v>19</v>
      </c>
      <c r="H61" s="3"/>
      <c r="I61" s="2" t="s">
        <v>20</v>
      </c>
      <c r="J61" s="2"/>
      <c r="K61" s="2" t="s">
        <v>21</v>
      </c>
      <c r="L61" s="2"/>
      <c r="M61" s="2" t="str">
        <f>IF(TableJudje[[#This Row],[الحساب الرئيسي]]=0,"اجمالي",INDEX(TableJudje[اسم الحساب],MATCH(TableJudje[[#This Row],[الحساب الرئيسي]],TableJudje[رقم الحساب],0)))</f>
        <v>أجهزة التبريد والتكييف</v>
      </c>
      <c r="N61" s="2" t="str">
        <f>IF(TableJudje[[#This Row],[المستوى]]&gt;2,INDEX(TableJudje[اسم الحساب],MATCH(VALUE(LEFT(TableJudje[[#This Row],[الحساب الرئيسي]],2)),TableJudje[رقم الحساب],0)),"")</f>
        <v>الاصول الغير متداولة</v>
      </c>
      <c r="O61" s="2" t="str">
        <f>IF(TableJudje[[#This Row],[المستوى]]&gt;3,INDEX(TableJudje[اسم الحساب],MATCH(VALUE(LEFT(TableJudje[[#This Row],[الحساب الرئيسي]],4)),TableJudje[رقم الحساب],0)),"")</f>
        <v>أجهزة التبريد والتكييف</v>
      </c>
      <c r="P61" s="2" t="str">
        <f>IF(TableJudje[[#This Row],[المستوى]]&gt;4,INDEX(TableJudje[اسم الحساب],MATCH(VALUE(LEFT(TableJudje[[#This Row],[الحساب الرئيسي]],6)),TableJudje[رقم الحساب],0)),"")</f>
        <v/>
      </c>
      <c r="Q61" s="2" t="str">
        <f>IF(TableJudje[[#This Row],[المستوى]]&gt;1,INDEX(TableJudje[اسم الحساب],MATCH(VALUE(LEFT(TableJudje[[#This Row],[الحساب الرئيسي]],1)),TableJudje[رقم الحساب],0)),"")</f>
        <v>الاصول</v>
      </c>
    </row>
    <row r="62" spans="1:17" x14ac:dyDescent="0.5">
      <c r="A62" s="2">
        <f>ROW()</f>
        <v>62</v>
      </c>
      <c r="B62" s="2">
        <v>121001</v>
      </c>
      <c r="C62" s="2" t="s">
        <v>81</v>
      </c>
      <c r="D62" s="2">
        <v>1210</v>
      </c>
      <c r="E62" s="2">
        <v>4</v>
      </c>
      <c r="F62" s="2" t="s">
        <v>18</v>
      </c>
      <c r="G62" s="2" t="s">
        <v>19</v>
      </c>
      <c r="H62" s="3"/>
      <c r="I62" s="2" t="s">
        <v>20</v>
      </c>
      <c r="J62" s="2"/>
      <c r="K62" s="2" t="s">
        <v>21</v>
      </c>
      <c r="L62" s="2"/>
      <c r="M62" s="2" t="str">
        <f>IF(TableJudje[[#This Row],[الحساب الرئيسي]]=0,"اجمالي",INDEX(TableJudje[اسم الحساب],MATCH(TableJudje[[#This Row],[الحساب الرئيسي]],TableJudje[رقم الحساب],0)))</f>
        <v>المهمات العسكرية</v>
      </c>
      <c r="N62" s="2" t="str">
        <f>IF(TableJudje[[#This Row],[المستوى]]&gt;2,INDEX(TableJudje[اسم الحساب],MATCH(VALUE(LEFT(TableJudje[[#This Row],[الحساب الرئيسي]],2)),TableJudje[رقم الحساب],0)),"")</f>
        <v>الاصول الغير متداولة</v>
      </c>
      <c r="O62" s="2" t="str">
        <f>IF(TableJudje[[#This Row],[المستوى]]&gt;3,INDEX(TableJudje[اسم الحساب],MATCH(VALUE(LEFT(TableJudje[[#This Row],[الحساب الرئيسي]],4)),TableJudje[رقم الحساب],0)),"")</f>
        <v>المهمات العسكرية</v>
      </c>
      <c r="P62" s="2" t="str">
        <f>IF(TableJudje[[#This Row],[المستوى]]&gt;4,INDEX(TableJudje[اسم الحساب],MATCH(VALUE(LEFT(TableJudje[[#This Row],[الحساب الرئيسي]],6)),TableJudje[رقم الحساب],0)),"")</f>
        <v/>
      </c>
      <c r="Q62" s="2" t="str">
        <f>IF(TableJudje[[#This Row],[المستوى]]&gt;1,INDEX(TableJudje[اسم الحساب],MATCH(VALUE(LEFT(TableJudje[[#This Row],[الحساب الرئيسي]],1)),TableJudje[رقم الحساب],0)),"")</f>
        <v>الاصول</v>
      </c>
    </row>
    <row r="63" spans="1:17" x14ac:dyDescent="0.5">
      <c r="A63" s="4">
        <f>ROW()</f>
        <v>63</v>
      </c>
      <c r="B63" s="4">
        <v>121101</v>
      </c>
      <c r="C63" s="4" t="s">
        <v>83</v>
      </c>
      <c r="D63" s="4">
        <v>1211</v>
      </c>
      <c r="E63" s="4">
        <v>4</v>
      </c>
      <c r="F63" s="2" t="s">
        <v>18</v>
      </c>
      <c r="G63" s="4" t="s">
        <v>19</v>
      </c>
      <c r="H63" s="5"/>
      <c r="I63" s="2" t="s">
        <v>20</v>
      </c>
      <c r="J63" s="4"/>
      <c r="K63" s="2" t="s">
        <v>21</v>
      </c>
      <c r="L63" s="4"/>
      <c r="M63" s="2" t="str">
        <f>IF(TableJudje[[#This Row],[الحساب الرئيسي]]=0,"اجمالي",INDEX(TableJudje[اسم الحساب],MATCH(TableJudje[[#This Row],[الحساب الرئيسي]],TableJudje[رقم الحساب],0)))</f>
        <v>مشاريع قيد التنفيذ</v>
      </c>
      <c r="N63" s="2" t="str">
        <f>IF(TableJudje[[#This Row],[المستوى]]&gt;2,INDEX(TableJudje[اسم الحساب],MATCH(VALUE(LEFT(TableJudje[[#This Row],[الحساب الرئيسي]],2)),TableJudje[رقم الحساب],0)),"")</f>
        <v>الاصول الغير متداولة</v>
      </c>
      <c r="O63" s="2" t="str">
        <f>IF(TableJudje[[#This Row],[المستوى]]&gt;3,INDEX(TableJudje[اسم الحساب],MATCH(VALUE(LEFT(TableJudje[[#This Row],[الحساب الرئيسي]],4)),TableJudje[رقم الحساب],0)),"")</f>
        <v>مشاريع قيد التنفيذ</v>
      </c>
      <c r="P63" s="2" t="str">
        <f>IF(TableJudje[[#This Row],[المستوى]]&gt;4,INDEX(TableJudje[اسم الحساب],MATCH(VALUE(LEFT(TableJudje[[#This Row],[الحساب الرئيسي]],6)),TableJudje[رقم الحساب],0)),"")</f>
        <v/>
      </c>
      <c r="Q63" s="2" t="str">
        <f>IF(TableJudje[[#This Row],[المستوى]]&gt;1,INDEX(TableJudje[اسم الحساب],MATCH(VALUE(LEFT(TableJudje[[#This Row],[الحساب الرئيسي]],1)),TableJudje[رقم الحساب],0)),"")</f>
        <v>الاصول</v>
      </c>
    </row>
    <row r="64" spans="1:17" x14ac:dyDescent="0.5">
      <c r="A64" s="2">
        <f>ROW()</f>
        <v>64</v>
      </c>
      <c r="B64" s="2">
        <v>210101</v>
      </c>
      <c r="C64" s="2" t="s">
        <v>84</v>
      </c>
      <c r="D64" s="2">
        <v>2101</v>
      </c>
      <c r="E64" s="2">
        <v>4</v>
      </c>
      <c r="F64" s="2" t="s">
        <v>18</v>
      </c>
      <c r="G64" s="2" t="s">
        <v>19</v>
      </c>
      <c r="H64" s="3"/>
      <c r="I64" s="2" t="s">
        <v>85</v>
      </c>
      <c r="J64" s="2"/>
      <c r="K64" s="2" t="s">
        <v>21</v>
      </c>
      <c r="L64" s="2"/>
      <c r="M64" s="2" t="str">
        <f>IF(TableJudje[[#This Row],[الحساب الرئيسي]]=0,"اجمالي",INDEX(TableJudje[اسم الحساب],MATCH(TableJudje[[#This Row],[الحساب الرئيسي]],TableJudje[رقم الحساب],0)))</f>
        <v>الموردين</v>
      </c>
      <c r="N64" s="2" t="str">
        <f>IF(TableJudje[[#This Row],[المستوى]]&gt;2,INDEX(TableJudje[اسم الحساب],MATCH(VALUE(LEFT(TableJudje[[#This Row],[الحساب الرئيسي]],2)),TableJudje[رقم الحساب],0)),"")</f>
        <v>الخصوم المتداولة</v>
      </c>
      <c r="O64" s="2" t="str">
        <f>IF(TableJudje[[#This Row],[المستوى]]&gt;3,INDEX(TableJudje[اسم الحساب],MATCH(VALUE(LEFT(TableJudje[[#This Row],[الحساب الرئيسي]],4)),TableJudje[رقم الحساب],0)),"")</f>
        <v>الموردين</v>
      </c>
      <c r="P64" s="2" t="str">
        <f>IF(TableJudje[[#This Row],[المستوى]]&gt;4,INDEX(TableJudje[اسم الحساب],MATCH(VALUE(LEFT(TableJudje[[#This Row],[الحساب الرئيسي]],6)),TableJudje[رقم الحساب],0)),"")</f>
        <v/>
      </c>
      <c r="Q64" s="2" t="str">
        <f>IF(TableJudje[[#This Row],[المستوى]]&gt;1,INDEX(TableJudje[اسم الحساب],MATCH(VALUE(LEFT(TableJudje[[#This Row],[الحساب الرئيسي]],1)),TableJudje[رقم الحساب],0)),"")</f>
        <v>الخصوم</v>
      </c>
    </row>
    <row r="65" spans="1:17" x14ac:dyDescent="0.5">
      <c r="A65" s="2">
        <f>ROW()</f>
        <v>65</v>
      </c>
      <c r="B65" s="2">
        <v>210102</v>
      </c>
      <c r="C65" s="2" t="s">
        <v>88</v>
      </c>
      <c r="D65" s="2">
        <v>2101</v>
      </c>
      <c r="E65" s="2">
        <v>4</v>
      </c>
      <c r="F65" s="2" t="s">
        <v>18</v>
      </c>
      <c r="G65" s="2" t="s">
        <v>19</v>
      </c>
      <c r="H65" s="3"/>
      <c r="I65" s="2" t="s">
        <v>85</v>
      </c>
      <c r="J65" s="2"/>
      <c r="K65" s="2" t="s">
        <v>21</v>
      </c>
      <c r="L65" s="2"/>
      <c r="M65" s="2" t="str">
        <f>IF(TableJudje[[#This Row],[الحساب الرئيسي]]=0,"اجمالي",INDEX(TableJudje[اسم الحساب],MATCH(TableJudje[[#This Row],[الحساب الرئيسي]],TableJudje[رقم الحساب],0)))</f>
        <v>الموردين</v>
      </c>
      <c r="N65" s="2" t="str">
        <f>IF(TableJudje[[#This Row],[المستوى]]&gt;2,INDEX(TableJudje[اسم الحساب],MATCH(VALUE(LEFT(TableJudje[[#This Row],[الحساب الرئيسي]],2)),TableJudje[رقم الحساب],0)),"")</f>
        <v>الخصوم المتداولة</v>
      </c>
      <c r="O65" s="2" t="str">
        <f>IF(TableJudje[[#This Row],[المستوى]]&gt;3,INDEX(TableJudje[اسم الحساب],MATCH(VALUE(LEFT(TableJudje[[#This Row],[الحساب الرئيسي]],4)),TableJudje[رقم الحساب],0)),"")</f>
        <v>الموردين</v>
      </c>
      <c r="P65" s="2" t="str">
        <f>IF(TableJudje[[#This Row],[المستوى]]&gt;4,INDEX(TableJudje[اسم الحساب],MATCH(VALUE(LEFT(TableJudje[[#This Row],[الحساب الرئيسي]],6)),TableJudje[رقم الحساب],0)),"")</f>
        <v/>
      </c>
      <c r="Q65" s="2" t="str">
        <f>IF(TableJudje[[#This Row],[المستوى]]&gt;1,INDEX(TableJudje[اسم الحساب],MATCH(VALUE(LEFT(TableJudje[[#This Row],[الحساب الرئيسي]],1)),TableJudje[رقم الحساب],0)),"")</f>
        <v>الخصوم</v>
      </c>
    </row>
    <row r="66" spans="1:17" x14ac:dyDescent="0.5">
      <c r="A66" s="2">
        <f>ROW()</f>
        <v>66</v>
      </c>
      <c r="B66" s="2">
        <v>210103</v>
      </c>
      <c r="C66" s="2" t="s">
        <v>89</v>
      </c>
      <c r="D66" s="2">
        <v>2101</v>
      </c>
      <c r="E66" s="2">
        <v>4</v>
      </c>
      <c r="F66" s="2" t="s">
        <v>18</v>
      </c>
      <c r="G66" s="2" t="s">
        <v>19</v>
      </c>
      <c r="H66" s="3"/>
      <c r="I66" s="2" t="s">
        <v>85</v>
      </c>
      <c r="J66" s="2"/>
      <c r="K66" s="2" t="s">
        <v>21</v>
      </c>
      <c r="L66" s="2"/>
      <c r="M66" s="2" t="str">
        <f>IF(TableJudje[[#This Row],[الحساب الرئيسي]]=0,"اجمالي",INDEX(TableJudje[اسم الحساب],MATCH(TableJudje[[#This Row],[الحساب الرئيسي]],TableJudje[رقم الحساب],0)))</f>
        <v>الموردين</v>
      </c>
      <c r="N66" s="2" t="str">
        <f>IF(TableJudje[[#This Row],[المستوى]]&gt;2,INDEX(TableJudje[اسم الحساب],MATCH(VALUE(LEFT(TableJudje[[#This Row],[الحساب الرئيسي]],2)),TableJudje[رقم الحساب],0)),"")</f>
        <v>الخصوم المتداولة</v>
      </c>
      <c r="O66" s="2" t="str">
        <f>IF(TableJudje[[#This Row],[المستوى]]&gt;3,INDEX(TableJudje[اسم الحساب],MATCH(VALUE(LEFT(TableJudje[[#This Row],[الحساب الرئيسي]],4)),TableJudje[رقم الحساب],0)),"")</f>
        <v>الموردين</v>
      </c>
      <c r="P66" s="2" t="str">
        <f>IF(TableJudje[[#This Row],[المستوى]]&gt;4,INDEX(TableJudje[اسم الحساب],MATCH(VALUE(LEFT(TableJudje[[#This Row],[الحساب الرئيسي]],6)),TableJudje[رقم الحساب],0)),"")</f>
        <v/>
      </c>
      <c r="Q66" s="2" t="str">
        <f>IF(TableJudje[[#This Row],[المستوى]]&gt;1,INDEX(TableJudje[اسم الحساب],MATCH(VALUE(LEFT(TableJudje[[#This Row],[الحساب الرئيسي]],1)),TableJudje[رقم الحساب],0)),"")</f>
        <v>الخصوم</v>
      </c>
    </row>
    <row r="67" spans="1:17" x14ac:dyDescent="0.5">
      <c r="A67" s="2">
        <f>ROW()</f>
        <v>67</v>
      </c>
      <c r="B67" s="2">
        <v>210201</v>
      </c>
      <c r="C67" s="2" t="s">
        <v>91</v>
      </c>
      <c r="D67" s="2">
        <v>2102</v>
      </c>
      <c r="E67" s="2">
        <v>4</v>
      </c>
      <c r="F67" s="2" t="s">
        <v>18</v>
      </c>
      <c r="G67" s="2" t="s">
        <v>19</v>
      </c>
      <c r="H67" s="3"/>
      <c r="I67" s="2" t="s">
        <v>85</v>
      </c>
      <c r="J67" s="2"/>
      <c r="K67" s="2" t="s">
        <v>21</v>
      </c>
      <c r="L67" s="2"/>
      <c r="M67" s="2" t="str">
        <f>IF(TableJudje[[#This Row],[الحساب الرئيسي]]=0,"اجمالي",INDEX(TableJudje[اسم الحساب],MATCH(TableJudje[[#This Row],[الحساب الرئيسي]],TableJudje[رقم الحساب],0)))</f>
        <v>مصاريف مستحقة</v>
      </c>
      <c r="N67" s="2" t="str">
        <f>IF(TableJudje[[#This Row],[المستوى]]&gt;2,INDEX(TableJudje[اسم الحساب],MATCH(VALUE(LEFT(TableJudje[[#This Row],[الحساب الرئيسي]],2)),TableJudje[رقم الحساب],0)),"")</f>
        <v>الخصوم المتداولة</v>
      </c>
      <c r="O67" s="2" t="str">
        <f>IF(TableJudje[[#This Row],[المستوى]]&gt;3,INDEX(TableJudje[اسم الحساب],MATCH(VALUE(LEFT(TableJudje[[#This Row],[الحساب الرئيسي]],4)),TableJudje[رقم الحساب],0)),"")</f>
        <v>مصاريف مستحقة</v>
      </c>
      <c r="P67" s="2" t="str">
        <f>IF(TableJudje[[#This Row],[المستوى]]&gt;4,INDEX(TableJudje[اسم الحساب],MATCH(VALUE(LEFT(TableJudje[[#This Row],[الحساب الرئيسي]],6)),TableJudje[رقم الحساب],0)),"")</f>
        <v/>
      </c>
      <c r="Q67" s="2" t="str">
        <f>IF(TableJudje[[#This Row],[المستوى]]&gt;1,INDEX(TableJudje[اسم الحساب],MATCH(VALUE(LEFT(TableJudje[[#This Row],[الحساب الرئيسي]],1)),TableJudje[رقم الحساب],0)),"")</f>
        <v>الخصوم</v>
      </c>
    </row>
    <row r="68" spans="1:17" x14ac:dyDescent="0.5">
      <c r="A68" s="2">
        <f>ROW()</f>
        <v>68</v>
      </c>
      <c r="B68" s="2">
        <v>210202</v>
      </c>
      <c r="C68" s="2" t="s">
        <v>94</v>
      </c>
      <c r="D68" s="2">
        <v>2102</v>
      </c>
      <c r="E68" s="2">
        <v>4</v>
      </c>
      <c r="F68" s="2" t="s">
        <v>18</v>
      </c>
      <c r="G68" s="2" t="s">
        <v>19</v>
      </c>
      <c r="H68" s="3"/>
      <c r="I68" s="2" t="s">
        <v>85</v>
      </c>
      <c r="J68" s="2"/>
      <c r="K68" s="2" t="s">
        <v>21</v>
      </c>
      <c r="L68" s="2"/>
      <c r="M68" s="2" t="str">
        <f>IF(TableJudje[[#This Row],[الحساب الرئيسي]]=0,"اجمالي",INDEX(TableJudje[اسم الحساب],MATCH(TableJudje[[#This Row],[الحساب الرئيسي]],TableJudje[رقم الحساب],0)))</f>
        <v>مصاريف مستحقة</v>
      </c>
      <c r="N68" s="2" t="str">
        <f>IF(TableJudje[[#This Row],[المستوى]]&gt;2,INDEX(TableJudje[اسم الحساب],MATCH(VALUE(LEFT(TableJudje[[#This Row],[الحساب الرئيسي]],2)),TableJudje[رقم الحساب],0)),"")</f>
        <v>الخصوم المتداولة</v>
      </c>
      <c r="O68" s="2" t="str">
        <f>IF(TableJudje[[#This Row],[المستوى]]&gt;3,INDEX(TableJudje[اسم الحساب],MATCH(VALUE(LEFT(TableJudje[[#This Row],[الحساب الرئيسي]],4)),TableJudje[رقم الحساب],0)),"")</f>
        <v>مصاريف مستحقة</v>
      </c>
      <c r="P68" s="2" t="str">
        <f>IF(TableJudje[[#This Row],[المستوى]]&gt;4,INDEX(TableJudje[اسم الحساب],MATCH(VALUE(LEFT(TableJudje[[#This Row],[الحساب الرئيسي]],6)),TableJudje[رقم الحساب],0)),"")</f>
        <v/>
      </c>
      <c r="Q68" s="2" t="str">
        <f>IF(TableJudje[[#This Row],[المستوى]]&gt;1,INDEX(TableJudje[اسم الحساب],MATCH(VALUE(LEFT(TableJudje[[#This Row],[الحساب الرئيسي]],1)),TableJudje[رقم الحساب],0)),"")</f>
        <v>الخصوم</v>
      </c>
    </row>
    <row r="69" spans="1:17" x14ac:dyDescent="0.5">
      <c r="A69" s="2">
        <f>ROW()</f>
        <v>69</v>
      </c>
      <c r="B69" s="2">
        <v>230101</v>
      </c>
      <c r="C69" s="2" t="s">
        <v>98</v>
      </c>
      <c r="D69" s="2">
        <v>2301</v>
      </c>
      <c r="E69" s="2">
        <v>4</v>
      </c>
      <c r="F69" s="2" t="s">
        <v>18</v>
      </c>
      <c r="G69" s="2" t="s">
        <v>19</v>
      </c>
      <c r="H69" s="3"/>
      <c r="I69" s="2" t="s">
        <v>85</v>
      </c>
      <c r="J69" s="2"/>
      <c r="K69" s="2" t="s">
        <v>21</v>
      </c>
      <c r="L69" s="2"/>
      <c r="M69" s="2" t="str">
        <f>IF(TableJudje[[#This Row],[الحساب الرئيسي]]=0,"اجمالي",INDEX(TableJudje[اسم الحساب],MATCH(TableJudje[[#This Row],[الحساب الرئيسي]],TableJudje[رقم الحساب],0)))</f>
        <v>حقوق ملكية الشركاء</v>
      </c>
      <c r="N69" s="2" t="str">
        <f>IF(TableJudje[[#This Row],[المستوى]]&gt;2,INDEX(TableJudje[اسم الحساب],MATCH(VALUE(LEFT(TableJudje[[#This Row],[الحساب الرئيسي]],2)),TableJudje[رقم الحساب],0)),"")</f>
        <v>حقوق الملكية</v>
      </c>
      <c r="O69" s="2" t="str">
        <f>IF(TableJudje[[#This Row],[المستوى]]&gt;3,INDEX(TableJudje[اسم الحساب],MATCH(VALUE(LEFT(TableJudje[[#This Row],[الحساب الرئيسي]],4)),TableJudje[رقم الحساب],0)),"")</f>
        <v>حقوق ملكية الشركاء</v>
      </c>
      <c r="P69" s="2" t="str">
        <f>IF(TableJudje[[#This Row],[المستوى]]&gt;4,INDEX(TableJudje[اسم الحساب],MATCH(VALUE(LEFT(TableJudje[[#This Row],[الحساب الرئيسي]],6)),TableJudje[رقم الحساب],0)),"")</f>
        <v/>
      </c>
      <c r="Q69" s="2" t="str">
        <f>IF(TableJudje[[#This Row],[المستوى]]&gt;1,INDEX(TableJudje[اسم الحساب],MATCH(VALUE(LEFT(TableJudje[[#This Row],[الحساب الرئيسي]],1)),TableJudje[رقم الحساب],0)),"")</f>
        <v>الخصوم</v>
      </c>
    </row>
    <row r="70" spans="1:17" x14ac:dyDescent="0.5">
      <c r="A70" s="2">
        <f>ROW()</f>
        <v>70</v>
      </c>
      <c r="B70" s="2">
        <v>230102</v>
      </c>
      <c r="C70" s="2" t="s">
        <v>100</v>
      </c>
      <c r="D70" s="2">
        <v>2301</v>
      </c>
      <c r="E70" s="2">
        <v>4</v>
      </c>
      <c r="F70" s="2" t="s">
        <v>18</v>
      </c>
      <c r="G70" s="2" t="s">
        <v>19</v>
      </c>
      <c r="H70" s="3"/>
      <c r="I70" s="2" t="s">
        <v>85</v>
      </c>
      <c r="J70" s="2"/>
      <c r="K70" s="2" t="s">
        <v>21</v>
      </c>
      <c r="L70" s="2"/>
      <c r="M70" s="2" t="str">
        <f>IF(TableJudje[[#This Row],[الحساب الرئيسي]]=0,"اجمالي",INDEX(TableJudje[اسم الحساب],MATCH(TableJudje[[#This Row],[الحساب الرئيسي]],TableJudje[رقم الحساب],0)))</f>
        <v>حقوق ملكية الشركاء</v>
      </c>
      <c r="N70" s="2" t="str">
        <f>IF(TableJudje[[#This Row],[المستوى]]&gt;2,INDEX(TableJudje[اسم الحساب],MATCH(VALUE(LEFT(TableJudje[[#This Row],[الحساب الرئيسي]],2)),TableJudje[رقم الحساب],0)),"")</f>
        <v>حقوق الملكية</v>
      </c>
      <c r="O70" s="2" t="str">
        <f>IF(TableJudje[[#This Row],[المستوى]]&gt;3,INDEX(TableJudje[اسم الحساب],MATCH(VALUE(LEFT(TableJudje[[#This Row],[الحساب الرئيسي]],4)),TableJudje[رقم الحساب],0)),"")</f>
        <v>حقوق ملكية الشركاء</v>
      </c>
      <c r="P70" s="2" t="str">
        <f>IF(TableJudje[[#This Row],[المستوى]]&gt;4,INDEX(TableJudje[اسم الحساب],MATCH(VALUE(LEFT(TableJudje[[#This Row],[الحساب الرئيسي]],6)),TableJudje[رقم الحساب],0)),"")</f>
        <v/>
      </c>
      <c r="Q70" s="2" t="str">
        <f>IF(TableJudje[[#This Row],[المستوى]]&gt;1,INDEX(TableJudje[اسم الحساب],MATCH(VALUE(LEFT(TableJudje[[#This Row],[الحساب الرئيسي]],1)),TableJudje[رقم الحساب],0)),"")</f>
        <v>الخصوم</v>
      </c>
    </row>
    <row r="71" spans="1:17" x14ac:dyDescent="0.5">
      <c r="A71" s="2">
        <f>ROW()</f>
        <v>71</v>
      </c>
      <c r="B71" s="2">
        <v>230201</v>
      </c>
      <c r="C71" s="2" t="s">
        <v>103</v>
      </c>
      <c r="D71" s="2">
        <v>2302</v>
      </c>
      <c r="E71" s="2">
        <v>4</v>
      </c>
      <c r="F71" s="2" t="s">
        <v>18</v>
      </c>
      <c r="G71" s="2" t="s">
        <v>19</v>
      </c>
      <c r="H71" s="3"/>
      <c r="I71" s="2" t="s">
        <v>85</v>
      </c>
      <c r="J71" s="2"/>
      <c r="K71" s="2" t="s">
        <v>21</v>
      </c>
      <c r="L71" s="2"/>
      <c r="M71" s="2" t="str">
        <f>IF(TableJudje[[#This Row],[الحساب الرئيسي]]=0,"اجمالي",INDEX(TableJudje[اسم الحساب],MATCH(TableJudje[[#This Row],[الحساب الرئيسي]],TableJudje[رقم الحساب],0)))</f>
        <v>الاحتياطيات والمخصصات</v>
      </c>
      <c r="N71" s="2" t="str">
        <f>IF(TableJudje[[#This Row],[المستوى]]&gt;2,INDEX(TableJudje[اسم الحساب],MATCH(VALUE(LEFT(TableJudje[[#This Row],[الحساب الرئيسي]],2)),TableJudje[رقم الحساب],0)),"")</f>
        <v>حقوق الملكية</v>
      </c>
      <c r="O71" s="2" t="str">
        <f>IF(TableJudje[[#This Row],[المستوى]]&gt;3,INDEX(TableJudje[اسم الحساب],MATCH(VALUE(LEFT(TableJudje[[#This Row],[الحساب الرئيسي]],4)),TableJudje[رقم الحساب],0)),"")</f>
        <v>الاحتياطيات والمخصصات</v>
      </c>
      <c r="P71" s="2" t="str">
        <f>IF(TableJudje[[#This Row],[المستوى]]&gt;4,INDEX(TableJudje[اسم الحساب],MATCH(VALUE(LEFT(TableJudje[[#This Row],[الحساب الرئيسي]],6)),TableJudje[رقم الحساب],0)),"")</f>
        <v/>
      </c>
      <c r="Q71" s="2" t="str">
        <f>IF(TableJudje[[#This Row],[المستوى]]&gt;1,INDEX(TableJudje[اسم الحساب],MATCH(VALUE(LEFT(TableJudje[[#This Row],[الحساب الرئيسي]],1)),TableJudje[رقم الحساب],0)),"")</f>
        <v>الخصوم</v>
      </c>
    </row>
    <row r="72" spans="1:17" x14ac:dyDescent="0.5">
      <c r="A72" s="2">
        <f>ROW()</f>
        <v>72</v>
      </c>
      <c r="B72" s="2">
        <v>230202</v>
      </c>
      <c r="C72" s="2" t="s">
        <v>105</v>
      </c>
      <c r="D72" s="2">
        <v>2302</v>
      </c>
      <c r="E72" s="2">
        <v>4</v>
      </c>
      <c r="F72" s="2" t="s">
        <v>18</v>
      </c>
      <c r="G72" s="2" t="s">
        <v>19</v>
      </c>
      <c r="H72" s="3"/>
      <c r="I72" s="2" t="s">
        <v>85</v>
      </c>
      <c r="J72" s="2"/>
      <c r="K72" s="2" t="s">
        <v>21</v>
      </c>
      <c r="L72" s="2"/>
      <c r="M72" s="2" t="str">
        <f>IF(TableJudje[[#This Row],[الحساب الرئيسي]]=0,"اجمالي",INDEX(TableJudje[اسم الحساب],MATCH(TableJudje[[#This Row],[الحساب الرئيسي]],TableJudje[رقم الحساب],0)))</f>
        <v>الاحتياطيات والمخصصات</v>
      </c>
      <c r="N72" s="2" t="str">
        <f>IF(TableJudje[[#This Row],[المستوى]]&gt;2,INDEX(TableJudje[اسم الحساب],MATCH(VALUE(LEFT(TableJudje[[#This Row],[الحساب الرئيسي]],2)),TableJudje[رقم الحساب],0)),"")</f>
        <v>حقوق الملكية</v>
      </c>
      <c r="O72" s="2" t="str">
        <f>IF(TableJudje[[#This Row],[المستوى]]&gt;3,INDEX(TableJudje[اسم الحساب],MATCH(VALUE(LEFT(TableJudje[[#This Row],[الحساب الرئيسي]],4)),TableJudje[رقم الحساب],0)),"")</f>
        <v>الاحتياطيات والمخصصات</v>
      </c>
      <c r="P72" s="2" t="str">
        <f>IF(TableJudje[[#This Row],[المستوى]]&gt;4,INDEX(TableJudje[اسم الحساب],MATCH(VALUE(LEFT(TableJudje[[#This Row],[الحساب الرئيسي]],6)),TableJudje[رقم الحساب],0)),"")</f>
        <v/>
      </c>
      <c r="Q72" s="2" t="str">
        <f>IF(TableJudje[[#This Row],[المستوى]]&gt;1,INDEX(TableJudje[اسم الحساب],MATCH(VALUE(LEFT(TableJudje[[#This Row],[الحساب الرئيسي]],1)),TableJudje[رقم الحساب],0)),"")</f>
        <v>الخصوم</v>
      </c>
    </row>
    <row r="73" spans="1:17" x14ac:dyDescent="0.5">
      <c r="A73" s="2">
        <f>ROW()</f>
        <v>73</v>
      </c>
      <c r="B73" s="2">
        <v>310101</v>
      </c>
      <c r="C73" s="2" t="s">
        <v>109</v>
      </c>
      <c r="D73" s="2">
        <v>3101</v>
      </c>
      <c r="E73" s="2">
        <v>4</v>
      </c>
      <c r="F73" s="2" t="s">
        <v>18</v>
      </c>
      <c r="G73" s="2" t="s">
        <v>110</v>
      </c>
      <c r="H73" s="3"/>
      <c r="I73" s="2" t="s">
        <v>20</v>
      </c>
      <c r="J73" s="2"/>
      <c r="K73" s="2" t="s">
        <v>21</v>
      </c>
      <c r="L73" s="2"/>
      <c r="M73" s="2" t="str">
        <f>IF(TableJudje[[#This Row],[الحساب الرئيسي]]=0,"اجمالي",INDEX(TableJudje[اسم الحساب],MATCH(TableJudje[[#This Row],[الحساب الرئيسي]],TableJudje[رقم الحساب],0)))</f>
        <v>النفقات التشغيلية</v>
      </c>
      <c r="N73" s="2" t="str">
        <f>IF(TableJudje[[#This Row],[المستوى]]&gt;2,INDEX(TableJudje[اسم الحساب],MATCH(VALUE(LEFT(TableJudje[[#This Row],[الحساب الرئيسي]],2)),TableJudje[رقم الحساب],0)),"")</f>
        <v>المصروفات التشغيلية</v>
      </c>
      <c r="O73" s="2" t="str">
        <f>IF(TableJudje[[#This Row],[المستوى]]&gt;3,INDEX(TableJudje[اسم الحساب],MATCH(VALUE(LEFT(TableJudje[[#This Row],[الحساب الرئيسي]],4)),TableJudje[رقم الحساب],0)),"")</f>
        <v>النفقات التشغيلية</v>
      </c>
      <c r="P73" s="2" t="str">
        <f>IF(TableJudje[[#This Row],[المستوى]]&gt;4,INDEX(TableJudje[اسم الحساب],MATCH(VALUE(LEFT(TableJudje[[#This Row],[الحساب الرئيسي]],6)),TableJudje[رقم الحساب],0)),"")</f>
        <v/>
      </c>
      <c r="Q73" s="2" t="str">
        <f>IF(TableJudje[[#This Row],[المستوى]]&gt;1,INDEX(TableJudje[اسم الحساب],MATCH(VALUE(LEFT(TableJudje[[#This Row],[الحساب الرئيسي]],1)),TableJudje[رقم الحساب],0)),"")</f>
        <v>المصروفات</v>
      </c>
    </row>
    <row r="74" spans="1:17" x14ac:dyDescent="0.5">
      <c r="A74" s="2">
        <f>ROW()</f>
        <v>74</v>
      </c>
      <c r="B74" s="2">
        <v>330101</v>
      </c>
      <c r="C74" s="2" t="s">
        <v>137</v>
      </c>
      <c r="D74" s="2">
        <v>3301</v>
      </c>
      <c r="E74" s="2">
        <v>4</v>
      </c>
      <c r="F74" s="2" t="s">
        <v>18</v>
      </c>
      <c r="G74" s="2" t="s">
        <v>110</v>
      </c>
      <c r="H74" s="3"/>
      <c r="I74" s="2" t="s">
        <v>20</v>
      </c>
      <c r="J74" s="2"/>
      <c r="K74" s="2" t="s">
        <v>21</v>
      </c>
      <c r="L74" s="2"/>
      <c r="M74" s="2" t="str">
        <f>IF(TableJudje[[#This Row],[الحساب الرئيسي]]=0,"اجمالي",INDEX(TableJudje[اسم الحساب],MATCH(TableJudje[[#This Row],[الحساب الرئيسي]],TableJudje[رقم الحساب],0)))</f>
        <v>مصاريف المرتبات</v>
      </c>
      <c r="N74" s="2" t="str">
        <f>IF(TableJudje[[#This Row],[المستوى]]&gt;2,INDEX(TableJudje[اسم الحساب],MATCH(VALUE(LEFT(TableJudje[[#This Row],[الحساب الرئيسي]],2)),TableJudje[رقم الحساب],0)),"")</f>
        <v xml:space="preserve">مرتبات </v>
      </c>
      <c r="O74" s="2" t="str">
        <f>IF(TableJudje[[#This Row],[المستوى]]&gt;3,INDEX(TableJudje[اسم الحساب],MATCH(VALUE(LEFT(TableJudje[[#This Row],[الحساب الرئيسي]],4)),TableJudje[رقم الحساب],0)),"")</f>
        <v>مصاريف المرتبات</v>
      </c>
      <c r="P74" s="2" t="str">
        <f>IF(TableJudje[[#This Row],[المستوى]]&gt;4,INDEX(TableJudje[اسم الحساب],MATCH(VALUE(LEFT(TableJudje[[#This Row],[الحساب الرئيسي]],6)),TableJudje[رقم الحساب],0)),"")</f>
        <v/>
      </c>
      <c r="Q74" s="2" t="str">
        <f>IF(TableJudje[[#This Row],[المستوى]]&gt;1,INDEX(TableJudje[اسم الحساب],MATCH(VALUE(LEFT(TableJudje[[#This Row],[الحساب الرئيسي]],1)),TableJudje[رقم الحساب],0)),"")</f>
        <v>المصروفات</v>
      </c>
    </row>
    <row r="75" spans="1:17" x14ac:dyDescent="0.5">
      <c r="A75" s="2">
        <f>ROW()</f>
        <v>75</v>
      </c>
      <c r="B75" s="2">
        <v>330201</v>
      </c>
      <c r="C75" s="2" t="s">
        <v>149</v>
      </c>
      <c r="D75" s="2">
        <v>3302</v>
      </c>
      <c r="E75" s="2">
        <v>4</v>
      </c>
      <c r="F75" s="2" t="s">
        <v>18</v>
      </c>
      <c r="G75" s="2" t="s">
        <v>110</v>
      </c>
      <c r="H75" s="3"/>
      <c r="I75" s="2" t="s">
        <v>20</v>
      </c>
      <c r="J75" s="2"/>
      <c r="K75" s="2" t="s">
        <v>21</v>
      </c>
      <c r="L75" s="2"/>
      <c r="M75" s="2" t="str">
        <f>IF(TableJudje[[#This Row],[الحساب الرئيسي]]=0,"اجمالي",INDEX(TableJudje[اسم الحساب],MATCH(TableJudje[[#This Row],[الحساب الرئيسي]],TableJudje[رقم الحساب],0)))</f>
        <v>حساب الفوارق</v>
      </c>
      <c r="N75" s="2" t="str">
        <f>IF(TableJudje[[#This Row],[المستوى]]&gt;2,INDEX(TableJudje[اسم الحساب],MATCH(VALUE(LEFT(TableJudje[[#This Row],[الحساب الرئيسي]],2)),TableJudje[رقم الحساب],0)),"")</f>
        <v xml:space="preserve">مرتبات </v>
      </c>
      <c r="O75" s="2" t="str">
        <f>IF(TableJudje[[#This Row],[المستوى]]&gt;3,INDEX(TableJudje[اسم الحساب],MATCH(VALUE(LEFT(TableJudje[[#This Row],[الحساب الرئيسي]],4)),TableJudje[رقم الحساب],0)),"")</f>
        <v>حساب الفوارق</v>
      </c>
      <c r="P75" s="2" t="str">
        <f>IF(TableJudje[[#This Row],[المستوى]]&gt;4,INDEX(TableJudje[اسم الحساب],MATCH(VALUE(LEFT(TableJudje[[#This Row],[الحساب الرئيسي]],6)),TableJudje[رقم الحساب],0)),"")</f>
        <v/>
      </c>
      <c r="Q75" s="2" t="str">
        <f>IF(TableJudje[[#This Row],[المستوى]]&gt;1,INDEX(TableJudje[اسم الحساب],MATCH(VALUE(LEFT(TableJudje[[#This Row],[الحساب الرئيسي]],1)),TableJudje[رقم الحساب],0)),"")</f>
        <v>المصروفات</v>
      </c>
    </row>
    <row r="76" spans="1:17" x14ac:dyDescent="0.5">
      <c r="A76" s="2">
        <f>ROW()</f>
        <v>76</v>
      </c>
      <c r="B76" s="2">
        <v>410101</v>
      </c>
      <c r="C76" s="2" t="s">
        <v>155</v>
      </c>
      <c r="D76" s="2">
        <v>4101</v>
      </c>
      <c r="E76" s="2">
        <v>4</v>
      </c>
      <c r="F76" s="2" t="s">
        <v>18</v>
      </c>
      <c r="G76" s="2" t="s">
        <v>110</v>
      </c>
      <c r="H76" s="3"/>
      <c r="I76" s="2" t="s">
        <v>85</v>
      </c>
      <c r="J76" s="2"/>
      <c r="K76" s="2" t="s">
        <v>21</v>
      </c>
      <c r="L76" s="2"/>
      <c r="M76" s="2" t="str">
        <f>IF(TableJudje[[#This Row],[الحساب الرئيسي]]=0,"اجمالي",INDEX(TableJudje[اسم الحساب],MATCH(TableJudje[[#This Row],[الحساب الرئيسي]],TableJudje[رقم الحساب],0)))</f>
        <v>الإيرادات من النشاط</v>
      </c>
      <c r="N76" s="2" t="str">
        <f>IF(TableJudje[[#This Row],[المستوى]]&gt;2,INDEX(TableJudje[اسم الحساب],MATCH(VALUE(LEFT(TableJudje[[#This Row],[الحساب الرئيسي]],2)),TableJudje[رقم الحساب],0)),"")</f>
        <v>ايراد النشاط</v>
      </c>
      <c r="O76" s="2" t="str">
        <f>IF(TableJudje[[#This Row],[المستوى]]&gt;3,INDEX(TableJudje[اسم الحساب],MATCH(VALUE(LEFT(TableJudje[[#This Row],[الحساب الرئيسي]],4)),TableJudje[رقم الحساب],0)),"")</f>
        <v>الإيرادات من النشاط</v>
      </c>
      <c r="P76" s="2" t="str">
        <f>IF(TableJudje[[#This Row],[المستوى]]&gt;4,INDEX(TableJudje[اسم الحساب],MATCH(VALUE(LEFT(TableJudje[[#This Row],[الحساب الرئيسي]],6)),TableJudje[رقم الحساب],0)),"")</f>
        <v/>
      </c>
      <c r="Q76" s="2" t="str">
        <f>IF(TableJudje[[#This Row],[المستوى]]&gt;1,INDEX(TableJudje[اسم الحساب],MATCH(VALUE(LEFT(TableJudje[[#This Row],[الحساب الرئيسي]],1)),TableJudje[رقم الحساب],0)),"")</f>
        <v>الايرادات</v>
      </c>
    </row>
    <row r="77" spans="1:17" x14ac:dyDescent="0.5">
      <c r="A77" s="2">
        <f>ROW()</f>
        <v>77</v>
      </c>
      <c r="B77" s="2">
        <v>11010101</v>
      </c>
      <c r="C77" s="2" t="s">
        <v>23</v>
      </c>
      <c r="D77" s="2">
        <v>110101</v>
      </c>
      <c r="E77" s="2">
        <v>5</v>
      </c>
      <c r="F77" s="2" t="s">
        <v>24</v>
      </c>
      <c r="G77" s="2" t="s">
        <v>19</v>
      </c>
      <c r="H77" s="3"/>
      <c r="I77" s="2" t="s">
        <v>20</v>
      </c>
      <c r="J77" s="2" t="s">
        <v>25</v>
      </c>
      <c r="K77" s="2" t="s">
        <v>21</v>
      </c>
      <c r="L77" s="2"/>
      <c r="M77" s="2" t="str">
        <f>IF(TableJudje[[#This Row],[الحساب الرئيسي]]=0,"اجمالي",INDEX(TableJudje[اسم الحساب],MATCH(TableJudje[[#This Row],[الحساب الرئيسي]],TableJudje[رقم الحساب],0)))</f>
        <v>صناديق قيادة الفرقة</v>
      </c>
      <c r="N77" s="2" t="str">
        <f>IF(TableJudje[[#This Row],[المستوى]]&gt;2,INDEX(TableJudje[اسم الحساب],MATCH(VALUE(LEFT(TableJudje[[#This Row],[الحساب الرئيسي]],2)),TableJudje[رقم الحساب],0)),"")</f>
        <v>الاصول المتداولة</v>
      </c>
      <c r="O77" s="2" t="str">
        <f>IF(TableJudje[[#This Row],[المستوى]]&gt;3,INDEX(TableJudje[اسم الحساب],MATCH(VALUE(LEFT(TableJudje[[#This Row],[الحساب الرئيسي]],4)),TableJudje[رقم الحساب],0)),"")</f>
        <v>النقدية في الصناديق</v>
      </c>
      <c r="P77" s="2" t="str">
        <f>IF(TableJudje[[#This Row],[المستوى]]&gt;4,INDEX(TableJudje[اسم الحساب],MATCH(VALUE(LEFT(TableJudje[[#This Row],[الحساب الرئيسي]],6)),TableJudje[رقم الحساب],0)),"")</f>
        <v>صناديق قيادة الفرقة</v>
      </c>
      <c r="Q77" s="2" t="str">
        <f>IF(TableJudje[[#This Row],[المستوى]]&gt;1,INDEX(TableJudje[اسم الحساب],MATCH(VALUE(LEFT(TableJudje[[#This Row],[الحساب الرئيسي]],1)),TableJudje[رقم الحساب],0)),"")</f>
        <v>الاصول</v>
      </c>
    </row>
    <row r="78" spans="1:17" x14ac:dyDescent="0.5">
      <c r="A78" s="2">
        <f>ROW()</f>
        <v>78</v>
      </c>
      <c r="B78" s="2">
        <v>11010102</v>
      </c>
      <c r="C78" s="2" t="s">
        <v>29</v>
      </c>
      <c r="D78" s="2">
        <v>110101</v>
      </c>
      <c r="E78" s="2">
        <v>5</v>
      </c>
      <c r="F78" s="2" t="s">
        <v>24</v>
      </c>
      <c r="G78" s="2" t="s">
        <v>19</v>
      </c>
      <c r="H78" s="3"/>
      <c r="I78" s="2" t="s">
        <v>20</v>
      </c>
      <c r="J78" s="2" t="s">
        <v>25</v>
      </c>
      <c r="K78" s="2" t="s">
        <v>21</v>
      </c>
      <c r="L78" s="2"/>
      <c r="M78" s="2" t="str">
        <f>IF(TableJudje[[#This Row],[الحساب الرئيسي]]=0,"اجمالي",INDEX(TableJudje[اسم الحساب],MATCH(TableJudje[[#This Row],[الحساب الرئيسي]],TableJudje[رقم الحساب],0)))</f>
        <v>صناديق قيادة الفرقة</v>
      </c>
      <c r="N78" s="2" t="str">
        <f>IF(TableJudje[[#This Row],[المستوى]]&gt;2,INDEX(TableJudje[اسم الحساب],MATCH(VALUE(LEFT(TableJudje[[#This Row],[الحساب الرئيسي]],2)),TableJudje[رقم الحساب],0)),"")</f>
        <v>الاصول المتداولة</v>
      </c>
      <c r="O78" s="2" t="str">
        <f>IF(TableJudje[[#This Row],[المستوى]]&gt;3,INDEX(TableJudje[اسم الحساب],MATCH(VALUE(LEFT(TableJudje[[#This Row],[الحساب الرئيسي]],4)),TableJudje[رقم الحساب],0)),"")</f>
        <v>النقدية في الصناديق</v>
      </c>
      <c r="P78" s="2" t="str">
        <f>IF(TableJudje[[#This Row],[المستوى]]&gt;4,INDEX(TableJudje[اسم الحساب],MATCH(VALUE(LEFT(TableJudje[[#This Row],[الحساب الرئيسي]],6)),TableJudje[رقم الحساب],0)),"")</f>
        <v>صناديق قيادة الفرقة</v>
      </c>
      <c r="Q78" s="2" t="str">
        <f>IF(TableJudje[[#This Row],[المستوى]]&gt;1,INDEX(TableJudje[اسم الحساب],MATCH(VALUE(LEFT(TableJudje[[#This Row],[الحساب الرئيسي]],1)),TableJudje[رقم الحساب],0)),"")</f>
        <v>الاصول</v>
      </c>
    </row>
    <row r="79" spans="1:17" x14ac:dyDescent="0.5">
      <c r="A79" s="2">
        <f>ROW()</f>
        <v>79</v>
      </c>
      <c r="B79" s="2">
        <v>11010103</v>
      </c>
      <c r="C79" s="2" t="s">
        <v>30</v>
      </c>
      <c r="D79" s="2">
        <v>110101</v>
      </c>
      <c r="E79" s="2">
        <v>5</v>
      </c>
      <c r="F79" s="2" t="s">
        <v>24</v>
      </c>
      <c r="G79" s="2" t="s">
        <v>19</v>
      </c>
      <c r="H79" s="3"/>
      <c r="I79" s="2" t="s">
        <v>20</v>
      </c>
      <c r="J79" s="2" t="s">
        <v>25</v>
      </c>
      <c r="K79" s="2" t="s">
        <v>21</v>
      </c>
      <c r="L79" s="2"/>
      <c r="M79" s="2" t="str">
        <f>IF(TableJudje[[#This Row],[الحساب الرئيسي]]=0,"اجمالي",INDEX(TableJudje[اسم الحساب],MATCH(TableJudje[[#This Row],[الحساب الرئيسي]],TableJudje[رقم الحساب],0)))</f>
        <v>صناديق قيادة الفرقة</v>
      </c>
      <c r="N79" s="2" t="str">
        <f>IF(TableJudje[[#This Row],[المستوى]]&gt;2,INDEX(TableJudje[اسم الحساب],MATCH(VALUE(LEFT(TableJudje[[#This Row],[الحساب الرئيسي]],2)),TableJudje[رقم الحساب],0)),"")</f>
        <v>الاصول المتداولة</v>
      </c>
      <c r="O79" s="2" t="str">
        <f>IF(TableJudje[[#This Row],[المستوى]]&gt;3,INDEX(TableJudje[اسم الحساب],MATCH(VALUE(LEFT(TableJudje[[#This Row],[الحساب الرئيسي]],4)),TableJudje[رقم الحساب],0)),"")</f>
        <v>النقدية في الصناديق</v>
      </c>
      <c r="P79" s="2" t="str">
        <f>IF(TableJudje[[#This Row],[المستوى]]&gt;4,INDEX(TableJudje[اسم الحساب],MATCH(VALUE(LEFT(TableJudje[[#This Row],[الحساب الرئيسي]],6)),TableJudje[رقم الحساب],0)),"")</f>
        <v>صناديق قيادة الفرقة</v>
      </c>
      <c r="Q79" s="2" t="str">
        <f>IF(TableJudje[[#This Row],[المستوى]]&gt;1,INDEX(TableJudje[اسم الحساب],MATCH(VALUE(LEFT(TableJudje[[#This Row],[الحساب الرئيسي]],1)),TableJudje[رقم الحساب],0)),"")</f>
        <v>الاصول</v>
      </c>
    </row>
    <row r="80" spans="1:17" x14ac:dyDescent="0.5">
      <c r="A80" s="2">
        <f>ROW()</f>
        <v>80</v>
      </c>
      <c r="B80" s="2">
        <v>11010104</v>
      </c>
      <c r="C80" s="2" t="s">
        <v>31</v>
      </c>
      <c r="D80" s="2">
        <v>110101</v>
      </c>
      <c r="E80" s="2">
        <v>5</v>
      </c>
      <c r="F80" s="2" t="s">
        <v>24</v>
      </c>
      <c r="G80" s="2" t="s">
        <v>19</v>
      </c>
      <c r="H80" s="3"/>
      <c r="I80" s="2" t="s">
        <v>20</v>
      </c>
      <c r="J80" s="2" t="s">
        <v>25</v>
      </c>
      <c r="K80" s="2" t="s">
        <v>21</v>
      </c>
      <c r="L80" s="2"/>
      <c r="M80" s="2" t="str">
        <f>IF(TableJudje[[#This Row],[الحساب الرئيسي]]=0,"اجمالي",INDEX(TableJudje[اسم الحساب],MATCH(TableJudje[[#This Row],[الحساب الرئيسي]],TableJudje[رقم الحساب],0)))</f>
        <v>صناديق قيادة الفرقة</v>
      </c>
      <c r="N80" s="2" t="str">
        <f>IF(TableJudje[[#This Row],[المستوى]]&gt;2,INDEX(TableJudje[اسم الحساب],MATCH(VALUE(LEFT(TableJudje[[#This Row],[الحساب الرئيسي]],2)),TableJudje[رقم الحساب],0)),"")</f>
        <v>الاصول المتداولة</v>
      </c>
      <c r="O80" s="2" t="str">
        <f>IF(TableJudje[[#This Row],[المستوى]]&gt;3,INDEX(TableJudje[اسم الحساب],MATCH(VALUE(LEFT(TableJudje[[#This Row],[الحساب الرئيسي]],4)),TableJudje[رقم الحساب],0)),"")</f>
        <v>النقدية في الصناديق</v>
      </c>
      <c r="P80" s="2" t="str">
        <f>IF(TableJudje[[#This Row],[المستوى]]&gt;4,INDEX(TableJudje[اسم الحساب],MATCH(VALUE(LEFT(TableJudje[[#This Row],[الحساب الرئيسي]],6)),TableJudje[رقم الحساب],0)),"")</f>
        <v>صناديق قيادة الفرقة</v>
      </c>
      <c r="Q80" s="2" t="str">
        <f>IF(TableJudje[[#This Row],[المستوى]]&gt;1,INDEX(TableJudje[اسم الحساب],MATCH(VALUE(LEFT(TableJudje[[#This Row],[الحساب الرئيسي]],1)),TableJudje[رقم الحساب],0)),"")</f>
        <v>الاصول</v>
      </c>
    </row>
    <row r="81" spans="1:17" x14ac:dyDescent="0.5">
      <c r="A81" s="2">
        <f>ROW()</f>
        <v>81</v>
      </c>
      <c r="B81" s="2">
        <v>11010201</v>
      </c>
      <c r="C81" s="2" t="s">
        <v>26</v>
      </c>
      <c r="D81" s="2">
        <v>110102</v>
      </c>
      <c r="E81" s="2">
        <v>5</v>
      </c>
      <c r="F81" s="2" t="s">
        <v>24</v>
      </c>
      <c r="G81" s="2" t="s">
        <v>19</v>
      </c>
      <c r="H81" s="3"/>
      <c r="I81" s="2" t="s">
        <v>20</v>
      </c>
      <c r="J81" s="2" t="s">
        <v>25</v>
      </c>
      <c r="K81" s="2" t="s">
        <v>21</v>
      </c>
      <c r="L81" s="2"/>
      <c r="M81" s="2" t="str">
        <f>IF(TableJudje[[#This Row],[الحساب الرئيسي]]=0,"اجمالي",INDEX(TableJudje[اسم الحساب],MATCH(TableJudje[[#This Row],[الحساب الرئيسي]],TableJudje[رقم الحساب],0)))</f>
        <v xml:space="preserve">صناديق الوية الفرقة </v>
      </c>
      <c r="N81" s="2" t="str">
        <f>IF(TableJudje[[#This Row],[المستوى]]&gt;2,INDEX(TableJudje[اسم الحساب],MATCH(VALUE(LEFT(TableJudje[[#This Row],[الحساب الرئيسي]],2)),TableJudje[رقم الحساب],0)),"")</f>
        <v>الاصول المتداولة</v>
      </c>
      <c r="O81" s="2" t="str">
        <f>IF(TableJudje[[#This Row],[المستوى]]&gt;3,INDEX(TableJudje[اسم الحساب],MATCH(VALUE(LEFT(TableJudje[[#This Row],[الحساب الرئيسي]],4)),TableJudje[رقم الحساب],0)),"")</f>
        <v>النقدية في الصناديق</v>
      </c>
      <c r="P81" s="2" t="str">
        <f>IF(TableJudje[[#This Row],[المستوى]]&gt;4,INDEX(TableJudje[اسم الحساب],MATCH(VALUE(LEFT(TableJudje[[#This Row],[الحساب الرئيسي]],6)),TableJudje[رقم الحساب],0)),"")</f>
        <v xml:space="preserve">صناديق الوية الفرقة </v>
      </c>
      <c r="Q81" s="2" t="str">
        <f>IF(TableJudje[[#This Row],[المستوى]]&gt;1,INDEX(TableJudje[اسم الحساب],MATCH(VALUE(LEFT(TableJudje[[#This Row],[الحساب الرئيسي]],1)),TableJudje[رقم الحساب],0)),"")</f>
        <v>الاصول</v>
      </c>
    </row>
    <row r="82" spans="1:17" x14ac:dyDescent="0.5">
      <c r="A82" s="2">
        <f>ROW()</f>
        <v>82</v>
      </c>
      <c r="B82" s="2">
        <v>11010202</v>
      </c>
      <c r="C82" s="2" t="s">
        <v>27</v>
      </c>
      <c r="D82" s="2">
        <v>110102</v>
      </c>
      <c r="E82" s="2">
        <v>5</v>
      </c>
      <c r="F82" s="2" t="s">
        <v>24</v>
      </c>
      <c r="G82" s="2" t="s">
        <v>19</v>
      </c>
      <c r="H82" s="3"/>
      <c r="I82" s="2" t="s">
        <v>20</v>
      </c>
      <c r="J82" s="2" t="s">
        <v>25</v>
      </c>
      <c r="K82" s="2" t="s">
        <v>28</v>
      </c>
      <c r="L82" s="2"/>
      <c r="M82" s="2" t="str">
        <f>IF(TableJudje[[#This Row],[الحساب الرئيسي]]=0,"اجمالي",INDEX(TableJudje[اسم الحساب],MATCH(TableJudje[[#This Row],[الحساب الرئيسي]],TableJudje[رقم الحساب],0)))</f>
        <v xml:space="preserve">صناديق الوية الفرقة </v>
      </c>
      <c r="N82" s="2" t="str">
        <f>IF(TableJudje[[#This Row],[المستوى]]&gt;2,INDEX(TableJudje[اسم الحساب],MATCH(VALUE(LEFT(TableJudje[[#This Row],[الحساب الرئيسي]],2)),TableJudje[رقم الحساب],0)),"")</f>
        <v>الاصول المتداولة</v>
      </c>
      <c r="O82" s="2" t="str">
        <f>IF(TableJudje[[#This Row],[المستوى]]&gt;3,INDEX(TableJudje[اسم الحساب],MATCH(VALUE(LEFT(TableJudje[[#This Row],[الحساب الرئيسي]],4)),TableJudje[رقم الحساب],0)),"")</f>
        <v>النقدية في الصناديق</v>
      </c>
      <c r="P82" s="2" t="str">
        <f>IF(TableJudje[[#This Row],[المستوى]]&gt;4,INDEX(TableJudje[اسم الحساب],MATCH(VALUE(LEFT(TableJudje[[#This Row],[الحساب الرئيسي]],6)),TableJudje[رقم الحساب],0)),"")</f>
        <v xml:space="preserve">صناديق الوية الفرقة </v>
      </c>
      <c r="Q82" s="2" t="str">
        <f>IF(TableJudje[[#This Row],[المستوى]]&gt;1,INDEX(TableJudje[اسم الحساب],MATCH(VALUE(LEFT(TableJudje[[#This Row],[الحساب الرئيسي]],1)),TableJudje[رقم الحساب],0)),"")</f>
        <v>الاصول</v>
      </c>
    </row>
    <row r="83" spans="1:17" x14ac:dyDescent="0.5">
      <c r="A83" s="2">
        <f>ROW()</f>
        <v>83</v>
      </c>
      <c r="B83" s="2">
        <v>11020101</v>
      </c>
      <c r="C83" s="2" t="s">
        <v>34</v>
      </c>
      <c r="D83" s="2">
        <v>110201</v>
      </c>
      <c r="E83" s="2">
        <v>5</v>
      </c>
      <c r="F83" s="2" t="s">
        <v>24</v>
      </c>
      <c r="G83" s="2" t="s">
        <v>19</v>
      </c>
      <c r="H83" s="3"/>
      <c r="I83" s="2" t="s">
        <v>20</v>
      </c>
      <c r="J83" s="2" t="s">
        <v>33</v>
      </c>
      <c r="K83" s="2" t="s">
        <v>21</v>
      </c>
      <c r="L83" s="2"/>
      <c r="M83" s="2" t="str">
        <f>IF(TableJudje[[#This Row],[الحساب الرئيسي]]=0,"اجمالي",INDEX(TableJudje[اسم الحساب],MATCH(TableJudje[[#This Row],[الحساب الرئيسي]],TableJudje[رقم الحساب],0)))</f>
        <v>البنوك المحلية</v>
      </c>
      <c r="N83" s="2" t="str">
        <f>IF(TableJudje[[#This Row],[المستوى]]&gt;2,INDEX(TableJudje[اسم الحساب],MATCH(VALUE(LEFT(TableJudje[[#This Row],[الحساب الرئيسي]],2)),TableJudje[رقم الحساب],0)),"")</f>
        <v>الاصول المتداولة</v>
      </c>
      <c r="O83" s="2" t="str">
        <f>IF(TableJudje[[#This Row],[المستوى]]&gt;3,INDEX(TableJudje[اسم الحساب],MATCH(VALUE(LEFT(TableJudje[[#This Row],[الحساب الرئيسي]],4)),TableJudje[رقم الحساب],0)),"")</f>
        <v>النقدية في البنوك</v>
      </c>
      <c r="P83" s="2" t="str">
        <f>IF(TableJudje[[#This Row],[المستوى]]&gt;4,INDEX(TableJudje[اسم الحساب],MATCH(VALUE(LEFT(TableJudje[[#This Row],[الحساب الرئيسي]],6)),TableJudje[رقم الحساب],0)),"")</f>
        <v>البنوك المحلية</v>
      </c>
      <c r="Q83" s="2" t="str">
        <f>IF(TableJudje[[#This Row],[المستوى]]&gt;1,INDEX(TableJudje[اسم الحساب],MATCH(VALUE(LEFT(TableJudje[[#This Row],[الحساب الرئيسي]],1)),TableJudje[رقم الحساب],0)),"")</f>
        <v>الاصول</v>
      </c>
    </row>
    <row r="84" spans="1:17" x14ac:dyDescent="0.5">
      <c r="A84" s="2">
        <f>ROW()</f>
        <v>84</v>
      </c>
      <c r="B84" s="2">
        <v>11020102</v>
      </c>
      <c r="C84" s="2" t="s">
        <v>35</v>
      </c>
      <c r="D84" s="2">
        <v>110201</v>
      </c>
      <c r="E84" s="2">
        <v>5</v>
      </c>
      <c r="F84" s="2" t="s">
        <v>24</v>
      </c>
      <c r="G84" s="2" t="s">
        <v>19</v>
      </c>
      <c r="H84" s="3"/>
      <c r="I84" s="2" t="s">
        <v>20</v>
      </c>
      <c r="J84" s="2" t="s">
        <v>33</v>
      </c>
      <c r="K84" s="2" t="s">
        <v>21</v>
      </c>
      <c r="L84" s="2"/>
      <c r="M84" s="2" t="str">
        <f>IF(TableJudje[[#This Row],[الحساب الرئيسي]]=0,"اجمالي",INDEX(TableJudje[اسم الحساب],MATCH(TableJudje[[#This Row],[الحساب الرئيسي]],TableJudje[رقم الحساب],0)))</f>
        <v>البنوك المحلية</v>
      </c>
      <c r="N84" s="2" t="str">
        <f>IF(TableJudje[[#This Row],[المستوى]]&gt;2,INDEX(TableJudje[اسم الحساب],MATCH(VALUE(LEFT(TableJudje[[#This Row],[الحساب الرئيسي]],2)),TableJudje[رقم الحساب],0)),"")</f>
        <v>الاصول المتداولة</v>
      </c>
      <c r="O84" s="2" t="str">
        <f>IF(TableJudje[[#This Row],[المستوى]]&gt;3,INDEX(TableJudje[اسم الحساب],MATCH(VALUE(LEFT(TableJudje[[#This Row],[الحساب الرئيسي]],4)),TableJudje[رقم الحساب],0)),"")</f>
        <v>النقدية في البنوك</v>
      </c>
      <c r="P84" s="2" t="str">
        <f>IF(TableJudje[[#This Row],[المستوى]]&gt;4,INDEX(TableJudje[اسم الحساب],MATCH(VALUE(LEFT(TableJudje[[#This Row],[الحساب الرئيسي]],6)),TableJudje[رقم الحساب],0)),"")</f>
        <v>البنوك المحلية</v>
      </c>
      <c r="Q84" s="2" t="str">
        <f>IF(TableJudje[[#This Row],[المستوى]]&gt;1,INDEX(TableJudje[اسم الحساب],MATCH(VALUE(LEFT(TableJudje[[#This Row],[الحساب الرئيسي]],1)),TableJudje[رقم الحساب],0)),"")</f>
        <v>الاصول</v>
      </c>
    </row>
    <row r="85" spans="1:17" x14ac:dyDescent="0.5">
      <c r="A85" s="2">
        <f>ROW()</f>
        <v>85</v>
      </c>
      <c r="B85" s="2">
        <v>11020103</v>
      </c>
      <c r="C85" s="2" t="s">
        <v>36</v>
      </c>
      <c r="D85" s="2">
        <v>110201</v>
      </c>
      <c r="E85" s="2">
        <v>5</v>
      </c>
      <c r="F85" s="2" t="s">
        <v>24</v>
      </c>
      <c r="G85" s="2" t="s">
        <v>19</v>
      </c>
      <c r="H85" s="3"/>
      <c r="I85" s="2" t="s">
        <v>20</v>
      </c>
      <c r="J85" s="2" t="s">
        <v>33</v>
      </c>
      <c r="K85" s="2" t="s">
        <v>21</v>
      </c>
      <c r="L85" s="2"/>
      <c r="M85" s="2" t="str">
        <f>IF(TableJudje[[#This Row],[الحساب الرئيسي]]=0,"اجمالي",INDEX(TableJudje[اسم الحساب],MATCH(TableJudje[[#This Row],[الحساب الرئيسي]],TableJudje[رقم الحساب],0)))</f>
        <v>البنوك المحلية</v>
      </c>
      <c r="N85" s="2" t="str">
        <f>IF(TableJudje[[#This Row],[المستوى]]&gt;2,INDEX(TableJudje[اسم الحساب],MATCH(VALUE(LEFT(TableJudje[[#This Row],[الحساب الرئيسي]],2)),TableJudje[رقم الحساب],0)),"")</f>
        <v>الاصول المتداولة</v>
      </c>
      <c r="O85" s="2" t="str">
        <f>IF(TableJudje[[#This Row],[المستوى]]&gt;3,INDEX(TableJudje[اسم الحساب],MATCH(VALUE(LEFT(TableJudje[[#This Row],[الحساب الرئيسي]],4)),TableJudje[رقم الحساب],0)),"")</f>
        <v>النقدية في البنوك</v>
      </c>
      <c r="P85" s="2" t="str">
        <f>IF(TableJudje[[#This Row],[المستوى]]&gt;4,INDEX(TableJudje[اسم الحساب],MATCH(VALUE(LEFT(TableJudje[[#This Row],[الحساب الرئيسي]],6)),TableJudje[رقم الحساب],0)),"")</f>
        <v>البنوك المحلية</v>
      </c>
      <c r="Q85" s="2" t="str">
        <f>IF(TableJudje[[#This Row],[المستوى]]&gt;1,INDEX(TableJudje[اسم الحساب],MATCH(VALUE(LEFT(TableJudje[[#This Row],[الحساب الرئيسي]],1)),TableJudje[رقم الحساب],0)),"")</f>
        <v>الاصول</v>
      </c>
    </row>
    <row r="86" spans="1:17" x14ac:dyDescent="0.5">
      <c r="A86" s="2">
        <f>ROW()</f>
        <v>86</v>
      </c>
      <c r="B86" s="2">
        <v>11020104</v>
      </c>
      <c r="C86" s="2" t="s">
        <v>37</v>
      </c>
      <c r="D86" s="2">
        <v>110201</v>
      </c>
      <c r="E86" s="2">
        <v>5</v>
      </c>
      <c r="F86" s="2" t="s">
        <v>24</v>
      </c>
      <c r="G86" s="2" t="s">
        <v>19</v>
      </c>
      <c r="H86" s="3"/>
      <c r="I86" s="2" t="s">
        <v>20</v>
      </c>
      <c r="J86" s="2" t="s">
        <v>33</v>
      </c>
      <c r="K86" s="2" t="s">
        <v>21</v>
      </c>
      <c r="L86" s="2"/>
      <c r="M86" s="2" t="str">
        <f>IF(TableJudje[[#This Row],[الحساب الرئيسي]]=0,"اجمالي",INDEX(TableJudje[اسم الحساب],MATCH(TableJudje[[#This Row],[الحساب الرئيسي]],TableJudje[رقم الحساب],0)))</f>
        <v>البنوك المحلية</v>
      </c>
      <c r="N86" s="2" t="str">
        <f>IF(TableJudje[[#This Row],[المستوى]]&gt;2,INDEX(TableJudje[اسم الحساب],MATCH(VALUE(LEFT(TableJudje[[#This Row],[الحساب الرئيسي]],2)),TableJudje[رقم الحساب],0)),"")</f>
        <v>الاصول المتداولة</v>
      </c>
      <c r="O86" s="2" t="str">
        <f>IF(TableJudje[[#This Row],[المستوى]]&gt;3,INDEX(TableJudje[اسم الحساب],MATCH(VALUE(LEFT(TableJudje[[#This Row],[الحساب الرئيسي]],4)),TableJudje[رقم الحساب],0)),"")</f>
        <v>النقدية في البنوك</v>
      </c>
      <c r="P86" s="2" t="str">
        <f>IF(TableJudje[[#This Row],[المستوى]]&gt;4,INDEX(TableJudje[اسم الحساب],MATCH(VALUE(LEFT(TableJudje[[#This Row],[الحساب الرئيسي]],6)),TableJudje[رقم الحساب],0)),"")</f>
        <v>البنوك المحلية</v>
      </c>
      <c r="Q86" s="2" t="str">
        <f>IF(TableJudje[[#This Row],[المستوى]]&gt;1,INDEX(TableJudje[اسم الحساب],MATCH(VALUE(LEFT(TableJudje[[#This Row],[الحساب الرئيسي]],1)),TableJudje[رقم الحساب],0)),"")</f>
        <v>الاصول</v>
      </c>
    </row>
    <row r="87" spans="1:17" x14ac:dyDescent="0.5">
      <c r="A87" s="4">
        <f>ROW()</f>
        <v>87</v>
      </c>
      <c r="B87" s="4">
        <v>11030101</v>
      </c>
      <c r="C87" s="4" t="s">
        <v>39</v>
      </c>
      <c r="D87" s="2">
        <v>110301</v>
      </c>
      <c r="E87" s="4">
        <v>5</v>
      </c>
      <c r="F87" s="2" t="s">
        <v>24</v>
      </c>
      <c r="G87" s="4" t="s">
        <v>19</v>
      </c>
      <c r="H87" s="5"/>
      <c r="I87" s="2" t="s">
        <v>20</v>
      </c>
      <c r="J87" s="4" t="s">
        <v>40</v>
      </c>
      <c r="K87" s="2" t="s">
        <v>21</v>
      </c>
      <c r="L87" s="4"/>
      <c r="M87" s="2" t="str">
        <f>IF(TableJudje[[#This Row],[الحساب الرئيسي]]=0,"اجمالي",INDEX(TableJudje[اسم الحساب],MATCH(TableJudje[[#This Row],[الحساب الرئيسي]],TableJudje[رقم الحساب],0)))</f>
        <v>العملاء المحليون</v>
      </c>
      <c r="N87" s="2" t="str">
        <f>IF(TableJudje[[#This Row],[المستوى]]&gt;2,INDEX(TableJudje[اسم الحساب],MATCH(VALUE(LEFT(TableJudje[[#This Row],[الحساب الرئيسي]],2)),TableJudje[رقم الحساب],0)),"")</f>
        <v>الاصول المتداولة</v>
      </c>
      <c r="O87" s="2" t="str">
        <f>IF(TableJudje[[#This Row],[المستوى]]&gt;3,INDEX(TableJudje[اسم الحساب],MATCH(VALUE(LEFT(TableJudje[[#This Row],[الحساب الرئيسي]],4)),TableJudje[رقم الحساب],0)),"")</f>
        <v>العملاء</v>
      </c>
      <c r="P87" s="2" t="str">
        <f>IF(TableJudje[[#This Row],[المستوى]]&gt;4,INDEX(TableJudje[اسم الحساب],MATCH(VALUE(LEFT(TableJudje[[#This Row],[الحساب الرئيسي]],6)),TableJudje[رقم الحساب],0)),"")</f>
        <v>العملاء المحليون</v>
      </c>
      <c r="Q87" s="2" t="str">
        <f>IF(TableJudje[[#This Row],[المستوى]]&gt;1,INDEX(TableJudje[اسم الحساب],MATCH(VALUE(LEFT(TableJudje[[#This Row],[الحساب الرئيسي]],1)),TableJudje[رقم الحساب],0)),"")</f>
        <v>الاصول</v>
      </c>
    </row>
    <row r="88" spans="1:17" x14ac:dyDescent="0.5">
      <c r="A88" s="2">
        <f>ROW()</f>
        <v>88</v>
      </c>
      <c r="B88" s="2">
        <v>11030201</v>
      </c>
      <c r="C88" s="2" t="s">
        <v>42</v>
      </c>
      <c r="D88" s="2">
        <v>110302</v>
      </c>
      <c r="E88" s="2">
        <v>5</v>
      </c>
      <c r="F88" s="2" t="s">
        <v>24</v>
      </c>
      <c r="G88" s="2" t="s">
        <v>19</v>
      </c>
      <c r="H88" s="3"/>
      <c r="I88" s="2" t="s">
        <v>20</v>
      </c>
      <c r="J88" s="2" t="s">
        <v>40</v>
      </c>
      <c r="K88" s="2" t="s">
        <v>21</v>
      </c>
      <c r="L88" s="2"/>
      <c r="M88" s="2" t="str">
        <f>IF(TableJudje[[#This Row],[الحساب الرئيسي]]=0,"اجمالي",INDEX(TableJudje[اسم الحساب],MATCH(TableJudje[[#This Row],[الحساب الرئيسي]],TableJudje[رقم الحساب],0)))</f>
        <v>مدينون متنوعون</v>
      </c>
      <c r="N88" s="2" t="str">
        <f>IF(TableJudje[[#This Row],[المستوى]]&gt;2,INDEX(TableJudje[اسم الحساب],MATCH(VALUE(LEFT(TableJudje[[#This Row],[الحساب الرئيسي]],2)),TableJudje[رقم الحساب],0)),"")</f>
        <v>الاصول المتداولة</v>
      </c>
      <c r="O88" s="2" t="str">
        <f>IF(TableJudje[[#This Row],[المستوى]]&gt;3,INDEX(TableJudje[اسم الحساب],MATCH(VALUE(LEFT(TableJudje[[#This Row],[الحساب الرئيسي]],4)),TableJudje[رقم الحساب],0)),"")</f>
        <v>العملاء</v>
      </c>
      <c r="P88" s="2" t="str">
        <f>IF(TableJudje[[#This Row],[المستوى]]&gt;4,INDEX(TableJudje[اسم الحساب],MATCH(VALUE(LEFT(TableJudje[[#This Row],[الحساب الرئيسي]],6)),TableJudje[رقم الحساب],0)),"")</f>
        <v>مدينون متنوعون</v>
      </c>
      <c r="Q88" s="2" t="str">
        <f>IF(TableJudje[[#This Row],[المستوى]]&gt;1,INDEX(TableJudje[اسم الحساب],MATCH(VALUE(LEFT(TableJudje[[#This Row],[الحساب الرئيسي]],1)),TableJudje[رقم الحساب],0)),"")</f>
        <v>الاصول</v>
      </c>
    </row>
    <row r="89" spans="1:17" x14ac:dyDescent="0.5">
      <c r="A89" s="2">
        <f>ROW()</f>
        <v>89</v>
      </c>
      <c r="B89" s="2">
        <v>11040101</v>
      </c>
      <c r="C89" s="2" t="s">
        <v>44</v>
      </c>
      <c r="D89" s="2">
        <v>110401</v>
      </c>
      <c r="E89" s="2">
        <v>5</v>
      </c>
      <c r="F89" s="2" t="s">
        <v>24</v>
      </c>
      <c r="G89" s="2" t="s">
        <v>19</v>
      </c>
      <c r="H89" s="3"/>
      <c r="I89" s="2" t="s">
        <v>20</v>
      </c>
      <c r="J89" s="2" t="s">
        <v>45</v>
      </c>
      <c r="K89" s="2" t="s">
        <v>21</v>
      </c>
      <c r="L89" s="2"/>
      <c r="M89" s="2" t="str">
        <f>IF(TableJudje[[#This Row],[الحساب الرئيسي]]=0,"اجمالي",INDEX(TableJudje[اسم الحساب],MATCH(TableJudje[[#This Row],[الحساب الرئيسي]],TableJudje[رقم الحساب],0)))</f>
        <v>ارصدة مدينة اخرى</v>
      </c>
      <c r="N89" s="2" t="str">
        <f>IF(TableJudje[[#This Row],[المستوى]]&gt;2,INDEX(TableJudje[اسم الحساب],MATCH(VALUE(LEFT(TableJudje[[#This Row],[الحساب الرئيسي]],2)),TableJudje[رقم الحساب],0)),"")</f>
        <v>الاصول المتداولة</v>
      </c>
      <c r="O89" s="2" t="str">
        <f>IF(TableJudje[[#This Row],[المستوى]]&gt;3,INDEX(TableJudje[اسم الحساب],MATCH(VALUE(LEFT(TableJudje[[#This Row],[الحساب الرئيسي]],4)),TableJudje[رقم الحساب],0)),"")</f>
        <v>ارصدة مدينة</v>
      </c>
      <c r="P89" s="2" t="str">
        <f>IF(TableJudje[[#This Row],[المستوى]]&gt;4,INDEX(TableJudje[اسم الحساب],MATCH(VALUE(LEFT(TableJudje[[#This Row],[الحساب الرئيسي]],6)),TableJudje[رقم الحساب],0)),"")</f>
        <v>ارصدة مدينة اخرى</v>
      </c>
      <c r="Q89" s="2" t="str">
        <f>IF(TableJudje[[#This Row],[المستوى]]&gt;1,INDEX(TableJudje[اسم الحساب],MATCH(VALUE(LEFT(TableJudje[[#This Row],[الحساب الرئيسي]],1)),TableJudje[رقم الحساب],0)),"")</f>
        <v>الاصول</v>
      </c>
    </row>
    <row r="90" spans="1:17" x14ac:dyDescent="0.5">
      <c r="A90" s="2">
        <f>ROW()</f>
        <v>90</v>
      </c>
      <c r="B90" s="2">
        <v>11040201</v>
      </c>
      <c r="C90" s="2" t="s">
        <v>53</v>
      </c>
      <c r="D90" s="2">
        <v>110402</v>
      </c>
      <c r="E90" s="2">
        <v>5</v>
      </c>
      <c r="F90" s="2" t="s">
        <v>24</v>
      </c>
      <c r="G90" s="2" t="s">
        <v>19</v>
      </c>
      <c r="H90" s="3"/>
      <c r="I90" s="2" t="s">
        <v>20</v>
      </c>
      <c r="J90" s="2" t="s">
        <v>45</v>
      </c>
      <c r="K90" s="2" t="s">
        <v>21</v>
      </c>
      <c r="L90" s="2"/>
      <c r="M90" s="2" t="str">
        <f>IF(TableJudje[[#This Row],[الحساب الرئيسي]]=0,"اجمالي",INDEX(TableJudje[اسم الحساب],MATCH(TableJudje[[#This Row],[الحساب الرئيسي]],TableJudje[رقم الحساب],0)))</f>
        <v>حسابات وسيطه</v>
      </c>
      <c r="N90" s="2" t="str">
        <f>IF(TableJudje[[#This Row],[المستوى]]&gt;2,INDEX(TableJudje[اسم الحساب],MATCH(VALUE(LEFT(TableJudje[[#This Row],[الحساب الرئيسي]],2)),TableJudje[رقم الحساب],0)),"")</f>
        <v>الاصول المتداولة</v>
      </c>
      <c r="O90" s="2" t="str">
        <f>IF(TableJudje[[#This Row],[المستوى]]&gt;3,INDEX(TableJudje[اسم الحساب],MATCH(VALUE(LEFT(TableJudje[[#This Row],[الحساب الرئيسي]],4)),TableJudje[رقم الحساب],0)),"")</f>
        <v>ارصدة مدينة</v>
      </c>
      <c r="P90" s="2" t="str">
        <f>IF(TableJudje[[#This Row],[المستوى]]&gt;4,INDEX(TableJudje[اسم الحساب],MATCH(VALUE(LEFT(TableJudje[[#This Row],[الحساب الرئيسي]],6)),TableJudje[رقم الحساب],0)),"")</f>
        <v>حسابات وسيطه</v>
      </c>
      <c r="Q90" s="2" t="str">
        <f>IF(TableJudje[[#This Row],[المستوى]]&gt;1,INDEX(TableJudje[اسم الحساب],MATCH(VALUE(LEFT(TableJudje[[#This Row],[الحساب الرئيسي]],1)),TableJudje[رقم الحساب],0)),"")</f>
        <v>الاصول</v>
      </c>
    </row>
    <row r="91" spans="1:17" x14ac:dyDescent="0.5">
      <c r="A91" s="2">
        <f>ROW()</f>
        <v>91</v>
      </c>
      <c r="B91" s="2">
        <v>11040202</v>
      </c>
      <c r="C91" s="2" t="s">
        <v>54</v>
      </c>
      <c r="D91" s="2">
        <v>110402</v>
      </c>
      <c r="E91" s="2">
        <v>5</v>
      </c>
      <c r="F91" s="2" t="s">
        <v>24</v>
      </c>
      <c r="G91" s="2" t="s">
        <v>19</v>
      </c>
      <c r="H91" s="3"/>
      <c r="I91" s="2" t="s">
        <v>20</v>
      </c>
      <c r="J91" s="2" t="s">
        <v>45</v>
      </c>
      <c r="K91" s="2" t="s">
        <v>21</v>
      </c>
      <c r="L91" s="2"/>
      <c r="M91" s="2" t="str">
        <f>IF(TableJudje[[#This Row],[الحساب الرئيسي]]=0,"اجمالي",INDEX(TableJudje[اسم الحساب],MATCH(TableJudje[[#This Row],[الحساب الرئيسي]],TableJudje[رقم الحساب],0)))</f>
        <v>حسابات وسيطه</v>
      </c>
      <c r="N91" s="2" t="str">
        <f>IF(TableJudje[[#This Row],[المستوى]]&gt;2,INDEX(TableJudje[اسم الحساب],MATCH(VALUE(LEFT(TableJudje[[#This Row],[الحساب الرئيسي]],2)),TableJudje[رقم الحساب],0)),"")</f>
        <v>الاصول المتداولة</v>
      </c>
      <c r="O91" s="2" t="str">
        <f>IF(TableJudje[[#This Row],[المستوى]]&gt;3,INDEX(TableJudje[اسم الحساب],MATCH(VALUE(LEFT(TableJudje[[#This Row],[الحساب الرئيسي]],4)),TableJudje[رقم الحساب],0)),"")</f>
        <v>ارصدة مدينة</v>
      </c>
      <c r="P91" s="2" t="str">
        <f>IF(TableJudje[[#This Row],[المستوى]]&gt;4,INDEX(TableJudje[اسم الحساب],MATCH(VALUE(LEFT(TableJudje[[#This Row],[الحساب الرئيسي]],6)),TableJudje[رقم الحساب],0)),"")</f>
        <v>حسابات وسيطه</v>
      </c>
      <c r="Q91" s="2" t="str">
        <f>IF(TableJudje[[#This Row],[المستوى]]&gt;1,INDEX(TableJudje[اسم الحساب],MATCH(VALUE(LEFT(TableJudje[[#This Row],[الحساب الرئيسي]],1)),TableJudje[رقم الحساب],0)),"")</f>
        <v>الاصول</v>
      </c>
    </row>
    <row r="92" spans="1:17" x14ac:dyDescent="0.5">
      <c r="A92" s="2">
        <f>ROW()</f>
        <v>92</v>
      </c>
      <c r="B92" s="2">
        <v>11040102</v>
      </c>
      <c r="C92" s="2" t="s">
        <v>59</v>
      </c>
      <c r="D92" s="2">
        <v>110401</v>
      </c>
      <c r="E92" s="2">
        <v>5</v>
      </c>
      <c r="F92" s="2" t="s">
        <v>24</v>
      </c>
      <c r="G92" s="2" t="s">
        <v>19</v>
      </c>
      <c r="H92" s="3"/>
      <c r="I92" s="2" t="s">
        <v>20</v>
      </c>
      <c r="J92" s="2" t="s">
        <v>45</v>
      </c>
      <c r="K92" s="2" t="s">
        <v>21</v>
      </c>
      <c r="L92" s="2"/>
      <c r="M92" s="2" t="str">
        <f>IF(TableJudje[[#This Row],[الحساب الرئيسي]]=0,"اجمالي",INDEX(TableJudje[اسم الحساب],MATCH(TableJudje[[#This Row],[الحساب الرئيسي]],TableJudje[رقم الحساب],0)))</f>
        <v>ارصدة مدينة اخرى</v>
      </c>
      <c r="N92" s="2" t="str">
        <f>IF(TableJudje[[#This Row],[المستوى]]&gt;2,INDEX(TableJudje[اسم الحساب],MATCH(VALUE(LEFT(TableJudje[[#This Row],[الحساب الرئيسي]],2)),TableJudje[رقم الحساب],0)),"")</f>
        <v>الاصول المتداولة</v>
      </c>
      <c r="O92" s="2" t="str">
        <f>IF(TableJudje[[#This Row],[المستوى]]&gt;3,INDEX(TableJudje[اسم الحساب],MATCH(VALUE(LEFT(TableJudje[[#This Row],[الحساب الرئيسي]],4)),TableJudje[رقم الحساب],0)),"")</f>
        <v>ارصدة مدينة</v>
      </c>
      <c r="P92" s="2" t="str">
        <f>IF(TableJudje[[#This Row],[المستوى]]&gt;4,INDEX(TableJudje[اسم الحساب],MATCH(VALUE(LEFT(TableJudje[[#This Row],[الحساب الرئيسي]],6)),TableJudje[رقم الحساب],0)),"")</f>
        <v>ارصدة مدينة اخرى</v>
      </c>
      <c r="Q92" s="2" t="str">
        <f>IF(TableJudje[[#This Row],[المستوى]]&gt;1,INDEX(TableJudje[اسم الحساب],MATCH(VALUE(LEFT(TableJudje[[#This Row],[الحساب الرئيسي]],1)),TableJudje[رقم الحساب],0)),"")</f>
        <v>الاصول</v>
      </c>
    </row>
    <row r="93" spans="1:17" x14ac:dyDescent="0.5">
      <c r="A93" s="2">
        <f>ROW()</f>
        <v>93</v>
      </c>
      <c r="B93" s="2">
        <v>11040105</v>
      </c>
      <c r="C93" s="2" t="s">
        <v>60</v>
      </c>
      <c r="D93" s="2">
        <v>110401</v>
      </c>
      <c r="E93" s="2">
        <v>5</v>
      </c>
      <c r="F93" s="2" t="s">
        <v>24</v>
      </c>
      <c r="G93" s="2" t="s">
        <v>19</v>
      </c>
      <c r="H93" s="3"/>
      <c r="I93" s="2" t="s">
        <v>20</v>
      </c>
      <c r="J93" s="2" t="s">
        <v>45</v>
      </c>
      <c r="K93" s="2" t="s">
        <v>21</v>
      </c>
      <c r="L93" s="2"/>
      <c r="M93" s="2" t="str">
        <f>IF(TableJudje[[#This Row],[الحساب الرئيسي]]=0,"اجمالي",INDEX(TableJudje[اسم الحساب],MATCH(TableJudje[[#This Row],[الحساب الرئيسي]],TableJudje[رقم الحساب],0)))</f>
        <v>ارصدة مدينة اخرى</v>
      </c>
      <c r="N93" s="2" t="str">
        <f>IF(TableJudje[[#This Row],[المستوى]]&gt;2,INDEX(TableJudje[اسم الحساب],MATCH(VALUE(LEFT(TableJudje[[#This Row],[الحساب الرئيسي]],2)),TableJudje[رقم الحساب],0)),"")</f>
        <v>الاصول المتداولة</v>
      </c>
      <c r="O93" s="2" t="str">
        <f>IF(TableJudje[[#This Row],[المستوى]]&gt;3,INDEX(TableJudje[اسم الحساب],MATCH(VALUE(LEFT(TableJudje[[#This Row],[الحساب الرئيسي]],4)),TableJudje[رقم الحساب],0)),"")</f>
        <v>ارصدة مدينة</v>
      </c>
      <c r="P93" s="2" t="str">
        <f>IF(TableJudje[[#This Row],[المستوى]]&gt;4,INDEX(TableJudje[اسم الحساب],MATCH(VALUE(LEFT(TableJudje[[#This Row],[الحساب الرئيسي]],6)),TableJudje[رقم الحساب],0)),"")</f>
        <v>ارصدة مدينة اخرى</v>
      </c>
      <c r="Q93" s="2" t="str">
        <f>IF(TableJudje[[#This Row],[المستوى]]&gt;1,INDEX(TableJudje[اسم الحساب],MATCH(VALUE(LEFT(TableJudje[[#This Row],[الحساب الرئيسي]],1)),TableJudje[رقم الحساب],0)),"")</f>
        <v>الاصول</v>
      </c>
    </row>
    <row r="94" spans="1:17" x14ac:dyDescent="0.5">
      <c r="A94" s="2">
        <f>ROW()</f>
        <v>94</v>
      </c>
      <c r="B94" s="2">
        <v>11040103</v>
      </c>
      <c r="C94" s="2" t="s">
        <v>61</v>
      </c>
      <c r="D94" s="2">
        <v>110401</v>
      </c>
      <c r="E94" s="2">
        <v>5</v>
      </c>
      <c r="F94" s="2" t="s">
        <v>24</v>
      </c>
      <c r="G94" s="2" t="s">
        <v>19</v>
      </c>
      <c r="H94" s="3"/>
      <c r="I94" s="2" t="s">
        <v>20</v>
      </c>
      <c r="J94" s="2" t="s">
        <v>45</v>
      </c>
      <c r="K94" s="2" t="s">
        <v>21</v>
      </c>
      <c r="L94" s="2"/>
      <c r="M94" s="2" t="str">
        <f>IF(TableJudje[[#This Row],[الحساب الرئيسي]]=0,"اجمالي",INDEX(TableJudje[اسم الحساب],MATCH(TableJudje[[#This Row],[الحساب الرئيسي]],TableJudje[رقم الحساب],0)))</f>
        <v>ارصدة مدينة اخرى</v>
      </c>
      <c r="N94" s="2" t="str">
        <f>IF(TableJudje[[#This Row],[المستوى]]&gt;2,INDEX(TableJudje[اسم الحساب],MATCH(VALUE(LEFT(TableJudje[[#This Row],[الحساب الرئيسي]],2)),TableJudje[رقم الحساب],0)),"")</f>
        <v>الاصول المتداولة</v>
      </c>
      <c r="O94" s="2" t="str">
        <f>IF(TableJudje[[#This Row],[المستوى]]&gt;3,INDEX(TableJudje[اسم الحساب],MATCH(VALUE(LEFT(TableJudje[[#This Row],[الحساب الرئيسي]],4)),TableJudje[رقم الحساب],0)),"")</f>
        <v>ارصدة مدينة</v>
      </c>
      <c r="P94" s="2" t="str">
        <f>IF(TableJudje[[#This Row],[المستوى]]&gt;4,INDEX(TableJudje[اسم الحساب],MATCH(VALUE(LEFT(TableJudje[[#This Row],[الحساب الرئيسي]],6)),TableJudje[رقم الحساب],0)),"")</f>
        <v>ارصدة مدينة اخرى</v>
      </c>
      <c r="Q94" s="2" t="str">
        <f>IF(TableJudje[[#This Row],[المستوى]]&gt;1,INDEX(TableJudje[اسم الحساب],MATCH(VALUE(LEFT(TableJudje[[#This Row],[الحساب الرئيسي]],1)),TableJudje[رقم الحساب],0)),"")</f>
        <v>الاصول</v>
      </c>
    </row>
    <row r="95" spans="1:17" x14ac:dyDescent="0.5">
      <c r="A95" s="2">
        <f>ROW()</f>
        <v>95</v>
      </c>
      <c r="B95" s="2">
        <v>11040104</v>
      </c>
      <c r="C95" s="2" t="s">
        <v>62</v>
      </c>
      <c r="D95" s="2">
        <v>110401</v>
      </c>
      <c r="E95" s="2">
        <v>5</v>
      </c>
      <c r="F95" s="2" t="s">
        <v>24</v>
      </c>
      <c r="G95" s="2" t="s">
        <v>19</v>
      </c>
      <c r="H95" s="3"/>
      <c r="I95" s="2" t="s">
        <v>20</v>
      </c>
      <c r="J95" s="2" t="s">
        <v>45</v>
      </c>
      <c r="K95" s="2" t="s">
        <v>21</v>
      </c>
      <c r="L95" s="2"/>
      <c r="M95" s="2" t="str">
        <f>IF(TableJudje[[#This Row],[الحساب الرئيسي]]=0,"اجمالي",INDEX(TableJudje[اسم الحساب],MATCH(TableJudje[[#This Row],[الحساب الرئيسي]],TableJudje[رقم الحساب],0)))</f>
        <v>ارصدة مدينة اخرى</v>
      </c>
      <c r="N95" s="2" t="str">
        <f>IF(TableJudje[[#This Row],[المستوى]]&gt;2,INDEX(TableJudje[اسم الحساب],MATCH(VALUE(LEFT(TableJudje[[#This Row],[الحساب الرئيسي]],2)),TableJudje[رقم الحساب],0)),"")</f>
        <v>الاصول المتداولة</v>
      </c>
      <c r="O95" s="2" t="str">
        <f>IF(TableJudje[[#This Row],[المستوى]]&gt;3,INDEX(TableJudje[اسم الحساب],MATCH(VALUE(LEFT(TableJudje[[#This Row],[الحساب الرئيسي]],4)),TableJudje[رقم الحساب],0)),"")</f>
        <v>ارصدة مدينة</v>
      </c>
      <c r="P95" s="2" t="str">
        <f>IF(TableJudje[[#This Row],[المستوى]]&gt;4,INDEX(TableJudje[اسم الحساب],MATCH(VALUE(LEFT(TableJudje[[#This Row],[الحساب الرئيسي]],6)),TableJudje[رقم الحساب],0)),"")</f>
        <v>ارصدة مدينة اخرى</v>
      </c>
      <c r="Q95" s="2" t="str">
        <f>IF(TableJudje[[#This Row],[المستوى]]&gt;1,INDEX(TableJudje[اسم الحساب],MATCH(VALUE(LEFT(TableJudje[[#This Row],[الحساب الرئيسي]],1)),TableJudje[رقم الحساب],0)),"")</f>
        <v>الاصول</v>
      </c>
    </row>
    <row r="96" spans="1:17" x14ac:dyDescent="0.5">
      <c r="A96" s="2">
        <f>ROW()</f>
        <v>96</v>
      </c>
      <c r="B96" s="2">
        <v>11050101</v>
      </c>
      <c r="C96" s="2" t="s">
        <v>47</v>
      </c>
      <c r="D96" s="2">
        <v>110501</v>
      </c>
      <c r="E96" s="2">
        <v>5</v>
      </c>
      <c r="F96" s="2" t="s">
        <v>24</v>
      </c>
      <c r="G96" s="2" t="s">
        <v>19</v>
      </c>
      <c r="H96" s="3"/>
      <c r="I96" s="2" t="s">
        <v>20</v>
      </c>
      <c r="J96" s="2" t="s">
        <v>45</v>
      </c>
      <c r="K96" s="2" t="s">
        <v>21</v>
      </c>
      <c r="L96" s="2"/>
      <c r="M96" s="2" t="str">
        <f>IF(TableJudje[[#This Row],[الحساب الرئيسي]]=0,"اجمالي",INDEX(TableJudje[اسم الحساب],MATCH(TableJudje[[#This Row],[الحساب الرئيسي]],TableJudje[رقم الحساب],0)))</f>
        <v>مخزون  مجموعة رئيسية</v>
      </c>
      <c r="N96" s="2" t="str">
        <f>IF(TableJudje[[#This Row],[المستوى]]&gt;2,INDEX(TableJudje[اسم الحساب],MATCH(VALUE(LEFT(TableJudje[[#This Row],[الحساب الرئيسي]],2)),TableJudje[رقم الحساب],0)),"")</f>
        <v>الاصول المتداولة</v>
      </c>
      <c r="O96" s="2" t="str">
        <f>IF(TableJudje[[#This Row],[المستوى]]&gt;3,INDEX(TableJudje[اسم الحساب],MATCH(VALUE(LEFT(TableJudje[[#This Row],[الحساب الرئيسي]],4)),TableJudje[رقم الحساب],0)),"")</f>
        <v>المخزون</v>
      </c>
      <c r="P96" s="2" t="str">
        <f>IF(TableJudje[[#This Row],[المستوى]]&gt;4,INDEX(TableJudje[اسم الحساب],MATCH(VALUE(LEFT(TableJudje[[#This Row],[الحساب الرئيسي]],6)),TableJudje[رقم الحساب],0)),"")</f>
        <v>مخزون  مجموعة رئيسية</v>
      </c>
      <c r="Q96" s="2" t="str">
        <f>IF(TableJudje[[#This Row],[المستوى]]&gt;1,INDEX(TableJudje[اسم الحساب],MATCH(VALUE(LEFT(TableJudje[[#This Row],[الحساب الرئيسي]],1)),TableJudje[رقم الحساب],0)),"")</f>
        <v>الاصول</v>
      </c>
    </row>
    <row r="97" spans="1:17" x14ac:dyDescent="0.5">
      <c r="A97" s="2">
        <f>ROW()</f>
        <v>97</v>
      </c>
      <c r="B97" s="2">
        <v>11050102</v>
      </c>
      <c r="C97" s="2" t="s">
        <v>48</v>
      </c>
      <c r="D97" s="2">
        <v>110501</v>
      </c>
      <c r="E97" s="2">
        <v>5</v>
      </c>
      <c r="F97" s="2" t="s">
        <v>24</v>
      </c>
      <c r="G97" s="2" t="s">
        <v>19</v>
      </c>
      <c r="H97" s="3"/>
      <c r="I97" s="2" t="s">
        <v>20</v>
      </c>
      <c r="J97" s="2" t="s">
        <v>45</v>
      </c>
      <c r="K97" s="2" t="s">
        <v>21</v>
      </c>
      <c r="L97" s="2"/>
      <c r="M97" s="2" t="str">
        <f>IF(TableJudje[[#This Row],[الحساب الرئيسي]]=0,"اجمالي",INDEX(TableJudje[اسم الحساب],MATCH(TableJudje[[#This Row],[الحساب الرئيسي]],TableJudje[رقم الحساب],0)))</f>
        <v>مخزون  مجموعة رئيسية</v>
      </c>
      <c r="N97" s="2" t="str">
        <f>IF(TableJudje[[#This Row],[المستوى]]&gt;2,INDEX(TableJudje[اسم الحساب],MATCH(VALUE(LEFT(TableJudje[[#This Row],[الحساب الرئيسي]],2)),TableJudje[رقم الحساب],0)),"")</f>
        <v>الاصول المتداولة</v>
      </c>
      <c r="O97" s="2" t="str">
        <f>IF(TableJudje[[#This Row],[المستوى]]&gt;3,INDEX(TableJudje[اسم الحساب],MATCH(VALUE(LEFT(TableJudje[[#This Row],[الحساب الرئيسي]],4)),TableJudje[رقم الحساب],0)),"")</f>
        <v>المخزون</v>
      </c>
      <c r="P97" s="2" t="str">
        <f>IF(TableJudje[[#This Row],[المستوى]]&gt;4,INDEX(TableJudje[اسم الحساب],MATCH(VALUE(LEFT(TableJudje[[#This Row],[الحساب الرئيسي]],6)),TableJudje[رقم الحساب],0)),"")</f>
        <v>مخزون  مجموعة رئيسية</v>
      </c>
      <c r="Q97" s="2" t="str">
        <f>IF(TableJudje[[#This Row],[المستوى]]&gt;1,INDEX(TableJudje[اسم الحساب],MATCH(VALUE(LEFT(TableJudje[[#This Row],[الحساب الرئيسي]],1)),TableJudje[رقم الحساب],0)),"")</f>
        <v>الاصول</v>
      </c>
    </row>
    <row r="98" spans="1:17" x14ac:dyDescent="0.5">
      <c r="A98" s="2">
        <f>ROW()</f>
        <v>98</v>
      </c>
      <c r="B98" s="2">
        <v>11050103</v>
      </c>
      <c r="C98" s="2" t="s">
        <v>49</v>
      </c>
      <c r="D98" s="2">
        <v>110501</v>
      </c>
      <c r="E98" s="2">
        <v>5</v>
      </c>
      <c r="F98" s="2" t="s">
        <v>24</v>
      </c>
      <c r="G98" s="2" t="s">
        <v>19</v>
      </c>
      <c r="H98" s="3"/>
      <c r="I98" s="2" t="s">
        <v>20</v>
      </c>
      <c r="J98" s="2" t="s">
        <v>45</v>
      </c>
      <c r="K98" s="2" t="s">
        <v>21</v>
      </c>
      <c r="L98" s="2"/>
      <c r="M98" s="2" t="str">
        <f>IF(TableJudje[[#This Row],[الحساب الرئيسي]]=0,"اجمالي",INDEX(TableJudje[اسم الحساب],MATCH(TableJudje[[#This Row],[الحساب الرئيسي]],TableJudje[رقم الحساب],0)))</f>
        <v>مخزون  مجموعة رئيسية</v>
      </c>
      <c r="N98" s="2" t="str">
        <f>IF(TableJudje[[#This Row],[المستوى]]&gt;2,INDEX(TableJudje[اسم الحساب],MATCH(VALUE(LEFT(TableJudje[[#This Row],[الحساب الرئيسي]],2)),TableJudje[رقم الحساب],0)),"")</f>
        <v>الاصول المتداولة</v>
      </c>
      <c r="O98" s="2" t="str">
        <f>IF(TableJudje[[#This Row],[المستوى]]&gt;3,INDEX(TableJudje[اسم الحساب],MATCH(VALUE(LEFT(TableJudje[[#This Row],[الحساب الرئيسي]],4)),TableJudje[رقم الحساب],0)),"")</f>
        <v>المخزون</v>
      </c>
      <c r="P98" s="2" t="str">
        <f>IF(TableJudje[[#This Row],[المستوى]]&gt;4,INDEX(TableJudje[اسم الحساب],MATCH(VALUE(LEFT(TableJudje[[#This Row],[الحساب الرئيسي]],6)),TableJudje[رقم الحساب],0)),"")</f>
        <v>مخزون  مجموعة رئيسية</v>
      </c>
      <c r="Q98" s="2" t="str">
        <f>IF(TableJudje[[#This Row],[المستوى]]&gt;1,INDEX(TableJudje[اسم الحساب],MATCH(VALUE(LEFT(TableJudje[[#This Row],[الحساب الرئيسي]],1)),TableJudje[رقم الحساب],0)),"")</f>
        <v>الاصول</v>
      </c>
    </row>
    <row r="99" spans="1:17" x14ac:dyDescent="0.5">
      <c r="A99" s="2">
        <f>ROW()</f>
        <v>99</v>
      </c>
      <c r="B99" s="2">
        <v>11050104</v>
      </c>
      <c r="C99" s="2" t="s">
        <v>50</v>
      </c>
      <c r="D99" s="2">
        <v>110501</v>
      </c>
      <c r="E99" s="2">
        <v>5</v>
      </c>
      <c r="F99" s="2" t="s">
        <v>24</v>
      </c>
      <c r="G99" s="2" t="s">
        <v>19</v>
      </c>
      <c r="H99" s="3"/>
      <c r="I99" s="2" t="s">
        <v>20</v>
      </c>
      <c r="J99" s="2" t="s">
        <v>45</v>
      </c>
      <c r="K99" s="2" t="s">
        <v>21</v>
      </c>
      <c r="L99" s="2"/>
      <c r="M99" s="2" t="str">
        <f>IF(TableJudje[[#This Row],[الحساب الرئيسي]]=0,"اجمالي",INDEX(TableJudje[اسم الحساب],MATCH(TableJudje[[#This Row],[الحساب الرئيسي]],TableJudje[رقم الحساب],0)))</f>
        <v>مخزون  مجموعة رئيسية</v>
      </c>
      <c r="N99" s="2" t="str">
        <f>IF(TableJudje[[#This Row],[المستوى]]&gt;2,INDEX(TableJudje[اسم الحساب],MATCH(VALUE(LEFT(TableJudje[[#This Row],[الحساب الرئيسي]],2)),TableJudje[رقم الحساب],0)),"")</f>
        <v>الاصول المتداولة</v>
      </c>
      <c r="O99" s="2" t="str">
        <f>IF(TableJudje[[#This Row],[المستوى]]&gt;3,INDEX(TableJudje[اسم الحساب],MATCH(VALUE(LEFT(TableJudje[[#This Row],[الحساب الرئيسي]],4)),TableJudje[رقم الحساب],0)),"")</f>
        <v>المخزون</v>
      </c>
      <c r="P99" s="2" t="str">
        <f>IF(TableJudje[[#This Row],[المستوى]]&gt;4,INDEX(TableJudje[اسم الحساب],MATCH(VALUE(LEFT(TableJudje[[#This Row],[الحساب الرئيسي]],6)),TableJudje[رقم الحساب],0)),"")</f>
        <v>مخزون  مجموعة رئيسية</v>
      </c>
      <c r="Q99" s="2" t="str">
        <f>IF(TableJudje[[#This Row],[المستوى]]&gt;1,INDEX(TableJudje[اسم الحساب],MATCH(VALUE(LEFT(TableJudje[[#This Row],[الحساب الرئيسي]],1)),TableJudje[رقم الحساب],0)),"")</f>
        <v>الاصول</v>
      </c>
    </row>
    <row r="100" spans="1:17" x14ac:dyDescent="0.5">
      <c r="A100" s="2">
        <f>ROW()</f>
        <v>100</v>
      </c>
      <c r="B100" s="2">
        <v>11050105</v>
      </c>
      <c r="C100" s="2" t="s">
        <v>51</v>
      </c>
      <c r="D100" s="2">
        <v>110501</v>
      </c>
      <c r="E100" s="2">
        <v>5</v>
      </c>
      <c r="F100" s="2" t="s">
        <v>24</v>
      </c>
      <c r="G100" s="2" t="s">
        <v>19</v>
      </c>
      <c r="H100" s="3"/>
      <c r="I100" s="2" t="s">
        <v>20</v>
      </c>
      <c r="J100" s="2" t="s">
        <v>45</v>
      </c>
      <c r="K100" s="2" t="s">
        <v>21</v>
      </c>
      <c r="L100" s="2"/>
      <c r="M100" s="2" t="str">
        <f>IF(TableJudje[[#This Row],[الحساب الرئيسي]]=0,"اجمالي",INDEX(TableJudje[اسم الحساب],MATCH(TableJudje[[#This Row],[الحساب الرئيسي]],TableJudje[رقم الحساب],0)))</f>
        <v>مخزون  مجموعة رئيسية</v>
      </c>
      <c r="N100" s="2" t="str">
        <f>IF(TableJudje[[#This Row],[المستوى]]&gt;2,INDEX(TableJudje[اسم الحساب],MATCH(VALUE(LEFT(TableJudje[[#This Row],[الحساب الرئيسي]],2)),TableJudje[رقم الحساب],0)),"")</f>
        <v>الاصول المتداولة</v>
      </c>
      <c r="O100" s="2" t="str">
        <f>IF(TableJudje[[#This Row],[المستوى]]&gt;3,INDEX(TableJudje[اسم الحساب],MATCH(VALUE(LEFT(TableJudje[[#This Row],[الحساب الرئيسي]],4)),TableJudje[رقم الحساب],0)),"")</f>
        <v>المخزون</v>
      </c>
      <c r="P100" s="2" t="str">
        <f>IF(TableJudje[[#This Row],[المستوى]]&gt;4,INDEX(TableJudje[اسم الحساب],MATCH(VALUE(LEFT(TableJudje[[#This Row],[الحساب الرئيسي]],6)),TableJudje[رقم الحساب],0)),"")</f>
        <v>مخزون  مجموعة رئيسية</v>
      </c>
      <c r="Q100" s="2" t="str">
        <f>IF(TableJudje[[#This Row],[المستوى]]&gt;1,INDEX(TableJudje[اسم الحساب],MATCH(VALUE(LEFT(TableJudje[[#This Row],[الحساب الرئيسي]],1)),TableJudje[رقم الحساب],0)),"")</f>
        <v>الاصول</v>
      </c>
    </row>
    <row r="101" spans="1:17" x14ac:dyDescent="0.5">
      <c r="A101" s="2">
        <f>ROW()</f>
        <v>101</v>
      </c>
      <c r="B101" s="2">
        <v>11060201</v>
      </c>
      <c r="C101" s="2" t="s">
        <v>57</v>
      </c>
      <c r="D101" s="2">
        <v>110602</v>
      </c>
      <c r="E101" s="2">
        <v>5</v>
      </c>
      <c r="F101" s="2" t="s">
        <v>24</v>
      </c>
      <c r="G101" s="2" t="s">
        <v>19</v>
      </c>
      <c r="H101" s="3"/>
      <c r="I101" s="2" t="s">
        <v>20</v>
      </c>
      <c r="J101" s="2" t="s">
        <v>58</v>
      </c>
      <c r="K101" s="2" t="s">
        <v>21</v>
      </c>
      <c r="L101" s="2"/>
      <c r="M101" s="2" t="str">
        <f>IF(TableJudje[[#This Row],[الحساب الرئيسي]]=0,"اجمالي",INDEX(TableJudje[اسم الحساب],MATCH(TableJudje[[#This Row],[الحساب الرئيسي]],TableJudje[رقم الحساب],0)))</f>
        <v>العهد</v>
      </c>
      <c r="N101" s="2" t="str">
        <f>IF(TableJudje[[#This Row],[المستوى]]&gt;2,INDEX(TableJudje[اسم الحساب],MATCH(VALUE(LEFT(TableJudje[[#This Row],[الحساب الرئيسي]],2)),TableJudje[رقم الحساب],0)),"")</f>
        <v>الاصول المتداولة</v>
      </c>
      <c r="O101" s="2" t="str">
        <f>IF(TableJudje[[#This Row],[المستوى]]&gt;3,INDEX(TableJudje[اسم الحساب],MATCH(VALUE(LEFT(TableJudje[[#This Row],[الحساب الرئيسي]],4)),TableJudje[رقم الحساب],0)),"")</f>
        <v>سلف و عهد الموضفين</v>
      </c>
      <c r="P101" s="2" t="str">
        <f>IF(TableJudje[[#This Row],[المستوى]]&gt;4,INDEX(TableJudje[اسم الحساب],MATCH(VALUE(LEFT(TableJudje[[#This Row],[الحساب الرئيسي]],6)),TableJudje[رقم الحساب],0)),"")</f>
        <v>العهد</v>
      </c>
      <c r="Q101" s="2" t="str">
        <f>IF(TableJudje[[#This Row],[المستوى]]&gt;1,INDEX(TableJudje[اسم الحساب],MATCH(VALUE(LEFT(TableJudje[[#This Row],[الحساب الرئيسي]],1)),TableJudje[رقم الحساب],0)),"")</f>
        <v>الاصول</v>
      </c>
    </row>
    <row r="102" spans="1:17" x14ac:dyDescent="0.5">
      <c r="A102" s="2">
        <f>ROW()</f>
        <v>102</v>
      </c>
      <c r="B102" s="2">
        <v>11060202</v>
      </c>
      <c r="C102" s="2" t="s">
        <v>159</v>
      </c>
      <c r="D102" s="2">
        <v>110602</v>
      </c>
      <c r="E102" s="2">
        <v>5</v>
      </c>
      <c r="F102" s="2" t="s">
        <v>24</v>
      </c>
      <c r="G102" s="2" t="s">
        <v>19</v>
      </c>
      <c r="H102" s="3"/>
      <c r="I102" s="2" t="s">
        <v>20</v>
      </c>
      <c r="J102" s="2" t="s">
        <v>58</v>
      </c>
      <c r="K102" s="2" t="s">
        <v>21</v>
      </c>
      <c r="L102" s="2"/>
      <c r="M102" s="2" t="str">
        <f>IF(TableJudje[[#This Row],[الحساب الرئيسي]]=0,"اجمالي",INDEX(TableJudje[اسم الحساب],MATCH(TableJudje[[#This Row],[الحساب الرئيسي]],TableJudje[رقم الحساب],0)))</f>
        <v>العهد</v>
      </c>
      <c r="N102" s="2" t="str">
        <f>IF(TableJudje[[#This Row],[المستوى]]&gt;2,INDEX(TableJudje[اسم الحساب],MATCH(VALUE(LEFT(TableJudje[[#This Row],[الحساب الرئيسي]],2)),TableJudje[رقم الحساب],0)),"")</f>
        <v>الاصول المتداولة</v>
      </c>
      <c r="O102" s="2" t="str">
        <f>IF(TableJudje[[#This Row],[المستوى]]&gt;3,INDEX(TableJudje[اسم الحساب],MATCH(VALUE(LEFT(TableJudje[[#This Row],[الحساب الرئيسي]],4)),TableJudje[رقم الحساب],0)),"")</f>
        <v>سلف و عهد الموضفين</v>
      </c>
      <c r="P102" s="2" t="str">
        <f>IF(TableJudje[[#This Row],[المستوى]]&gt;4,INDEX(TableJudje[اسم الحساب],MATCH(VALUE(LEFT(TableJudje[[#This Row],[الحساب الرئيسي]],6)),TableJudje[رقم الحساب],0)),"")</f>
        <v>العهد</v>
      </c>
      <c r="Q102" s="2" t="str">
        <f>IF(TableJudje[[#This Row],[المستوى]]&gt;1,INDEX(TableJudje[اسم الحساب],MATCH(VALUE(LEFT(TableJudje[[#This Row],[الحساب الرئيسي]],1)),TableJudje[رقم الحساب],0)),"")</f>
        <v>الاصول</v>
      </c>
    </row>
    <row r="103" spans="1:17" x14ac:dyDescent="0.5">
      <c r="A103" s="2">
        <f>ROW()</f>
        <v>103</v>
      </c>
      <c r="B103" s="2">
        <v>11060203</v>
      </c>
      <c r="C103" s="2" t="s">
        <v>160</v>
      </c>
      <c r="D103" s="2">
        <v>110602</v>
      </c>
      <c r="E103" s="2">
        <v>5</v>
      </c>
      <c r="F103" s="2" t="s">
        <v>24</v>
      </c>
      <c r="G103" s="2" t="s">
        <v>19</v>
      </c>
      <c r="H103" s="3"/>
      <c r="I103" s="2" t="s">
        <v>20</v>
      </c>
      <c r="J103" s="2" t="s">
        <v>58</v>
      </c>
      <c r="K103" s="2" t="s">
        <v>21</v>
      </c>
      <c r="L103" s="2"/>
      <c r="M103" s="2" t="str">
        <f>IF(TableJudje[[#This Row],[الحساب الرئيسي]]=0,"اجمالي",INDEX(TableJudje[اسم الحساب],MATCH(TableJudje[[#This Row],[الحساب الرئيسي]],TableJudje[رقم الحساب],0)))</f>
        <v>العهد</v>
      </c>
      <c r="N103" s="2" t="str">
        <f>IF(TableJudje[[#This Row],[المستوى]]&gt;2,INDEX(TableJudje[اسم الحساب],MATCH(VALUE(LEFT(TableJudje[[#This Row],[الحساب الرئيسي]],2)),TableJudje[رقم الحساب],0)),"")</f>
        <v>الاصول المتداولة</v>
      </c>
      <c r="O103" s="2" t="str">
        <f>IF(TableJudje[[#This Row],[المستوى]]&gt;3,INDEX(TableJudje[اسم الحساب],MATCH(VALUE(LEFT(TableJudje[[#This Row],[الحساب الرئيسي]],4)),TableJudje[رقم الحساب],0)),"")</f>
        <v>سلف و عهد الموضفين</v>
      </c>
      <c r="P103" s="2" t="str">
        <f>IF(TableJudje[[#This Row],[المستوى]]&gt;4,INDEX(TableJudje[اسم الحساب],MATCH(VALUE(LEFT(TableJudje[[#This Row],[الحساب الرئيسي]],6)),TableJudje[رقم الحساب],0)),"")</f>
        <v>العهد</v>
      </c>
      <c r="Q103" s="2" t="str">
        <f>IF(TableJudje[[#This Row],[المستوى]]&gt;1,INDEX(TableJudje[اسم الحساب],MATCH(VALUE(LEFT(TableJudje[[#This Row],[الحساب الرئيسي]],1)),TableJudje[رقم الحساب],0)),"")</f>
        <v>الاصول</v>
      </c>
    </row>
    <row r="104" spans="1:17" x14ac:dyDescent="0.5">
      <c r="A104" s="2">
        <f>ROW()</f>
        <v>104</v>
      </c>
      <c r="B104" s="2">
        <v>12010101</v>
      </c>
      <c r="C104" s="6" t="s">
        <v>477</v>
      </c>
      <c r="D104" s="2">
        <v>120101</v>
      </c>
      <c r="E104" s="2">
        <v>5</v>
      </c>
      <c r="F104" s="2" t="s">
        <v>24</v>
      </c>
      <c r="G104" s="2" t="s">
        <v>19</v>
      </c>
      <c r="H104" s="3"/>
      <c r="I104" s="2" t="s">
        <v>20</v>
      </c>
      <c r="J104" s="2" t="s">
        <v>45</v>
      </c>
      <c r="K104" s="2" t="s">
        <v>21</v>
      </c>
      <c r="L104" s="2"/>
      <c r="M104" s="2" t="str">
        <f>IF(TableJudje[[#This Row],[الحساب الرئيسي]]=0,"اجمالي",INDEX(TableJudje[اسم الحساب],MATCH(TableJudje[[#This Row],[الحساب الرئيسي]],TableJudje[رقم الحساب],0)))</f>
        <v xml:space="preserve">سيارات ادارية </v>
      </c>
      <c r="N104" s="2" t="str">
        <f>IF(TableJudje[[#This Row],[المستوى]]&gt;2,INDEX(TableJudje[اسم الحساب],MATCH(VALUE(LEFT(TableJudje[[#This Row],[الحساب الرئيسي]],2)),TableJudje[رقم الحساب],0)),"")</f>
        <v>الاصول الغير متداولة</v>
      </c>
      <c r="O104" s="2" t="str">
        <f>IF(TableJudje[[#This Row],[المستوى]]&gt;3,INDEX(TableJudje[اسم الحساب],MATCH(VALUE(LEFT(TableJudje[[#This Row],[الحساب الرئيسي]],4)),TableJudje[رقم الحساب],0)),"")</f>
        <v>السيارات والباصات</v>
      </c>
      <c r="P104" s="2" t="str">
        <f>IF(TableJudje[[#This Row],[المستوى]]&gt;4,INDEX(TableJudje[اسم الحساب],MATCH(VALUE(LEFT(TableJudje[[#This Row],[الحساب الرئيسي]],6)),TableJudje[رقم الحساب],0)),"")</f>
        <v xml:space="preserve">سيارات ادارية </v>
      </c>
      <c r="Q104" s="2" t="str">
        <f>IF(TableJudje[[#This Row],[المستوى]]&gt;1,INDEX(TableJudje[اسم الحساب],MATCH(VALUE(LEFT(TableJudje[[#This Row],[الحساب الرئيسي]],1)),TableJudje[رقم الحساب],0)),"")</f>
        <v>الاصول</v>
      </c>
    </row>
    <row r="105" spans="1:17" x14ac:dyDescent="0.5">
      <c r="A105" s="2">
        <f>ROW()</f>
        <v>105</v>
      </c>
      <c r="B105" s="2">
        <v>12020101</v>
      </c>
      <c r="C105" s="2" t="s">
        <v>65</v>
      </c>
      <c r="D105" s="2">
        <v>120201</v>
      </c>
      <c r="E105" s="2">
        <v>5</v>
      </c>
      <c r="F105" s="2" t="s">
        <v>24</v>
      </c>
      <c r="G105" s="2" t="s">
        <v>19</v>
      </c>
      <c r="H105" s="3"/>
      <c r="I105" s="2" t="s">
        <v>20</v>
      </c>
      <c r="J105" s="2" t="s">
        <v>45</v>
      </c>
      <c r="K105" s="2" t="s">
        <v>21</v>
      </c>
      <c r="L105" s="2"/>
      <c r="M105" s="2" t="str">
        <f>IF(TableJudje[[#This Row],[الحساب الرئيسي]]=0,"اجمالي",INDEX(TableJudje[اسم الحساب],MATCH(TableJudje[[#This Row],[الحساب الرئيسي]],TableJudje[رقم الحساب],0)))</f>
        <v>الاثاث مكتبية والمفروشات</v>
      </c>
      <c r="N105" s="2" t="str">
        <f>IF(TableJudje[[#This Row],[المستوى]]&gt;2,INDEX(TableJudje[اسم الحساب],MATCH(VALUE(LEFT(TableJudje[[#This Row],[الحساب الرئيسي]],2)),TableJudje[رقم الحساب],0)),"")</f>
        <v>الاصول الغير متداولة</v>
      </c>
      <c r="O105" s="2" t="str">
        <f>IF(TableJudje[[#This Row],[المستوى]]&gt;3,INDEX(TableJudje[اسم الحساب],MATCH(VALUE(LEFT(TableJudje[[#This Row],[الحساب الرئيسي]],4)),TableJudje[رقم الحساب],0)),"")</f>
        <v>الأثاث المكتبي والمفروشات</v>
      </c>
      <c r="P105" s="2" t="str">
        <f>IF(TableJudje[[#This Row],[المستوى]]&gt;4,INDEX(TableJudje[اسم الحساب],MATCH(VALUE(LEFT(TableJudje[[#This Row],[الحساب الرئيسي]],6)),TableJudje[رقم الحساب],0)),"")</f>
        <v>الاثاث مكتبية والمفروشات</v>
      </c>
      <c r="Q105" s="2" t="str">
        <f>IF(TableJudje[[#This Row],[المستوى]]&gt;1,INDEX(TableJudje[اسم الحساب],MATCH(VALUE(LEFT(TableJudje[[#This Row],[الحساب الرئيسي]],1)),TableJudje[رقم الحساب],0)),"")</f>
        <v>الاصول</v>
      </c>
    </row>
    <row r="106" spans="1:17" x14ac:dyDescent="0.5">
      <c r="A106" s="2">
        <f>ROW()</f>
        <v>106</v>
      </c>
      <c r="B106" s="2">
        <v>12030101</v>
      </c>
      <c r="C106" s="6" t="s">
        <v>478</v>
      </c>
      <c r="D106" s="2">
        <v>120301</v>
      </c>
      <c r="E106" s="2">
        <v>5</v>
      </c>
      <c r="F106" s="2" t="s">
        <v>24</v>
      </c>
      <c r="G106" s="2" t="s">
        <v>19</v>
      </c>
      <c r="H106" s="3"/>
      <c r="I106" s="2" t="s">
        <v>20</v>
      </c>
      <c r="J106" s="2" t="s">
        <v>45</v>
      </c>
      <c r="K106" s="2" t="s">
        <v>21</v>
      </c>
      <c r="L106" s="2"/>
      <c r="M106" s="2" t="str">
        <f>IF(TableJudje[[#This Row],[الحساب الرئيسي]]=0,"اجمالي",INDEX(TableJudje[اسم الحساب],MATCH(TableJudje[[#This Row],[الحساب الرئيسي]],TableJudje[رقم الحساب],0)))</f>
        <v>الكمبيوترات</v>
      </c>
      <c r="N106" s="2" t="str">
        <f>IF(TableJudje[[#This Row],[المستوى]]&gt;2,INDEX(TableJudje[اسم الحساب],MATCH(VALUE(LEFT(TableJudje[[#This Row],[الحساب الرئيسي]],2)),TableJudje[رقم الحساب],0)),"")</f>
        <v>الاصول الغير متداولة</v>
      </c>
      <c r="O106" s="2" t="str">
        <f>IF(TableJudje[[#This Row],[المستوى]]&gt;3,INDEX(TableJudje[اسم الحساب],MATCH(VALUE(LEFT(TableJudje[[#This Row],[الحساب الرئيسي]],4)),TableJudje[رقم الحساب],0)),"")</f>
        <v>الكمبيوترات والطابعات</v>
      </c>
      <c r="P106" s="2" t="str">
        <f>IF(TableJudje[[#This Row],[المستوى]]&gt;4,INDEX(TableJudje[اسم الحساب],MATCH(VALUE(LEFT(TableJudje[[#This Row],[الحساب الرئيسي]],6)),TableJudje[رقم الحساب],0)),"")</f>
        <v>الكمبيوترات</v>
      </c>
      <c r="Q106" s="2" t="str">
        <f>IF(TableJudje[[#This Row],[المستوى]]&gt;1,INDEX(TableJudje[اسم الحساب],MATCH(VALUE(LEFT(TableJudje[[#This Row],[الحساب الرئيسي]],1)),TableJudje[رقم الحساب],0)),"")</f>
        <v>الاصول</v>
      </c>
    </row>
    <row r="107" spans="1:17" x14ac:dyDescent="0.5">
      <c r="A107" s="2">
        <f>ROW()</f>
        <v>107</v>
      </c>
      <c r="B107" s="2">
        <v>12040101</v>
      </c>
      <c r="C107" s="6" t="s">
        <v>479</v>
      </c>
      <c r="D107" s="2">
        <v>120401</v>
      </c>
      <c r="E107" s="2">
        <v>5</v>
      </c>
      <c r="F107" s="2" t="s">
        <v>24</v>
      </c>
      <c r="G107" s="2" t="s">
        <v>19</v>
      </c>
      <c r="H107" s="3"/>
      <c r="I107" s="2" t="s">
        <v>20</v>
      </c>
      <c r="J107" s="2" t="s">
        <v>45</v>
      </c>
      <c r="K107" s="2" t="s">
        <v>21</v>
      </c>
      <c r="L107" s="2"/>
      <c r="M107" s="2" t="str">
        <f>IF(TableJudje[[#This Row],[الحساب الرئيسي]]=0,"اجمالي",INDEX(TableJudje[اسم الحساب],MATCH(TableJudje[[#This Row],[الحساب الرئيسي]],TableJudje[رقم الحساب],0)))</f>
        <v>الاجهزة الكهربائية</v>
      </c>
      <c r="N107" s="2" t="str">
        <f>IF(TableJudje[[#This Row],[المستوى]]&gt;2,INDEX(TableJudje[اسم الحساب],MATCH(VALUE(LEFT(TableJudje[[#This Row],[الحساب الرئيسي]],2)),TableJudje[رقم الحساب],0)),"")</f>
        <v>الاصول الغير متداولة</v>
      </c>
      <c r="O107" s="2" t="str">
        <f>IF(TableJudje[[#This Row],[المستوى]]&gt;3,INDEX(TableJudje[اسم الحساب],MATCH(VALUE(LEFT(TableJudje[[#This Row],[الحساب الرئيسي]],4)),TableJudje[رقم الحساب],0)),"")</f>
        <v>الأجهزة الكهربائية والالكترونية</v>
      </c>
      <c r="P107" s="2" t="str">
        <f>IF(TableJudje[[#This Row],[المستوى]]&gt;4,INDEX(TableJudje[اسم الحساب],MATCH(VALUE(LEFT(TableJudje[[#This Row],[الحساب الرئيسي]],6)),TableJudje[رقم الحساب],0)),"")</f>
        <v>الاجهزة الكهربائية</v>
      </c>
      <c r="Q107" s="2" t="str">
        <f>IF(TableJudje[[#This Row],[المستوى]]&gt;1,INDEX(TableJudje[اسم الحساب],MATCH(VALUE(LEFT(TableJudje[[#This Row],[الحساب الرئيسي]],1)),TableJudje[رقم الحساب],0)),"")</f>
        <v>الاصول</v>
      </c>
    </row>
    <row r="108" spans="1:17" x14ac:dyDescent="0.5">
      <c r="A108" s="2">
        <f>ROW()</f>
        <v>108</v>
      </c>
      <c r="B108" s="2">
        <v>12040102</v>
      </c>
      <c r="C108" s="6" t="s">
        <v>480</v>
      </c>
      <c r="D108" s="2">
        <v>120401</v>
      </c>
      <c r="E108" s="2">
        <v>5</v>
      </c>
      <c r="F108" s="2" t="s">
        <v>24</v>
      </c>
      <c r="G108" s="2" t="s">
        <v>19</v>
      </c>
      <c r="H108" s="3"/>
      <c r="I108" s="2" t="s">
        <v>20</v>
      </c>
      <c r="J108" s="2" t="s">
        <v>45</v>
      </c>
      <c r="K108" s="2" t="s">
        <v>21</v>
      </c>
      <c r="L108" s="2"/>
      <c r="M108" s="2" t="str">
        <f>IF(TableJudje[[#This Row],[الحساب الرئيسي]]=0,"اجمالي",INDEX(TableJudje[اسم الحساب],MATCH(TableJudje[[#This Row],[الحساب الرئيسي]],TableJudje[رقم الحساب],0)))</f>
        <v>الاجهزة الكهربائية</v>
      </c>
      <c r="N108" s="2" t="str">
        <f>IF(TableJudje[[#This Row],[المستوى]]&gt;2,INDEX(TableJudje[اسم الحساب],MATCH(VALUE(LEFT(TableJudje[[#This Row],[الحساب الرئيسي]],2)),TableJudje[رقم الحساب],0)),"")</f>
        <v>الاصول الغير متداولة</v>
      </c>
      <c r="O108" s="2" t="str">
        <f>IF(TableJudje[[#This Row],[المستوى]]&gt;3,INDEX(TableJudje[اسم الحساب],MATCH(VALUE(LEFT(TableJudje[[#This Row],[الحساب الرئيسي]],4)),TableJudje[رقم الحساب],0)),"")</f>
        <v>الأجهزة الكهربائية والالكترونية</v>
      </c>
      <c r="P108" s="2" t="str">
        <f>IF(TableJudje[[#This Row],[المستوى]]&gt;4,INDEX(TableJudje[اسم الحساب],MATCH(VALUE(LEFT(TableJudje[[#This Row],[الحساب الرئيسي]],6)),TableJudje[رقم الحساب],0)),"")</f>
        <v>الاجهزة الكهربائية</v>
      </c>
      <c r="Q108" s="2" t="str">
        <f>IF(TableJudje[[#This Row],[المستوى]]&gt;1,INDEX(TableJudje[اسم الحساب],MATCH(VALUE(LEFT(TableJudje[[#This Row],[الحساب الرئيسي]],1)),TableJudje[رقم الحساب],0)),"")</f>
        <v>الاصول</v>
      </c>
    </row>
    <row r="109" spans="1:17" x14ac:dyDescent="0.5">
      <c r="A109" s="2">
        <f>ROW()</f>
        <v>109</v>
      </c>
      <c r="B109" s="2">
        <v>12050101</v>
      </c>
      <c r="C109" s="2" t="s">
        <v>71</v>
      </c>
      <c r="D109" s="2">
        <v>120501</v>
      </c>
      <c r="E109" s="2">
        <v>5</v>
      </c>
      <c r="F109" s="2" t="s">
        <v>24</v>
      </c>
      <c r="G109" s="2" t="s">
        <v>19</v>
      </c>
      <c r="H109" s="3"/>
      <c r="I109" s="2" t="s">
        <v>20</v>
      </c>
      <c r="J109" s="2" t="s">
        <v>45</v>
      </c>
      <c r="K109" s="2" t="s">
        <v>21</v>
      </c>
      <c r="L109" s="2"/>
      <c r="M109" s="2" t="str">
        <f>IF(TableJudje[[#This Row],[الحساب الرئيسي]]=0,"اجمالي",INDEX(TableJudje[اسم الحساب],MATCH(TableJudje[[#This Row],[الحساب الرئيسي]],TableJudje[رقم الحساب],0)))</f>
        <v xml:space="preserve">مصاريف التاسيس والتجهيزات </v>
      </c>
      <c r="N109" s="2" t="str">
        <f>IF(TableJudje[[#This Row],[المستوى]]&gt;2,INDEX(TableJudje[اسم الحساب],MATCH(VALUE(LEFT(TableJudje[[#This Row],[الحساب الرئيسي]],2)),TableJudje[رقم الحساب],0)),"")</f>
        <v>الاصول الغير متداولة</v>
      </c>
      <c r="O109" s="2" t="str">
        <f>IF(TableJudje[[#This Row],[المستوى]]&gt;3,INDEX(TableJudje[اسم الحساب],MATCH(VALUE(LEFT(TableJudje[[#This Row],[الحساب الرئيسي]],4)),TableJudje[رقم الحساب],0)),"")</f>
        <v xml:space="preserve">مصاريف التاسيس </v>
      </c>
      <c r="P109" s="2" t="str">
        <f>IF(TableJudje[[#This Row],[المستوى]]&gt;4,INDEX(TableJudje[اسم الحساب],MATCH(VALUE(LEFT(TableJudje[[#This Row],[الحساب الرئيسي]],6)),TableJudje[رقم الحساب],0)),"")</f>
        <v xml:space="preserve">مصاريف التاسيس والتجهيزات </v>
      </c>
      <c r="Q109" s="2" t="str">
        <f>IF(TableJudje[[#This Row],[المستوى]]&gt;1,INDEX(TableJudje[اسم الحساب],MATCH(VALUE(LEFT(TableJudje[[#This Row],[الحساب الرئيسي]],1)),TableJudje[رقم الحساب],0)),"")</f>
        <v>الاصول</v>
      </c>
    </row>
    <row r="110" spans="1:17" x14ac:dyDescent="0.5">
      <c r="A110" s="2">
        <f>ROW()</f>
        <v>110</v>
      </c>
      <c r="B110" s="2">
        <v>12060101</v>
      </c>
      <c r="C110" s="6" t="s">
        <v>474</v>
      </c>
      <c r="D110" s="2">
        <v>120501</v>
      </c>
      <c r="E110" s="2">
        <v>5</v>
      </c>
      <c r="F110" s="2" t="s">
        <v>24</v>
      </c>
      <c r="G110" s="2" t="s">
        <v>19</v>
      </c>
      <c r="H110" s="3"/>
      <c r="I110" s="2" t="s">
        <v>20</v>
      </c>
      <c r="J110" s="2" t="s">
        <v>45</v>
      </c>
      <c r="K110" s="2" t="s">
        <v>21</v>
      </c>
      <c r="L110" s="2"/>
      <c r="M110" s="2" t="str">
        <f>IF(TableJudje[[#This Row],[الحساب الرئيسي]]=0,"اجمالي",INDEX(TableJudje[اسم الحساب],MATCH(TableJudje[[#This Row],[الحساب الرئيسي]],TableJudje[رقم الحساب],0)))</f>
        <v xml:space="preserve">مصاريف التاسيس والتجهيزات </v>
      </c>
      <c r="N110" s="2" t="str">
        <f>IF(TableJudje[[#This Row],[المستوى]]&gt;2,INDEX(TableJudje[اسم الحساب],MATCH(VALUE(LEFT(TableJudje[[#This Row],[الحساب الرئيسي]],2)),TableJudje[رقم الحساب],0)),"")</f>
        <v>الاصول الغير متداولة</v>
      </c>
      <c r="O110" s="2" t="str">
        <f>IF(TableJudje[[#This Row],[المستوى]]&gt;3,INDEX(TableJudje[اسم الحساب],MATCH(VALUE(LEFT(TableJudje[[#This Row],[الحساب الرئيسي]],4)),TableJudje[رقم الحساب],0)),"")</f>
        <v xml:space="preserve">مصاريف التاسيس </v>
      </c>
      <c r="P110" s="2" t="str">
        <f>IF(TableJudje[[#This Row],[المستوى]]&gt;4,INDEX(TableJudje[اسم الحساب],MATCH(VALUE(LEFT(TableJudje[[#This Row],[الحساب الرئيسي]],6)),TableJudje[رقم الحساب],0)),"")</f>
        <v xml:space="preserve">مصاريف التاسيس والتجهيزات </v>
      </c>
      <c r="Q110" s="2" t="str">
        <f>IF(TableJudje[[#This Row],[المستوى]]&gt;1,INDEX(TableJudje[اسم الحساب],MATCH(VALUE(LEFT(TableJudje[[#This Row],[الحساب الرئيسي]],1)),TableJudje[رقم الحساب],0)),"")</f>
        <v>الاصول</v>
      </c>
    </row>
    <row r="111" spans="1:17" x14ac:dyDescent="0.5">
      <c r="A111" s="2">
        <f>ROW()</f>
        <v>111</v>
      </c>
      <c r="B111" s="2">
        <v>12060102</v>
      </c>
      <c r="C111" s="6" t="s">
        <v>475</v>
      </c>
      <c r="D111" s="2">
        <v>120501</v>
      </c>
      <c r="E111" s="2">
        <v>5</v>
      </c>
      <c r="F111" s="2" t="s">
        <v>24</v>
      </c>
      <c r="G111" s="2" t="s">
        <v>19</v>
      </c>
      <c r="H111" s="3"/>
      <c r="I111" s="2" t="s">
        <v>20</v>
      </c>
      <c r="J111" s="2" t="s">
        <v>45</v>
      </c>
      <c r="K111" s="2" t="s">
        <v>21</v>
      </c>
      <c r="L111" s="2"/>
      <c r="M111" s="2" t="str">
        <f>IF(TableJudje[[#This Row],[الحساب الرئيسي]]=0,"اجمالي",INDEX(TableJudje[اسم الحساب],MATCH(TableJudje[[#This Row],[الحساب الرئيسي]],TableJudje[رقم الحساب],0)))</f>
        <v xml:space="preserve">مصاريف التاسيس والتجهيزات </v>
      </c>
      <c r="N111" s="2" t="str">
        <f>IF(TableJudje[[#This Row],[المستوى]]&gt;2,INDEX(TableJudje[اسم الحساب],MATCH(VALUE(LEFT(TableJudje[[#This Row],[الحساب الرئيسي]],2)),TableJudje[رقم الحساب],0)),"")</f>
        <v>الاصول الغير متداولة</v>
      </c>
      <c r="O111" s="2" t="str">
        <f>IF(TableJudje[[#This Row],[المستوى]]&gt;3,INDEX(TableJudje[اسم الحساب],MATCH(VALUE(LEFT(TableJudje[[#This Row],[الحساب الرئيسي]],4)),TableJudje[رقم الحساب],0)),"")</f>
        <v xml:space="preserve">مصاريف التاسيس </v>
      </c>
      <c r="P111" s="2" t="str">
        <f>IF(TableJudje[[#This Row],[المستوى]]&gt;4,INDEX(TableJudje[اسم الحساب],MATCH(VALUE(LEFT(TableJudje[[#This Row],[الحساب الرئيسي]],6)),TableJudje[رقم الحساب],0)),"")</f>
        <v xml:space="preserve">مصاريف التاسيس والتجهيزات </v>
      </c>
      <c r="Q111" s="2" t="str">
        <f>IF(TableJudje[[#This Row],[المستوى]]&gt;1,INDEX(TableJudje[اسم الحساب],MATCH(VALUE(LEFT(TableJudje[[#This Row],[الحساب الرئيسي]],1)),TableJudje[رقم الحساب],0)),"")</f>
        <v>الاصول</v>
      </c>
    </row>
    <row r="112" spans="1:17" x14ac:dyDescent="0.5">
      <c r="A112" s="2">
        <f>ROW()</f>
        <v>112</v>
      </c>
      <c r="B112" s="2">
        <v>12060103</v>
      </c>
      <c r="C112" s="6" t="s">
        <v>476</v>
      </c>
      <c r="D112" s="2">
        <v>120501</v>
      </c>
      <c r="E112" s="2">
        <v>5</v>
      </c>
      <c r="F112" s="2" t="s">
        <v>24</v>
      </c>
      <c r="G112" s="2" t="s">
        <v>19</v>
      </c>
      <c r="H112" s="3"/>
      <c r="I112" s="2" t="s">
        <v>20</v>
      </c>
      <c r="J112" s="2" t="s">
        <v>45</v>
      </c>
      <c r="K112" s="2" t="s">
        <v>21</v>
      </c>
      <c r="L112" s="2"/>
      <c r="M112" s="2" t="str">
        <f>IF(TableJudje[[#This Row],[الحساب الرئيسي]]=0,"اجمالي",INDEX(TableJudje[اسم الحساب],MATCH(TableJudje[[#This Row],[الحساب الرئيسي]],TableJudje[رقم الحساب],0)))</f>
        <v xml:space="preserve">مصاريف التاسيس والتجهيزات </v>
      </c>
      <c r="N112" s="2" t="str">
        <f>IF(TableJudje[[#This Row],[المستوى]]&gt;2,INDEX(TableJudje[اسم الحساب],MATCH(VALUE(LEFT(TableJudje[[#This Row],[الحساب الرئيسي]],2)),TableJudje[رقم الحساب],0)),"")</f>
        <v>الاصول الغير متداولة</v>
      </c>
      <c r="O112" s="2" t="str">
        <f>IF(TableJudje[[#This Row],[المستوى]]&gt;3,INDEX(TableJudje[اسم الحساب],MATCH(VALUE(LEFT(TableJudje[[#This Row],[الحساب الرئيسي]],4)),TableJudje[رقم الحساب],0)),"")</f>
        <v xml:space="preserve">مصاريف التاسيس </v>
      </c>
      <c r="P112" s="2" t="str">
        <f>IF(TableJudje[[#This Row],[المستوى]]&gt;4,INDEX(TableJudje[اسم الحساب],MATCH(VALUE(LEFT(TableJudje[[#This Row],[الحساب الرئيسي]],6)),TableJudje[رقم الحساب],0)),"")</f>
        <v xml:space="preserve">مصاريف التاسيس والتجهيزات </v>
      </c>
      <c r="Q112" s="2" t="str">
        <f>IF(TableJudje[[#This Row],[المستوى]]&gt;1,INDEX(TableJudje[اسم الحساب],MATCH(VALUE(LEFT(TableJudje[[#This Row],[الحساب الرئيسي]],1)),TableJudje[رقم الحساب],0)),"")</f>
        <v>الاصول</v>
      </c>
    </row>
    <row r="113" spans="1:17" x14ac:dyDescent="0.5">
      <c r="A113" s="2">
        <f>ROW()</f>
        <v>113</v>
      </c>
      <c r="B113" s="2">
        <v>12060201</v>
      </c>
      <c r="C113" s="2" t="s">
        <v>74</v>
      </c>
      <c r="D113" s="2">
        <v>120602</v>
      </c>
      <c r="E113" s="2">
        <v>5</v>
      </c>
      <c r="F113" s="2" t="s">
        <v>24</v>
      </c>
      <c r="G113" s="2" t="s">
        <v>19</v>
      </c>
      <c r="H113" s="3"/>
      <c r="I113" s="2" t="s">
        <v>20</v>
      </c>
      <c r="J113" s="2" t="s">
        <v>45</v>
      </c>
      <c r="K113" s="2" t="s">
        <v>21</v>
      </c>
      <c r="L113" s="2"/>
      <c r="M113" s="2" t="str">
        <f>IF(TableJudje[[#This Row],[الحساب الرئيسي]]=0,"اجمالي",INDEX(TableJudje[اسم الحساب],MATCH(TableJudje[[#This Row],[الحساب الرئيسي]],TableJudje[رقم الحساب],0)))</f>
        <v>البطاريات ومنظومات الطاقة الشمسية</v>
      </c>
      <c r="N113" s="2" t="str">
        <f>IF(TableJudje[[#This Row],[المستوى]]&gt;2,INDEX(TableJudje[اسم الحساب],MATCH(VALUE(LEFT(TableJudje[[#This Row],[الحساب الرئيسي]],2)),TableJudje[رقم الحساب],0)),"")</f>
        <v>الاصول الغير متداولة</v>
      </c>
      <c r="O113" s="2" t="str">
        <f>IF(TableJudje[[#This Row],[المستوى]]&gt;3,INDEX(TableJudje[اسم الحساب],MATCH(VALUE(LEFT(TableJudje[[#This Row],[الحساب الرئيسي]],4)),TableJudje[رقم الحساب],0)),"")</f>
        <v>المولدات الكهربائية  والطاقة الشمسية</v>
      </c>
      <c r="P113" s="2" t="str">
        <f>IF(TableJudje[[#This Row],[المستوى]]&gt;4,INDEX(TableJudje[اسم الحساب],MATCH(VALUE(LEFT(TableJudje[[#This Row],[الحساب الرئيسي]],6)),TableJudje[رقم الحساب],0)),"")</f>
        <v>البطاريات ومنظومات الطاقة الشمسية</v>
      </c>
      <c r="Q113" s="2" t="str">
        <f>IF(TableJudje[[#This Row],[المستوى]]&gt;1,INDEX(TableJudje[اسم الحساب],MATCH(VALUE(LEFT(TableJudje[[#This Row],[الحساب الرئيسي]],1)),TableJudje[رقم الحساب],0)),"")</f>
        <v>الاصول</v>
      </c>
    </row>
    <row r="114" spans="1:17" x14ac:dyDescent="0.5">
      <c r="A114" s="2">
        <f>ROW()</f>
        <v>114</v>
      </c>
      <c r="B114" s="2">
        <v>12070101</v>
      </c>
      <c r="C114" s="2" t="s">
        <v>76</v>
      </c>
      <c r="D114" s="2">
        <v>120701</v>
      </c>
      <c r="E114" s="2">
        <v>5</v>
      </c>
      <c r="F114" s="2" t="s">
        <v>24</v>
      </c>
      <c r="G114" s="2" t="s">
        <v>19</v>
      </c>
      <c r="H114" s="3"/>
      <c r="I114" s="2" t="s">
        <v>20</v>
      </c>
      <c r="J114" s="2" t="s">
        <v>45</v>
      </c>
      <c r="K114" s="2" t="s">
        <v>21</v>
      </c>
      <c r="L114" s="2"/>
      <c r="M114" s="2" t="str">
        <f>IF(TableJudje[[#This Row],[الحساب الرئيسي]]=0,"اجمالي",INDEX(TableJudje[اسم الحساب],MATCH(TableJudje[[#This Row],[الحساب الرئيسي]],TableJudje[رقم الحساب],0)))</f>
        <v xml:space="preserve">الانظمة والبرامج المالية والادارية </v>
      </c>
      <c r="N114" s="2" t="str">
        <f>IF(TableJudje[[#This Row],[المستوى]]&gt;2,INDEX(TableJudje[اسم الحساب],MATCH(VALUE(LEFT(TableJudje[[#This Row],[الحساب الرئيسي]],2)),TableJudje[رقم الحساب],0)),"")</f>
        <v>الاصول الغير متداولة</v>
      </c>
      <c r="O114" s="2" t="str">
        <f>IF(TableJudje[[#This Row],[المستوى]]&gt;3,INDEX(TableJudje[اسم الحساب],MATCH(VALUE(LEFT(TableJudje[[#This Row],[الحساب الرئيسي]],4)),TableJudje[رقم الحساب],0)),"")</f>
        <v>الأنظمة والبرامج</v>
      </c>
      <c r="P114" s="2" t="str">
        <f>IF(TableJudje[[#This Row],[المستوى]]&gt;4,INDEX(TableJudje[اسم الحساب],MATCH(VALUE(LEFT(TableJudje[[#This Row],[الحساب الرئيسي]],6)),TableJudje[رقم الحساب],0)),"")</f>
        <v xml:space="preserve">الانظمة والبرامج المالية والادارية </v>
      </c>
      <c r="Q114" s="2" t="str">
        <f>IF(TableJudje[[#This Row],[المستوى]]&gt;1,INDEX(TableJudje[اسم الحساب],MATCH(VALUE(LEFT(TableJudje[[#This Row],[الحساب الرئيسي]],1)),TableJudje[رقم الحساب],0)),"")</f>
        <v>الاصول</v>
      </c>
    </row>
    <row r="115" spans="1:17" x14ac:dyDescent="0.5">
      <c r="A115" s="2">
        <f>ROW()</f>
        <v>115</v>
      </c>
      <c r="B115" s="2">
        <v>12080101</v>
      </c>
      <c r="C115" s="2" t="s">
        <v>78</v>
      </c>
      <c r="D115" s="2">
        <v>120801</v>
      </c>
      <c r="E115" s="2">
        <v>5</v>
      </c>
      <c r="F115" s="2" t="s">
        <v>24</v>
      </c>
      <c r="G115" s="2" t="s">
        <v>19</v>
      </c>
      <c r="H115" s="3"/>
      <c r="I115" s="2" t="s">
        <v>20</v>
      </c>
      <c r="J115" s="2" t="s">
        <v>45</v>
      </c>
      <c r="K115" s="2" t="s">
        <v>21</v>
      </c>
      <c r="L115" s="2"/>
      <c r="M115" s="2" t="str">
        <f>IF(TableJudje[[#This Row],[الحساب الرئيسي]]=0,"اجمالي",INDEX(TableJudje[اسم الحساب],MATCH(TableJudje[[#This Row],[الحساب الرئيسي]],TableJudje[رقم الحساب],0)))</f>
        <v xml:space="preserve">اجهزة المراقبة وملحقاتها </v>
      </c>
      <c r="N115" s="2" t="str">
        <f>IF(TableJudje[[#This Row],[المستوى]]&gt;2,INDEX(TableJudje[اسم الحساب],MATCH(VALUE(LEFT(TableJudje[[#This Row],[الحساب الرئيسي]],2)),TableJudje[رقم الحساب],0)),"")</f>
        <v>الاصول الغير متداولة</v>
      </c>
      <c r="O115" s="2" t="str">
        <f>IF(TableJudje[[#This Row],[المستوى]]&gt;3,INDEX(TableJudje[اسم الحساب],MATCH(VALUE(LEFT(TableJudje[[#This Row],[الحساب الرئيسي]],4)),TableJudje[رقم الحساب],0)),"")</f>
        <v>أجهزة مراقبة امنية</v>
      </c>
      <c r="P115" s="2" t="str">
        <f>IF(TableJudje[[#This Row],[المستوى]]&gt;4,INDEX(TableJudje[اسم الحساب],MATCH(VALUE(LEFT(TableJudje[[#This Row],[الحساب الرئيسي]],6)),TableJudje[رقم الحساب],0)),"")</f>
        <v xml:space="preserve">اجهزة المراقبة وملحقاتها </v>
      </c>
      <c r="Q115" s="2" t="str">
        <f>IF(TableJudje[[#This Row],[المستوى]]&gt;1,INDEX(TableJudje[اسم الحساب],MATCH(VALUE(LEFT(TableJudje[[#This Row],[الحساب الرئيسي]],1)),TableJudje[رقم الحساب],0)),"")</f>
        <v>الاصول</v>
      </c>
    </row>
    <row r="116" spans="1:17" x14ac:dyDescent="0.5">
      <c r="A116" s="2">
        <f>ROW()</f>
        <v>116</v>
      </c>
      <c r="B116" s="2">
        <v>12090101</v>
      </c>
      <c r="C116" s="2" t="s">
        <v>80</v>
      </c>
      <c r="D116" s="2">
        <v>120901</v>
      </c>
      <c r="E116" s="2">
        <v>5</v>
      </c>
      <c r="F116" s="2" t="s">
        <v>24</v>
      </c>
      <c r="G116" s="2" t="s">
        <v>19</v>
      </c>
      <c r="H116" s="3"/>
      <c r="I116" s="2" t="s">
        <v>20</v>
      </c>
      <c r="J116" s="2" t="s">
        <v>45</v>
      </c>
      <c r="K116" s="2" t="s">
        <v>21</v>
      </c>
      <c r="L116" s="2"/>
      <c r="M116" s="2" t="str">
        <f>IF(TableJudje[[#This Row],[الحساب الرئيسي]]=0,"اجمالي",INDEX(TableJudje[اسم الحساب],MATCH(TableJudje[[#This Row],[الحساب الرئيسي]],TableJudje[رقم الحساب],0)))</f>
        <v xml:space="preserve">اجهزة تبريد وتكيف </v>
      </c>
      <c r="N116" s="2" t="str">
        <f>IF(TableJudje[[#This Row],[المستوى]]&gt;2,INDEX(TableJudje[اسم الحساب],MATCH(VALUE(LEFT(TableJudje[[#This Row],[الحساب الرئيسي]],2)),TableJudje[رقم الحساب],0)),"")</f>
        <v>الاصول الغير متداولة</v>
      </c>
      <c r="O116" s="2" t="str">
        <f>IF(TableJudje[[#This Row],[المستوى]]&gt;3,INDEX(TableJudje[اسم الحساب],MATCH(VALUE(LEFT(TableJudje[[#This Row],[الحساب الرئيسي]],4)),TableJudje[رقم الحساب],0)),"")</f>
        <v>أجهزة التبريد والتكييف</v>
      </c>
      <c r="P116" s="2" t="str">
        <f>IF(TableJudje[[#This Row],[المستوى]]&gt;4,INDEX(TableJudje[اسم الحساب],MATCH(VALUE(LEFT(TableJudje[[#This Row],[الحساب الرئيسي]],6)),TableJudje[رقم الحساب],0)),"")</f>
        <v xml:space="preserve">اجهزة تبريد وتكيف </v>
      </c>
      <c r="Q116" s="2" t="str">
        <f>IF(TableJudje[[#This Row],[المستوى]]&gt;1,INDEX(TableJudje[اسم الحساب],MATCH(VALUE(LEFT(TableJudje[[#This Row],[الحساب الرئيسي]],1)),TableJudje[رقم الحساب],0)),"")</f>
        <v>الاصول</v>
      </c>
    </row>
    <row r="117" spans="1:17" x14ac:dyDescent="0.5">
      <c r="A117" s="2">
        <f>ROW()</f>
        <v>117</v>
      </c>
      <c r="B117" s="2">
        <v>12100101</v>
      </c>
      <c r="C117" s="2" t="s">
        <v>82</v>
      </c>
      <c r="D117" s="2">
        <v>121001</v>
      </c>
      <c r="E117" s="2">
        <v>5</v>
      </c>
      <c r="F117" s="2" t="s">
        <v>24</v>
      </c>
      <c r="G117" s="2" t="s">
        <v>19</v>
      </c>
      <c r="H117" s="3"/>
      <c r="I117" s="2" t="s">
        <v>20</v>
      </c>
      <c r="J117" s="2" t="s">
        <v>45</v>
      </c>
      <c r="K117" s="2" t="s">
        <v>21</v>
      </c>
      <c r="L117" s="2"/>
      <c r="M117" s="2" t="str">
        <f>IF(TableJudje[[#This Row],[الحساب الرئيسي]]=0,"اجمالي",INDEX(TableJudje[اسم الحساب],MATCH(TableJudje[[#This Row],[الحساب الرئيسي]],TableJudje[رقم الحساب],0)))</f>
        <v xml:space="preserve">العتاد العسكري  </v>
      </c>
      <c r="N117" s="2" t="str">
        <f>IF(TableJudje[[#This Row],[المستوى]]&gt;2,INDEX(TableJudje[اسم الحساب],MATCH(VALUE(LEFT(TableJudje[[#This Row],[الحساب الرئيسي]],2)),TableJudje[رقم الحساب],0)),"")</f>
        <v>الاصول الغير متداولة</v>
      </c>
      <c r="O117" s="2" t="str">
        <f>IF(TableJudje[[#This Row],[المستوى]]&gt;3,INDEX(TableJudje[اسم الحساب],MATCH(VALUE(LEFT(TableJudje[[#This Row],[الحساب الرئيسي]],4)),TableJudje[رقم الحساب],0)),"")</f>
        <v>المهمات العسكرية</v>
      </c>
      <c r="P117" s="2" t="str">
        <f>IF(TableJudje[[#This Row],[المستوى]]&gt;4,INDEX(TableJudje[اسم الحساب],MATCH(VALUE(LEFT(TableJudje[[#This Row],[الحساب الرئيسي]],6)),TableJudje[رقم الحساب],0)),"")</f>
        <v xml:space="preserve">العتاد العسكري  </v>
      </c>
      <c r="Q117" s="2" t="str">
        <f>IF(TableJudje[[#This Row],[المستوى]]&gt;1,INDEX(TableJudje[اسم الحساب],MATCH(VALUE(LEFT(TableJudje[[#This Row],[الحساب الرئيسي]],1)),TableJudje[رقم الحساب],0)),"")</f>
        <v>الاصول</v>
      </c>
    </row>
    <row r="118" spans="1:17" x14ac:dyDescent="0.5">
      <c r="A118" s="2">
        <f>ROW()</f>
        <v>118</v>
      </c>
      <c r="B118" s="2">
        <v>12110101</v>
      </c>
      <c r="C118" s="6" t="s">
        <v>481</v>
      </c>
      <c r="D118" s="2">
        <v>121101</v>
      </c>
      <c r="E118" s="2">
        <v>5</v>
      </c>
      <c r="F118" s="2" t="s">
        <v>24</v>
      </c>
      <c r="G118" s="2" t="s">
        <v>19</v>
      </c>
      <c r="H118" s="3"/>
      <c r="I118" s="2" t="s">
        <v>20</v>
      </c>
      <c r="J118" s="2" t="s">
        <v>45</v>
      </c>
      <c r="K118" s="2" t="s">
        <v>21</v>
      </c>
      <c r="L118" s="2"/>
      <c r="M118" s="2" t="str">
        <f>IF(TableJudje[[#This Row],[الحساب الرئيسي]]=0,"اجمالي",INDEX(TableJudje[اسم الحساب],MATCH(TableJudje[[#This Row],[الحساب الرئيسي]],TableJudje[رقم الحساب],0)))</f>
        <v xml:space="preserve">انشآت قيد التنفيذ </v>
      </c>
      <c r="N118" s="2" t="str">
        <f>IF(TableJudje[[#This Row],[المستوى]]&gt;2,INDEX(TableJudje[اسم الحساب],MATCH(VALUE(LEFT(TableJudje[[#This Row],[الحساب الرئيسي]],2)),TableJudje[رقم الحساب],0)),"")</f>
        <v>الاصول الغير متداولة</v>
      </c>
      <c r="O118" s="2" t="str">
        <f>IF(TableJudje[[#This Row],[المستوى]]&gt;3,INDEX(TableJudje[اسم الحساب],MATCH(VALUE(LEFT(TableJudje[[#This Row],[الحساب الرئيسي]],4)),TableJudje[رقم الحساب],0)),"")</f>
        <v>مشاريع قيد التنفيذ</v>
      </c>
      <c r="P118" s="2" t="str">
        <f>IF(TableJudje[[#This Row],[المستوى]]&gt;4,INDEX(TableJudje[اسم الحساب],MATCH(VALUE(LEFT(TableJudje[[#This Row],[الحساب الرئيسي]],6)),TableJudje[رقم الحساب],0)),"")</f>
        <v xml:space="preserve">انشآت قيد التنفيذ </v>
      </c>
      <c r="Q118" s="2" t="str">
        <f>IF(TableJudje[[#This Row],[المستوى]]&gt;1,INDEX(TableJudje[اسم الحساب],MATCH(VALUE(LEFT(TableJudje[[#This Row],[الحساب الرئيسي]],1)),TableJudje[رقم الحساب],0)),"")</f>
        <v>الاصول</v>
      </c>
    </row>
    <row r="119" spans="1:17" x14ac:dyDescent="0.5">
      <c r="A119" s="2">
        <f>ROW()</f>
        <v>119</v>
      </c>
      <c r="B119" s="2">
        <v>21010101</v>
      </c>
      <c r="C119" s="2" t="s">
        <v>86</v>
      </c>
      <c r="D119" s="2">
        <v>210101</v>
      </c>
      <c r="E119" s="2">
        <v>5</v>
      </c>
      <c r="F119" s="2" t="s">
        <v>24</v>
      </c>
      <c r="G119" s="2" t="s">
        <v>19</v>
      </c>
      <c r="H119" s="3"/>
      <c r="I119" s="2" t="s">
        <v>85</v>
      </c>
      <c r="J119" s="2" t="s">
        <v>87</v>
      </c>
      <c r="K119" s="2" t="s">
        <v>21</v>
      </c>
      <c r="L119" s="2"/>
      <c r="M119" s="2" t="str">
        <f>IF(TableJudje[[#This Row],[الحساب الرئيسي]]=0,"اجمالي",INDEX(TableJudje[اسم الحساب],MATCH(TableJudje[[#This Row],[الحساب الرئيسي]],TableJudje[رقم الحساب],0)))</f>
        <v>موردون محليون</v>
      </c>
      <c r="N119" s="2" t="str">
        <f>IF(TableJudje[[#This Row],[المستوى]]&gt;2,INDEX(TableJudje[اسم الحساب],MATCH(VALUE(LEFT(TableJudje[[#This Row],[الحساب الرئيسي]],2)),TableJudje[رقم الحساب],0)),"")</f>
        <v>الخصوم المتداولة</v>
      </c>
      <c r="O119" s="2" t="str">
        <f>IF(TableJudje[[#This Row],[المستوى]]&gt;3,INDEX(TableJudje[اسم الحساب],MATCH(VALUE(LEFT(TableJudje[[#This Row],[الحساب الرئيسي]],4)),TableJudje[رقم الحساب],0)),"")</f>
        <v>الموردين</v>
      </c>
      <c r="P119" s="2" t="str">
        <f>IF(TableJudje[[#This Row],[المستوى]]&gt;4,INDEX(TableJudje[اسم الحساب],MATCH(VALUE(LEFT(TableJudje[[#This Row],[الحساب الرئيسي]],6)),TableJudje[رقم الحساب],0)),"")</f>
        <v>موردون محليون</v>
      </c>
      <c r="Q119" s="2" t="str">
        <f>IF(TableJudje[[#This Row],[المستوى]]&gt;1,INDEX(TableJudje[اسم الحساب],MATCH(VALUE(LEFT(TableJudje[[#This Row],[الحساب الرئيسي]],1)),TableJudje[رقم الحساب],0)),"")</f>
        <v>الخصوم</v>
      </c>
    </row>
    <row r="120" spans="1:17" x14ac:dyDescent="0.5">
      <c r="A120" s="2">
        <f>ROW()</f>
        <v>120</v>
      </c>
      <c r="B120" s="2">
        <v>21010301</v>
      </c>
      <c r="C120" s="2" t="s">
        <v>90</v>
      </c>
      <c r="D120" s="2">
        <v>210103</v>
      </c>
      <c r="E120" s="2">
        <v>5</v>
      </c>
      <c r="F120" s="2" t="s">
        <v>24</v>
      </c>
      <c r="G120" s="2" t="s">
        <v>19</v>
      </c>
      <c r="H120" s="3"/>
      <c r="I120" s="2" t="s">
        <v>85</v>
      </c>
      <c r="J120" s="2" t="s">
        <v>87</v>
      </c>
      <c r="K120" s="2" t="s">
        <v>21</v>
      </c>
      <c r="L120" s="2"/>
      <c r="M120" s="2" t="str">
        <f>IF(TableJudje[[#This Row],[الحساب الرئيسي]]=0,"اجمالي",INDEX(TableJudje[اسم الحساب],MATCH(TableJudje[[#This Row],[الحساب الرئيسي]],TableJudje[رقم الحساب],0)))</f>
        <v>دائنون متنوعون</v>
      </c>
      <c r="N120" s="2" t="str">
        <f>IF(TableJudje[[#This Row],[المستوى]]&gt;2,INDEX(TableJudje[اسم الحساب],MATCH(VALUE(LEFT(TableJudje[[#This Row],[الحساب الرئيسي]],2)),TableJudje[رقم الحساب],0)),"")</f>
        <v>الخصوم المتداولة</v>
      </c>
      <c r="O120" s="2" t="str">
        <f>IF(TableJudje[[#This Row],[المستوى]]&gt;3,INDEX(TableJudje[اسم الحساب],MATCH(VALUE(LEFT(TableJudje[[#This Row],[الحساب الرئيسي]],4)),TableJudje[رقم الحساب],0)),"")</f>
        <v>الموردين</v>
      </c>
      <c r="P120" s="2" t="str">
        <f>IF(TableJudje[[#This Row],[المستوى]]&gt;4,INDEX(TableJudje[اسم الحساب],MATCH(VALUE(LEFT(TableJudje[[#This Row],[الحساب الرئيسي]],6)),TableJudje[رقم الحساب],0)),"")</f>
        <v>دائنون متنوعون</v>
      </c>
      <c r="Q120" s="2" t="str">
        <f>IF(TableJudje[[#This Row],[المستوى]]&gt;1,INDEX(TableJudje[اسم الحساب],MATCH(VALUE(LEFT(TableJudje[[#This Row],[الحساب الرئيسي]],1)),TableJudje[رقم الحساب],0)),"")</f>
        <v>الخصوم</v>
      </c>
    </row>
    <row r="121" spans="1:17" x14ac:dyDescent="0.5">
      <c r="A121" s="2">
        <f>ROW()</f>
        <v>121</v>
      </c>
      <c r="B121" s="2">
        <v>21020101</v>
      </c>
      <c r="C121" s="6" t="s">
        <v>482</v>
      </c>
      <c r="D121" s="2">
        <v>210201</v>
      </c>
      <c r="E121" s="2">
        <v>5</v>
      </c>
      <c r="F121" s="2" t="s">
        <v>24</v>
      </c>
      <c r="G121" s="2" t="s">
        <v>19</v>
      </c>
      <c r="H121" s="3"/>
      <c r="I121" s="2" t="s">
        <v>85</v>
      </c>
      <c r="J121" s="2" t="s">
        <v>45</v>
      </c>
      <c r="K121" s="2" t="s">
        <v>21</v>
      </c>
      <c r="L121" s="2"/>
      <c r="M121" s="2" t="str">
        <f>IF(TableJudje[[#This Row],[الحساب الرئيسي]]=0,"اجمالي",INDEX(TableJudje[اسم الحساب],MATCH(TableJudje[[#This Row],[الحساب الرئيسي]],TableJudje[رقم الحساب],0)))</f>
        <v>المصروفات المستحقة</v>
      </c>
      <c r="N121" s="2" t="str">
        <f>IF(TableJudje[[#This Row],[المستوى]]&gt;2,INDEX(TableJudje[اسم الحساب],MATCH(VALUE(LEFT(TableJudje[[#This Row],[الحساب الرئيسي]],2)),TableJudje[رقم الحساب],0)),"")</f>
        <v>الخصوم المتداولة</v>
      </c>
      <c r="O121" s="2" t="str">
        <f>IF(TableJudje[[#This Row],[المستوى]]&gt;3,INDEX(TableJudje[اسم الحساب],MATCH(VALUE(LEFT(TableJudje[[#This Row],[الحساب الرئيسي]],4)),TableJudje[رقم الحساب],0)),"")</f>
        <v>مصاريف مستحقة</v>
      </c>
      <c r="P121" s="2" t="str">
        <f>IF(TableJudje[[#This Row],[المستوى]]&gt;4,INDEX(TableJudje[اسم الحساب],MATCH(VALUE(LEFT(TableJudje[[#This Row],[الحساب الرئيسي]],6)),TableJudje[رقم الحساب],0)),"")</f>
        <v>المصروفات المستحقة</v>
      </c>
      <c r="Q121" s="2" t="str">
        <f>IF(TableJudje[[#This Row],[المستوى]]&gt;1,INDEX(TableJudje[اسم الحساب],MATCH(VALUE(LEFT(TableJudje[[#This Row],[الحساب الرئيسي]],1)),TableJudje[رقم الحساب],0)),"")</f>
        <v>الخصوم</v>
      </c>
    </row>
    <row r="122" spans="1:17" x14ac:dyDescent="0.5">
      <c r="A122" s="2">
        <f>ROW()</f>
        <v>122</v>
      </c>
      <c r="B122" s="2">
        <v>21020102</v>
      </c>
      <c r="C122" s="2" t="s">
        <v>92</v>
      </c>
      <c r="D122" s="2">
        <v>210201</v>
      </c>
      <c r="E122" s="2">
        <v>5</v>
      </c>
      <c r="F122" s="2" t="s">
        <v>24</v>
      </c>
      <c r="G122" s="2" t="s">
        <v>19</v>
      </c>
      <c r="H122" s="3"/>
      <c r="I122" s="2" t="s">
        <v>85</v>
      </c>
      <c r="J122" s="2" t="s">
        <v>45</v>
      </c>
      <c r="K122" s="2" t="s">
        <v>21</v>
      </c>
      <c r="L122" s="2"/>
      <c r="M122" s="2" t="str">
        <f>IF(TableJudje[[#This Row],[الحساب الرئيسي]]=0,"اجمالي",INDEX(TableJudje[اسم الحساب],MATCH(TableJudje[[#This Row],[الحساب الرئيسي]],TableJudje[رقم الحساب],0)))</f>
        <v>المصروفات المستحقة</v>
      </c>
      <c r="N122" s="2" t="str">
        <f>IF(TableJudje[[#This Row],[المستوى]]&gt;2,INDEX(TableJudje[اسم الحساب],MATCH(VALUE(LEFT(TableJudje[[#This Row],[الحساب الرئيسي]],2)),TableJudje[رقم الحساب],0)),"")</f>
        <v>الخصوم المتداولة</v>
      </c>
      <c r="O122" s="2" t="str">
        <f>IF(TableJudje[[#This Row],[المستوى]]&gt;3,INDEX(TableJudje[اسم الحساب],MATCH(VALUE(LEFT(TableJudje[[#This Row],[الحساب الرئيسي]],4)),TableJudje[رقم الحساب],0)),"")</f>
        <v>مصاريف مستحقة</v>
      </c>
      <c r="P122" s="2" t="str">
        <f>IF(TableJudje[[#This Row],[المستوى]]&gt;4,INDEX(TableJudje[اسم الحساب],MATCH(VALUE(LEFT(TableJudje[[#This Row],[الحساب الرئيسي]],6)),TableJudje[رقم الحساب],0)),"")</f>
        <v>المصروفات المستحقة</v>
      </c>
      <c r="Q122" s="2" t="str">
        <f>IF(TableJudje[[#This Row],[المستوى]]&gt;1,INDEX(TableJudje[اسم الحساب],MATCH(VALUE(LEFT(TableJudje[[#This Row],[الحساب الرئيسي]],1)),TableJudje[رقم الحساب],0)),"")</f>
        <v>الخصوم</v>
      </c>
    </row>
    <row r="123" spans="1:17" x14ac:dyDescent="0.5">
      <c r="A123" s="2">
        <f>ROW()</f>
        <v>123</v>
      </c>
      <c r="B123" s="2">
        <v>21020103</v>
      </c>
      <c r="C123" s="2" t="s">
        <v>93</v>
      </c>
      <c r="D123" s="2">
        <v>210201</v>
      </c>
      <c r="E123" s="2">
        <v>5</v>
      </c>
      <c r="F123" s="2" t="s">
        <v>24</v>
      </c>
      <c r="G123" s="2" t="s">
        <v>19</v>
      </c>
      <c r="H123" s="3"/>
      <c r="I123" s="2" t="s">
        <v>85</v>
      </c>
      <c r="J123" s="2" t="s">
        <v>45</v>
      </c>
      <c r="K123" s="2" t="s">
        <v>21</v>
      </c>
      <c r="L123" s="2"/>
      <c r="M123" s="2" t="str">
        <f>IF(TableJudje[[#This Row],[الحساب الرئيسي]]=0,"اجمالي",INDEX(TableJudje[اسم الحساب],MATCH(TableJudje[[#This Row],[الحساب الرئيسي]],TableJudje[رقم الحساب],0)))</f>
        <v>المصروفات المستحقة</v>
      </c>
      <c r="N123" s="2" t="str">
        <f>IF(TableJudje[[#This Row],[المستوى]]&gt;2,INDEX(TableJudje[اسم الحساب],MATCH(VALUE(LEFT(TableJudje[[#This Row],[الحساب الرئيسي]],2)),TableJudje[رقم الحساب],0)),"")</f>
        <v>الخصوم المتداولة</v>
      </c>
      <c r="O123" s="2" t="str">
        <f>IF(TableJudje[[#This Row],[المستوى]]&gt;3,INDEX(TableJudje[اسم الحساب],MATCH(VALUE(LEFT(TableJudje[[#This Row],[الحساب الرئيسي]],4)),TableJudje[رقم الحساب],0)),"")</f>
        <v>مصاريف مستحقة</v>
      </c>
      <c r="P123" s="2" t="str">
        <f>IF(TableJudje[[#This Row],[المستوى]]&gt;4,INDEX(TableJudje[اسم الحساب],MATCH(VALUE(LEFT(TableJudje[[#This Row],[الحساب الرئيسي]],6)),TableJudje[رقم الحساب],0)),"")</f>
        <v>المصروفات المستحقة</v>
      </c>
      <c r="Q123" s="2" t="str">
        <f>IF(TableJudje[[#This Row],[المستوى]]&gt;1,INDEX(TableJudje[اسم الحساب],MATCH(VALUE(LEFT(TableJudje[[#This Row],[الحساب الرئيسي]],1)),TableJudje[رقم الحساب],0)),"")</f>
        <v>الخصوم</v>
      </c>
    </row>
    <row r="124" spans="1:17" x14ac:dyDescent="0.5">
      <c r="A124" s="2">
        <f>ROW()</f>
        <v>124</v>
      </c>
      <c r="B124" s="2">
        <v>21020201</v>
      </c>
      <c r="C124" s="2" t="s">
        <v>95</v>
      </c>
      <c r="D124" s="2">
        <v>210202</v>
      </c>
      <c r="E124" s="2">
        <v>5</v>
      </c>
      <c r="F124" s="2" t="s">
        <v>24</v>
      </c>
      <c r="G124" s="2" t="s">
        <v>19</v>
      </c>
      <c r="H124" s="3"/>
      <c r="I124" s="2" t="s">
        <v>85</v>
      </c>
      <c r="J124" s="2" t="s">
        <v>45</v>
      </c>
      <c r="K124" s="2" t="s">
        <v>21</v>
      </c>
      <c r="L124" s="2"/>
      <c r="M124" s="2" t="str">
        <f>IF(TableJudje[[#This Row],[الحساب الرئيسي]]=0,"اجمالي",INDEX(TableJudje[اسم الحساب],MATCH(TableJudje[[#This Row],[الحساب الرئيسي]],TableJudje[رقم الحساب],0)))</f>
        <v>الأرصدة الدائنة الأخرى</v>
      </c>
      <c r="N124" s="2" t="str">
        <f>IF(TableJudje[[#This Row],[المستوى]]&gt;2,INDEX(TableJudje[اسم الحساب],MATCH(VALUE(LEFT(TableJudje[[#This Row],[الحساب الرئيسي]],2)),TableJudje[رقم الحساب],0)),"")</f>
        <v>الخصوم المتداولة</v>
      </c>
      <c r="O124" s="2" t="str">
        <f>IF(TableJudje[[#This Row],[المستوى]]&gt;3,INDEX(TableJudje[اسم الحساب],MATCH(VALUE(LEFT(TableJudje[[#This Row],[الحساب الرئيسي]],4)),TableJudje[رقم الحساب],0)),"")</f>
        <v>مصاريف مستحقة</v>
      </c>
      <c r="P124" s="2" t="str">
        <f>IF(TableJudje[[#This Row],[المستوى]]&gt;4,INDEX(TableJudje[اسم الحساب],MATCH(VALUE(LEFT(TableJudje[[#This Row],[الحساب الرئيسي]],6)),TableJudje[رقم الحساب],0)),"")</f>
        <v>الأرصدة الدائنة الأخرى</v>
      </c>
      <c r="Q124" s="2" t="str">
        <f>IF(TableJudje[[#This Row],[المستوى]]&gt;1,INDEX(TableJudje[اسم الحساب],MATCH(VALUE(LEFT(TableJudje[[#This Row],[الحساب الرئيسي]],1)),TableJudje[رقم الحساب],0)),"")</f>
        <v>الخصوم</v>
      </c>
    </row>
    <row r="125" spans="1:17" x14ac:dyDescent="0.5">
      <c r="A125" s="2">
        <f>ROW()</f>
        <v>125</v>
      </c>
      <c r="B125" s="2">
        <v>21020202</v>
      </c>
      <c r="C125" s="2" t="s">
        <v>96</v>
      </c>
      <c r="D125" s="2">
        <v>210202</v>
      </c>
      <c r="E125" s="2">
        <v>5</v>
      </c>
      <c r="F125" s="2" t="s">
        <v>24</v>
      </c>
      <c r="G125" s="2" t="s">
        <v>19</v>
      </c>
      <c r="H125" s="3"/>
      <c r="I125" s="2" t="s">
        <v>85</v>
      </c>
      <c r="J125" s="2" t="s">
        <v>45</v>
      </c>
      <c r="K125" s="2" t="s">
        <v>21</v>
      </c>
      <c r="L125" s="2"/>
      <c r="M125" s="2" t="str">
        <f>IF(TableJudje[[#This Row],[الحساب الرئيسي]]=0,"اجمالي",INDEX(TableJudje[اسم الحساب],MATCH(TableJudje[[#This Row],[الحساب الرئيسي]],TableJudje[رقم الحساب],0)))</f>
        <v>الأرصدة الدائنة الأخرى</v>
      </c>
      <c r="N125" s="2" t="str">
        <f>IF(TableJudje[[#This Row],[المستوى]]&gt;2,INDEX(TableJudje[اسم الحساب],MATCH(VALUE(LEFT(TableJudje[[#This Row],[الحساب الرئيسي]],2)),TableJudje[رقم الحساب],0)),"")</f>
        <v>الخصوم المتداولة</v>
      </c>
      <c r="O125" s="2" t="str">
        <f>IF(TableJudje[[#This Row],[المستوى]]&gt;3,INDEX(TableJudje[اسم الحساب],MATCH(VALUE(LEFT(TableJudje[[#This Row],[الحساب الرئيسي]],4)),TableJudje[رقم الحساب],0)),"")</f>
        <v>مصاريف مستحقة</v>
      </c>
      <c r="P125" s="2" t="str">
        <f>IF(TableJudje[[#This Row],[المستوى]]&gt;4,INDEX(TableJudje[اسم الحساب],MATCH(VALUE(LEFT(TableJudje[[#This Row],[الحساب الرئيسي]],6)),TableJudje[رقم الحساب],0)),"")</f>
        <v>الأرصدة الدائنة الأخرى</v>
      </c>
      <c r="Q125" s="2" t="str">
        <f>IF(TableJudje[[#This Row],[المستوى]]&gt;1,INDEX(TableJudje[اسم الحساب],MATCH(VALUE(LEFT(TableJudje[[#This Row],[الحساب الرئيسي]],1)),TableJudje[رقم الحساب],0)),"")</f>
        <v>الخصوم</v>
      </c>
    </row>
    <row r="126" spans="1:17" x14ac:dyDescent="0.5">
      <c r="A126" s="2">
        <f>ROW()</f>
        <v>126</v>
      </c>
      <c r="B126" s="2">
        <v>21020203</v>
      </c>
      <c r="C126" s="2" t="s">
        <v>97</v>
      </c>
      <c r="D126" s="2">
        <v>210202</v>
      </c>
      <c r="E126" s="2">
        <v>5</v>
      </c>
      <c r="F126" s="2" t="s">
        <v>24</v>
      </c>
      <c r="G126" s="2" t="s">
        <v>19</v>
      </c>
      <c r="H126" s="3"/>
      <c r="I126" s="2" t="s">
        <v>85</v>
      </c>
      <c r="J126" s="2" t="s">
        <v>45</v>
      </c>
      <c r="K126" s="2" t="s">
        <v>21</v>
      </c>
      <c r="L126" s="2"/>
      <c r="M126" s="2" t="str">
        <f>IF(TableJudje[[#This Row],[الحساب الرئيسي]]=0,"اجمالي",INDEX(TableJudje[اسم الحساب],MATCH(TableJudje[[#This Row],[الحساب الرئيسي]],TableJudje[رقم الحساب],0)))</f>
        <v>الأرصدة الدائنة الأخرى</v>
      </c>
      <c r="N126" s="2" t="str">
        <f>IF(TableJudje[[#This Row],[المستوى]]&gt;2,INDEX(TableJudje[اسم الحساب],MATCH(VALUE(LEFT(TableJudje[[#This Row],[الحساب الرئيسي]],2)),TableJudje[رقم الحساب],0)),"")</f>
        <v>الخصوم المتداولة</v>
      </c>
      <c r="O126" s="2" t="str">
        <f>IF(TableJudje[[#This Row],[المستوى]]&gt;3,INDEX(TableJudje[اسم الحساب],MATCH(VALUE(LEFT(TableJudje[[#This Row],[الحساب الرئيسي]],4)),TableJudje[رقم الحساب],0)),"")</f>
        <v>مصاريف مستحقة</v>
      </c>
      <c r="P126" s="2" t="str">
        <f>IF(TableJudje[[#This Row],[المستوى]]&gt;4,INDEX(TableJudje[اسم الحساب],MATCH(VALUE(LEFT(TableJudje[[#This Row],[الحساب الرئيسي]],6)),TableJudje[رقم الحساب],0)),"")</f>
        <v>الأرصدة الدائنة الأخرى</v>
      </c>
      <c r="Q126" s="2" t="str">
        <f>IF(TableJudje[[#This Row],[المستوى]]&gt;1,INDEX(TableJudje[اسم الحساب],MATCH(VALUE(LEFT(TableJudje[[#This Row],[الحساب الرئيسي]],1)),TableJudje[رقم الحساب],0)),"")</f>
        <v>الخصوم</v>
      </c>
    </row>
    <row r="127" spans="1:17" x14ac:dyDescent="0.5">
      <c r="A127" s="2">
        <f>ROW()</f>
        <v>127</v>
      </c>
      <c r="B127" s="2">
        <v>23010101</v>
      </c>
      <c r="C127" s="2" t="s">
        <v>99</v>
      </c>
      <c r="D127" s="2">
        <v>230101</v>
      </c>
      <c r="E127" s="2">
        <v>5</v>
      </c>
      <c r="F127" s="2" t="s">
        <v>24</v>
      </c>
      <c r="G127" s="2" t="s">
        <v>19</v>
      </c>
      <c r="H127" s="3"/>
      <c r="I127" s="2" t="s">
        <v>85</v>
      </c>
      <c r="J127" s="2" t="s">
        <v>45</v>
      </c>
      <c r="K127" s="2" t="s">
        <v>21</v>
      </c>
      <c r="L127" s="2"/>
      <c r="M127" s="2" t="str">
        <f>IF(TableJudje[[#This Row],[الحساب الرئيسي]]=0,"اجمالي",INDEX(TableJudje[اسم الحساب],MATCH(TableJudje[[#This Row],[الحساب الرئيسي]],TableJudje[رقم الحساب],0)))</f>
        <v>حساب راس المال</v>
      </c>
      <c r="N127" s="2" t="str">
        <f>IF(TableJudje[[#This Row],[المستوى]]&gt;2,INDEX(TableJudje[اسم الحساب],MATCH(VALUE(LEFT(TableJudje[[#This Row],[الحساب الرئيسي]],2)),TableJudje[رقم الحساب],0)),"")</f>
        <v>حقوق الملكية</v>
      </c>
      <c r="O127" s="2" t="str">
        <f>IF(TableJudje[[#This Row],[المستوى]]&gt;3,INDEX(TableJudje[اسم الحساب],MATCH(VALUE(LEFT(TableJudje[[#This Row],[الحساب الرئيسي]],4)),TableJudje[رقم الحساب],0)),"")</f>
        <v>حقوق ملكية الشركاء</v>
      </c>
      <c r="P127" s="2" t="str">
        <f>IF(TableJudje[[#This Row],[المستوى]]&gt;4,INDEX(TableJudje[اسم الحساب],MATCH(VALUE(LEFT(TableJudje[[#This Row],[الحساب الرئيسي]],6)),TableJudje[رقم الحساب],0)),"")</f>
        <v>حساب راس المال</v>
      </c>
      <c r="Q127" s="2" t="str">
        <f>IF(TableJudje[[#This Row],[المستوى]]&gt;1,INDEX(TableJudje[اسم الحساب],MATCH(VALUE(LEFT(TableJudje[[#This Row],[الحساب الرئيسي]],1)),TableJudje[رقم الحساب],0)),"")</f>
        <v>الخصوم</v>
      </c>
    </row>
    <row r="128" spans="1:17" x14ac:dyDescent="0.5">
      <c r="A128" s="2">
        <f>ROW()</f>
        <v>128</v>
      </c>
      <c r="B128" s="2">
        <v>23010102</v>
      </c>
      <c r="C128" s="2" t="s">
        <v>161</v>
      </c>
      <c r="D128" s="2">
        <v>230101</v>
      </c>
      <c r="E128" s="2">
        <v>5</v>
      </c>
      <c r="F128" s="2" t="s">
        <v>24</v>
      </c>
      <c r="G128" s="2" t="s">
        <v>19</v>
      </c>
      <c r="H128" s="3"/>
      <c r="I128" s="2" t="s">
        <v>85</v>
      </c>
      <c r="J128" s="2" t="s">
        <v>45</v>
      </c>
      <c r="K128" s="2" t="s">
        <v>21</v>
      </c>
      <c r="L128" s="2"/>
      <c r="M128" s="2" t="str">
        <f>IF(TableJudje[[#This Row],[الحساب الرئيسي]]=0,"اجمالي",INDEX(TableJudje[اسم الحساب],MATCH(TableJudje[[#This Row],[الحساب الرئيسي]],TableJudje[رقم الحساب],0)))</f>
        <v>حساب راس المال</v>
      </c>
      <c r="N128" s="2" t="str">
        <f>IF(TableJudje[[#This Row],[المستوى]]&gt;2,INDEX(TableJudje[اسم الحساب],MATCH(VALUE(LEFT(TableJudje[[#This Row],[الحساب الرئيسي]],2)),TableJudje[رقم الحساب],0)),"")</f>
        <v>حقوق الملكية</v>
      </c>
      <c r="O128" s="2" t="str">
        <f>IF(TableJudje[[#This Row],[المستوى]]&gt;3,INDEX(TableJudje[اسم الحساب],MATCH(VALUE(LEFT(TableJudje[[#This Row],[الحساب الرئيسي]],4)),TableJudje[رقم الحساب],0)),"")</f>
        <v>حقوق ملكية الشركاء</v>
      </c>
      <c r="P128" s="2" t="str">
        <f>IF(TableJudje[[#This Row],[المستوى]]&gt;4,INDEX(TableJudje[اسم الحساب],MATCH(VALUE(LEFT(TableJudje[[#This Row],[الحساب الرئيسي]],6)),TableJudje[رقم الحساب],0)),"")</f>
        <v>حساب راس المال</v>
      </c>
      <c r="Q128" s="2" t="str">
        <f>IF(TableJudje[[#This Row],[المستوى]]&gt;1,INDEX(TableJudje[اسم الحساب],MATCH(VALUE(LEFT(TableJudje[[#This Row],[الحساب الرئيسي]],1)),TableJudje[رقم الحساب],0)),"")</f>
        <v>الخصوم</v>
      </c>
    </row>
    <row r="129" spans="1:17" x14ac:dyDescent="0.5">
      <c r="A129" s="2">
        <f>ROW()</f>
        <v>129</v>
      </c>
      <c r="B129" s="2">
        <v>23010201</v>
      </c>
      <c r="C129" s="2" t="s">
        <v>101</v>
      </c>
      <c r="D129" s="2">
        <v>230102</v>
      </c>
      <c r="E129" s="2">
        <v>5</v>
      </c>
      <c r="F129" s="2" t="s">
        <v>24</v>
      </c>
      <c r="G129" s="2" t="s">
        <v>19</v>
      </c>
      <c r="H129" s="3"/>
      <c r="I129" s="2" t="s">
        <v>85</v>
      </c>
      <c r="J129" s="2" t="s">
        <v>45</v>
      </c>
      <c r="K129" s="2" t="s">
        <v>21</v>
      </c>
      <c r="L129" s="2"/>
      <c r="M129" s="2" t="str">
        <f>IF(TableJudje[[#This Row],[الحساب الرئيسي]]=0,"اجمالي",INDEX(TableJudje[اسم الحساب],MATCH(TableJudje[[#This Row],[الحساب الرئيسي]],TableJudje[رقم الحساب],0)))</f>
        <v>قائمة الدخل</v>
      </c>
      <c r="N129" s="2" t="str">
        <f>IF(TableJudje[[#This Row],[المستوى]]&gt;2,INDEX(TableJudje[اسم الحساب],MATCH(VALUE(LEFT(TableJudje[[#This Row],[الحساب الرئيسي]],2)),TableJudje[رقم الحساب],0)),"")</f>
        <v>حقوق الملكية</v>
      </c>
      <c r="O129" s="2" t="str">
        <f>IF(TableJudje[[#This Row],[المستوى]]&gt;3,INDEX(TableJudje[اسم الحساب],MATCH(VALUE(LEFT(TableJudje[[#This Row],[الحساب الرئيسي]],4)),TableJudje[رقم الحساب],0)),"")</f>
        <v>حقوق ملكية الشركاء</v>
      </c>
      <c r="P129" s="2" t="str">
        <f>IF(TableJudje[[#This Row],[المستوى]]&gt;4,INDEX(TableJudje[اسم الحساب],MATCH(VALUE(LEFT(TableJudje[[#This Row],[الحساب الرئيسي]],6)),TableJudje[رقم الحساب],0)),"")</f>
        <v>قائمة الدخل</v>
      </c>
      <c r="Q129" s="2" t="str">
        <f>IF(TableJudje[[#This Row],[المستوى]]&gt;1,INDEX(TableJudje[اسم الحساب],MATCH(VALUE(LEFT(TableJudje[[#This Row],[الحساب الرئيسي]],1)),TableJudje[رقم الحساب],0)),"")</f>
        <v>الخصوم</v>
      </c>
    </row>
    <row r="130" spans="1:17" x14ac:dyDescent="0.5">
      <c r="A130" s="2">
        <f>ROW()</f>
        <v>130</v>
      </c>
      <c r="B130" s="2">
        <v>23010202</v>
      </c>
      <c r="C130" s="2" t="s">
        <v>102</v>
      </c>
      <c r="D130" s="2">
        <v>230102</v>
      </c>
      <c r="E130" s="2">
        <v>5</v>
      </c>
      <c r="F130" s="2" t="s">
        <v>24</v>
      </c>
      <c r="G130" s="2" t="s">
        <v>19</v>
      </c>
      <c r="H130" s="3"/>
      <c r="I130" s="2" t="s">
        <v>85</v>
      </c>
      <c r="J130" s="2" t="s">
        <v>45</v>
      </c>
      <c r="K130" s="2" t="s">
        <v>21</v>
      </c>
      <c r="L130" s="2"/>
      <c r="M130" s="2" t="str">
        <f>IF(TableJudje[[#This Row],[الحساب الرئيسي]]=0,"اجمالي",INDEX(TableJudje[اسم الحساب],MATCH(TableJudje[[#This Row],[الحساب الرئيسي]],TableJudje[رقم الحساب],0)))</f>
        <v>قائمة الدخل</v>
      </c>
      <c r="N130" s="2" t="str">
        <f>IF(TableJudje[[#This Row],[المستوى]]&gt;2,INDEX(TableJudje[اسم الحساب],MATCH(VALUE(LEFT(TableJudje[[#This Row],[الحساب الرئيسي]],2)),TableJudje[رقم الحساب],0)),"")</f>
        <v>حقوق الملكية</v>
      </c>
      <c r="O130" s="2" t="str">
        <f>IF(TableJudje[[#This Row],[المستوى]]&gt;3,INDEX(TableJudje[اسم الحساب],MATCH(VALUE(LEFT(TableJudje[[#This Row],[الحساب الرئيسي]],4)),TableJudje[رقم الحساب],0)),"")</f>
        <v>حقوق ملكية الشركاء</v>
      </c>
      <c r="P130" s="2" t="str">
        <f>IF(TableJudje[[#This Row],[المستوى]]&gt;4,INDEX(TableJudje[اسم الحساب],MATCH(VALUE(LEFT(TableJudje[[#This Row],[الحساب الرئيسي]],6)),TableJudje[رقم الحساب],0)),"")</f>
        <v>قائمة الدخل</v>
      </c>
      <c r="Q130" s="2" t="str">
        <f>IF(TableJudje[[#This Row],[المستوى]]&gt;1,INDEX(TableJudje[اسم الحساب],MATCH(VALUE(LEFT(TableJudje[[#This Row],[الحساب الرئيسي]],1)),TableJudje[رقم الحساب],0)),"")</f>
        <v>الخصوم</v>
      </c>
    </row>
    <row r="131" spans="1:17" x14ac:dyDescent="0.5">
      <c r="A131" s="2">
        <f>ROW()</f>
        <v>131</v>
      </c>
      <c r="B131" s="2">
        <v>23020101</v>
      </c>
      <c r="C131" s="2" t="s">
        <v>104</v>
      </c>
      <c r="D131" s="2">
        <v>230201</v>
      </c>
      <c r="E131" s="2">
        <v>5</v>
      </c>
      <c r="F131" s="2" t="s">
        <v>24</v>
      </c>
      <c r="G131" s="2" t="s">
        <v>19</v>
      </c>
      <c r="H131" s="3"/>
      <c r="I131" s="2" t="s">
        <v>85</v>
      </c>
      <c r="J131" s="2" t="s">
        <v>45</v>
      </c>
      <c r="K131" s="2" t="s">
        <v>21</v>
      </c>
      <c r="L131" s="2"/>
      <c r="M131" s="2" t="str">
        <f>IF(TableJudje[[#This Row],[الحساب الرئيسي]]=0,"اجمالي",INDEX(TableJudje[اسم الحساب],MATCH(TableJudje[[#This Row],[الحساب الرئيسي]],TableJudje[رقم الحساب],0)))</f>
        <v>الاحتياطيات</v>
      </c>
      <c r="N131" s="2" t="str">
        <f>IF(TableJudje[[#This Row],[المستوى]]&gt;2,INDEX(TableJudje[اسم الحساب],MATCH(VALUE(LEFT(TableJudje[[#This Row],[الحساب الرئيسي]],2)),TableJudje[رقم الحساب],0)),"")</f>
        <v>حقوق الملكية</v>
      </c>
      <c r="O131" s="2" t="str">
        <f>IF(TableJudje[[#This Row],[المستوى]]&gt;3,INDEX(TableJudje[اسم الحساب],MATCH(VALUE(LEFT(TableJudje[[#This Row],[الحساب الرئيسي]],4)),TableJudje[رقم الحساب],0)),"")</f>
        <v>الاحتياطيات والمخصصات</v>
      </c>
      <c r="P131" s="2" t="str">
        <f>IF(TableJudje[[#This Row],[المستوى]]&gt;4,INDEX(TableJudje[اسم الحساب],MATCH(VALUE(LEFT(TableJudje[[#This Row],[الحساب الرئيسي]],6)),TableJudje[رقم الحساب],0)),"")</f>
        <v>الاحتياطيات</v>
      </c>
      <c r="Q131" s="2" t="str">
        <f>IF(TableJudje[[#This Row],[المستوى]]&gt;1,INDEX(TableJudje[اسم الحساب],MATCH(VALUE(LEFT(TableJudje[[#This Row],[الحساب الرئيسي]],1)),TableJudje[رقم الحساب],0)),"")</f>
        <v>الخصوم</v>
      </c>
    </row>
    <row r="132" spans="1:17" x14ac:dyDescent="0.5">
      <c r="A132" s="2">
        <f>ROW()</f>
        <v>132</v>
      </c>
      <c r="B132" s="2">
        <v>23020201</v>
      </c>
      <c r="C132" s="2" t="s">
        <v>106</v>
      </c>
      <c r="D132" s="2">
        <v>230202</v>
      </c>
      <c r="E132" s="2">
        <v>5</v>
      </c>
      <c r="F132" s="2" t="s">
        <v>24</v>
      </c>
      <c r="G132" s="2" t="s">
        <v>19</v>
      </c>
      <c r="H132" s="3"/>
      <c r="I132" s="2" t="s">
        <v>85</v>
      </c>
      <c r="J132" s="2" t="s">
        <v>45</v>
      </c>
      <c r="K132" s="2" t="s">
        <v>21</v>
      </c>
      <c r="L132" s="2"/>
      <c r="M132" s="2" t="str">
        <f>IF(TableJudje[[#This Row],[الحساب الرئيسي]]=0,"اجمالي",INDEX(TableJudje[اسم الحساب],MATCH(TableJudje[[#This Row],[الحساب الرئيسي]],TableJudje[رقم الحساب],0)))</f>
        <v xml:space="preserve">المخصصات والمجمعات </v>
      </c>
      <c r="N132" s="2" t="str">
        <f>IF(TableJudje[[#This Row],[المستوى]]&gt;2,INDEX(TableJudje[اسم الحساب],MATCH(VALUE(LEFT(TableJudje[[#This Row],[الحساب الرئيسي]],2)),TableJudje[رقم الحساب],0)),"")</f>
        <v>حقوق الملكية</v>
      </c>
      <c r="O132" s="2" t="str">
        <f>IF(TableJudje[[#This Row],[المستوى]]&gt;3,INDEX(TableJudje[اسم الحساب],MATCH(VALUE(LEFT(TableJudje[[#This Row],[الحساب الرئيسي]],4)),TableJudje[رقم الحساب],0)),"")</f>
        <v>الاحتياطيات والمخصصات</v>
      </c>
      <c r="P132" s="2" t="str">
        <f>IF(TableJudje[[#This Row],[المستوى]]&gt;4,INDEX(TableJudje[اسم الحساب],MATCH(VALUE(LEFT(TableJudje[[#This Row],[الحساب الرئيسي]],6)),TableJudje[رقم الحساب],0)),"")</f>
        <v xml:space="preserve">المخصصات والمجمعات </v>
      </c>
      <c r="Q132" s="2" t="str">
        <f>IF(TableJudje[[#This Row],[المستوى]]&gt;1,INDEX(TableJudje[اسم الحساب],MATCH(VALUE(LEFT(TableJudje[[#This Row],[الحساب الرئيسي]],1)),TableJudje[رقم الحساب],0)),"")</f>
        <v>الخصوم</v>
      </c>
    </row>
    <row r="133" spans="1:17" x14ac:dyDescent="0.5">
      <c r="A133" s="2">
        <f>ROW()</f>
        <v>133</v>
      </c>
      <c r="B133" s="2">
        <v>23020202</v>
      </c>
      <c r="C133" s="2" t="s">
        <v>107</v>
      </c>
      <c r="D133" s="2">
        <v>230202</v>
      </c>
      <c r="E133" s="2">
        <v>5</v>
      </c>
      <c r="F133" s="2" t="s">
        <v>24</v>
      </c>
      <c r="G133" s="2" t="s">
        <v>19</v>
      </c>
      <c r="H133" s="3"/>
      <c r="I133" s="2" t="s">
        <v>85</v>
      </c>
      <c r="J133" s="2" t="s">
        <v>45</v>
      </c>
      <c r="K133" s="2" t="s">
        <v>21</v>
      </c>
      <c r="L133" s="2"/>
      <c r="M133" s="2" t="str">
        <f>IF(TableJudje[[#This Row],[الحساب الرئيسي]]=0,"اجمالي",INDEX(TableJudje[اسم الحساب],MATCH(TableJudje[[#This Row],[الحساب الرئيسي]],TableJudje[رقم الحساب],0)))</f>
        <v xml:space="preserve">المخصصات والمجمعات </v>
      </c>
      <c r="N133" s="2" t="str">
        <f>IF(TableJudje[[#This Row],[المستوى]]&gt;2,INDEX(TableJudje[اسم الحساب],MATCH(VALUE(LEFT(TableJudje[[#This Row],[الحساب الرئيسي]],2)),TableJudje[رقم الحساب],0)),"")</f>
        <v>حقوق الملكية</v>
      </c>
      <c r="O133" s="2" t="str">
        <f>IF(TableJudje[[#This Row],[المستوى]]&gt;3,INDEX(TableJudje[اسم الحساب],MATCH(VALUE(LEFT(TableJudje[[#This Row],[الحساب الرئيسي]],4)),TableJudje[رقم الحساب],0)),"")</f>
        <v>الاحتياطيات والمخصصات</v>
      </c>
      <c r="P133" s="2" t="str">
        <f>IF(TableJudje[[#This Row],[المستوى]]&gt;4,INDEX(TableJudje[اسم الحساب],MATCH(VALUE(LEFT(TableJudje[[#This Row],[الحساب الرئيسي]],6)),TableJudje[رقم الحساب],0)),"")</f>
        <v xml:space="preserve">المخصصات والمجمعات </v>
      </c>
      <c r="Q133" s="2" t="str">
        <f>IF(TableJudje[[#This Row],[المستوى]]&gt;1,INDEX(TableJudje[اسم الحساب],MATCH(VALUE(LEFT(TableJudje[[#This Row],[الحساب الرئيسي]],1)),TableJudje[رقم الحساب],0)),"")</f>
        <v>الخصوم</v>
      </c>
    </row>
    <row r="134" spans="1:17" x14ac:dyDescent="0.5">
      <c r="A134" s="2">
        <f>ROW()</f>
        <v>134</v>
      </c>
      <c r="B134" s="2">
        <v>23020203</v>
      </c>
      <c r="C134" s="2" t="s">
        <v>108</v>
      </c>
      <c r="D134" s="2">
        <v>230202</v>
      </c>
      <c r="E134" s="2">
        <v>5</v>
      </c>
      <c r="F134" s="2" t="s">
        <v>24</v>
      </c>
      <c r="G134" s="2" t="s">
        <v>19</v>
      </c>
      <c r="H134" s="3"/>
      <c r="I134" s="2" t="s">
        <v>85</v>
      </c>
      <c r="J134" s="2" t="s">
        <v>45</v>
      </c>
      <c r="K134" s="2" t="s">
        <v>21</v>
      </c>
      <c r="L134" s="2"/>
      <c r="M134" s="2" t="str">
        <f>IF(TableJudje[[#This Row],[الحساب الرئيسي]]=0,"اجمالي",INDEX(TableJudje[اسم الحساب],MATCH(TableJudje[[#This Row],[الحساب الرئيسي]],TableJudje[رقم الحساب],0)))</f>
        <v xml:space="preserve">المخصصات والمجمعات </v>
      </c>
      <c r="N134" s="2" t="str">
        <f>IF(TableJudje[[#This Row],[المستوى]]&gt;2,INDEX(TableJudje[اسم الحساب],MATCH(VALUE(LEFT(TableJudje[[#This Row],[الحساب الرئيسي]],2)),TableJudje[رقم الحساب],0)),"")</f>
        <v>حقوق الملكية</v>
      </c>
      <c r="O134" s="2" t="str">
        <f>IF(TableJudje[[#This Row],[المستوى]]&gt;3,INDEX(TableJudje[اسم الحساب],MATCH(VALUE(LEFT(TableJudje[[#This Row],[الحساب الرئيسي]],4)),TableJudje[رقم الحساب],0)),"")</f>
        <v>الاحتياطيات والمخصصات</v>
      </c>
      <c r="P134" s="2" t="str">
        <f>IF(TableJudje[[#This Row],[المستوى]]&gt;4,INDEX(TableJudje[اسم الحساب],MATCH(VALUE(LEFT(TableJudje[[#This Row],[الحساب الرئيسي]],6)),TableJudje[رقم الحساب],0)),"")</f>
        <v xml:space="preserve">المخصصات والمجمعات </v>
      </c>
      <c r="Q134" s="2" t="str">
        <f>IF(TableJudje[[#This Row],[المستوى]]&gt;1,INDEX(TableJudje[اسم الحساب],MATCH(VALUE(LEFT(TableJudje[[#This Row],[الحساب الرئيسي]],1)),TableJudje[رقم الحساب],0)),"")</f>
        <v>الخصوم</v>
      </c>
    </row>
    <row r="135" spans="1:17" x14ac:dyDescent="0.5">
      <c r="A135" s="2">
        <f>ROW()</f>
        <v>135</v>
      </c>
      <c r="B135" s="2">
        <v>31010101</v>
      </c>
      <c r="C135" s="2" t="s">
        <v>111</v>
      </c>
      <c r="D135" s="2">
        <v>310101</v>
      </c>
      <c r="E135" s="2">
        <v>5</v>
      </c>
      <c r="F135" s="2" t="s">
        <v>24</v>
      </c>
      <c r="G135" s="2" t="s">
        <v>110</v>
      </c>
      <c r="H135" s="3"/>
      <c r="I135" s="2" t="s">
        <v>20</v>
      </c>
      <c r="J135" s="2" t="s">
        <v>45</v>
      </c>
      <c r="K135" s="2" t="s">
        <v>21</v>
      </c>
      <c r="L135" s="2"/>
      <c r="M135" s="2" t="str">
        <f>IF(TableJudje[[#This Row],[الحساب الرئيسي]]=0,"اجمالي",INDEX(TableJudje[اسم الحساب],MATCH(TableJudje[[#This Row],[الحساب الرئيسي]],TableJudje[رقم الحساب],0)))</f>
        <v xml:space="preserve">مصاريف تشغيلية </v>
      </c>
      <c r="N135" s="2" t="str">
        <f>IF(TableJudje[[#This Row],[المستوى]]&gt;2,INDEX(TableJudje[اسم الحساب],MATCH(VALUE(LEFT(TableJudje[[#This Row],[الحساب الرئيسي]],2)),TableJudje[رقم الحساب],0)),"")</f>
        <v>المصروفات التشغيلية</v>
      </c>
      <c r="O135" s="2" t="str">
        <f>IF(TableJudje[[#This Row],[المستوى]]&gt;3,INDEX(TableJudje[اسم الحساب],MATCH(VALUE(LEFT(TableJudje[[#This Row],[الحساب الرئيسي]],4)),TableJudje[رقم الحساب],0)),"")</f>
        <v>النفقات التشغيلية</v>
      </c>
      <c r="P135" s="2" t="str">
        <f>IF(TableJudje[[#This Row],[المستوى]]&gt;4,INDEX(TableJudje[اسم الحساب],MATCH(VALUE(LEFT(TableJudje[[#This Row],[الحساب الرئيسي]],6)),TableJudje[رقم الحساب],0)),"")</f>
        <v xml:space="preserve">مصاريف تشغيلية </v>
      </c>
      <c r="Q135" s="2" t="str">
        <f>IF(TableJudje[[#This Row],[المستوى]]&gt;1,INDEX(TableJudje[اسم الحساب],MATCH(VALUE(LEFT(TableJudje[[#This Row],[الحساب الرئيسي]],1)),TableJudje[رقم الحساب],0)),"")</f>
        <v>المصروفات</v>
      </c>
    </row>
    <row r="136" spans="1:17" x14ac:dyDescent="0.5">
      <c r="A136" s="2">
        <f>ROW()</f>
        <v>136</v>
      </c>
      <c r="B136" s="2">
        <v>31010102</v>
      </c>
      <c r="C136" s="6" t="s">
        <v>483</v>
      </c>
      <c r="D136" s="2">
        <v>310101</v>
      </c>
      <c r="E136" s="2">
        <v>5</v>
      </c>
      <c r="F136" s="2" t="s">
        <v>24</v>
      </c>
      <c r="G136" s="2" t="s">
        <v>110</v>
      </c>
      <c r="H136" s="3"/>
      <c r="I136" s="2" t="s">
        <v>20</v>
      </c>
      <c r="J136" s="2" t="s">
        <v>45</v>
      </c>
      <c r="K136" s="2" t="s">
        <v>21</v>
      </c>
      <c r="L136" s="2"/>
      <c r="M136" s="2" t="str">
        <f>IF(TableJudje[[#This Row],[الحساب الرئيسي]]=0,"اجمالي",INDEX(TableJudje[اسم الحساب],MATCH(TableJudje[[#This Row],[الحساب الرئيسي]],TableJudje[رقم الحساب],0)))</f>
        <v xml:space="preserve">مصاريف تشغيلية </v>
      </c>
      <c r="N136" s="2" t="str">
        <f>IF(TableJudje[[#This Row],[المستوى]]&gt;2,INDEX(TableJudje[اسم الحساب],MATCH(VALUE(LEFT(TableJudje[[#This Row],[الحساب الرئيسي]],2)),TableJudje[رقم الحساب],0)),"")</f>
        <v>المصروفات التشغيلية</v>
      </c>
      <c r="O136" s="2" t="str">
        <f>IF(TableJudje[[#This Row],[المستوى]]&gt;3,INDEX(TableJudje[اسم الحساب],MATCH(VALUE(LEFT(TableJudje[[#This Row],[الحساب الرئيسي]],4)),TableJudje[رقم الحساب],0)),"")</f>
        <v>النفقات التشغيلية</v>
      </c>
      <c r="P136" s="2" t="str">
        <f>IF(TableJudje[[#This Row],[المستوى]]&gt;4,INDEX(TableJudje[اسم الحساب],MATCH(VALUE(LEFT(TableJudje[[#This Row],[الحساب الرئيسي]],6)),TableJudje[رقم الحساب],0)),"")</f>
        <v xml:space="preserve">مصاريف تشغيلية </v>
      </c>
      <c r="Q136" s="2" t="str">
        <f>IF(TableJudje[[#This Row],[المستوى]]&gt;1,INDEX(TableJudje[اسم الحساب],MATCH(VALUE(LEFT(TableJudje[[#This Row],[الحساب الرئيسي]],1)),TableJudje[رقم الحساب],0)),"")</f>
        <v>المصروفات</v>
      </c>
    </row>
    <row r="137" spans="1:17" x14ac:dyDescent="0.5">
      <c r="A137" s="2">
        <f>ROW()</f>
        <v>137</v>
      </c>
      <c r="B137" s="2">
        <v>31010103</v>
      </c>
      <c r="C137" s="2" t="s">
        <v>112</v>
      </c>
      <c r="D137" s="2">
        <v>310101</v>
      </c>
      <c r="E137" s="2">
        <v>5</v>
      </c>
      <c r="F137" s="2" t="s">
        <v>24</v>
      </c>
      <c r="G137" s="2" t="s">
        <v>110</v>
      </c>
      <c r="H137" s="3"/>
      <c r="I137" s="2" t="s">
        <v>20</v>
      </c>
      <c r="J137" s="2" t="s">
        <v>45</v>
      </c>
      <c r="K137" s="2" t="s">
        <v>21</v>
      </c>
      <c r="L137" s="2"/>
      <c r="M137" s="2" t="str">
        <f>IF(TableJudje[[#This Row],[الحساب الرئيسي]]=0,"اجمالي",INDEX(TableJudje[اسم الحساب],MATCH(TableJudje[[#This Row],[الحساب الرئيسي]],TableJudje[رقم الحساب],0)))</f>
        <v xml:space="preserve">مصاريف تشغيلية </v>
      </c>
      <c r="N137" s="2" t="str">
        <f>IF(TableJudje[[#This Row],[المستوى]]&gt;2,INDEX(TableJudje[اسم الحساب],MATCH(VALUE(LEFT(TableJudje[[#This Row],[الحساب الرئيسي]],2)),TableJudje[رقم الحساب],0)),"")</f>
        <v>المصروفات التشغيلية</v>
      </c>
      <c r="O137" s="2" t="str">
        <f>IF(TableJudje[[#This Row],[المستوى]]&gt;3,INDEX(TableJudje[اسم الحساب],MATCH(VALUE(LEFT(TableJudje[[#This Row],[الحساب الرئيسي]],4)),TableJudje[رقم الحساب],0)),"")</f>
        <v>النفقات التشغيلية</v>
      </c>
      <c r="P137" s="2" t="str">
        <f>IF(TableJudje[[#This Row],[المستوى]]&gt;4,INDEX(TableJudje[اسم الحساب],MATCH(VALUE(LEFT(TableJudje[[#This Row],[الحساب الرئيسي]],6)),TableJudje[رقم الحساب],0)),"")</f>
        <v xml:space="preserve">مصاريف تشغيلية </v>
      </c>
      <c r="Q137" s="2" t="str">
        <f>IF(TableJudje[[#This Row],[المستوى]]&gt;1,INDEX(TableJudje[اسم الحساب],MATCH(VALUE(LEFT(TableJudje[[#This Row],[الحساب الرئيسي]],1)),TableJudje[رقم الحساب],0)),"")</f>
        <v>المصروفات</v>
      </c>
    </row>
    <row r="138" spans="1:17" x14ac:dyDescent="0.5">
      <c r="A138" s="2">
        <f>ROW()</f>
        <v>138</v>
      </c>
      <c r="B138" s="2">
        <v>31010104</v>
      </c>
      <c r="C138" s="2" t="s">
        <v>113</v>
      </c>
      <c r="D138" s="2">
        <v>310101</v>
      </c>
      <c r="E138" s="2">
        <v>5</v>
      </c>
      <c r="F138" s="2" t="s">
        <v>24</v>
      </c>
      <c r="G138" s="2" t="s">
        <v>110</v>
      </c>
      <c r="H138" s="3"/>
      <c r="I138" s="2" t="s">
        <v>20</v>
      </c>
      <c r="J138" s="2" t="s">
        <v>45</v>
      </c>
      <c r="K138" s="2" t="s">
        <v>21</v>
      </c>
      <c r="L138" s="2"/>
      <c r="M138" s="2" t="str">
        <f>IF(TableJudje[[#This Row],[الحساب الرئيسي]]=0,"اجمالي",INDEX(TableJudje[اسم الحساب],MATCH(TableJudje[[#This Row],[الحساب الرئيسي]],TableJudje[رقم الحساب],0)))</f>
        <v xml:space="preserve">مصاريف تشغيلية </v>
      </c>
      <c r="N138" s="2" t="str">
        <f>IF(TableJudje[[#This Row],[المستوى]]&gt;2,INDEX(TableJudje[اسم الحساب],MATCH(VALUE(LEFT(TableJudje[[#This Row],[الحساب الرئيسي]],2)),TableJudje[رقم الحساب],0)),"")</f>
        <v>المصروفات التشغيلية</v>
      </c>
      <c r="O138" s="2" t="str">
        <f>IF(TableJudje[[#This Row],[المستوى]]&gt;3,INDEX(TableJudje[اسم الحساب],MATCH(VALUE(LEFT(TableJudje[[#This Row],[الحساب الرئيسي]],4)),TableJudje[رقم الحساب],0)),"")</f>
        <v>النفقات التشغيلية</v>
      </c>
      <c r="P138" s="2" t="str">
        <f>IF(TableJudje[[#This Row],[المستوى]]&gt;4,INDEX(TableJudje[اسم الحساب],MATCH(VALUE(LEFT(TableJudje[[#This Row],[الحساب الرئيسي]],6)),TableJudje[رقم الحساب],0)),"")</f>
        <v xml:space="preserve">مصاريف تشغيلية </v>
      </c>
      <c r="Q138" s="2" t="str">
        <f>IF(TableJudje[[#This Row],[المستوى]]&gt;1,INDEX(TableJudje[اسم الحساب],MATCH(VALUE(LEFT(TableJudje[[#This Row],[الحساب الرئيسي]],1)),TableJudje[رقم الحساب],0)),"")</f>
        <v>المصروفات</v>
      </c>
    </row>
    <row r="139" spans="1:17" x14ac:dyDescent="0.5">
      <c r="A139" s="2">
        <f>ROW()</f>
        <v>139</v>
      </c>
      <c r="B139" s="2">
        <v>31010105</v>
      </c>
      <c r="C139" s="2" t="s">
        <v>114</v>
      </c>
      <c r="D139" s="2">
        <v>310101</v>
      </c>
      <c r="E139" s="2">
        <v>5</v>
      </c>
      <c r="F139" s="2" t="s">
        <v>24</v>
      </c>
      <c r="G139" s="2" t="s">
        <v>110</v>
      </c>
      <c r="H139" s="3"/>
      <c r="I139" s="2" t="s">
        <v>20</v>
      </c>
      <c r="J139" s="2" t="s">
        <v>45</v>
      </c>
      <c r="K139" s="2" t="s">
        <v>21</v>
      </c>
      <c r="L139" s="2"/>
      <c r="M139" s="2" t="str">
        <f>IF(TableJudje[[#This Row],[الحساب الرئيسي]]=0,"اجمالي",INDEX(TableJudje[اسم الحساب],MATCH(TableJudje[[#This Row],[الحساب الرئيسي]],TableJudje[رقم الحساب],0)))</f>
        <v xml:space="preserve">مصاريف تشغيلية </v>
      </c>
      <c r="N139" s="2" t="str">
        <f>IF(TableJudje[[#This Row],[المستوى]]&gt;2,INDEX(TableJudje[اسم الحساب],MATCH(VALUE(LEFT(TableJudje[[#This Row],[الحساب الرئيسي]],2)),TableJudje[رقم الحساب],0)),"")</f>
        <v>المصروفات التشغيلية</v>
      </c>
      <c r="O139" s="2" t="str">
        <f>IF(TableJudje[[#This Row],[المستوى]]&gt;3,INDEX(TableJudje[اسم الحساب],MATCH(VALUE(LEFT(TableJudje[[#This Row],[الحساب الرئيسي]],4)),TableJudje[رقم الحساب],0)),"")</f>
        <v>النفقات التشغيلية</v>
      </c>
      <c r="P139" s="2" t="str">
        <f>IF(TableJudje[[#This Row],[المستوى]]&gt;4,INDEX(TableJudje[اسم الحساب],MATCH(VALUE(LEFT(TableJudje[[#This Row],[الحساب الرئيسي]],6)),TableJudje[رقم الحساب],0)),"")</f>
        <v xml:space="preserve">مصاريف تشغيلية </v>
      </c>
      <c r="Q139" s="2" t="str">
        <f>IF(TableJudje[[#This Row],[المستوى]]&gt;1,INDEX(TableJudje[اسم الحساب],MATCH(VALUE(LEFT(TableJudje[[#This Row],[الحساب الرئيسي]],1)),TableJudje[رقم الحساب],0)),"")</f>
        <v>المصروفات</v>
      </c>
    </row>
    <row r="140" spans="1:17" x14ac:dyDescent="0.5">
      <c r="A140" s="2">
        <f>ROW()</f>
        <v>140</v>
      </c>
      <c r="B140" s="2">
        <v>31010106</v>
      </c>
      <c r="C140" s="2" t="s">
        <v>115</v>
      </c>
      <c r="D140" s="2">
        <v>310101</v>
      </c>
      <c r="E140" s="2">
        <v>5</v>
      </c>
      <c r="F140" s="2" t="s">
        <v>24</v>
      </c>
      <c r="G140" s="2" t="s">
        <v>110</v>
      </c>
      <c r="H140" s="3"/>
      <c r="I140" s="2" t="s">
        <v>20</v>
      </c>
      <c r="J140" s="2" t="s">
        <v>45</v>
      </c>
      <c r="K140" s="2" t="s">
        <v>21</v>
      </c>
      <c r="L140" s="2"/>
      <c r="M140" s="2" t="str">
        <f>IF(TableJudje[[#This Row],[الحساب الرئيسي]]=0,"اجمالي",INDEX(TableJudje[اسم الحساب],MATCH(TableJudje[[#This Row],[الحساب الرئيسي]],TableJudje[رقم الحساب],0)))</f>
        <v xml:space="preserve">مصاريف تشغيلية </v>
      </c>
      <c r="N140" s="2" t="str">
        <f>IF(TableJudje[[#This Row],[المستوى]]&gt;2,INDEX(TableJudje[اسم الحساب],MATCH(VALUE(LEFT(TableJudje[[#This Row],[الحساب الرئيسي]],2)),TableJudje[رقم الحساب],0)),"")</f>
        <v>المصروفات التشغيلية</v>
      </c>
      <c r="O140" s="2" t="str">
        <f>IF(TableJudje[[#This Row],[المستوى]]&gt;3,INDEX(TableJudje[اسم الحساب],MATCH(VALUE(LEFT(TableJudje[[#This Row],[الحساب الرئيسي]],4)),TableJudje[رقم الحساب],0)),"")</f>
        <v>النفقات التشغيلية</v>
      </c>
      <c r="P140" s="2" t="str">
        <f>IF(TableJudje[[#This Row],[المستوى]]&gt;4,INDEX(TableJudje[اسم الحساب],MATCH(VALUE(LEFT(TableJudje[[#This Row],[الحساب الرئيسي]],6)),TableJudje[رقم الحساب],0)),"")</f>
        <v xml:space="preserve">مصاريف تشغيلية </v>
      </c>
      <c r="Q140" s="2" t="str">
        <f>IF(TableJudje[[#This Row],[المستوى]]&gt;1,INDEX(TableJudje[اسم الحساب],MATCH(VALUE(LEFT(TableJudje[[#This Row],[الحساب الرئيسي]],1)),TableJudje[رقم الحساب],0)),"")</f>
        <v>المصروفات</v>
      </c>
    </row>
    <row r="141" spans="1:17" x14ac:dyDescent="0.5">
      <c r="A141" s="2">
        <f>ROW()</f>
        <v>141</v>
      </c>
      <c r="B141" s="2">
        <v>31010107</v>
      </c>
      <c r="C141" s="2" t="s">
        <v>116</v>
      </c>
      <c r="D141" s="2">
        <v>310101</v>
      </c>
      <c r="E141" s="2">
        <v>5</v>
      </c>
      <c r="F141" s="2" t="s">
        <v>24</v>
      </c>
      <c r="G141" s="2" t="s">
        <v>110</v>
      </c>
      <c r="H141" s="3"/>
      <c r="I141" s="2" t="s">
        <v>20</v>
      </c>
      <c r="J141" s="2" t="s">
        <v>45</v>
      </c>
      <c r="K141" s="2" t="s">
        <v>21</v>
      </c>
      <c r="L141" s="2"/>
      <c r="M141" s="2" t="str">
        <f>IF(TableJudje[[#This Row],[الحساب الرئيسي]]=0,"اجمالي",INDEX(TableJudje[اسم الحساب],MATCH(TableJudje[[#This Row],[الحساب الرئيسي]],TableJudje[رقم الحساب],0)))</f>
        <v xml:space="preserve">مصاريف تشغيلية </v>
      </c>
      <c r="N141" s="2" t="str">
        <f>IF(TableJudje[[#This Row],[المستوى]]&gt;2,INDEX(TableJudje[اسم الحساب],MATCH(VALUE(LEFT(TableJudje[[#This Row],[الحساب الرئيسي]],2)),TableJudje[رقم الحساب],0)),"")</f>
        <v>المصروفات التشغيلية</v>
      </c>
      <c r="O141" s="2" t="str">
        <f>IF(TableJudje[[#This Row],[المستوى]]&gt;3,INDEX(TableJudje[اسم الحساب],MATCH(VALUE(LEFT(TableJudje[[#This Row],[الحساب الرئيسي]],4)),TableJudje[رقم الحساب],0)),"")</f>
        <v>النفقات التشغيلية</v>
      </c>
      <c r="P141" s="2" t="str">
        <f>IF(TableJudje[[#This Row],[المستوى]]&gt;4,INDEX(TableJudje[اسم الحساب],MATCH(VALUE(LEFT(TableJudje[[#This Row],[الحساب الرئيسي]],6)),TableJudje[رقم الحساب],0)),"")</f>
        <v xml:space="preserve">مصاريف تشغيلية </v>
      </c>
      <c r="Q141" s="2" t="str">
        <f>IF(TableJudje[[#This Row],[المستوى]]&gt;1,INDEX(TableJudje[اسم الحساب],MATCH(VALUE(LEFT(TableJudje[[#This Row],[الحساب الرئيسي]],1)),TableJudje[رقم الحساب],0)),"")</f>
        <v>المصروفات</v>
      </c>
    </row>
    <row r="142" spans="1:17" x14ac:dyDescent="0.5">
      <c r="A142" s="2">
        <f>ROW()</f>
        <v>142</v>
      </c>
      <c r="B142" s="2">
        <v>31010108</v>
      </c>
      <c r="C142" s="2" t="s">
        <v>117</v>
      </c>
      <c r="D142" s="2">
        <v>310101</v>
      </c>
      <c r="E142" s="2">
        <v>5</v>
      </c>
      <c r="F142" s="2" t="s">
        <v>24</v>
      </c>
      <c r="G142" s="2" t="s">
        <v>110</v>
      </c>
      <c r="H142" s="3"/>
      <c r="I142" s="2" t="s">
        <v>20</v>
      </c>
      <c r="J142" s="2" t="s">
        <v>45</v>
      </c>
      <c r="K142" s="2" t="s">
        <v>21</v>
      </c>
      <c r="L142" s="2"/>
      <c r="M142" s="2" t="str">
        <f>IF(TableJudje[[#This Row],[الحساب الرئيسي]]=0,"اجمالي",INDEX(TableJudje[اسم الحساب],MATCH(TableJudje[[#This Row],[الحساب الرئيسي]],TableJudje[رقم الحساب],0)))</f>
        <v xml:space="preserve">مصاريف تشغيلية </v>
      </c>
      <c r="N142" s="2" t="str">
        <f>IF(TableJudje[[#This Row],[المستوى]]&gt;2,INDEX(TableJudje[اسم الحساب],MATCH(VALUE(LEFT(TableJudje[[#This Row],[الحساب الرئيسي]],2)),TableJudje[رقم الحساب],0)),"")</f>
        <v>المصروفات التشغيلية</v>
      </c>
      <c r="O142" s="2" t="str">
        <f>IF(TableJudje[[#This Row],[المستوى]]&gt;3,INDEX(TableJudje[اسم الحساب],MATCH(VALUE(LEFT(TableJudje[[#This Row],[الحساب الرئيسي]],4)),TableJudje[رقم الحساب],0)),"")</f>
        <v>النفقات التشغيلية</v>
      </c>
      <c r="P142" s="2" t="str">
        <f>IF(TableJudje[[#This Row],[المستوى]]&gt;4,INDEX(TableJudje[اسم الحساب],MATCH(VALUE(LEFT(TableJudje[[#This Row],[الحساب الرئيسي]],6)),TableJudje[رقم الحساب],0)),"")</f>
        <v xml:space="preserve">مصاريف تشغيلية </v>
      </c>
      <c r="Q142" s="2" t="str">
        <f>IF(TableJudje[[#This Row],[المستوى]]&gt;1,INDEX(TableJudje[اسم الحساب],MATCH(VALUE(LEFT(TableJudje[[#This Row],[الحساب الرئيسي]],1)),TableJudje[رقم الحساب],0)),"")</f>
        <v>المصروفات</v>
      </c>
    </row>
    <row r="143" spans="1:17" x14ac:dyDescent="0.5">
      <c r="A143" s="2">
        <f>ROW()</f>
        <v>143</v>
      </c>
      <c r="B143" s="2">
        <v>31010109</v>
      </c>
      <c r="C143" s="6" t="s">
        <v>484</v>
      </c>
      <c r="D143" s="2">
        <v>310101</v>
      </c>
      <c r="E143" s="2">
        <v>5</v>
      </c>
      <c r="F143" s="2" t="s">
        <v>24</v>
      </c>
      <c r="G143" s="2" t="s">
        <v>110</v>
      </c>
      <c r="H143" s="3"/>
      <c r="I143" s="2" t="s">
        <v>20</v>
      </c>
      <c r="J143" s="2" t="s">
        <v>45</v>
      </c>
      <c r="K143" s="2" t="s">
        <v>21</v>
      </c>
      <c r="L143" s="2"/>
      <c r="M143" s="2" t="str">
        <f>IF(TableJudje[[#This Row],[الحساب الرئيسي]]=0,"اجمالي",INDEX(TableJudje[اسم الحساب],MATCH(TableJudje[[#This Row],[الحساب الرئيسي]],TableJudje[رقم الحساب],0)))</f>
        <v xml:space="preserve">مصاريف تشغيلية </v>
      </c>
      <c r="N143" s="2" t="str">
        <f>IF(TableJudje[[#This Row],[المستوى]]&gt;2,INDEX(TableJudje[اسم الحساب],MATCH(VALUE(LEFT(TableJudje[[#This Row],[الحساب الرئيسي]],2)),TableJudje[رقم الحساب],0)),"")</f>
        <v>المصروفات التشغيلية</v>
      </c>
      <c r="O143" s="2" t="str">
        <f>IF(TableJudje[[#This Row],[المستوى]]&gt;3,INDEX(TableJudje[اسم الحساب],MATCH(VALUE(LEFT(TableJudje[[#This Row],[الحساب الرئيسي]],4)),TableJudje[رقم الحساب],0)),"")</f>
        <v>النفقات التشغيلية</v>
      </c>
      <c r="P143" s="2" t="str">
        <f>IF(TableJudje[[#This Row],[المستوى]]&gt;4,INDEX(TableJudje[اسم الحساب],MATCH(VALUE(LEFT(TableJudje[[#This Row],[الحساب الرئيسي]],6)),TableJudje[رقم الحساب],0)),"")</f>
        <v xml:space="preserve">مصاريف تشغيلية </v>
      </c>
      <c r="Q143" s="2" t="str">
        <f>IF(TableJudje[[#This Row],[المستوى]]&gt;1,INDEX(TableJudje[اسم الحساب],MATCH(VALUE(LEFT(TableJudje[[#This Row],[الحساب الرئيسي]],1)),TableJudje[رقم الحساب],0)),"")</f>
        <v>المصروفات</v>
      </c>
    </row>
    <row r="144" spans="1:17" x14ac:dyDescent="0.5">
      <c r="A144" s="4">
        <f>ROW()</f>
        <v>144</v>
      </c>
      <c r="B144" s="4">
        <v>31010110</v>
      </c>
      <c r="C144" s="4" t="s">
        <v>118</v>
      </c>
      <c r="D144" s="2">
        <v>310101</v>
      </c>
      <c r="E144" s="4">
        <v>5</v>
      </c>
      <c r="F144" s="2" t="s">
        <v>24</v>
      </c>
      <c r="G144" s="4" t="s">
        <v>110</v>
      </c>
      <c r="H144" s="5"/>
      <c r="I144" s="2" t="s">
        <v>20</v>
      </c>
      <c r="J144" s="2" t="s">
        <v>45</v>
      </c>
      <c r="K144" s="2" t="s">
        <v>21</v>
      </c>
      <c r="L144" s="4"/>
      <c r="M144" s="4" t="str">
        <f>IF(TableJudje[[#This Row],[الحساب الرئيسي]]=0,"اجمالي",INDEX(TableJudje[اسم الحساب],MATCH(TableJudje[[#This Row],[الحساب الرئيسي]],TableJudje[رقم الحساب],0)))</f>
        <v xml:space="preserve">مصاريف تشغيلية </v>
      </c>
      <c r="N144" s="4" t="str">
        <f>IF(TableJudje[[#This Row],[المستوى]]&gt;2,INDEX(TableJudje[اسم الحساب],MATCH(VALUE(LEFT(TableJudje[[#This Row],[الحساب الرئيسي]],2)),TableJudje[رقم الحساب],0)),"")</f>
        <v>المصروفات التشغيلية</v>
      </c>
      <c r="O144" s="4" t="str">
        <f>IF(TableJudje[[#This Row],[المستوى]]&gt;3,INDEX(TableJudje[اسم الحساب],MATCH(VALUE(LEFT(TableJudje[[#This Row],[الحساب الرئيسي]],4)),TableJudje[رقم الحساب],0)),"")</f>
        <v>النفقات التشغيلية</v>
      </c>
      <c r="P144" s="4" t="str">
        <f>IF(TableJudje[[#This Row],[المستوى]]&gt;4,INDEX(TableJudje[اسم الحساب],MATCH(VALUE(LEFT(TableJudje[[#This Row],[الحساب الرئيسي]],6)),TableJudje[رقم الحساب],0)),"")</f>
        <v xml:space="preserve">مصاريف تشغيلية </v>
      </c>
      <c r="Q144" s="4" t="str">
        <f>IF(TableJudje[[#This Row],[المستوى]]&gt;1,INDEX(TableJudje[اسم الحساب],MATCH(VALUE(LEFT(TableJudje[[#This Row],[الحساب الرئيسي]],1)),TableJudje[رقم الحساب],0)),"")</f>
        <v>المصروفات</v>
      </c>
    </row>
    <row r="145" spans="1:17" x14ac:dyDescent="0.5">
      <c r="A145" s="4">
        <f>ROW()</f>
        <v>145</v>
      </c>
      <c r="B145" s="4">
        <v>31010111</v>
      </c>
      <c r="C145" s="120" t="s">
        <v>485</v>
      </c>
      <c r="D145" s="4">
        <v>310101</v>
      </c>
      <c r="E145" s="4">
        <v>5</v>
      </c>
      <c r="F145" s="4" t="s">
        <v>24</v>
      </c>
      <c r="G145" s="4" t="s">
        <v>110</v>
      </c>
      <c r="H145" s="5"/>
      <c r="I145" s="4" t="s">
        <v>20</v>
      </c>
      <c r="J145" s="4" t="s">
        <v>45</v>
      </c>
      <c r="K145" s="4" t="s">
        <v>21</v>
      </c>
      <c r="L145" s="4"/>
      <c r="M145" s="4" t="str">
        <f>IF(TableJudje[[#This Row],[الحساب الرئيسي]]=0,"اجمالي",INDEX(TableJudje[اسم الحساب],MATCH(TableJudje[[#This Row],[الحساب الرئيسي]],TableJudje[رقم الحساب],0)))</f>
        <v xml:space="preserve">مصاريف تشغيلية </v>
      </c>
      <c r="N145" s="4" t="str">
        <f>IF(TableJudje[[#This Row],[المستوى]]&gt;2,INDEX(TableJudje[اسم الحساب],MATCH(VALUE(LEFT(TableJudje[[#This Row],[الحساب الرئيسي]],2)),TableJudje[رقم الحساب],0)),"")</f>
        <v>المصروفات التشغيلية</v>
      </c>
      <c r="O145" s="4" t="str">
        <f>IF(TableJudje[[#This Row],[المستوى]]&gt;3,INDEX(TableJudje[اسم الحساب],MATCH(VALUE(LEFT(TableJudje[[#This Row],[الحساب الرئيسي]],4)),TableJudje[رقم الحساب],0)),"")</f>
        <v>النفقات التشغيلية</v>
      </c>
      <c r="P145" s="4" t="str">
        <f>IF(TableJudje[[#This Row],[المستوى]]&gt;4,INDEX(TableJudje[اسم الحساب],MATCH(VALUE(LEFT(TableJudje[[#This Row],[الحساب الرئيسي]],6)),TableJudje[رقم الحساب],0)),"")</f>
        <v xml:space="preserve">مصاريف تشغيلية </v>
      </c>
      <c r="Q145" s="4" t="str">
        <f>IF(TableJudje[[#This Row],[المستوى]]&gt;1,INDEX(TableJudje[اسم الحساب],MATCH(VALUE(LEFT(TableJudje[[#This Row],[الحساب الرئيسي]],1)),TableJudje[رقم الحساب],0)),"")</f>
        <v>المصروفات</v>
      </c>
    </row>
    <row r="146" spans="1:17" x14ac:dyDescent="0.5">
      <c r="A146" s="4">
        <f>ROW()</f>
        <v>146</v>
      </c>
      <c r="B146" s="4">
        <v>31010112</v>
      </c>
      <c r="C146" s="4" t="s">
        <v>119</v>
      </c>
      <c r="D146" s="4">
        <v>310101</v>
      </c>
      <c r="E146" s="4">
        <v>5</v>
      </c>
      <c r="F146" s="4" t="s">
        <v>24</v>
      </c>
      <c r="G146" s="4" t="s">
        <v>110</v>
      </c>
      <c r="H146" s="5"/>
      <c r="I146" s="4" t="s">
        <v>20</v>
      </c>
      <c r="J146" s="4" t="s">
        <v>45</v>
      </c>
      <c r="K146" s="4" t="s">
        <v>21</v>
      </c>
      <c r="L146" s="4"/>
      <c r="M146" s="4" t="str">
        <f>IF(TableJudje[[#This Row],[الحساب الرئيسي]]=0,"اجمالي",INDEX(TableJudje[اسم الحساب],MATCH(TableJudje[[#This Row],[الحساب الرئيسي]],TableJudje[رقم الحساب],0)))</f>
        <v xml:space="preserve">مصاريف تشغيلية </v>
      </c>
      <c r="N146" s="4" t="str">
        <f>IF(TableJudje[[#This Row],[المستوى]]&gt;2,INDEX(TableJudje[اسم الحساب],MATCH(VALUE(LEFT(TableJudje[[#This Row],[الحساب الرئيسي]],2)),TableJudje[رقم الحساب],0)),"")</f>
        <v>المصروفات التشغيلية</v>
      </c>
      <c r="O146" s="4" t="str">
        <f>IF(TableJudje[[#This Row],[المستوى]]&gt;3,INDEX(TableJudje[اسم الحساب],MATCH(VALUE(LEFT(TableJudje[[#This Row],[الحساب الرئيسي]],4)),TableJudje[رقم الحساب],0)),"")</f>
        <v>النفقات التشغيلية</v>
      </c>
      <c r="P146" s="4" t="str">
        <f>IF(TableJudje[[#This Row],[المستوى]]&gt;4,INDEX(TableJudje[اسم الحساب],MATCH(VALUE(LEFT(TableJudje[[#This Row],[الحساب الرئيسي]],6)),TableJudje[رقم الحساب],0)),"")</f>
        <v xml:space="preserve">مصاريف تشغيلية </v>
      </c>
      <c r="Q146" s="4" t="str">
        <f>IF(TableJudje[[#This Row],[المستوى]]&gt;1,INDEX(TableJudje[اسم الحساب],MATCH(VALUE(LEFT(TableJudje[[#This Row],[الحساب الرئيسي]],1)),TableJudje[رقم الحساب],0)),"")</f>
        <v>المصروفات</v>
      </c>
    </row>
    <row r="147" spans="1:17" x14ac:dyDescent="0.5">
      <c r="A147" s="4">
        <f>ROW()</f>
        <v>147</v>
      </c>
      <c r="B147" s="4">
        <v>31010113</v>
      </c>
      <c r="C147" s="4" t="s">
        <v>120</v>
      </c>
      <c r="D147" s="4">
        <v>310101</v>
      </c>
      <c r="E147" s="4">
        <v>5</v>
      </c>
      <c r="F147" s="4" t="s">
        <v>24</v>
      </c>
      <c r="G147" s="4" t="s">
        <v>110</v>
      </c>
      <c r="H147" s="5"/>
      <c r="I147" s="4" t="s">
        <v>20</v>
      </c>
      <c r="J147" s="4" t="s">
        <v>45</v>
      </c>
      <c r="K147" s="4" t="s">
        <v>21</v>
      </c>
      <c r="L147" s="4"/>
      <c r="M147" s="4" t="str">
        <f>IF(TableJudje[[#This Row],[الحساب الرئيسي]]=0,"اجمالي",INDEX(TableJudje[اسم الحساب],MATCH(TableJudje[[#This Row],[الحساب الرئيسي]],TableJudje[رقم الحساب],0)))</f>
        <v xml:space="preserve">مصاريف تشغيلية </v>
      </c>
      <c r="N147" s="4" t="str">
        <f>IF(TableJudje[[#This Row],[المستوى]]&gt;2,INDEX(TableJudje[اسم الحساب],MATCH(VALUE(LEFT(TableJudje[[#This Row],[الحساب الرئيسي]],2)),TableJudje[رقم الحساب],0)),"")</f>
        <v>المصروفات التشغيلية</v>
      </c>
      <c r="O147" s="4" t="str">
        <f>IF(TableJudje[[#This Row],[المستوى]]&gt;3,INDEX(TableJudje[اسم الحساب],MATCH(VALUE(LEFT(TableJudje[[#This Row],[الحساب الرئيسي]],4)),TableJudje[رقم الحساب],0)),"")</f>
        <v>النفقات التشغيلية</v>
      </c>
      <c r="P147" s="4" t="str">
        <f>IF(TableJudje[[#This Row],[المستوى]]&gt;4,INDEX(TableJudje[اسم الحساب],MATCH(VALUE(LEFT(TableJudje[[#This Row],[الحساب الرئيسي]],6)),TableJudje[رقم الحساب],0)),"")</f>
        <v xml:space="preserve">مصاريف تشغيلية </v>
      </c>
      <c r="Q147" s="4" t="str">
        <f>IF(TableJudje[[#This Row],[المستوى]]&gt;1,INDEX(TableJudje[اسم الحساب],MATCH(VALUE(LEFT(TableJudje[[#This Row],[الحساب الرئيسي]],1)),TableJudje[رقم الحساب],0)),"")</f>
        <v>المصروفات</v>
      </c>
    </row>
    <row r="148" spans="1:17" x14ac:dyDescent="0.5">
      <c r="A148" s="4">
        <f>ROW()</f>
        <v>148</v>
      </c>
      <c r="B148" s="4">
        <v>31010114</v>
      </c>
      <c r="C148" s="4" t="s">
        <v>121</v>
      </c>
      <c r="D148" s="4">
        <v>310101</v>
      </c>
      <c r="E148" s="4">
        <v>5</v>
      </c>
      <c r="F148" s="4" t="s">
        <v>24</v>
      </c>
      <c r="G148" s="4" t="s">
        <v>110</v>
      </c>
      <c r="H148" s="5"/>
      <c r="I148" s="4" t="s">
        <v>20</v>
      </c>
      <c r="J148" s="4" t="s">
        <v>45</v>
      </c>
      <c r="K148" s="4" t="s">
        <v>21</v>
      </c>
      <c r="L148" s="4"/>
      <c r="M148" s="4" t="str">
        <f>IF(TableJudje[[#This Row],[الحساب الرئيسي]]=0,"اجمالي",INDEX(TableJudje[اسم الحساب],MATCH(TableJudje[[#This Row],[الحساب الرئيسي]],TableJudje[رقم الحساب],0)))</f>
        <v xml:space="preserve">مصاريف تشغيلية </v>
      </c>
      <c r="N148" s="4" t="str">
        <f>IF(TableJudje[[#This Row],[المستوى]]&gt;2,INDEX(TableJudje[اسم الحساب],MATCH(VALUE(LEFT(TableJudje[[#This Row],[الحساب الرئيسي]],2)),TableJudje[رقم الحساب],0)),"")</f>
        <v>المصروفات التشغيلية</v>
      </c>
      <c r="O148" s="4" t="str">
        <f>IF(TableJudje[[#This Row],[المستوى]]&gt;3,INDEX(TableJudje[اسم الحساب],MATCH(VALUE(LEFT(TableJudje[[#This Row],[الحساب الرئيسي]],4)),TableJudje[رقم الحساب],0)),"")</f>
        <v>النفقات التشغيلية</v>
      </c>
      <c r="P148" s="4" t="str">
        <f>IF(TableJudje[[#This Row],[المستوى]]&gt;4,INDEX(TableJudje[اسم الحساب],MATCH(VALUE(LEFT(TableJudje[[#This Row],[الحساب الرئيسي]],6)),TableJudje[رقم الحساب],0)),"")</f>
        <v xml:space="preserve">مصاريف تشغيلية </v>
      </c>
      <c r="Q148" s="4" t="str">
        <f>IF(TableJudje[[#This Row],[المستوى]]&gt;1,INDEX(TableJudje[اسم الحساب],MATCH(VALUE(LEFT(TableJudje[[#This Row],[الحساب الرئيسي]],1)),TableJudje[رقم الحساب],0)),"")</f>
        <v>المصروفات</v>
      </c>
    </row>
    <row r="149" spans="1:17" x14ac:dyDescent="0.5">
      <c r="A149" s="4">
        <f>ROW()</f>
        <v>149</v>
      </c>
      <c r="B149" s="4">
        <v>31010115</v>
      </c>
      <c r="C149" s="120" t="s">
        <v>486</v>
      </c>
      <c r="D149" s="4">
        <v>310101</v>
      </c>
      <c r="E149" s="4">
        <v>5</v>
      </c>
      <c r="F149" s="4" t="s">
        <v>24</v>
      </c>
      <c r="G149" s="4" t="s">
        <v>110</v>
      </c>
      <c r="H149" s="5"/>
      <c r="I149" s="4" t="s">
        <v>20</v>
      </c>
      <c r="J149" s="4" t="s">
        <v>45</v>
      </c>
      <c r="K149" s="4" t="s">
        <v>21</v>
      </c>
      <c r="L149" s="4"/>
      <c r="M149" s="4" t="str">
        <f>IF(TableJudje[[#This Row],[الحساب الرئيسي]]=0,"اجمالي",INDEX(TableJudje[اسم الحساب],MATCH(TableJudje[[#This Row],[الحساب الرئيسي]],TableJudje[رقم الحساب],0)))</f>
        <v xml:space="preserve">مصاريف تشغيلية </v>
      </c>
      <c r="N149" s="4" t="str">
        <f>IF(TableJudje[[#This Row],[المستوى]]&gt;2,INDEX(TableJudje[اسم الحساب],MATCH(VALUE(LEFT(TableJudje[[#This Row],[الحساب الرئيسي]],2)),TableJudje[رقم الحساب],0)),"")</f>
        <v>المصروفات التشغيلية</v>
      </c>
      <c r="O149" s="4" t="str">
        <f>IF(TableJudje[[#This Row],[المستوى]]&gt;3,INDEX(TableJudje[اسم الحساب],MATCH(VALUE(LEFT(TableJudje[[#This Row],[الحساب الرئيسي]],4)),TableJudje[رقم الحساب],0)),"")</f>
        <v>النفقات التشغيلية</v>
      </c>
      <c r="P149" s="4" t="str">
        <f>IF(TableJudje[[#This Row],[المستوى]]&gt;4,INDEX(TableJudje[اسم الحساب],MATCH(VALUE(LEFT(TableJudje[[#This Row],[الحساب الرئيسي]],6)),TableJudje[رقم الحساب],0)),"")</f>
        <v xml:space="preserve">مصاريف تشغيلية </v>
      </c>
      <c r="Q149" s="4" t="str">
        <f>IF(TableJudje[[#This Row],[المستوى]]&gt;1,INDEX(TableJudje[اسم الحساب],MATCH(VALUE(LEFT(TableJudje[[#This Row],[الحساب الرئيسي]],1)),TableJudje[رقم الحساب],0)),"")</f>
        <v>المصروفات</v>
      </c>
    </row>
    <row r="150" spans="1:17" x14ac:dyDescent="0.5">
      <c r="A150" s="4">
        <f>ROW()</f>
        <v>150</v>
      </c>
      <c r="B150" s="4">
        <v>31010116</v>
      </c>
      <c r="C150" s="4" t="s">
        <v>122</v>
      </c>
      <c r="D150" s="4">
        <v>310101</v>
      </c>
      <c r="E150" s="4">
        <v>5</v>
      </c>
      <c r="F150" s="4" t="s">
        <v>24</v>
      </c>
      <c r="G150" s="4" t="s">
        <v>110</v>
      </c>
      <c r="H150" s="5"/>
      <c r="I150" s="4" t="s">
        <v>20</v>
      </c>
      <c r="J150" s="4" t="s">
        <v>45</v>
      </c>
      <c r="K150" s="4" t="s">
        <v>21</v>
      </c>
      <c r="L150" s="4"/>
      <c r="M150" s="4" t="str">
        <f>IF(TableJudje[[#This Row],[الحساب الرئيسي]]=0,"اجمالي",INDEX(TableJudje[اسم الحساب],MATCH(TableJudje[[#This Row],[الحساب الرئيسي]],TableJudje[رقم الحساب],0)))</f>
        <v xml:space="preserve">مصاريف تشغيلية </v>
      </c>
      <c r="N150" s="4" t="str">
        <f>IF(TableJudje[[#This Row],[المستوى]]&gt;2,INDEX(TableJudje[اسم الحساب],MATCH(VALUE(LEFT(TableJudje[[#This Row],[الحساب الرئيسي]],2)),TableJudje[رقم الحساب],0)),"")</f>
        <v>المصروفات التشغيلية</v>
      </c>
      <c r="O150" s="4" t="str">
        <f>IF(TableJudje[[#This Row],[المستوى]]&gt;3,INDEX(TableJudje[اسم الحساب],MATCH(VALUE(LEFT(TableJudje[[#This Row],[الحساب الرئيسي]],4)),TableJudje[رقم الحساب],0)),"")</f>
        <v>النفقات التشغيلية</v>
      </c>
      <c r="P150" s="4" t="str">
        <f>IF(TableJudje[[#This Row],[المستوى]]&gt;4,INDEX(TableJudje[اسم الحساب],MATCH(VALUE(LEFT(TableJudje[[#This Row],[الحساب الرئيسي]],6)),TableJudje[رقم الحساب],0)),"")</f>
        <v xml:space="preserve">مصاريف تشغيلية </v>
      </c>
      <c r="Q150" s="4" t="str">
        <f>IF(TableJudje[[#This Row],[المستوى]]&gt;1,INDEX(TableJudje[اسم الحساب],MATCH(VALUE(LEFT(TableJudje[[#This Row],[الحساب الرئيسي]],1)),TableJudje[رقم الحساب],0)),"")</f>
        <v>المصروفات</v>
      </c>
    </row>
    <row r="151" spans="1:17" x14ac:dyDescent="0.5">
      <c r="A151" s="2">
        <f>ROW()</f>
        <v>151</v>
      </c>
      <c r="B151" s="2">
        <v>31010117</v>
      </c>
      <c r="C151" s="2" t="s">
        <v>123</v>
      </c>
      <c r="D151" s="2">
        <v>310101</v>
      </c>
      <c r="E151" s="2">
        <v>5</v>
      </c>
      <c r="F151" s="2" t="s">
        <v>24</v>
      </c>
      <c r="G151" s="2" t="s">
        <v>110</v>
      </c>
      <c r="H151" s="3"/>
      <c r="I151" s="2" t="s">
        <v>20</v>
      </c>
      <c r="J151" s="2" t="s">
        <v>45</v>
      </c>
      <c r="K151" s="4" t="s">
        <v>21</v>
      </c>
      <c r="L151" s="2"/>
      <c r="M151" s="2" t="str">
        <f>IF(TableJudje[[#This Row],[الحساب الرئيسي]]=0,"اجمالي",INDEX(TableJudje[اسم الحساب],MATCH(TableJudje[[#This Row],[الحساب الرئيسي]],TableJudje[رقم الحساب],0)))</f>
        <v xml:space="preserve">مصاريف تشغيلية </v>
      </c>
      <c r="N151" s="4" t="str">
        <f>IF(TableJudje[[#This Row],[المستوى]]&gt;2,INDEX(TableJudje[اسم الحساب],MATCH(VALUE(LEFT(TableJudje[[#This Row],[الحساب الرئيسي]],2)),TableJudje[رقم الحساب],0)),"")</f>
        <v>المصروفات التشغيلية</v>
      </c>
      <c r="O151" s="4" t="str">
        <f>IF(TableJudje[[#This Row],[المستوى]]&gt;3,INDEX(TableJudje[اسم الحساب],MATCH(VALUE(LEFT(TableJudje[[#This Row],[الحساب الرئيسي]],4)),TableJudje[رقم الحساب],0)),"")</f>
        <v>النفقات التشغيلية</v>
      </c>
      <c r="P151" s="4" t="str">
        <f>IF(TableJudje[[#This Row],[المستوى]]&gt;4,INDEX(TableJudje[اسم الحساب],MATCH(VALUE(LEFT(TableJudje[[#This Row],[الحساب الرئيسي]],6)),TableJudje[رقم الحساب],0)),"")</f>
        <v xml:space="preserve">مصاريف تشغيلية </v>
      </c>
      <c r="Q151" s="4" t="str">
        <f>IF(TableJudje[[#This Row],[المستوى]]&gt;1,INDEX(TableJudje[اسم الحساب],MATCH(VALUE(LEFT(TableJudje[[#This Row],[الحساب الرئيسي]],1)),TableJudje[رقم الحساب],0)),"")</f>
        <v>المصروفات</v>
      </c>
    </row>
    <row r="152" spans="1:17" x14ac:dyDescent="0.5">
      <c r="A152" s="2">
        <f>ROW()</f>
        <v>152</v>
      </c>
      <c r="B152" s="2">
        <v>31010118</v>
      </c>
      <c r="C152" s="2" t="s">
        <v>124</v>
      </c>
      <c r="D152" s="2">
        <v>310101</v>
      </c>
      <c r="E152" s="2">
        <v>5</v>
      </c>
      <c r="F152" s="2" t="s">
        <v>24</v>
      </c>
      <c r="G152" s="2" t="s">
        <v>110</v>
      </c>
      <c r="H152" s="3"/>
      <c r="I152" s="2" t="s">
        <v>20</v>
      </c>
      <c r="J152" s="2" t="s">
        <v>45</v>
      </c>
      <c r="K152" s="4" t="s">
        <v>21</v>
      </c>
      <c r="L152" s="2"/>
      <c r="M152" s="2" t="str">
        <f>IF(TableJudje[[#This Row],[الحساب الرئيسي]]=0,"اجمالي",INDEX(TableJudje[اسم الحساب],MATCH(TableJudje[[#This Row],[الحساب الرئيسي]],TableJudje[رقم الحساب],0)))</f>
        <v xml:space="preserve">مصاريف تشغيلية </v>
      </c>
      <c r="N152" s="4" t="str">
        <f>IF(TableJudje[[#This Row],[المستوى]]&gt;2,INDEX(TableJudje[اسم الحساب],MATCH(VALUE(LEFT(TableJudje[[#This Row],[الحساب الرئيسي]],2)),TableJudje[رقم الحساب],0)),"")</f>
        <v>المصروفات التشغيلية</v>
      </c>
      <c r="O152" s="4" t="str">
        <f>IF(TableJudje[[#This Row],[المستوى]]&gt;3,INDEX(TableJudje[اسم الحساب],MATCH(VALUE(LEFT(TableJudje[[#This Row],[الحساب الرئيسي]],4)),TableJudje[رقم الحساب],0)),"")</f>
        <v>النفقات التشغيلية</v>
      </c>
      <c r="P152" s="4" t="str">
        <f>IF(TableJudje[[#This Row],[المستوى]]&gt;4,INDEX(TableJudje[اسم الحساب],MATCH(VALUE(LEFT(TableJudje[[#This Row],[الحساب الرئيسي]],6)),TableJudje[رقم الحساب],0)),"")</f>
        <v xml:space="preserve">مصاريف تشغيلية </v>
      </c>
      <c r="Q152" s="4" t="str">
        <f>IF(TableJudje[[#This Row],[المستوى]]&gt;1,INDEX(TableJudje[اسم الحساب],MATCH(VALUE(LEFT(TableJudje[[#This Row],[الحساب الرئيسي]],1)),TableJudje[رقم الحساب],0)),"")</f>
        <v>المصروفات</v>
      </c>
    </row>
    <row r="153" spans="1:17" x14ac:dyDescent="0.5">
      <c r="A153" s="2">
        <f>ROW()</f>
        <v>153</v>
      </c>
      <c r="B153" s="2">
        <v>31010119</v>
      </c>
      <c r="C153" s="2" t="s">
        <v>125</v>
      </c>
      <c r="D153" s="2">
        <v>310101</v>
      </c>
      <c r="E153" s="2">
        <v>5</v>
      </c>
      <c r="F153" s="2" t="s">
        <v>24</v>
      </c>
      <c r="G153" s="2" t="s">
        <v>110</v>
      </c>
      <c r="H153" s="3"/>
      <c r="I153" s="2" t="s">
        <v>20</v>
      </c>
      <c r="J153" s="2" t="s">
        <v>45</v>
      </c>
      <c r="K153" s="4" t="s">
        <v>21</v>
      </c>
      <c r="L153" s="2"/>
      <c r="M153" s="2" t="str">
        <f>IF(TableJudje[[#This Row],[الحساب الرئيسي]]=0,"اجمالي",INDEX(TableJudje[اسم الحساب],MATCH(TableJudje[[#This Row],[الحساب الرئيسي]],TableJudje[رقم الحساب],0)))</f>
        <v xml:space="preserve">مصاريف تشغيلية </v>
      </c>
      <c r="N153" s="4" t="str">
        <f>IF(TableJudje[[#This Row],[المستوى]]&gt;2,INDEX(TableJudje[اسم الحساب],MATCH(VALUE(LEFT(TableJudje[[#This Row],[الحساب الرئيسي]],2)),TableJudje[رقم الحساب],0)),"")</f>
        <v>المصروفات التشغيلية</v>
      </c>
      <c r="O153" s="4" t="str">
        <f>IF(TableJudje[[#This Row],[المستوى]]&gt;3,INDEX(TableJudje[اسم الحساب],MATCH(VALUE(LEFT(TableJudje[[#This Row],[الحساب الرئيسي]],4)),TableJudje[رقم الحساب],0)),"")</f>
        <v>النفقات التشغيلية</v>
      </c>
      <c r="P153" s="4" t="str">
        <f>IF(TableJudje[[#This Row],[المستوى]]&gt;4,INDEX(TableJudje[اسم الحساب],MATCH(VALUE(LEFT(TableJudje[[#This Row],[الحساب الرئيسي]],6)),TableJudje[رقم الحساب],0)),"")</f>
        <v xml:space="preserve">مصاريف تشغيلية </v>
      </c>
      <c r="Q153" s="4" t="str">
        <f>IF(TableJudje[[#This Row],[المستوى]]&gt;1,INDEX(TableJudje[اسم الحساب],MATCH(VALUE(LEFT(TableJudje[[#This Row],[الحساب الرئيسي]],1)),TableJudje[رقم الحساب],0)),"")</f>
        <v>المصروفات</v>
      </c>
    </row>
    <row r="154" spans="1:17" x14ac:dyDescent="0.5">
      <c r="A154" s="2">
        <f>ROW()</f>
        <v>154</v>
      </c>
      <c r="B154" s="2">
        <v>31010120</v>
      </c>
      <c r="C154" s="2" t="s">
        <v>126</v>
      </c>
      <c r="D154" s="2">
        <v>310101</v>
      </c>
      <c r="E154" s="2">
        <v>5</v>
      </c>
      <c r="F154" s="2" t="s">
        <v>24</v>
      </c>
      <c r="G154" s="2" t="s">
        <v>110</v>
      </c>
      <c r="H154" s="3"/>
      <c r="I154" s="2" t="s">
        <v>20</v>
      </c>
      <c r="J154" s="2" t="s">
        <v>45</v>
      </c>
      <c r="K154" s="4" t="s">
        <v>21</v>
      </c>
      <c r="L154" s="2"/>
      <c r="M154" s="2" t="str">
        <f>IF(TableJudje[[#This Row],[الحساب الرئيسي]]=0,"اجمالي",INDEX(TableJudje[اسم الحساب],MATCH(TableJudje[[#This Row],[الحساب الرئيسي]],TableJudje[رقم الحساب],0)))</f>
        <v xml:space="preserve">مصاريف تشغيلية </v>
      </c>
      <c r="N154" s="4" t="str">
        <f>IF(TableJudje[[#This Row],[المستوى]]&gt;2,INDEX(TableJudje[اسم الحساب],MATCH(VALUE(LEFT(TableJudje[[#This Row],[الحساب الرئيسي]],2)),TableJudje[رقم الحساب],0)),"")</f>
        <v>المصروفات التشغيلية</v>
      </c>
      <c r="O154" s="4" t="str">
        <f>IF(TableJudje[[#This Row],[المستوى]]&gt;3,INDEX(TableJudje[اسم الحساب],MATCH(VALUE(LEFT(TableJudje[[#This Row],[الحساب الرئيسي]],4)),TableJudje[رقم الحساب],0)),"")</f>
        <v>النفقات التشغيلية</v>
      </c>
      <c r="P154" s="4" t="str">
        <f>IF(TableJudje[[#This Row],[المستوى]]&gt;4,INDEX(TableJudje[اسم الحساب],MATCH(VALUE(LEFT(TableJudje[[#This Row],[الحساب الرئيسي]],6)),TableJudje[رقم الحساب],0)),"")</f>
        <v xml:space="preserve">مصاريف تشغيلية </v>
      </c>
      <c r="Q154" s="4" t="str">
        <f>IF(TableJudje[[#This Row],[المستوى]]&gt;1,INDEX(TableJudje[اسم الحساب],MATCH(VALUE(LEFT(TableJudje[[#This Row],[الحساب الرئيسي]],1)),TableJudje[رقم الحساب],0)),"")</f>
        <v>المصروفات</v>
      </c>
    </row>
    <row r="155" spans="1:17" x14ac:dyDescent="0.5">
      <c r="A155" s="2">
        <f>ROW()</f>
        <v>155</v>
      </c>
      <c r="B155" s="2">
        <v>31010121</v>
      </c>
      <c r="C155" s="2" t="s">
        <v>127</v>
      </c>
      <c r="D155" s="2">
        <v>310101</v>
      </c>
      <c r="E155" s="2">
        <v>5</v>
      </c>
      <c r="F155" s="2" t="s">
        <v>24</v>
      </c>
      <c r="G155" s="2" t="s">
        <v>110</v>
      </c>
      <c r="H155" s="3"/>
      <c r="I155" s="2" t="s">
        <v>20</v>
      </c>
      <c r="J155" s="2" t="s">
        <v>45</v>
      </c>
      <c r="K155" s="4" t="s">
        <v>21</v>
      </c>
      <c r="L155" s="2"/>
      <c r="M155" s="2" t="str">
        <f>IF(TableJudje[[#This Row],[الحساب الرئيسي]]=0,"اجمالي",INDEX(TableJudje[اسم الحساب],MATCH(TableJudje[[#This Row],[الحساب الرئيسي]],TableJudje[رقم الحساب],0)))</f>
        <v xml:space="preserve">مصاريف تشغيلية </v>
      </c>
      <c r="N155" s="4" t="str">
        <f>IF(TableJudje[[#This Row],[المستوى]]&gt;2,INDEX(TableJudje[اسم الحساب],MATCH(VALUE(LEFT(TableJudje[[#This Row],[الحساب الرئيسي]],2)),TableJudje[رقم الحساب],0)),"")</f>
        <v>المصروفات التشغيلية</v>
      </c>
      <c r="O155" s="4" t="str">
        <f>IF(TableJudje[[#This Row],[المستوى]]&gt;3,INDEX(TableJudje[اسم الحساب],MATCH(VALUE(LEFT(TableJudje[[#This Row],[الحساب الرئيسي]],4)),TableJudje[رقم الحساب],0)),"")</f>
        <v>النفقات التشغيلية</v>
      </c>
      <c r="P155" s="4" t="str">
        <f>IF(TableJudje[[#This Row],[المستوى]]&gt;4,INDEX(TableJudje[اسم الحساب],MATCH(VALUE(LEFT(TableJudje[[#This Row],[الحساب الرئيسي]],6)),TableJudje[رقم الحساب],0)),"")</f>
        <v xml:space="preserve">مصاريف تشغيلية </v>
      </c>
      <c r="Q155" s="4" t="str">
        <f>IF(TableJudje[[#This Row],[المستوى]]&gt;1,INDEX(TableJudje[اسم الحساب],MATCH(VALUE(LEFT(TableJudje[[#This Row],[الحساب الرئيسي]],1)),TableJudje[رقم الحساب],0)),"")</f>
        <v>المصروفات</v>
      </c>
    </row>
    <row r="156" spans="1:17" x14ac:dyDescent="0.5">
      <c r="A156" s="2">
        <f>ROW()</f>
        <v>156</v>
      </c>
      <c r="B156" s="2">
        <v>31010122</v>
      </c>
      <c r="C156" s="6" t="s">
        <v>487</v>
      </c>
      <c r="D156" s="2">
        <v>310101</v>
      </c>
      <c r="E156" s="2">
        <v>5</v>
      </c>
      <c r="F156" s="2" t="s">
        <v>24</v>
      </c>
      <c r="G156" s="2" t="s">
        <v>110</v>
      </c>
      <c r="H156" s="3"/>
      <c r="I156" s="2" t="s">
        <v>20</v>
      </c>
      <c r="J156" s="2" t="s">
        <v>45</v>
      </c>
      <c r="K156" s="4" t="s">
        <v>21</v>
      </c>
      <c r="L156" s="2"/>
      <c r="M156" s="2" t="str">
        <f>IF(TableJudje[[#This Row],[الحساب الرئيسي]]=0,"اجمالي",INDEX(TableJudje[اسم الحساب],MATCH(TableJudje[[#This Row],[الحساب الرئيسي]],TableJudje[رقم الحساب],0)))</f>
        <v xml:space="preserve">مصاريف تشغيلية </v>
      </c>
      <c r="N156" s="4" t="str">
        <f>IF(TableJudje[[#This Row],[المستوى]]&gt;2,INDEX(TableJudje[اسم الحساب],MATCH(VALUE(LEFT(TableJudje[[#This Row],[الحساب الرئيسي]],2)),TableJudje[رقم الحساب],0)),"")</f>
        <v>المصروفات التشغيلية</v>
      </c>
      <c r="O156" s="4" t="str">
        <f>IF(TableJudje[[#This Row],[المستوى]]&gt;3,INDEX(TableJudje[اسم الحساب],MATCH(VALUE(LEFT(TableJudje[[#This Row],[الحساب الرئيسي]],4)),TableJudje[رقم الحساب],0)),"")</f>
        <v>النفقات التشغيلية</v>
      </c>
      <c r="P156" s="4" t="str">
        <f>IF(TableJudje[[#This Row],[المستوى]]&gt;4,INDEX(TableJudje[اسم الحساب],MATCH(VALUE(LEFT(TableJudje[[#This Row],[الحساب الرئيسي]],6)),TableJudje[رقم الحساب],0)),"")</f>
        <v xml:space="preserve">مصاريف تشغيلية </v>
      </c>
      <c r="Q156" s="4" t="str">
        <f>IF(TableJudje[[#This Row],[المستوى]]&gt;1,INDEX(TableJudje[اسم الحساب],MATCH(VALUE(LEFT(TableJudje[[#This Row],[الحساب الرئيسي]],1)),TableJudje[رقم الحساب],0)),"")</f>
        <v>المصروفات</v>
      </c>
    </row>
    <row r="157" spans="1:17" x14ac:dyDescent="0.5">
      <c r="A157" s="2">
        <f>ROW()</f>
        <v>157</v>
      </c>
      <c r="B157" s="2">
        <v>31010123</v>
      </c>
      <c r="C157" s="2" t="s">
        <v>128</v>
      </c>
      <c r="D157" s="2">
        <v>310101</v>
      </c>
      <c r="E157" s="2">
        <v>5</v>
      </c>
      <c r="F157" s="2" t="s">
        <v>24</v>
      </c>
      <c r="G157" s="2" t="s">
        <v>110</v>
      </c>
      <c r="H157" s="3"/>
      <c r="I157" s="2" t="s">
        <v>20</v>
      </c>
      <c r="J157" s="2" t="s">
        <v>45</v>
      </c>
      <c r="K157" s="4" t="s">
        <v>21</v>
      </c>
      <c r="L157" s="2"/>
      <c r="M157" s="2" t="str">
        <f>IF(TableJudje[[#This Row],[الحساب الرئيسي]]=0,"اجمالي",INDEX(TableJudje[اسم الحساب],MATCH(TableJudje[[#This Row],[الحساب الرئيسي]],TableJudje[رقم الحساب],0)))</f>
        <v xml:space="preserve">مصاريف تشغيلية </v>
      </c>
      <c r="N157" s="4" t="str">
        <f>IF(TableJudje[[#This Row],[المستوى]]&gt;2,INDEX(TableJudje[اسم الحساب],MATCH(VALUE(LEFT(TableJudje[[#This Row],[الحساب الرئيسي]],2)),TableJudje[رقم الحساب],0)),"")</f>
        <v>المصروفات التشغيلية</v>
      </c>
      <c r="O157" s="4" t="str">
        <f>IF(TableJudje[[#This Row],[المستوى]]&gt;3,INDEX(TableJudje[اسم الحساب],MATCH(VALUE(LEFT(TableJudje[[#This Row],[الحساب الرئيسي]],4)),TableJudje[رقم الحساب],0)),"")</f>
        <v>النفقات التشغيلية</v>
      </c>
      <c r="P157" s="4" t="str">
        <f>IF(TableJudje[[#This Row],[المستوى]]&gt;4,INDEX(TableJudje[اسم الحساب],MATCH(VALUE(LEFT(TableJudje[[#This Row],[الحساب الرئيسي]],6)),TableJudje[رقم الحساب],0)),"")</f>
        <v xml:space="preserve">مصاريف تشغيلية </v>
      </c>
      <c r="Q157" s="4" t="str">
        <f>IF(TableJudje[[#This Row],[المستوى]]&gt;1,INDEX(TableJudje[اسم الحساب],MATCH(VALUE(LEFT(TableJudje[[#This Row],[الحساب الرئيسي]],1)),TableJudje[رقم الحساب],0)),"")</f>
        <v>المصروفات</v>
      </c>
    </row>
    <row r="158" spans="1:17" x14ac:dyDescent="0.5">
      <c r="A158" s="2">
        <f>ROW()</f>
        <v>158</v>
      </c>
      <c r="B158" s="2">
        <v>31010124</v>
      </c>
      <c r="C158" s="2" t="s">
        <v>129</v>
      </c>
      <c r="D158" s="2">
        <v>310101</v>
      </c>
      <c r="E158" s="2">
        <v>5</v>
      </c>
      <c r="F158" s="2" t="s">
        <v>24</v>
      </c>
      <c r="G158" s="2" t="s">
        <v>110</v>
      </c>
      <c r="H158" s="3"/>
      <c r="I158" s="2" t="s">
        <v>20</v>
      </c>
      <c r="J158" s="2" t="s">
        <v>45</v>
      </c>
      <c r="K158" s="4" t="s">
        <v>21</v>
      </c>
      <c r="L158" s="2"/>
      <c r="M158" s="2" t="str">
        <f>IF(TableJudje[[#This Row],[الحساب الرئيسي]]=0,"اجمالي",INDEX(TableJudje[اسم الحساب],MATCH(TableJudje[[#This Row],[الحساب الرئيسي]],TableJudje[رقم الحساب],0)))</f>
        <v xml:space="preserve">مصاريف تشغيلية </v>
      </c>
      <c r="N158" s="4" t="str">
        <f>IF(TableJudje[[#This Row],[المستوى]]&gt;2,INDEX(TableJudje[اسم الحساب],MATCH(VALUE(LEFT(TableJudje[[#This Row],[الحساب الرئيسي]],2)),TableJudje[رقم الحساب],0)),"")</f>
        <v>المصروفات التشغيلية</v>
      </c>
      <c r="O158" s="4" t="str">
        <f>IF(TableJudje[[#This Row],[المستوى]]&gt;3,INDEX(TableJudje[اسم الحساب],MATCH(VALUE(LEFT(TableJudje[[#This Row],[الحساب الرئيسي]],4)),TableJudje[رقم الحساب],0)),"")</f>
        <v>النفقات التشغيلية</v>
      </c>
      <c r="P158" s="4" t="str">
        <f>IF(TableJudje[[#This Row],[المستوى]]&gt;4,INDEX(TableJudje[اسم الحساب],MATCH(VALUE(LEFT(TableJudje[[#This Row],[الحساب الرئيسي]],6)),TableJudje[رقم الحساب],0)),"")</f>
        <v xml:space="preserve">مصاريف تشغيلية </v>
      </c>
      <c r="Q158" s="4" t="str">
        <f>IF(TableJudje[[#This Row],[المستوى]]&gt;1,INDEX(TableJudje[اسم الحساب],MATCH(VALUE(LEFT(TableJudje[[#This Row],[الحساب الرئيسي]],1)),TableJudje[رقم الحساب],0)),"")</f>
        <v>المصروفات</v>
      </c>
    </row>
    <row r="159" spans="1:17" x14ac:dyDescent="0.5">
      <c r="A159" s="2">
        <f>ROW()</f>
        <v>159</v>
      </c>
      <c r="B159" s="2">
        <v>31010125</v>
      </c>
      <c r="C159" s="2" t="s">
        <v>130</v>
      </c>
      <c r="D159" s="2">
        <v>310101</v>
      </c>
      <c r="E159" s="2">
        <v>5</v>
      </c>
      <c r="F159" s="2" t="s">
        <v>24</v>
      </c>
      <c r="G159" s="2" t="s">
        <v>110</v>
      </c>
      <c r="H159" s="3"/>
      <c r="I159" s="2" t="s">
        <v>20</v>
      </c>
      <c r="J159" s="2" t="s">
        <v>45</v>
      </c>
      <c r="K159" s="4" t="s">
        <v>21</v>
      </c>
      <c r="L159" s="2"/>
      <c r="M159" s="2" t="str">
        <f>IF(TableJudje[[#This Row],[الحساب الرئيسي]]=0,"اجمالي",INDEX(TableJudje[اسم الحساب],MATCH(TableJudje[[#This Row],[الحساب الرئيسي]],TableJudje[رقم الحساب],0)))</f>
        <v xml:space="preserve">مصاريف تشغيلية </v>
      </c>
      <c r="N159" s="4" t="str">
        <f>IF(TableJudje[[#This Row],[المستوى]]&gt;2,INDEX(TableJudje[اسم الحساب],MATCH(VALUE(LEFT(TableJudje[[#This Row],[الحساب الرئيسي]],2)),TableJudje[رقم الحساب],0)),"")</f>
        <v>المصروفات التشغيلية</v>
      </c>
      <c r="O159" s="4" t="str">
        <f>IF(TableJudje[[#This Row],[المستوى]]&gt;3,INDEX(TableJudje[اسم الحساب],MATCH(VALUE(LEFT(TableJudje[[#This Row],[الحساب الرئيسي]],4)),TableJudje[رقم الحساب],0)),"")</f>
        <v>النفقات التشغيلية</v>
      </c>
      <c r="P159" s="4" t="str">
        <f>IF(TableJudje[[#This Row],[المستوى]]&gt;4,INDEX(TableJudje[اسم الحساب],MATCH(VALUE(LEFT(TableJudje[[#This Row],[الحساب الرئيسي]],6)),TableJudje[رقم الحساب],0)),"")</f>
        <v xml:space="preserve">مصاريف تشغيلية </v>
      </c>
      <c r="Q159" s="4" t="str">
        <f>IF(TableJudje[[#This Row],[المستوى]]&gt;1,INDEX(TableJudje[اسم الحساب],MATCH(VALUE(LEFT(TableJudje[[#This Row],[الحساب الرئيسي]],1)),TableJudje[رقم الحساب],0)),"")</f>
        <v>المصروفات</v>
      </c>
    </row>
    <row r="160" spans="1:17" x14ac:dyDescent="0.5">
      <c r="A160" s="2">
        <f>ROW()</f>
        <v>160</v>
      </c>
      <c r="B160" s="2">
        <v>31010126</v>
      </c>
      <c r="C160" s="2" t="s">
        <v>131</v>
      </c>
      <c r="D160" s="2">
        <v>310101</v>
      </c>
      <c r="E160" s="2">
        <v>5</v>
      </c>
      <c r="F160" s="2" t="s">
        <v>24</v>
      </c>
      <c r="G160" s="2" t="s">
        <v>110</v>
      </c>
      <c r="H160" s="3"/>
      <c r="I160" s="2" t="s">
        <v>20</v>
      </c>
      <c r="J160" s="2" t="s">
        <v>45</v>
      </c>
      <c r="K160" s="4" t="s">
        <v>21</v>
      </c>
      <c r="L160" s="2"/>
      <c r="M160" s="2" t="str">
        <f>IF(TableJudje[[#This Row],[الحساب الرئيسي]]=0,"اجمالي",INDEX(TableJudje[اسم الحساب],MATCH(TableJudje[[#This Row],[الحساب الرئيسي]],TableJudje[رقم الحساب],0)))</f>
        <v xml:space="preserve">مصاريف تشغيلية </v>
      </c>
      <c r="N160" s="4" t="str">
        <f>IF(TableJudje[[#This Row],[المستوى]]&gt;2,INDEX(TableJudje[اسم الحساب],MATCH(VALUE(LEFT(TableJudje[[#This Row],[الحساب الرئيسي]],2)),TableJudje[رقم الحساب],0)),"")</f>
        <v>المصروفات التشغيلية</v>
      </c>
      <c r="O160" s="4" t="str">
        <f>IF(TableJudje[[#This Row],[المستوى]]&gt;3,INDEX(TableJudje[اسم الحساب],MATCH(VALUE(LEFT(TableJudje[[#This Row],[الحساب الرئيسي]],4)),TableJudje[رقم الحساب],0)),"")</f>
        <v>النفقات التشغيلية</v>
      </c>
      <c r="P160" s="4" t="str">
        <f>IF(TableJudje[[#This Row],[المستوى]]&gt;4,INDEX(TableJudje[اسم الحساب],MATCH(VALUE(LEFT(TableJudje[[#This Row],[الحساب الرئيسي]],6)),TableJudje[رقم الحساب],0)),"")</f>
        <v xml:space="preserve">مصاريف تشغيلية </v>
      </c>
      <c r="Q160" s="4" t="str">
        <f>IF(TableJudje[[#This Row],[المستوى]]&gt;1,INDEX(TableJudje[اسم الحساب],MATCH(VALUE(LEFT(TableJudje[[#This Row],[الحساب الرئيسي]],1)),TableJudje[رقم الحساب],0)),"")</f>
        <v>المصروفات</v>
      </c>
    </row>
    <row r="161" spans="1:17" x14ac:dyDescent="0.5">
      <c r="A161" s="2">
        <f>ROW()</f>
        <v>161</v>
      </c>
      <c r="B161" s="2">
        <v>31010127</v>
      </c>
      <c r="C161" s="2" t="s">
        <v>132</v>
      </c>
      <c r="D161" s="2">
        <v>310101</v>
      </c>
      <c r="E161" s="2">
        <v>5</v>
      </c>
      <c r="F161" s="2" t="s">
        <v>24</v>
      </c>
      <c r="G161" s="2" t="s">
        <v>110</v>
      </c>
      <c r="H161" s="3"/>
      <c r="I161" s="2" t="s">
        <v>20</v>
      </c>
      <c r="J161" s="2" t="s">
        <v>45</v>
      </c>
      <c r="K161" s="4" t="s">
        <v>21</v>
      </c>
      <c r="L161" s="2"/>
      <c r="M161" s="2" t="str">
        <f>IF(TableJudje[[#This Row],[الحساب الرئيسي]]=0,"اجمالي",INDEX(TableJudje[اسم الحساب],MATCH(TableJudje[[#This Row],[الحساب الرئيسي]],TableJudje[رقم الحساب],0)))</f>
        <v xml:space="preserve">مصاريف تشغيلية </v>
      </c>
      <c r="N161" s="4" t="str">
        <f>IF(TableJudje[[#This Row],[المستوى]]&gt;2,INDEX(TableJudje[اسم الحساب],MATCH(VALUE(LEFT(TableJudje[[#This Row],[الحساب الرئيسي]],2)),TableJudje[رقم الحساب],0)),"")</f>
        <v>المصروفات التشغيلية</v>
      </c>
      <c r="O161" s="4" t="str">
        <f>IF(TableJudje[[#This Row],[المستوى]]&gt;3,INDEX(TableJudje[اسم الحساب],MATCH(VALUE(LEFT(TableJudje[[#This Row],[الحساب الرئيسي]],4)),TableJudje[رقم الحساب],0)),"")</f>
        <v>النفقات التشغيلية</v>
      </c>
      <c r="P161" s="4" t="str">
        <f>IF(TableJudje[[#This Row],[المستوى]]&gt;4,INDEX(TableJudje[اسم الحساب],MATCH(VALUE(LEFT(TableJudje[[#This Row],[الحساب الرئيسي]],6)),TableJudje[رقم الحساب],0)),"")</f>
        <v xml:space="preserve">مصاريف تشغيلية </v>
      </c>
      <c r="Q161" s="4" t="str">
        <f>IF(TableJudje[[#This Row],[المستوى]]&gt;1,INDEX(TableJudje[اسم الحساب],MATCH(VALUE(LEFT(TableJudje[[#This Row],[الحساب الرئيسي]],1)),TableJudje[رقم الحساب],0)),"")</f>
        <v>المصروفات</v>
      </c>
    </row>
    <row r="162" spans="1:17" x14ac:dyDescent="0.5">
      <c r="A162" s="2">
        <f>ROW()</f>
        <v>162</v>
      </c>
      <c r="B162" s="2">
        <v>31010128</v>
      </c>
      <c r="C162" s="2" t="s">
        <v>133</v>
      </c>
      <c r="D162" s="2">
        <v>310101</v>
      </c>
      <c r="E162" s="2">
        <v>5</v>
      </c>
      <c r="F162" s="2" t="s">
        <v>24</v>
      </c>
      <c r="G162" s="2" t="s">
        <v>110</v>
      </c>
      <c r="H162" s="3"/>
      <c r="I162" s="2" t="s">
        <v>20</v>
      </c>
      <c r="J162" s="2" t="s">
        <v>45</v>
      </c>
      <c r="K162" s="4" t="s">
        <v>21</v>
      </c>
      <c r="L162" s="2"/>
      <c r="M162" s="2" t="str">
        <f>IF(TableJudje[[#This Row],[الحساب الرئيسي]]=0,"اجمالي",INDEX(TableJudje[اسم الحساب],MATCH(TableJudje[[#This Row],[الحساب الرئيسي]],TableJudje[رقم الحساب],0)))</f>
        <v xml:space="preserve">مصاريف تشغيلية </v>
      </c>
      <c r="N162" s="4" t="str">
        <f>IF(TableJudje[[#This Row],[المستوى]]&gt;2,INDEX(TableJudje[اسم الحساب],MATCH(VALUE(LEFT(TableJudje[[#This Row],[الحساب الرئيسي]],2)),TableJudje[رقم الحساب],0)),"")</f>
        <v>المصروفات التشغيلية</v>
      </c>
      <c r="O162" s="4" t="str">
        <f>IF(TableJudje[[#This Row],[المستوى]]&gt;3,INDEX(TableJudje[اسم الحساب],MATCH(VALUE(LEFT(TableJudje[[#This Row],[الحساب الرئيسي]],4)),TableJudje[رقم الحساب],0)),"")</f>
        <v>النفقات التشغيلية</v>
      </c>
      <c r="P162" s="4" t="str">
        <f>IF(TableJudje[[#This Row],[المستوى]]&gt;4,INDEX(TableJudje[اسم الحساب],MATCH(VALUE(LEFT(TableJudje[[#This Row],[الحساب الرئيسي]],6)),TableJudje[رقم الحساب],0)),"")</f>
        <v xml:space="preserve">مصاريف تشغيلية </v>
      </c>
      <c r="Q162" s="4" t="str">
        <f>IF(TableJudje[[#This Row],[المستوى]]&gt;1,INDEX(TableJudje[اسم الحساب],MATCH(VALUE(LEFT(TableJudje[[#This Row],[الحساب الرئيسي]],1)),TableJudje[رقم الحساب],0)),"")</f>
        <v>المصروفات</v>
      </c>
    </row>
    <row r="163" spans="1:17" x14ac:dyDescent="0.5">
      <c r="A163" s="2">
        <f>ROW()</f>
        <v>163</v>
      </c>
      <c r="B163" s="2">
        <v>31010129</v>
      </c>
      <c r="C163" s="2" t="s">
        <v>134</v>
      </c>
      <c r="D163" s="2">
        <v>310101</v>
      </c>
      <c r="E163" s="2">
        <v>5</v>
      </c>
      <c r="F163" s="2" t="s">
        <v>24</v>
      </c>
      <c r="G163" s="2" t="s">
        <v>110</v>
      </c>
      <c r="H163" s="3"/>
      <c r="I163" s="2" t="s">
        <v>20</v>
      </c>
      <c r="J163" s="2" t="s">
        <v>45</v>
      </c>
      <c r="K163" s="4" t="s">
        <v>21</v>
      </c>
      <c r="L163" s="2"/>
      <c r="M163" s="2" t="str">
        <f>IF(TableJudje[[#This Row],[الحساب الرئيسي]]=0,"اجمالي",INDEX(TableJudje[اسم الحساب],MATCH(TableJudje[[#This Row],[الحساب الرئيسي]],TableJudje[رقم الحساب],0)))</f>
        <v xml:space="preserve">مصاريف تشغيلية </v>
      </c>
      <c r="N163" s="4" t="str">
        <f>IF(TableJudje[[#This Row],[المستوى]]&gt;2,INDEX(TableJudje[اسم الحساب],MATCH(VALUE(LEFT(TableJudje[[#This Row],[الحساب الرئيسي]],2)),TableJudje[رقم الحساب],0)),"")</f>
        <v>المصروفات التشغيلية</v>
      </c>
      <c r="O163" s="4" t="str">
        <f>IF(TableJudje[[#This Row],[المستوى]]&gt;3,INDEX(TableJudje[اسم الحساب],MATCH(VALUE(LEFT(TableJudje[[#This Row],[الحساب الرئيسي]],4)),TableJudje[رقم الحساب],0)),"")</f>
        <v>النفقات التشغيلية</v>
      </c>
      <c r="P163" s="4" t="str">
        <f>IF(TableJudje[[#This Row],[المستوى]]&gt;4,INDEX(TableJudje[اسم الحساب],MATCH(VALUE(LEFT(TableJudje[[#This Row],[الحساب الرئيسي]],6)),TableJudje[رقم الحساب],0)),"")</f>
        <v xml:space="preserve">مصاريف تشغيلية </v>
      </c>
      <c r="Q163" s="4" t="str">
        <f>IF(TableJudje[[#This Row],[المستوى]]&gt;1,INDEX(TableJudje[اسم الحساب],MATCH(VALUE(LEFT(TableJudje[[#This Row],[الحساب الرئيسي]],1)),TableJudje[رقم الحساب],0)),"")</f>
        <v>المصروفات</v>
      </c>
    </row>
    <row r="164" spans="1:17" x14ac:dyDescent="0.5">
      <c r="A164" s="2">
        <f>ROW()</f>
        <v>164</v>
      </c>
      <c r="B164" s="2">
        <v>31010130</v>
      </c>
      <c r="C164" s="2" t="s">
        <v>135</v>
      </c>
      <c r="D164" s="2">
        <v>310101</v>
      </c>
      <c r="E164" s="2">
        <v>5</v>
      </c>
      <c r="F164" s="2" t="s">
        <v>24</v>
      </c>
      <c r="G164" s="2" t="s">
        <v>110</v>
      </c>
      <c r="H164" s="3"/>
      <c r="I164" s="2" t="s">
        <v>20</v>
      </c>
      <c r="J164" s="2" t="s">
        <v>45</v>
      </c>
      <c r="K164" s="4" t="s">
        <v>21</v>
      </c>
      <c r="L164" s="2"/>
      <c r="M164" s="2" t="str">
        <f>IF(TableJudje[[#This Row],[الحساب الرئيسي]]=0,"اجمالي",INDEX(TableJudje[اسم الحساب],MATCH(TableJudje[[#This Row],[الحساب الرئيسي]],TableJudje[رقم الحساب],0)))</f>
        <v xml:space="preserve">مصاريف تشغيلية </v>
      </c>
      <c r="N164" s="4" t="str">
        <f>IF(TableJudje[[#This Row],[المستوى]]&gt;2,INDEX(TableJudje[اسم الحساب],MATCH(VALUE(LEFT(TableJudje[[#This Row],[الحساب الرئيسي]],2)),TableJudje[رقم الحساب],0)),"")</f>
        <v>المصروفات التشغيلية</v>
      </c>
      <c r="O164" s="4" t="str">
        <f>IF(TableJudje[[#This Row],[المستوى]]&gt;3,INDEX(TableJudje[اسم الحساب],MATCH(VALUE(LEFT(TableJudje[[#This Row],[الحساب الرئيسي]],4)),TableJudje[رقم الحساب],0)),"")</f>
        <v>النفقات التشغيلية</v>
      </c>
      <c r="P164" s="4" t="str">
        <f>IF(TableJudje[[#This Row],[المستوى]]&gt;4,INDEX(TableJudje[اسم الحساب],MATCH(VALUE(LEFT(TableJudje[[#This Row],[الحساب الرئيسي]],6)),TableJudje[رقم الحساب],0)),"")</f>
        <v xml:space="preserve">مصاريف تشغيلية </v>
      </c>
      <c r="Q164" s="4" t="str">
        <f>IF(TableJudje[[#This Row],[المستوى]]&gt;1,INDEX(TableJudje[اسم الحساب],MATCH(VALUE(LEFT(TableJudje[[#This Row],[الحساب الرئيسي]],1)),TableJudje[رقم الحساب],0)),"")</f>
        <v>المصروفات</v>
      </c>
    </row>
    <row r="165" spans="1:17" x14ac:dyDescent="0.5">
      <c r="A165" s="2">
        <f>ROW()</f>
        <v>165</v>
      </c>
      <c r="B165" s="2">
        <v>31010131</v>
      </c>
      <c r="C165" s="2" t="s">
        <v>136</v>
      </c>
      <c r="D165" s="2">
        <v>310101</v>
      </c>
      <c r="E165" s="2">
        <v>5</v>
      </c>
      <c r="F165" s="2" t="s">
        <v>24</v>
      </c>
      <c r="G165" s="2" t="s">
        <v>110</v>
      </c>
      <c r="H165" s="3"/>
      <c r="I165" s="2" t="s">
        <v>20</v>
      </c>
      <c r="J165" s="2" t="s">
        <v>45</v>
      </c>
      <c r="K165" s="4" t="s">
        <v>21</v>
      </c>
      <c r="L165" s="2"/>
      <c r="M165" s="2" t="str">
        <f>IF(TableJudje[[#This Row],[الحساب الرئيسي]]=0,"اجمالي",INDEX(TableJudje[اسم الحساب],MATCH(TableJudje[[#This Row],[الحساب الرئيسي]],TableJudje[رقم الحساب],0)))</f>
        <v xml:space="preserve">مصاريف تشغيلية </v>
      </c>
      <c r="N165" s="4" t="str">
        <f>IF(TableJudje[[#This Row],[المستوى]]&gt;2,INDEX(TableJudje[اسم الحساب],MATCH(VALUE(LEFT(TableJudje[[#This Row],[الحساب الرئيسي]],2)),TableJudje[رقم الحساب],0)),"")</f>
        <v>المصروفات التشغيلية</v>
      </c>
      <c r="O165" s="4" t="str">
        <f>IF(TableJudje[[#This Row],[المستوى]]&gt;3,INDEX(TableJudje[اسم الحساب],MATCH(VALUE(LEFT(TableJudje[[#This Row],[الحساب الرئيسي]],4)),TableJudje[رقم الحساب],0)),"")</f>
        <v>النفقات التشغيلية</v>
      </c>
      <c r="P165" s="4" t="str">
        <f>IF(TableJudje[[#This Row],[المستوى]]&gt;4,INDEX(TableJudje[اسم الحساب],MATCH(VALUE(LEFT(TableJudje[[#This Row],[الحساب الرئيسي]],6)),TableJudje[رقم الحساب],0)),"")</f>
        <v xml:space="preserve">مصاريف تشغيلية </v>
      </c>
      <c r="Q165" s="4" t="str">
        <f>IF(TableJudje[[#This Row],[المستوى]]&gt;1,INDEX(TableJudje[اسم الحساب],MATCH(VALUE(LEFT(TableJudje[[#This Row],[الحساب الرئيسي]],1)),TableJudje[رقم الحساب],0)),"")</f>
        <v>المصروفات</v>
      </c>
    </row>
    <row r="166" spans="1:17" x14ac:dyDescent="0.5">
      <c r="A166" s="2">
        <f>ROW()</f>
        <v>166</v>
      </c>
      <c r="B166" s="2">
        <v>31010132</v>
      </c>
      <c r="C166" s="2" t="s">
        <v>162</v>
      </c>
      <c r="D166" s="2">
        <v>310101</v>
      </c>
      <c r="E166" s="2">
        <v>5</v>
      </c>
      <c r="F166" s="2" t="s">
        <v>24</v>
      </c>
      <c r="G166" s="2" t="s">
        <v>110</v>
      </c>
      <c r="H166" s="3"/>
      <c r="I166" s="2" t="s">
        <v>20</v>
      </c>
      <c r="J166" s="2" t="s">
        <v>45</v>
      </c>
      <c r="K166" s="4" t="s">
        <v>21</v>
      </c>
      <c r="L166" s="2"/>
      <c r="M166" s="2" t="str">
        <f>IF(TableJudje[[#This Row],[الحساب الرئيسي]]=0,"اجمالي",INDEX(TableJudje[اسم الحساب],MATCH(TableJudje[[#This Row],[الحساب الرئيسي]],TableJudje[رقم الحساب],0)))</f>
        <v xml:space="preserve">مصاريف تشغيلية </v>
      </c>
      <c r="N166" s="4" t="str">
        <f>IF(TableJudje[[#This Row],[المستوى]]&gt;2,INDEX(TableJudje[اسم الحساب],MATCH(VALUE(LEFT(TableJudje[[#This Row],[الحساب الرئيسي]],2)),TableJudje[رقم الحساب],0)),"")</f>
        <v>المصروفات التشغيلية</v>
      </c>
      <c r="O166" s="4" t="str">
        <f>IF(TableJudje[[#This Row],[المستوى]]&gt;3,INDEX(TableJudje[اسم الحساب],MATCH(VALUE(LEFT(TableJudje[[#This Row],[الحساب الرئيسي]],4)),TableJudje[رقم الحساب],0)),"")</f>
        <v>النفقات التشغيلية</v>
      </c>
      <c r="P166" s="4" t="str">
        <f>IF(TableJudje[[#This Row],[المستوى]]&gt;4,INDEX(TableJudje[اسم الحساب],MATCH(VALUE(LEFT(TableJudje[[#This Row],[الحساب الرئيسي]],6)),TableJudje[رقم الحساب],0)),"")</f>
        <v xml:space="preserve">مصاريف تشغيلية </v>
      </c>
      <c r="Q166" s="4" t="str">
        <f>IF(TableJudje[[#This Row],[المستوى]]&gt;1,INDEX(TableJudje[اسم الحساب],MATCH(VALUE(LEFT(TableJudje[[#This Row],[الحساب الرئيسي]],1)),TableJudje[رقم الحساب],0)),"")</f>
        <v>المصروفات</v>
      </c>
    </row>
    <row r="167" spans="1:17" x14ac:dyDescent="0.5">
      <c r="A167" s="2">
        <f>ROW()</f>
        <v>167</v>
      </c>
      <c r="B167" s="2">
        <v>31010133</v>
      </c>
      <c r="C167" s="2" t="s">
        <v>163</v>
      </c>
      <c r="D167" s="2">
        <v>310101</v>
      </c>
      <c r="E167" s="2">
        <v>5</v>
      </c>
      <c r="F167" s="2" t="s">
        <v>24</v>
      </c>
      <c r="G167" s="2" t="s">
        <v>110</v>
      </c>
      <c r="H167" s="3"/>
      <c r="I167" s="2" t="s">
        <v>20</v>
      </c>
      <c r="J167" s="2" t="s">
        <v>45</v>
      </c>
      <c r="K167" s="4" t="s">
        <v>21</v>
      </c>
      <c r="L167" s="2"/>
      <c r="M167" s="2" t="str">
        <f>IF(TableJudje[[#This Row],[الحساب الرئيسي]]=0,"اجمالي",INDEX(TableJudje[اسم الحساب],MATCH(TableJudje[[#This Row],[الحساب الرئيسي]],TableJudje[رقم الحساب],0)))</f>
        <v xml:space="preserve">مصاريف تشغيلية </v>
      </c>
      <c r="N167" s="4" t="str">
        <f>IF(TableJudje[[#This Row],[المستوى]]&gt;2,INDEX(TableJudje[اسم الحساب],MATCH(VALUE(LEFT(TableJudje[[#This Row],[الحساب الرئيسي]],2)),TableJudje[رقم الحساب],0)),"")</f>
        <v>المصروفات التشغيلية</v>
      </c>
      <c r="O167" s="4" t="str">
        <f>IF(TableJudje[[#This Row],[المستوى]]&gt;3,INDEX(TableJudje[اسم الحساب],MATCH(VALUE(LEFT(TableJudje[[#This Row],[الحساب الرئيسي]],4)),TableJudje[رقم الحساب],0)),"")</f>
        <v>النفقات التشغيلية</v>
      </c>
      <c r="P167" s="4" t="str">
        <f>IF(TableJudje[[#This Row],[المستوى]]&gt;4,INDEX(TableJudje[اسم الحساب],MATCH(VALUE(LEFT(TableJudje[[#This Row],[الحساب الرئيسي]],6)),TableJudje[رقم الحساب],0)),"")</f>
        <v xml:space="preserve">مصاريف تشغيلية </v>
      </c>
      <c r="Q167" s="4" t="str">
        <f>IF(TableJudje[[#This Row],[المستوى]]&gt;1,INDEX(TableJudje[اسم الحساب],MATCH(VALUE(LEFT(TableJudje[[#This Row],[الحساب الرئيسي]],1)),TableJudje[رقم الحساب],0)),"")</f>
        <v>المصروفات</v>
      </c>
    </row>
    <row r="168" spans="1:17" x14ac:dyDescent="0.5">
      <c r="A168" s="2">
        <f>ROW()</f>
        <v>168</v>
      </c>
      <c r="B168" s="2">
        <v>31010134</v>
      </c>
      <c r="C168" s="2" t="s">
        <v>164</v>
      </c>
      <c r="D168" s="2">
        <v>310101</v>
      </c>
      <c r="E168" s="2">
        <v>5</v>
      </c>
      <c r="F168" s="2" t="s">
        <v>24</v>
      </c>
      <c r="G168" s="2" t="s">
        <v>110</v>
      </c>
      <c r="H168" s="3"/>
      <c r="I168" s="2" t="s">
        <v>20</v>
      </c>
      <c r="J168" s="2" t="s">
        <v>45</v>
      </c>
      <c r="K168" s="4" t="s">
        <v>21</v>
      </c>
      <c r="L168" s="2"/>
      <c r="M168" s="2" t="str">
        <f>IF(TableJudje[[#This Row],[الحساب الرئيسي]]=0,"اجمالي",INDEX(TableJudje[اسم الحساب],MATCH(TableJudje[[#This Row],[الحساب الرئيسي]],TableJudje[رقم الحساب],0)))</f>
        <v xml:space="preserve">مصاريف تشغيلية </v>
      </c>
      <c r="N168" s="4" t="str">
        <f>IF(TableJudje[[#This Row],[المستوى]]&gt;2,INDEX(TableJudje[اسم الحساب],MATCH(VALUE(LEFT(TableJudje[[#This Row],[الحساب الرئيسي]],2)),TableJudje[رقم الحساب],0)),"")</f>
        <v>المصروفات التشغيلية</v>
      </c>
      <c r="O168" s="4" t="str">
        <f>IF(TableJudje[[#This Row],[المستوى]]&gt;3,INDEX(TableJudje[اسم الحساب],MATCH(VALUE(LEFT(TableJudje[[#This Row],[الحساب الرئيسي]],4)),TableJudje[رقم الحساب],0)),"")</f>
        <v>النفقات التشغيلية</v>
      </c>
      <c r="P168" s="4" t="str">
        <f>IF(TableJudje[[#This Row],[المستوى]]&gt;4,INDEX(TableJudje[اسم الحساب],MATCH(VALUE(LEFT(TableJudje[[#This Row],[الحساب الرئيسي]],6)),TableJudje[رقم الحساب],0)),"")</f>
        <v xml:space="preserve">مصاريف تشغيلية </v>
      </c>
      <c r="Q168" s="4" t="str">
        <f>IF(TableJudje[[#This Row],[المستوى]]&gt;1,INDEX(TableJudje[اسم الحساب],MATCH(VALUE(LEFT(TableJudje[[#This Row],[الحساب الرئيسي]],1)),TableJudje[رقم الحساب],0)),"")</f>
        <v>المصروفات</v>
      </c>
    </row>
    <row r="169" spans="1:17" x14ac:dyDescent="0.5">
      <c r="A169" s="2">
        <f>ROW()</f>
        <v>169</v>
      </c>
      <c r="B169" s="2">
        <v>33010101</v>
      </c>
      <c r="C169" s="2" t="s">
        <v>138</v>
      </c>
      <c r="D169" s="2">
        <v>330101</v>
      </c>
      <c r="E169" s="2">
        <v>5</v>
      </c>
      <c r="F169" s="2" t="s">
        <v>24</v>
      </c>
      <c r="G169" s="2" t="s">
        <v>110</v>
      </c>
      <c r="H169" s="3"/>
      <c r="I169" s="2" t="s">
        <v>20</v>
      </c>
      <c r="J169" s="2" t="s">
        <v>45</v>
      </c>
      <c r="K169" s="4" t="s">
        <v>21</v>
      </c>
      <c r="L169" s="2"/>
      <c r="M169" s="2" t="str">
        <f>IF(TableJudje[[#This Row],[الحساب الرئيسي]]=0,"اجمالي",INDEX(TableJudje[اسم الحساب],MATCH(TableJudje[[#This Row],[الحساب الرئيسي]],TableJudje[رقم الحساب],0)))</f>
        <v xml:space="preserve">مصاريف مرتبات الالوية </v>
      </c>
      <c r="N169" s="4" t="str">
        <f>IF(TableJudje[[#This Row],[المستوى]]&gt;2,INDEX(TableJudje[اسم الحساب],MATCH(VALUE(LEFT(TableJudje[[#This Row],[الحساب الرئيسي]],2)),TableJudje[رقم الحساب],0)),"")</f>
        <v xml:space="preserve">مرتبات </v>
      </c>
      <c r="O169" s="4" t="str">
        <f>IF(TableJudje[[#This Row],[المستوى]]&gt;3,INDEX(TableJudje[اسم الحساب],MATCH(VALUE(LEFT(TableJudje[[#This Row],[الحساب الرئيسي]],4)),TableJudje[رقم الحساب],0)),"")</f>
        <v>مصاريف المرتبات</v>
      </c>
      <c r="P169" s="4" t="str">
        <f>IF(TableJudje[[#This Row],[المستوى]]&gt;4,INDEX(TableJudje[اسم الحساب],MATCH(VALUE(LEFT(TableJudje[[#This Row],[الحساب الرئيسي]],6)),TableJudje[رقم الحساب],0)),"")</f>
        <v xml:space="preserve">مصاريف مرتبات الالوية </v>
      </c>
      <c r="Q169" s="4" t="str">
        <f>IF(TableJudje[[#This Row],[المستوى]]&gt;1,INDEX(TableJudje[اسم الحساب],MATCH(VALUE(LEFT(TableJudje[[#This Row],[الحساب الرئيسي]],1)),TableJudje[رقم الحساب],0)),"")</f>
        <v>المصروفات</v>
      </c>
    </row>
    <row r="170" spans="1:17" x14ac:dyDescent="0.5">
      <c r="A170" s="2">
        <f>ROW()</f>
        <v>170</v>
      </c>
      <c r="B170" s="2">
        <v>33010102</v>
      </c>
      <c r="C170" s="2" t="s">
        <v>139</v>
      </c>
      <c r="D170" s="2">
        <v>330101</v>
      </c>
      <c r="E170" s="2">
        <v>5</v>
      </c>
      <c r="F170" s="2" t="s">
        <v>24</v>
      </c>
      <c r="G170" s="2" t="s">
        <v>110</v>
      </c>
      <c r="H170" s="3"/>
      <c r="I170" s="2" t="s">
        <v>20</v>
      </c>
      <c r="J170" s="2" t="s">
        <v>45</v>
      </c>
      <c r="K170" s="4" t="s">
        <v>21</v>
      </c>
      <c r="L170" s="2"/>
      <c r="M170" s="2" t="str">
        <f>IF(TableJudje[[#This Row],[الحساب الرئيسي]]=0,"اجمالي",INDEX(TableJudje[اسم الحساب],MATCH(TableJudje[[#This Row],[الحساب الرئيسي]],TableJudje[رقم الحساب],0)))</f>
        <v xml:space="preserve">مصاريف مرتبات الالوية </v>
      </c>
      <c r="N170" s="4" t="str">
        <f>IF(TableJudje[[#This Row],[المستوى]]&gt;2,INDEX(TableJudje[اسم الحساب],MATCH(VALUE(LEFT(TableJudje[[#This Row],[الحساب الرئيسي]],2)),TableJudje[رقم الحساب],0)),"")</f>
        <v xml:space="preserve">مرتبات </v>
      </c>
      <c r="O170" s="4" t="str">
        <f>IF(TableJudje[[#This Row],[المستوى]]&gt;3,INDEX(TableJudje[اسم الحساب],MATCH(VALUE(LEFT(TableJudje[[#This Row],[الحساب الرئيسي]],4)),TableJudje[رقم الحساب],0)),"")</f>
        <v>مصاريف المرتبات</v>
      </c>
      <c r="P170" s="4" t="str">
        <f>IF(TableJudje[[#This Row],[المستوى]]&gt;4,INDEX(TableJudje[اسم الحساب],MATCH(VALUE(LEFT(TableJudje[[#This Row],[الحساب الرئيسي]],6)),TableJudje[رقم الحساب],0)),"")</f>
        <v xml:space="preserve">مصاريف مرتبات الالوية </v>
      </c>
      <c r="Q170" s="4" t="str">
        <f>IF(TableJudje[[#This Row],[المستوى]]&gt;1,INDEX(TableJudje[اسم الحساب],MATCH(VALUE(LEFT(TableJudje[[#This Row],[الحساب الرئيسي]],1)),TableJudje[رقم الحساب],0)),"")</f>
        <v>المصروفات</v>
      </c>
    </row>
    <row r="171" spans="1:17" x14ac:dyDescent="0.5">
      <c r="A171" s="2">
        <f>ROW()</f>
        <v>171</v>
      </c>
      <c r="B171" s="2">
        <v>33010103</v>
      </c>
      <c r="C171" s="2" t="s">
        <v>140</v>
      </c>
      <c r="D171" s="2">
        <v>330101</v>
      </c>
      <c r="E171" s="2">
        <v>5</v>
      </c>
      <c r="F171" s="2" t="s">
        <v>24</v>
      </c>
      <c r="G171" s="2" t="s">
        <v>110</v>
      </c>
      <c r="H171" s="3"/>
      <c r="I171" s="2" t="s">
        <v>20</v>
      </c>
      <c r="J171" s="2" t="s">
        <v>45</v>
      </c>
      <c r="K171" s="4" t="s">
        <v>21</v>
      </c>
      <c r="L171" s="2"/>
      <c r="M171" s="2" t="str">
        <f>IF(TableJudje[[#This Row],[الحساب الرئيسي]]=0,"اجمالي",INDEX(TableJudje[اسم الحساب],MATCH(TableJudje[[#This Row],[الحساب الرئيسي]],TableJudje[رقم الحساب],0)))</f>
        <v xml:space="preserve">مصاريف مرتبات الالوية </v>
      </c>
      <c r="N171" s="4" t="str">
        <f>IF(TableJudje[[#This Row],[المستوى]]&gt;2,INDEX(TableJudje[اسم الحساب],MATCH(VALUE(LEFT(TableJudje[[#This Row],[الحساب الرئيسي]],2)),TableJudje[رقم الحساب],0)),"")</f>
        <v xml:space="preserve">مرتبات </v>
      </c>
      <c r="O171" s="4" t="str">
        <f>IF(TableJudje[[#This Row],[المستوى]]&gt;3,INDEX(TableJudje[اسم الحساب],MATCH(VALUE(LEFT(TableJudje[[#This Row],[الحساب الرئيسي]],4)),TableJudje[رقم الحساب],0)),"")</f>
        <v>مصاريف المرتبات</v>
      </c>
      <c r="P171" s="4" t="str">
        <f>IF(TableJudje[[#This Row],[المستوى]]&gt;4,INDEX(TableJudje[اسم الحساب],MATCH(VALUE(LEFT(TableJudje[[#This Row],[الحساب الرئيسي]],6)),TableJudje[رقم الحساب],0)),"")</f>
        <v xml:space="preserve">مصاريف مرتبات الالوية </v>
      </c>
      <c r="Q171" s="4" t="str">
        <f>IF(TableJudje[[#This Row],[المستوى]]&gt;1,INDEX(TableJudje[اسم الحساب],MATCH(VALUE(LEFT(TableJudje[[#This Row],[الحساب الرئيسي]],1)),TableJudje[رقم الحساب],0)),"")</f>
        <v>المصروفات</v>
      </c>
    </row>
    <row r="172" spans="1:17" x14ac:dyDescent="0.5">
      <c r="A172" s="2">
        <f>ROW()</f>
        <v>172</v>
      </c>
      <c r="B172" s="2">
        <v>33010104</v>
      </c>
      <c r="C172" s="2" t="s">
        <v>141</v>
      </c>
      <c r="D172" s="2">
        <v>330101</v>
      </c>
      <c r="E172" s="2">
        <v>5</v>
      </c>
      <c r="F172" s="2" t="s">
        <v>24</v>
      </c>
      <c r="G172" s="2" t="s">
        <v>110</v>
      </c>
      <c r="H172" s="3"/>
      <c r="I172" s="2" t="s">
        <v>20</v>
      </c>
      <c r="J172" s="2" t="s">
        <v>45</v>
      </c>
      <c r="K172" s="4" t="s">
        <v>21</v>
      </c>
      <c r="L172" s="2"/>
      <c r="M172" s="2" t="str">
        <f>IF(TableJudje[[#This Row],[الحساب الرئيسي]]=0,"اجمالي",INDEX(TableJudje[اسم الحساب],MATCH(TableJudje[[#This Row],[الحساب الرئيسي]],TableJudje[رقم الحساب],0)))</f>
        <v xml:space="preserve">مصاريف مرتبات الالوية </v>
      </c>
      <c r="N172" s="4" t="str">
        <f>IF(TableJudje[[#This Row],[المستوى]]&gt;2,INDEX(TableJudje[اسم الحساب],MATCH(VALUE(LEFT(TableJudje[[#This Row],[الحساب الرئيسي]],2)),TableJudje[رقم الحساب],0)),"")</f>
        <v xml:space="preserve">مرتبات </v>
      </c>
      <c r="O172" s="4" t="str">
        <f>IF(TableJudje[[#This Row],[المستوى]]&gt;3,INDEX(TableJudje[اسم الحساب],MATCH(VALUE(LEFT(TableJudje[[#This Row],[الحساب الرئيسي]],4)),TableJudje[رقم الحساب],0)),"")</f>
        <v>مصاريف المرتبات</v>
      </c>
      <c r="P172" s="4" t="str">
        <f>IF(TableJudje[[#This Row],[المستوى]]&gt;4,INDEX(TableJudje[اسم الحساب],MATCH(VALUE(LEFT(TableJudje[[#This Row],[الحساب الرئيسي]],6)),TableJudje[رقم الحساب],0)),"")</f>
        <v xml:space="preserve">مصاريف مرتبات الالوية </v>
      </c>
      <c r="Q172" s="4" t="str">
        <f>IF(TableJudje[[#This Row],[المستوى]]&gt;1,INDEX(TableJudje[اسم الحساب],MATCH(VALUE(LEFT(TableJudje[[#This Row],[الحساب الرئيسي]],1)),TableJudje[رقم الحساب],0)),"")</f>
        <v>المصروفات</v>
      </c>
    </row>
    <row r="173" spans="1:17" x14ac:dyDescent="0.5">
      <c r="A173" s="2">
        <f>ROW()</f>
        <v>173</v>
      </c>
      <c r="B173" s="2">
        <v>33010105</v>
      </c>
      <c r="C173" s="2" t="s">
        <v>142</v>
      </c>
      <c r="D173" s="2">
        <v>330101</v>
      </c>
      <c r="E173" s="2">
        <v>5</v>
      </c>
      <c r="F173" s="2" t="s">
        <v>24</v>
      </c>
      <c r="G173" s="2" t="s">
        <v>110</v>
      </c>
      <c r="H173" s="3"/>
      <c r="I173" s="2" t="s">
        <v>20</v>
      </c>
      <c r="J173" s="2" t="s">
        <v>45</v>
      </c>
      <c r="K173" s="4" t="s">
        <v>21</v>
      </c>
      <c r="L173" s="2"/>
      <c r="M173" s="2" t="str">
        <f>IF(TableJudje[[#This Row],[الحساب الرئيسي]]=0,"اجمالي",INDEX(TableJudje[اسم الحساب],MATCH(TableJudje[[#This Row],[الحساب الرئيسي]],TableJudje[رقم الحساب],0)))</f>
        <v xml:space="preserve">مصاريف مرتبات الالوية </v>
      </c>
      <c r="N173" s="4" t="str">
        <f>IF(TableJudje[[#This Row],[المستوى]]&gt;2,INDEX(TableJudje[اسم الحساب],MATCH(VALUE(LEFT(TableJudje[[#This Row],[الحساب الرئيسي]],2)),TableJudje[رقم الحساب],0)),"")</f>
        <v xml:space="preserve">مرتبات </v>
      </c>
      <c r="O173" s="4" t="str">
        <f>IF(TableJudje[[#This Row],[المستوى]]&gt;3,INDEX(TableJudje[اسم الحساب],MATCH(VALUE(LEFT(TableJudje[[#This Row],[الحساب الرئيسي]],4)),TableJudje[رقم الحساب],0)),"")</f>
        <v>مصاريف المرتبات</v>
      </c>
      <c r="P173" s="4" t="str">
        <f>IF(TableJudje[[#This Row],[المستوى]]&gt;4,INDEX(TableJudje[اسم الحساب],MATCH(VALUE(LEFT(TableJudje[[#This Row],[الحساب الرئيسي]],6)),TableJudje[رقم الحساب],0)),"")</f>
        <v xml:space="preserve">مصاريف مرتبات الالوية </v>
      </c>
      <c r="Q173" s="4" t="str">
        <f>IF(TableJudje[[#This Row],[المستوى]]&gt;1,INDEX(TableJudje[اسم الحساب],MATCH(VALUE(LEFT(TableJudje[[#This Row],[الحساب الرئيسي]],1)),TableJudje[رقم الحساب],0)),"")</f>
        <v>المصروفات</v>
      </c>
    </row>
    <row r="174" spans="1:17" x14ac:dyDescent="0.5">
      <c r="A174" s="2">
        <f>ROW()</f>
        <v>174</v>
      </c>
      <c r="B174" s="2">
        <v>33010106</v>
      </c>
      <c r="C174" s="2" t="s">
        <v>143</v>
      </c>
      <c r="D174" s="2">
        <v>330101</v>
      </c>
      <c r="E174" s="2">
        <v>5</v>
      </c>
      <c r="F174" s="2" t="s">
        <v>24</v>
      </c>
      <c r="G174" s="2" t="s">
        <v>110</v>
      </c>
      <c r="H174" s="3"/>
      <c r="I174" s="2" t="s">
        <v>20</v>
      </c>
      <c r="J174" s="2" t="s">
        <v>45</v>
      </c>
      <c r="K174" s="4" t="s">
        <v>21</v>
      </c>
      <c r="L174" s="2"/>
      <c r="M174" s="2" t="str">
        <f>IF(TableJudje[[#This Row],[الحساب الرئيسي]]=0,"اجمالي",INDEX(TableJudje[اسم الحساب],MATCH(TableJudje[[#This Row],[الحساب الرئيسي]],TableJudje[رقم الحساب],0)))</f>
        <v xml:space="preserve">مصاريف مرتبات الالوية </v>
      </c>
      <c r="N174" s="4" t="str">
        <f>IF(TableJudje[[#This Row],[المستوى]]&gt;2,INDEX(TableJudje[اسم الحساب],MATCH(VALUE(LEFT(TableJudje[[#This Row],[الحساب الرئيسي]],2)),TableJudje[رقم الحساب],0)),"")</f>
        <v xml:space="preserve">مرتبات </v>
      </c>
      <c r="O174" s="4" t="str">
        <f>IF(TableJudje[[#This Row],[المستوى]]&gt;3,INDEX(TableJudje[اسم الحساب],MATCH(VALUE(LEFT(TableJudje[[#This Row],[الحساب الرئيسي]],4)),TableJudje[رقم الحساب],0)),"")</f>
        <v>مصاريف المرتبات</v>
      </c>
      <c r="P174" s="4" t="str">
        <f>IF(TableJudje[[#This Row],[المستوى]]&gt;4,INDEX(TableJudje[اسم الحساب],MATCH(VALUE(LEFT(TableJudje[[#This Row],[الحساب الرئيسي]],6)),TableJudje[رقم الحساب],0)),"")</f>
        <v xml:space="preserve">مصاريف مرتبات الالوية </v>
      </c>
      <c r="Q174" s="4" t="str">
        <f>IF(TableJudje[[#This Row],[المستوى]]&gt;1,INDEX(TableJudje[اسم الحساب],MATCH(VALUE(LEFT(TableJudje[[#This Row],[الحساب الرئيسي]],1)),TableJudje[رقم الحساب],0)),"")</f>
        <v>المصروفات</v>
      </c>
    </row>
    <row r="175" spans="1:17" x14ac:dyDescent="0.5">
      <c r="A175" s="2">
        <f>ROW()</f>
        <v>175</v>
      </c>
      <c r="B175" s="2">
        <v>33010107</v>
      </c>
      <c r="C175" s="2" t="s">
        <v>144</v>
      </c>
      <c r="D175" s="2">
        <v>330101</v>
      </c>
      <c r="E175" s="2">
        <v>5</v>
      </c>
      <c r="F175" s="2" t="s">
        <v>24</v>
      </c>
      <c r="G175" s="2" t="s">
        <v>110</v>
      </c>
      <c r="H175" s="3"/>
      <c r="I175" s="2" t="s">
        <v>20</v>
      </c>
      <c r="J175" s="2" t="s">
        <v>45</v>
      </c>
      <c r="K175" s="4" t="s">
        <v>21</v>
      </c>
      <c r="L175" s="2"/>
      <c r="M175" s="2" t="str">
        <f>IF(TableJudje[[#This Row],[الحساب الرئيسي]]=0,"اجمالي",INDEX(TableJudje[اسم الحساب],MATCH(TableJudje[[#This Row],[الحساب الرئيسي]],TableJudje[رقم الحساب],0)))</f>
        <v xml:space="preserve">مصاريف مرتبات الالوية </v>
      </c>
      <c r="N175" s="4" t="str">
        <f>IF(TableJudje[[#This Row],[المستوى]]&gt;2,INDEX(TableJudje[اسم الحساب],MATCH(VALUE(LEFT(TableJudje[[#This Row],[الحساب الرئيسي]],2)),TableJudje[رقم الحساب],0)),"")</f>
        <v xml:space="preserve">مرتبات </v>
      </c>
      <c r="O175" s="4" t="str">
        <f>IF(TableJudje[[#This Row],[المستوى]]&gt;3,INDEX(TableJudje[اسم الحساب],MATCH(VALUE(LEFT(TableJudje[[#This Row],[الحساب الرئيسي]],4)),TableJudje[رقم الحساب],0)),"")</f>
        <v>مصاريف المرتبات</v>
      </c>
      <c r="P175" s="4" t="str">
        <f>IF(TableJudje[[#This Row],[المستوى]]&gt;4,INDEX(TableJudje[اسم الحساب],MATCH(VALUE(LEFT(TableJudje[[#This Row],[الحساب الرئيسي]],6)),TableJudje[رقم الحساب],0)),"")</f>
        <v xml:space="preserve">مصاريف مرتبات الالوية </v>
      </c>
      <c r="Q175" s="4" t="str">
        <f>IF(TableJudje[[#This Row],[المستوى]]&gt;1,INDEX(TableJudje[اسم الحساب],MATCH(VALUE(LEFT(TableJudje[[#This Row],[الحساب الرئيسي]],1)),TableJudje[رقم الحساب],0)),"")</f>
        <v>المصروفات</v>
      </c>
    </row>
    <row r="176" spans="1:17" x14ac:dyDescent="0.5">
      <c r="A176" s="2">
        <f>ROW()</f>
        <v>176</v>
      </c>
      <c r="B176" s="2">
        <v>33010108</v>
      </c>
      <c r="C176" s="2" t="s">
        <v>145</v>
      </c>
      <c r="D176" s="2">
        <v>330101</v>
      </c>
      <c r="E176" s="2">
        <v>5</v>
      </c>
      <c r="F176" s="2" t="s">
        <v>24</v>
      </c>
      <c r="G176" s="2" t="s">
        <v>110</v>
      </c>
      <c r="H176" s="3"/>
      <c r="I176" s="2" t="s">
        <v>20</v>
      </c>
      <c r="J176" s="2" t="s">
        <v>45</v>
      </c>
      <c r="K176" s="4" t="s">
        <v>21</v>
      </c>
      <c r="L176" s="2"/>
      <c r="M176" s="2" t="str">
        <f>IF(TableJudje[[#This Row],[الحساب الرئيسي]]=0,"اجمالي",INDEX(TableJudje[اسم الحساب],MATCH(TableJudje[[#This Row],[الحساب الرئيسي]],TableJudje[رقم الحساب],0)))</f>
        <v xml:space="preserve">مصاريف مرتبات الالوية </v>
      </c>
      <c r="N176" s="4" t="str">
        <f>IF(TableJudje[[#This Row],[المستوى]]&gt;2,INDEX(TableJudje[اسم الحساب],MATCH(VALUE(LEFT(TableJudje[[#This Row],[الحساب الرئيسي]],2)),TableJudje[رقم الحساب],0)),"")</f>
        <v xml:space="preserve">مرتبات </v>
      </c>
      <c r="O176" s="4" t="str">
        <f>IF(TableJudje[[#This Row],[المستوى]]&gt;3,INDEX(TableJudje[اسم الحساب],MATCH(VALUE(LEFT(TableJudje[[#This Row],[الحساب الرئيسي]],4)),TableJudje[رقم الحساب],0)),"")</f>
        <v>مصاريف المرتبات</v>
      </c>
      <c r="P176" s="4" t="str">
        <f>IF(TableJudje[[#This Row],[المستوى]]&gt;4,INDEX(TableJudje[اسم الحساب],MATCH(VALUE(LEFT(TableJudje[[#This Row],[الحساب الرئيسي]],6)),TableJudje[رقم الحساب],0)),"")</f>
        <v xml:space="preserve">مصاريف مرتبات الالوية </v>
      </c>
      <c r="Q176" s="4" t="str">
        <f>IF(TableJudje[[#This Row],[المستوى]]&gt;1,INDEX(TableJudje[اسم الحساب],MATCH(VALUE(LEFT(TableJudje[[#This Row],[الحساب الرئيسي]],1)),TableJudje[رقم الحساب],0)),"")</f>
        <v>المصروفات</v>
      </c>
    </row>
    <row r="177" spans="1:17" x14ac:dyDescent="0.5">
      <c r="A177" s="2">
        <f>ROW()</f>
        <v>177</v>
      </c>
      <c r="B177" s="2">
        <v>33010109</v>
      </c>
      <c r="C177" s="2" t="s">
        <v>146</v>
      </c>
      <c r="D177" s="2">
        <v>330101</v>
      </c>
      <c r="E177" s="2">
        <v>5</v>
      </c>
      <c r="F177" s="2" t="s">
        <v>24</v>
      </c>
      <c r="G177" s="2" t="s">
        <v>110</v>
      </c>
      <c r="H177" s="3"/>
      <c r="I177" s="2" t="s">
        <v>20</v>
      </c>
      <c r="J177" s="2" t="s">
        <v>45</v>
      </c>
      <c r="K177" s="4" t="s">
        <v>21</v>
      </c>
      <c r="L177" s="2"/>
      <c r="M177" s="2" t="str">
        <f>IF(TableJudje[[#This Row],[الحساب الرئيسي]]=0,"اجمالي",INDEX(TableJudje[اسم الحساب],MATCH(TableJudje[[#This Row],[الحساب الرئيسي]],TableJudje[رقم الحساب],0)))</f>
        <v xml:space="preserve">مصاريف مرتبات الالوية </v>
      </c>
      <c r="N177" s="4" t="str">
        <f>IF(TableJudje[[#This Row],[المستوى]]&gt;2,INDEX(TableJudje[اسم الحساب],MATCH(VALUE(LEFT(TableJudje[[#This Row],[الحساب الرئيسي]],2)),TableJudje[رقم الحساب],0)),"")</f>
        <v xml:space="preserve">مرتبات </v>
      </c>
      <c r="O177" s="4" t="str">
        <f>IF(TableJudje[[#This Row],[المستوى]]&gt;3,INDEX(TableJudje[اسم الحساب],MATCH(VALUE(LEFT(TableJudje[[#This Row],[الحساب الرئيسي]],4)),TableJudje[رقم الحساب],0)),"")</f>
        <v>مصاريف المرتبات</v>
      </c>
      <c r="P177" s="4" t="str">
        <f>IF(TableJudje[[#This Row],[المستوى]]&gt;4,INDEX(TableJudje[اسم الحساب],MATCH(VALUE(LEFT(TableJudje[[#This Row],[الحساب الرئيسي]],6)),TableJudje[رقم الحساب],0)),"")</f>
        <v xml:space="preserve">مصاريف مرتبات الالوية </v>
      </c>
      <c r="Q177" s="4" t="str">
        <f>IF(TableJudje[[#This Row],[المستوى]]&gt;1,INDEX(TableJudje[اسم الحساب],MATCH(VALUE(LEFT(TableJudje[[#This Row],[الحساب الرئيسي]],1)),TableJudje[رقم الحساب],0)),"")</f>
        <v>المصروفات</v>
      </c>
    </row>
    <row r="178" spans="1:17" x14ac:dyDescent="0.5">
      <c r="A178" s="2">
        <f>ROW()</f>
        <v>178</v>
      </c>
      <c r="B178" s="2">
        <v>33010110</v>
      </c>
      <c r="C178" s="2" t="s">
        <v>147</v>
      </c>
      <c r="D178" s="2">
        <v>330101</v>
      </c>
      <c r="E178" s="2">
        <v>5</v>
      </c>
      <c r="F178" s="2" t="s">
        <v>24</v>
      </c>
      <c r="G178" s="2" t="s">
        <v>110</v>
      </c>
      <c r="H178" s="3"/>
      <c r="I178" s="2" t="s">
        <v>20</v>
      </c>
      <c r="J178" s="2" t="s">
        <v>45</v>
      </c>
      <c r="K178" s="4" t="s">
        <v>21</v>
      </c>
      <c r="L178" s="2"/>
      <c r="M178" s="2" t="str">
        <f>IF(TableJudje[[#This Row],[الحساب الرئيسي]]=0,"اجمالي",INDEX(TableJudje[اسم الحساب],MATCH(TableJudje[[#This Row],[الحساب الرئيسي]],TableJudje[رقم الحساب],0)))</f>
        <v xml:space="preserve">مصاريف مرتبات الالوية </v>
      </c>
      <c r="N178" s="4" t="str">
        <f>IF(TableJudje[[#This Row],[المستوى]]&gt;2,INDEX(TableJudje[اسم الحساب],MATCH(VALUE(LEFT(TableJudje[[#This Row],[الحساب الرئيسي]],2)),TableJudje[رقم الحساب],0)),"")</f>
        <v xml:space="preserve">مرتبات </v>
      </c>
      <c r="O178" s="4" t="str">
        <f>IF(TableJudje[[#This Row],[المستوى]]&gt;3,INDEX(TableJudje[اسم الحساب],MATCH(VALUE(LEFT(TableJudje[[#This Row],[الحساب الرئيسي]],4)),TableJudje[رقم الحساب],0)),"")</f>
        <v>مصاريف المرتبات</v>
      </c>
      <c r="P178" s="4" t="str">
        <f>IF(TableJudje[[#This Row],[المستوى]]&gt;4,INDEX(TableJudje[اسم الحساب],MATCH(VALUE(LEFT(TableJudje[[#This Row],[الحساب الرئيسي]],6)),TableJudje[رقم الحساب],0)),"")</f>
        <v xml:space="preserve">مصاريف مرتبات الالوية </v>
      </c>
      <c r="Q178" s="4" t="str">
        <f>IF(TableJudje[[#This Row],[المستوى]]&gt;1,INDEX(TableJudje[اسم الحساب],MATCH(VALUE(LEFT(TableJudje[[#This Row],[الحساب الرئيسي]],1)),TableJudje[رقم الحساب],0)),"")</f>
        <v>المصروفات</v>
      </c>
    </row>
    <row r="179" spans="1:17" x14ac:dyDescent="0.5">
      <c r="A179" s="2">
        <f>ROW()</f>
        <v>179</v>
      </c>
      <c r="B179" s="2">
        <v>33010111</v>
      </c>
      <c r="C179" s="2" t="s">
        <v>148</v>
      </c>
      <c r="D179" s="2">
        <v>330101</v>
      </c>
      <c r="E179" s="2">
        <v>5</v>
      </c>
      <c r="F179" s="2" t="s">
        <v>24</v>
      </c>
      <c r="G179" s="2" t="s">
        <v>110</v>
      </c>
      <c r="H179" s="3"/>
      <c r="I179" s="2" t="s">
        <v>20</v>
      </c>
      <c r="J179" s="2" t="s">
        <v>45</v>
      </c>
      <c r="K179" s="4" t="s">
        <v>21</v>
      </c>
      <c r="L179" s="2"/>
      <c r="M179" s="2" t="str">
        <f>IF(TableJudje[[#This Row],[الحساب الرئيسي]]=0,"اجمالي",INDEX(TableJudje[اسم الحساب],MATCH(TableJudje[[#This Row],[الحساب الرئيسي]],TableJudje[رقم الحساب],0)))</f>
        <v xml:space="preserve">مصاريف مرتبات الالوية </v>
      </c>
      <c r="N179" s="4" t="str">
        <f>IF(TableJudje[[#This Row],[المستوى]]&gt;2,INDEX(TableJudje[اسم الحساب],MATCH(VALUE(LEFT(TableJudje[[#This Row],[الحساب الرئيسي]],2)),TableJudje[رقم الحساب],0)),"")</f>
        <v xml:space="preserve">مرتبات </v>
      </c>
      <c r="O179" s="4" t="str">
        <f>IF(TableJudje[[#This Row],[المستوى]]&gt;3,INDEX(TableJudje[اسم الحساب],MATCH(VALUE(LEFT(TableJudje[[#This Row],[الحساب الرئيسي]],4)),TableJudje[رقم الحساب],0)),"")</f>
        <v>مصاريف المرتبات</v>
      </c>
      <c r="P179" s="4" t="str">
        <f>IF(TableJudje[[#This Row],[المستوى]]&gt;4,INDEX(TableJudje[اسم الحساب],MATCH(VALUE(LEFT(TableJudje[[#This Row],[الحساب الرئيسي]],6)),TableJudje[رقم الحساب],0)),"")</f>
        <v xml:space="preserve">مصاريف مرتبات الالوية </v>
      </c>
      <c r="Q179" s="4" t="str">
        <f>IF(TableJudje[[#This Row],[المستوى]]&gt;1,INDEX(TableJudje[اسم الحساب],MATCH(VALUE(LEFT(TableJudje[[#This Row],[الحساب الرئيسي]],1)),TableJudje[رقم الحساب],0)),"")</f>
        <v>المصروفات</v>
      </c>
    </row>
    <row r="180" spans="1:17" x14ac:dyDescent="0.5">
      <c r="A180" s="2">
        <f>ROW()</f>
        <v>180</v>
      </c>
      <c r="B180" s="2">
        <v>33020101</v>
      </c>
      <c r="C180" s="2" t="s">
        <v>150</v>
      </c>
      <c r="D180" s="2">
        <v>330201</v>
      </c>
      <c r="E180" s="2">
        <v>5</v>
      </c>
      <c r="F180" s="2" t="s">
        <v>24</v>
      </c>
      <c r="G180" s="2" t="s">
        <v>110</v>
      </c>
      <c r="H180" s="3"/>
      <c r="I180" s="2" t="s">
        <v>20</v>
      </c>
      <c r="J180" s="2" t="s">
        <v>45</v>
      </c>
      <c r="K180" s="4" t="s">
        <v>21</v>
      </c>
      <c r="L180" s="2"/>
      <c r="M180" s="2" t="str">
        <f>IF(TableJudje[[#This Row],[الحساب الرئيسي]]=0,"اجمالي",INDEX(TableJudje[اسم الحساب],MATCH(TableJudje[[#This Row],[الحساب الرئيسي]],TableJudje[رقم الحساب],0)))</f>
        <v>فوارق الحسابات</v>
      </c>
      <c r="N180" s="4" t="str">
        <f>IF(TableJudje[[#This Row],[المستوى]]&gt;2,INDEX(TableJudje[اسم الحساب],MATCH(VALUE(LEFT(TableJudje[[#This Row],[الحساب الرئيسي]],2)),TableJudje[رقم الحساب],0)),"")</f>
        <v xml:space="preserve">مرتبات </v>
      </c>
      <c r="O180" s="4" t="str">
        <f>IF(TableJudje[[#This Row],[المستوى]]&gt;3,INDEX(TableJudje[اسم الحساب],MATCH(VALUE(LEFT(TableJudje[[#This Row],[الحساب الرئيسي]],4)),TableJudje[رقم الحساب],0)),"")</f>
        <v>حساب الفوارق</v>
      </c>
      <c r="P180" s="4" t="str">
        <f>IF(TableJudje[[#This Row],[المستوى]]&gt;4,INDEX(TableJudje[اسم الحساب],MATCH(VALUE(LEFT(TableJudje[[#This Row],[الحساب الرئيسي]],6)),TableJudje[رقم الحساب],0)),"")</f>
        <v>فوارق الحسابات</v>
      </c>
      <c r="Q180" s="4" t="str">
        <f>IF(TableJudje[[#This Row],[المستوى]]&gt;1,INDEX(TableJudje[اسم الحساب],MATCH(VALUE(LEFT(TableJudje[[#This Row],[الحساب الرئيسي]],1)),TableJudje[رقم الحساب],0)),"")</f>
        <v>المصروفات</v>
      </c>
    </row>
    <row r="181" spans="1:17" x14ac:dyDescent="0.5">
      <c r="A181" s="2">
        <f>ROW()</f>
        <v>181</v>
      </c>
      <c r="B181" s="2">
        <v>33020102</v>
      </c>
      <c r="C181" s="2" t="s">
        <v>151</v>
      </c>
      <c r="D181" s="2">
        <v>330201</v>
      </c>
      <c r="E181" s="2">
        <v>5</v>
      </c>
      <c r="F181" s="2" t="s">
        <v>24</v>
      </c>
      <c r="G181" s="2" t="s">
        <v>110</v>
      </c>
      <c r="H181" s="3"/>
      <c r="I181" s="2" t="s">
        <v>20</v>
      </c>
      <c r="J181" s="2" t="s">
        <v>45</v>
      </c>
      <c r="K181" s="4" t="s">
        <v>21</v>
      </c>
      <c r="L181" s="2"/>
      <c r="M181" s="2" t="str">
        <f>IF(TableJudje[[#This Row],[الحساب الرئيسي]]=0,"اجمالي",INDEX(TableJudje[اسم الحساب],MATCH(TableJudje[[#This Row],[الحساب الرئيسي]],TableJudje[رقم الحساب],0)))</f>
        <v>فوارق الحسابات</v>
      </c>
      <c r="N181" s="4" t="str">
        <f>IF(TableJudje[[#This Row],[المستوى]]&gt;2,INDEX(TableJudje[اسم الحساب],MATCH(VALUE(LEFT(TableJudje[[#This Row],[الحساب الرئيسي]],2)),TableJudje[رقم الحساب],0)),"")</f>
        <v xml:space="preserve">مرتبات </v>
      </c>
      <c r="O181" s="4" t="str">
        <f>IF(TableJudje[[#This Row],[المستوى]]&gt;3,INDEX(TableJudje[اسم الحساب],MATCH(VALUE(LEFT(TableJudje[[#This Row],[الحساب الرئيسي]],4)),TableJudje[رقم الحساب],0)),"")</f>
        <v>حساب الفوارق</v>
      </c>
      <c r="P181" s="4" t="str">
        <f>IF(TableJudje[[#This Row],[المستوى]]&gt;4,INDEX(TableJudje[اسم الحساب],MATCH(VALUE(LEFT(TableJudje[[#This Row],[الحساب الرئيسي]],6)),TableJudje[رقم الحساب],0)),"")</f>
        <v>فوارق الحسابات</v>
      </c>
      <c r="Q181" s="4" t="str">
        <f>IF(TableJudje[[#This Row],[المستوى]]&gt;1,INDEX(TableJudje[اسم الحساب],MATCH(VALUE(LEFT(TableJudje[[#This Row],[الحساب الرئيسي]],1)),TableJudje[رقم الحساب],0)),"")</f>
        <v>المصروفات</v>
      </c>
    </row>
    <row r="182" spans="1:17" x14ac:dyDescent="0.5">
      <c r="A182" s="2">
        <f>ROW()</f>
        <v>182</v>
      </c>
      <c r="B182" s="2">
        <v>33020103</v>
      </c>
      <c r="C182" s="2" t="s">
        <v>152</v>
      </c>
      <c r="D182" s="2">
        <v>330201</v>
      </c>
      <c r="E182" s="2">
        <v>5</v>
      </c>
      <c r="F182" s="2" t="s">
        <v>24</v>
      </c>
      <c r="G182" s="2" t="s">
        <v>110</v>
      </c>
      <c r="H182" s="3"/>
      <c r="I182" s="2" t="s">
        <v>20</v>
      </c>
      <c r="J182" s="2" t="s">
        <v>45</v>
      </c>
      <c r="K182" s="4" t="s">
        <v>21</v>
      </c>
      <c r="L182" s="2"/>
      <c r="M182" s="2" t="str">
        <f>IF(TableJudje[[#This Row],[الحساب الرئيسي]]=0,"اجمالي",INDEX(TableJudje[اسم الحساب],MATCH(TableJudje[[#This Row],[الحساب الرئيسي]],TableJudje[رقم الحساب],0)))</f>
        <v>فوارق الحسابات</v>
      </c>
      <c r="N182" s="4" t="str">
        <f>IF(TableJudje[[#This Row],[المستوى]]&gt;2,INDEX(TableJudje[اسم الحساب],MATCH(VALUE(LEFT(TableJudje[[#This Row],[الحساب الرئيسي]],2)),TableJudje[رقم الحساب],0)),"")</f>
        <v xml:space="preserve">مرتبات </v>
      </c>
      <c r="O182" s="4" t="str">
        <f>IF(TableJudje[[#This Row],[المستوى]]&gt;3,INDEX(TableJudje[اسم الحساب],MATCH(VALUE(LEFT(TableJudje[[#This Row],[الحساب الرئيسي]],4)),TableJudje[رقم الحساب],0)),"")</f>
        <v>حساب الفوارق</v>
      </c>
      <c r="P182" s="4" t="str">
        <f>IF(TableJudje[[#This Row],[المستوى]]&gt;4,INDEX(TableJudje[اسم الحساب],MATCH(VALUE(LEFT(TableJudje[[#This Row],[الحساب الرئيسي]],6)),TableJudje[رقم الحساب],0)),"")</f>
        <v>فوارق الحسابات</v>
      </c>
      <c r="Q182" s="4" t="str">
        <f>IF(TableJudje[[#This Row],[المستوى]]&gt;1,INDEX(TableJudje[اسم الحساب],MATCH(VALUE(LEFT(TableJudje[[#This Row],[الحساب الرئيسي]],1)),TableJudje[رقم الحساب],0)),"")</f>
        <v>المصروفات</v>
      </c>
    </row>
    <row r="183" spans="1:17" x14ac:dyDescent="0.5">
      <c r="A183" s="2">
        <f>ROW()</f>
        <v>183</v>
      </c>
      <c r="B183" s="2">
        <v>33020104</v>
      </c>
      <c r="C183" s="2" t="s">
        <v>153</v>
      </c>
      <c r="D183" s="2">
        <v>330201</v>
      </c>
      <c r="E183" s="2">
        <v>5</v>
      </c>
      <c r="F183" s="2" t="s">
        <v>24</v>
      </c>
      <c r="G183" s="2" t="s">
        <v>110</v>
      </c>
      <c r="H183" s="3"/>
      <c r="I183" s="2" t="s">
        <v>20</v>
      </c>
      <c r="J183" s="2" t="s">
        <v>45</v>
      </c>
      <c r="K183" s="4" t="s">
        <v>21</v>
      </c>
      <c r="L183" s="2"/>
      <c r="M183" s="2" t="str">
        <f>IF(TableJudje[[#This Row],[الحساب الرئيسي]]=0,"اجمالي",INDEX(TableJudje[اسم الحساب],MATCH(TableJudje[[#This Row],[الحساب الرئيسي]],TableJudje[رقم الحساب],0)))</f>
        <v>فوارق الحسابات</v>
      </c>
      <c r="N183" s="4" t="str">
        <f>IF(TableJudje[[#This Row],[المستوى]]&gt;2,INDEX(TableJudje[اسم الحساب],MATCH(VALUE(LEFT(TableJudje[[#This Row],[الحساب الرئيسي]],2)),TableJudje[رقم الحساب],0)),"")</f>
        <v xml:space="preserve">مرتبات </v>
      </c>
      <c r="O183" s="4" t="str">
        <f>IF(TableJudje[[#This Row],[المستوى]]&gt;3,INDEX(TableJudje[اسم الحساب],MATCH(VALUE(LEFT(TableJudje[[#This Row],[الحساب الرئيسي]],4)),TableJudje[رقم الحساب],0)),"")</f>
        <v>حساب الفوارق</v>
      </c>
      <c r="P183" s="4" t="str">
        <f>IF(TableJudje[[#This Row],[المستوى]]&gt;4,INDEX(TableJudje[اسم الحساب],MATCH(VALUE(LEFT(TableJudje[[#This Row],[الحساب الرئيسي]],6)),TableJudje[رقم الحساب],0)),"")</f>
        <v>فوارق الحسابات</v>
      </c>
      <c r="Q183" s="4" t="str">
        <f>IF(TableJudje[[#This Row],[المستوى]]&gt;1,INDEX(TableJudje[اسم الحساب],MATCH(VALUE(LEFT(TableJudje[[#This Row],[الحساب الرئيسي]],1)),TableJudje[رقم الحساب],0)),"")</f>
        <v>المصروفات</v>
      </c>
    </row>
    <row r="184" spans="1:17" x14ac:dyDescent="0.5">
      <c r="A184" s="2">
        <f>ROW()</f>
        <v>184</v>
      </c>
      <c r="B184" s="2">
        <v>33020105</v>
      </c>
      <c r="C184" s="2" t="s">
        <v>154</v>
      </c>
      <c r="D184" s="2">
        <v>330201</v>
      </c>
      <c r="E184" s="2">
        <v>5</v>
      </c>
      <c r="F184" s="2" t="s">
        <v>24</v>
      </c>
      <c r="G184" s="2" t="s">
        <v>110</v>
      </c>
      <c r="H184" s="3"/>
      <c r="I184" s="2" t="s">
        <v>20</v>
      </c>
      <c r="J184" s="2" t="s">
        <v>45</v>
      </c>
      <c r="K184" s="4" t="s">
        <v>21</v>
      </c>
      <c r="L184" s="2"/>
      <c r="M184" s="2" t="str">
        <f>IF(TableJudje[[#This Row],[الحساب الرئيسي]]=0,"اجمالي",INDEX(TableJudje[اسم الحساب],MATCH(TableJudje[[#This Row],[الحساب الرئيسي]],TableJudje[رقم الحساب],0)))</f>
        <v>فوارق الحسابات</v>
      </c>
      <c r="N184" s="4" t="str">
        <f>IF(TableJudje[[#This Row],[المستوى]]&gt;2,INDEX(TableJudje[اسم الحساب],MATCH(VALUE(LEFT(TableJudje[[#This Row],[الحساب الرئيسي]],2)),TableJudje[رقم الحساب],0)),"")</f>
        <v xml:space="preserve">مرتبات </v>
      </c>
      <c r="O184" s="4" t="str">
        <f>IF(TableJudje[[#This Row],[المستوى]]&gt;3,INDEX(TableJudje[اسم الحساب],MATCH(VALUE(LEFT(TableJudje[[#This Row],[الحساب الرئيسي]],4)),TableJudje[رقم الحساب],0)),"")</f>
        <v>حساب الفوارق</v>
      </c>
      <c r="P184" s="4" t="str">
        <f>IF(TableJudje[[#This Row],[المستوى]]&gt;4,INDEX(TableJudje[اسم الحساب],MATCH(VALUE(LEFT(TableJudje[[#This Row],[الحساب الرئيسي]],6)),TableJudje[رقم الحساب],0)),"")</f>
        <v>فوارق الحسابات</v>
      </c>
      <c r="Q184" s="4" t="str">
        <f>IF(TableJudje[[#This Row],[المستوى]]&gt;1,INDEX(TableJudje[اسم الحساب],MATCH(VALUE(LEFT(TableJudje[[#This Row],[الحساب الرئيسي]],1)),TableJudje[رقم الحساب],0)),"")</f>
        <v>المصروفات</v>
      </c>
    </row>
    <row r="185" spans="1:17" x14ac:dyDescent="0.5">
      <c r="A185" s="2">
        <f>ROW()</f>
        <v>185</v>
      </c>
      <c r="B185" s="2">
        <v>41010101</v>
      </c>
      <c r="C185" s="2" t="s">
        <v>156</v>
      </c>
      <c r="D185" s="2">
        <v>410101</v>
      </c>
      <c r="E185" s="2">
        <v>5</v>
      </c>
      <c r="F185" s="2" t="s">
        <v>24</v>
      </c>
      <c r="G185" s="2" t="s">
        <v>110</v>
      </c>
      <c r="H185" s="3"/>
      <c r="I185" s="2" t="s">
        <v>85</v>
      </c>
      <c r="J185" s="2" t="s">
        <v>45</v>
      </c>
      <c r="K185" s="4" t="s">
        <v>21</v>
      </c>
      <c r="L185" s="2"/>
      <c r="M185" s="2" t="str">
        <f>IF(TableJudje[[#This Row],[الحساب الرئيسي]]=0,"اجمالي",INDEX(TableJudje[اسم الحساب],MATCH(TableJudje[[#This Row],[الحساب الرئيسي]],TableJudje[رقم الحساب],0)))</f>
        <v>ايرادات النشاط</v>
      </c>
      <c r="N185" s="4" t="str">
        <f>IF(TableJudje[[#This Row],[المستوى]]&gt;2,INDEX(TableJudje[اسم الحساب],MATCH(VALUE(LEFT(TableJudje[[#This Row],[الحساب الرئيسي]],2)),TableJudje[رقم الحساب],0)),"")</f>
        <v>ايراد النشاط</v>
      </c>
      <c r="O185" s="4" t="str">
        <f>IF(TableJudje[[#This Row],[المستوى]]&gt;3,INDEX(TableJudje[اسم الحساب],MATCH(VALUE(LEFT(TableJudje[[#This Row],[الحساب الرئيسي]],4)),TableJudje[رقم الحساب],0)),"")</f>
        <v>الإيرادات من النشاط</v>
      </c>
      <c r="P185" s="4" t="str">
        <f>IF(TableJudje[[#This Row],[المستوى]]&gt;4,INDEX(TableJudje[اسم الحساب],MATCH(VALUE(LEFT(TableJudje[[#This Row],[الحساب الرئيسي]],6)),TableJudje[رقم الحساب],0)),"")</f>
        <v>ايرادات النشاط</v>
      </c>
      <c r="Q185" s="4" t="str">
        <f>IF(TableJudje[[#This Row],[المستوى]]&gt;1,INDEX(TableJudje[اسم الحساب],MATCH(VALUE(LEFT(TableJudje[[#This Row],[الحساب الرئيسي]],1)),TableJudje[رقم الحساب],0)),"")</f>
        <v>الايرادات</v>
      </c>
    </row>
    <row r="186" spans="1:17" x14ac:dyDescent="0.5">
      <c r="A186" s="2">
        <f>ROW()</f>
        <v>186</v>
      </c>
      <c r="B186" s="2">
        <v>41010102</v>
      </c>
      <c r="C186" s="2" t="s">
        <v>157</v>
      </c>
      <c r="D186" s="2">
        <v>410101</v>
      </c>
      <c r="E186" s="2">
        <v>5</v>
      </c>
      <c r="F186" s="2" t="s">
        <v>24</v>
      </c>
      <c r="G186" s="2" t="s">
        <v>110</v>
      </c>
      <c r="H186" s="3"/>
      <c r="I186" s="2" t="s">
        <v>85</v>
      </c>
      <c r="J186" s="2" t="s">
        <v>45</v>
      </c>
      <c r="K186" s="4" t="s">
        <v>21</v>
      </c>
      <c r="L186" s="2"/>
      <c r="M186" s="2" t="str">
        <f>IF(TableJudje[[#This Row],[الحساب الرئيسي]]=0,"اجمالي",INDEX(TableJudje[اسم الحساب],MATCH(TableJudje[[#This Row],[الحساب الرئيسي]],TableJudje[رقم الحساب],0)))</f>
        <v>ايرادات النشاط</v>
      </c>
      <c r="N186" s="4" t="str">
        <f>IF(TableJudje[[#This Row],[المستوى]]&gt;2,INDEX(TableJudje[اسم الحساب],MATCH(VALUE(LEFT(TableJudje[[#This Row],[الحساب الرئيسي]],2)),TableJudje[رقم الحساب],0)),"")</f>
        <v>ايراد النشاط</v>
      </c>
      <c r="O186" s="4" t="str">
        <f>IF(TableJudje[[#This Row],[المستوى]]&gt;3,INDEX(TableJudje[اسم الحساب],MATCH(VALUE(LEFT(TableJudje[[#This Row],[الحساب الرئيسي]],4)),TableJudje[رقم الحساب],0)),"")</f>
        <v>الإيرادات من النشاط</v>
      </c>
      <c r="P186" s="4" t="str">
        <f>IF(TableJudje[[#This Row],[المستوى]]&gt;4,INDEX(TableJudje[اسم الحساب],MATCH(VALUE(LEFT(TableJudje[[#This Row],[الحساب الرئيسي]],6)),TableJudje[رقم الحساب],0)),"")</f>
        <v>ايرادات النشاط</v>
      </c>
      <c r="Q186" s="4" t="str">
        <f>IF(TableJudje[[#This Row],[المستوى]]&gt;1,INDEX(TableJudje[اسم الحساب],MATCH(VALUE(LEFT(TableJudje[[#This Row],[الحساب الرئيسي]],1)),TableJudje[رقم الحساب],0)),"")</f>
        <v>الايرادات</v>
      </c>
    </row>
    <row r="187" spans="1:17" x14ac:dyDescent="0.5">
      <c r="A187" s="4">
        <f>ROW()</f>
        <v>187</v>
      </c>
      <c r="B187" s="4">
        <v>41010103</v>
      </c>
      <c r="C187" s="4" t="s">
        <v>158</v>
      </c>
      <c r="D187" s="4">
        <v>410101</v>
      </c>
      <c r="E187" s="4">
        <v>5</v>
      </c>
      <c r="F187" s="4" t="s">
        <v>24</v>
      </c>
      <c r="G187" s="4" t="s">
        <v>110</v>
      </c>
      <c r="H187" s="5"/>
      <c r="I187" s="4" t="s">
        <v>85</v>
      </c>
      <c r="J187" s="4" t="s">
        <v>45</v>
      </c>
      <c r="K187" s="4" t="s">
        <v>21</v>
      </c>
      <c r="L187" s="4"/>
      <c r="M187" s="4" t="str">
        <f>IF(TableJudje[[#This Row],[الحساب الرئيسي]]=0,"اجمالي",INDEX(TableJudje[اسم الحساب],MATCH(TableJudje[[#This Row],[الحساب الرئيسي]],TableJudje[رقم الحساب],0)))</f>
        <v>ايرادات النشاط</v>
      </c>
      <c r="N187" s="4" t="str">
        <f>IF(TableJudje[[#This Row],[المستوى]]&gt;2,INDEX(TableJudje[اسم الحساب],MATCH(VALUE(LEFT(TableJudje[[#This Row],[الحساب الرئيسي]],2)),TableJudje[رقم الحساب],0)),"")</f>
        <v>ايراد النشاط</v>
      </c>
      <c r="O187" s="4" t="str">
        <f>IF(TableJudje[[#This Row],[المستوى]]&gt;3,INDEX(TableJudje[اسم الحساب],MATCH(VALUE(LEFT(TableJudje[[#This Row],[الحساب الرئيسي]],4)),TableJudje[رقم الحساب],0)),"")</f>
        <v>الإيرادات من النشاط</v>
      </c>
      <c r="P187" s="4" t="str">
        <f>IF(TableJudje[[#This Row],[المستوى]]&gt;4,INDEX(TableJudje[اسم الحساب],MATCH(VALUE(LEFT(TableJudje[[#This Row],[الحساب الرئيسي]],6)),TableJudje[رقم الحساب],0)),"")</f>
        <v>ايرادات النشاط</v>
      </c>
      <c r="Q187" s="4" t="str">
        <f>IF(TableJudje[[#This Row],[المستوى]]&gt;1,INDEX(TableJudje[اسم الحساب],MATCH(VALUE(LEFT(TableJudje[[#This Row],[الحساب الرئيسي]],1)),TableJudje[رقم الحساب],0)),"")</f>
        <v>الايرادات</v>
      </c>
    </row>
    <row r="188" spans="1:17" x14ac:dyDescent="0.5">
      <c r="A188" s="4">
        <f>ROW()</f>
        <v>188</v>
      </c>
      <c r="B188" s="4">
        <v>11060204</v>
      </c>
      <c r="C188" s="4" t="s">
        <v>460</v>
      </c>
      <c r="D188" s="4">
        <v>110602</v>
      </c>
      <c r="E188" s="4">
        <v>5</v>
      </c>
      <c r="F188" s="4" t="s">
        <v>24</v>
      </c>
      <c r="G188" s="4" t="s">
        <v>19</v>
      </c>
      <c r="H188" s="5"/>
      <c r="I188" s="4" t="s">
        <v>20</v>
      </c>
      <c r="J188" s="4" t="s">
        <v>58</v>
      </c>
      <c r="K188" s="4" t="s">
        <v>21</v>
      </c>
      <c r="L188" s="4"/>
      <c r="M188" s="4" t="str">
        <f>IF(TableJudje[[#This Row],[الحساب الرئيسي]]=0,"اجمالي",INDEX(TableJudje[اسم الحساب],MATCH(TableJudje[[#This Row],[الحساب الرئيسي]],TableJudje[رقم الحساب],0)))</f>
        <v>العهد</v>
      </c>
      <c r="N188" s="4" t="str">
        <f>IF(TableJudje[[#This Row],[المستوى]]&gt;2,INDEX(TableJudje[اسم الحساب],MATCH(VALUE(LEFT(TableJudje[[#This Row],[الحساب الرئيسي]],2)),TableJudje[رقم الحساب],0)),"")</f>
        <v>الاصول المتداولة</v>
      </c>
      <c r="O188" s="4" t="str">
        <f>IF(TableJudje[[#This Row],[المستوى]]&gt;3,INDEX(TableJudje[اسم الحساب],MATCH(VALUE(LEFT(TableJudje[[#This Row],[الحساب الرئيسي]],4)),TableJudje[رقم الحساب],0)),"")</f>
        <v>سلف و عهد الموضفين</v>
      </c>
      <c r="P188" s="4" t="str">
        <f>IF(TableJudje[[#This Row],[المستوى]]&gt;4,INDEX(TableJudje[اسم الحساب],MATCH(VALUE(LEFT(TableJudje[[#This Row],[الحساب الرئيسي]],6)),TableJudje[رقم الحساب],0)),"")</f>
        <v>العهد</v>
      </c>
      <c r="Q188" s="4" t="str">
        <f>IF(TableJudje[[#This Row],[المستوى]]&gt;1,INDEX(TableJudje[اسم الحساب],MATCH(VALUE(LEFT(TableJudje[[#This Row],[الحساب الرئيسي]],1)),TableJudje[رقم الحساب],0)),"")</f>
        <v>الاصول</v>
      </c>
    </row>
    <row r="189" spans="1:17" x14ac:dyDescent="0.5">
      <c r="A189" s="4">
        <f>ROW()</f>
        <v>189</v>
      </c>
      <c r="B189" s="4">
        <v>31010135</v>
      </c>
      <c r="C189" s="4" t="s">
        <v>473</v>
      </c>
      <c r="D189" s="4">
        <v>310101</v>
      </c>
      <c r="E189" s="4">
        <v>5</v>
      </c>
      <c r="F189" s="4" t="s">
        <v>24</v>
      </c>
      <c r="G189" s="4" t="s">
        <v>110</v>
      </c>
      <c r="H189" s="5"/>
      <c r="I189" s="4" t="s">
        <v>20</v>
      </c>
      <c r="J189" s="4" t="s">
        <v>45</v>
      </c>
      <c r="K189" s="4" t="s">
        <v>21</v>
      </c>
      <c r="L189" s="4"/>
      <c r="M189" s="4" t="str">
        <f>IF(TableJudje[[#This Row],[الحساب الرئيسي]]=0,"اجمالي",INDEX(TableJudje[اسم الحساب],MATCH(TableJudje[[#This Row],[الحساب الرئيسي]],TableJudje[رقم الحساب],0)))</f>
        <v xml:space="preserve">مصاريف تشغيلية </v>
      </c>
      <c r="N189" s="4" t="str">
        <f>IF(TableJudje[[#This Row],[المستوى]]&gt;2,INDEX(TableJudje[اسم الحساب],MATCH(VALUE(LEFT(TableJudje[[#This Row],[الحساب الرئيسي]],2)),TableJudje[رقم الحساب],0)),"")</f>
        <v>المصروفات التشغيلية</v>
      </c>
      <c r="O189" s="4" t="str">
        <f>IF(TableJudje[[#This Row],[المستوى]]&gt;3,INDEX(TableJudje[اسم الحساب],MATCH(VALUE(LEFT(TableJudje[[#This Row],[الحساب الرئيسي]],4)),TableJudje[رقم الحساب],0)),"")</f>
        <v>النفقات التشغيلية</v>
      </c>
      <c r="P189" s="4" t="str">
        <f>IF(TableJudje[[#This Row],[المستوى]]&gt;4,INDEX(TableJudje[اسم الحساب],MATCH(VALUE(LEFT(TableJudje[[#This Row],[الحساب الرئيسي]],6)),TableJudje[رقم الحساب],0)),"")</f>
        <v xml:space="preserve">مصاريف تشغيلية </v>
      </c>
      <c r="Q189" s="4" t="str">
        <f>IF(TableJudje[[#This Row],[المستوى]]&gt;1,INDEX(TableJudje[اسم الحساب],MATCH(VALUE(LEFT(TableJudje[[#This Row],[الحساب الرئيسي]],1)),TableJudje[رقم الحساب],0)),"")</f>
        <v>المصروفات</v>
      </c>
    </row>
    <row r="190" spans="1:17" x14ac:dyDescent="0.5">
      <c r="A190" s="4">
        <f>ROW()</f>
        <v>190</v>
      </c>
      <c r="B190" s="4">
        <v>31010136</v>
      </c>
      <c r="C190" s="4" t="s">
        <v>488</v>
      </c>
      <c r="D190" s="4">
        <v>310101</v>
      </c>
      <c r="E190" s="4">
        <v>5</v>
      </c>
      <c r="F190" s="4" t="s">
        <v>24</v>
      </c>
      <c r="G190" s="4" t="s">
        <v>110</v>
      </c>
      <c r="H190" s="5"/>
      <c r="I190" s="4" t="s">
        <v>20</v>
      </c>
      <c r="J190" s="4" t="s">
        <v>45</v>
      </c>
      <c r="K190" s="4" t="s">
        <v>21</v>
      </c>
      <c r="L190" s="4"/>
      <c r="M190" s="4" t="str">
        <f>IF(TableJudje[[#This Row],[الحساب الرئيسي]]=0,"اجمالي",INDEX(TableJudje[اسم الحساب],MATCH(TableJudje[[#This Row],[الحساب الرئيسي]],TableJudje[رقم الحساب],0)))</f>
        <v xml:space="preserve">مصاريف تشغيلية </v>
      </c>
      <c r="N190" s="4" t="str">
        <f>IF(TableJudje[[#This Row],[المستوى]]&gt;2,INDEX(TableJudje[اسم الحساب],MATCH(VALUE(LEFT(TableJudje[[#This Row],[الحساب الرئيسي]],2)),TableJudje[رقم الحساب],0)),"")</f>
        <v>المصروفات التشغيلية</v>
      </c>
      <c r="O190" s="4" t="str">
        <f>IF(TableJudje[[#This Row],[المستوى]]&gt;3,INDEX(TableJudje[اسم الحساب],MATCH(VALUE(LEFT(TableJudje[[#This Row],[الحساب الرئيسي]],4)),TableJudje[رقم الحساب],0)),"")</f>
        <v>النفقات التشغيلية</v>
      </c>
      <c r="P190" s="4" t="str">
        <f>IF(TableJudje[[#This Row],[المستوى]]&gt;4,INDEX(TableJudje[اسم الحساب],MATCH(VALUE(LEFT(TableJudje[[#This Row],[الحساب الرئيسي]],6)),TableJudje[رقم الحساب],0)),"")</f>
        <v xml:space="preserve">مصاريف تشغيلية </v>
      </c>
      <c r="Q190" s="4" t="str">
        <f>IF(TableJudje[[#This Row],[المستوى]]&gt;1,INDEX(TableJudje[اسم الحساب],MATCH(VALUE(LEFT(TableJudje[[#This Row],[الحساب الرئيسي]],1)),TableJudje[رقم الحساب],0)),"")</f>
        <v>المصروفات</v>
      </c>
    </row>
    <row r="191" spans="1:17" x14ac:dyDescent="0.5">
      <c r="A191" s="4">
        <f>ROW()</f>
        <v>191</v>
      </c>
      <c r="B191" s="4">
        <v>11060205</v>
      </c>
      <c r="C191" s="4" t="s">
        <v>513</v>
      </c>
      <c r="D191" s="4">
        <v>110602</v>
      </c>
      <c r="E191" s="4">
        <v>5</v>
      </c>
      <c r="F191" s="4" t="s">
        <v>24</v>
      </c>
      <c r="G191" s="4" t="s">
        <v>19</v>
      </c>
      <c r="H191" s="5"/>
      <c r="I191" s="4" t="s">
        <v>20</v>
      </c>
      <c r="J191" s="4" t="s">
        <v>58</v>
      </c>
      <c r="K191" s="4" t="s">
        <v>21</v>
      </c>
      <c r="L191" s="4"/>
      <c r="M191" s="4" t="str">
        <f>IF(TableJudje[[#This Row],[الحساب الرئيسي]]=0,"اجمالي",INDEX(TableJudje[اسم الحساب],MATCH(TableJudje[[#This Row],[الحساب الرئيسي]],TableJudje[رقم الحساب],0)))</f>
        <v>العهد</v>
      </c>
      <c r="N191" s="4" t="str">
        <f>IF(TableJudje[[#This Row],[المستوى]]&gt;2,INDEX(TableJudje[اسم الحساب],MATCH(VALUE(LEFT(TableJudje[[#This Row],[الحساب الرئيسي]],2)),TableJudje[رقم الحساب],0)),"")</f>
        <v>الاصول المتداولة</v>
      </c>
      <c r="O191" s="4" t="str">
        <f>IF(TableJudje[[#This Row],[المستوى]]&gt;3,INDEX(TableJudje[اسم الحساب],MATCH(VALUE(LEFT(TableJudje[[#This Row],[الحساب الرئيسي]],4)),TableJudje[رقم الحساب],0)),"")</f>
        <v>سلف و عهد الموضفين</v>
      </c>
      <c r="P191" s="4" t="str">
        <f>IF(TableJudje[[#This Row],[المستوى]]&gt;4,INDEX(TableJudje[اسم الحساب],MATCH(VALUE(LEFT(TableJudje[[#This Row],[الحساب الرئيسي]],6)),TableJudje[رقم الحساب],0)),"")</f>
        <v>العهد</v>
      </c>
      <c r="Q191" s="4" t="str">
        <f>IF(TableJudje[[#This Row],[المستوى]]&gt;1,INDEX(TableJudje[اسم الحساب],MATCH(VALUE(LEFT(TableJudje[[#This Row],[الحساب الرئيسي]],1)),TableJudje[رقم الحساب],0)),"")</f>
        <v>الاصول</v>
      </c>
    </row>
    <row r="192" spans="1:17" x14ac:dyDescent="0.5">
      <c r="A192" s="4">
        <f>ROW()</f>
        <v>192</v>
      </c>
      <c r="B192" s="4">
        <v>11060206</v>
      </c>
      <c r="C192" s="4" t="s">
        <v>617</v>
      </c>
      <c r="D192" s="4">
        <v>110602</v>
      </c>
      <c r="E192" s="4">
        <v>5</v>
      </c>
      <c r="F192" s="4" t="s">
        <v>24</v>
      </c>
      <c r="G192" s="4" t="s">
        <v>19</v>
      </c>
      <c r="H192" s="5"/>
      <c r="I192" s="4" t="s">
        <v>20</v>
      </c>
      <c r="J192" s="4" t="s">
        <v>58</v>
      </c>
      <c r="K192" s="4" t="s">
        <v>21</v>
      </c>
      <c r="L192" s="4"/>
      <c r="M192" s="4" t="str">
        <f>IF(TableJudje[[#This Row],[الحساب الرئيسي]]=0,"اجمالي",INDEX(TableJudje[اسم الحساب],MATCH(TableJudje[[#This Row],[الحساب الرئيسي]],TableJudje[رقم الحساب],0)))</f>
        <v>العهد</v>
      </c>
      <c r="N192" s="4" t="str">
        <f>IF(TableJudje[[#This Row],[المستوى]]&gt;2,INDEX(TableJudje[اسم الحساب],MATCH(VALUE(LEFT(TableJudje[[#This Row],[الحساب الرئيسي]],2)),TableJudje[رقم الحساب],0)),"")</f>
        <v>الاصول المتداولة</v>
      </c>
      <c r="O192" s="4" t="str">
        <f>IF(TableJudje[[#This Row],[المستوى]]&gt;3,INDEX(TableJudje[اسم الحساب],MATCH(VALUE(LEFT(TableJudje[[#This Row],[الحساب الرئيسي]],4)),TableJudje[رقم الحساب],0)),"")</f>
        <v>سلف و عهد الموضفين</v>
      </c>
      <c r="P192" s="4" t="str">
        <f>IF(TableJudje[[#This Row],[المستوى]]&gt;4,INDEX(TableJudje[اسم الحساب],MATCH(VALUE(LEFT(TableJudje[[#This Row],[الحساب الرئيسي]],6)),TableJudje[رقم الحساب],0)),"")</f>
        <v>العهد</v>
      </c>
      <c r="Q192" s="4" t="str">
        <f>IF(TableJudje[[#This Row],[المستوى]]&gt;1,INDEX(TableJudje[اسم الحساب],MATCH(VALUE(LEFT(TableJudje[[#This Row],[الحساب الرئيسي]],1)),TableJudje[رقم الحساب],0)),"")</f>
        <v>الاصول</v>
      </c>
    </row>
    <row r="193" spans="1:17" x14ac:dyDescent="0.5">
      <c r="A193" s="4">
        <f>ROW()</f>
        <v>193</v>
      </c>
      <c r="B193" s="4">
        <v>11060207</v>
      </c>
      <c r="C193" s="4" t="s">
        <v>760</v>
      </c>
      <c r="D193" s="4">
        <v>110602</v>
      </c>
      <c r="E193" s="4">
        <v>5</v>
      </c>
      <c r="F193" s="4" t="s">
        <v>24</v>
      </c>
      <c r="G193" s="4" t="s">
        <v>19</v>
      </c>
      <c r="H193" s="5"/>
      <c r="I193" s="4" t="s">
        <v>20</v>
      </c>
      <c r="J193" s="4" t="s">
        <v>58</v>
      </c>
      <c r="K193" s="4" t="s">
        <v>21</v>
      </c>
      <c r="L193" s="4"/>
      <c r="M193" s="4" t="str">
        <f>IF(TableJudje[[#This Row],[الحساب الرئيسي]]=0,"اجمالي",INDEX(TableJudje[اسم الحساب],MATCH(TableJudje[[#This Row],[الحساب الرئيسي]],TableJudje[رقم الحساب],0)))</f>
        <v>العهد</v>
      </c>
      <c r="N193" s="4" t="str">
        <f>IF(TableJudje[[#This Row],[المستوى]]&gt;2,INDEX(TableJudje[اسم الحساب],MATCH(VALUE(LEFT(TableJudje[[#This Row],[الحساب الرئيسي]],2)),TableJudje[رقم الحساب],0)),"")</f>
        <v>الاصول المتداولة</v>
      </c>
      <c r="O193" s="4" t="str">
        <f>IF(TableJudje[[#This Row],[المستوى]]&gt;3,INDEX(TableJudje[اسم الحساب],MATCH(VALUE(LEFT(TableJudje[[#This Row],[الحساب الرئيسي]],4)),TableJudje[رقم الحساب],0)),"")</f>
        <v>سلف و عهد الموضفين</v>
      </c>
      <c r="P193" s="4" t="str">
        <f>IF(TableJudje[[#This Row],[المستوى]]&gt;4,INDEX(TableJudje[اسم الحساب],MATCH(VALUE(LEFT(TableJudje[[#This Row],[الحساب الرئيسي]],6)),TableJudje[رقم الحساب],0)),"")</f>
        <v>العهد</v>
      </c>
      <c r="Q193" s="4" t="str">
        <f>IF(TableJudje[[#This Row],[المستوى]]&gt;1,INDEX(TableJudje[اسم الحساب],MATCH(VALUE(LEFT(TableJudje[[#This Row],[الحساب الرئيسي]],1)),TableJudje[رقم الحساب],0)),"")</f>
        <v>الاصول</v>
      </c>
    </row>
    <row r="194" spans="1:17" x14ac:dyDescent="0.5">
      <c r="A194" s="4">
        <f>ROW()</f>
        <v>194</v>
      </c>
      <c r="B194" s="4">
        <v>11060208</v>
      </c>
      <c r="C194" s="4" t="s">
        <v>770</v>
      </c>
      <c r="D194" s="4">
        <v>110602</v>
      </c>
      <c r="E194" s="4">
        <v>5</v>
      </c>
      <c r="F194" s="4" t="s">
        <v>24</v>
      </c>
      <c r="G194" s="4" t="s">
        <v>19</v>
      </c>
      <c r="H194" s="5"/>
      <c r="I194" s="4" t="s">
        <v>20</v>
      </c>
      <c r="J194" s="4" t="s">
        <v>58</v>
      </c>
      <c r="K194" s="4" t="s">
        <v>21</v>
      </c>
      <c r="L194" s="4"/>
      <c r="M194" s="4" t="str">
        <f>IF(TableJudje[[#This Row],[الحساب الرئيسي]]=0,"اجمالي",INDEX(TableJudje[اسم الحساب],MATCH(TableJudje[[#This Row],[الحساب الرئيسي]],TableJudje[رقم الحساب],0)))</f>
        <v>العهد</v>
      </c>
      <c r="N194" s="4" t="str">
        <f>IF(TableJudje[[#This Row],[المستوى]]&gt;2,INDEX(TableJudje[اسم الحساب],MATCH(VALUE(LEFT(TableJudje[[#This Row],[الحساب الرئيسي]],2)),TableJudje[رقم الحساب],0)),"")</f>
        <v>الاصول المتداولة</v>
      </c>
      <c r="O194" s="4" t="str">
        <f>IF(TableJudje[[#This Row],[المستوى]]&gt;3,INDEX(TableJudje[اسم الحساب],MATCH(VALUE(LEFT(TableJudje[[#This Row],[الحساب الرئيسي]],4)),TableJudje[رقم الحساب],0)),"")</f>
        <v>سلف و عهد الموضفين</v>
      </c>
      <c r="P194" s="4" t="str">
        <f>IF(TableJudje[[#This Row],[المستوى]]&gt;4,INDEX(TableJudje[اسم الحساب],MATCH(VALUE(LEFT(TableJudje[[#This Row],[الحساب الرئيسي]],6)),TableJudje[رقم الحساب],0)),"")</f>
        <v>العهد</v>
      </c>
      <c r="Q194" s="4" t="str">
        <f>IF(TableJudje[[#This Row],[المستوى]]&gt;1,INDEX(TableJudje[اسم الحساب],MATCH(VALUE(LEFT(TableJudje[[#This Row],[الحساب الرئيسي]],1)),TableJudje[رقم الحساب],0)),"")</f>
        <v>الاصول</v>
      </c>
    </row>
    <row r="195" spans="1:17" x14ac:dyDescent="0.5">
      <c r="A195" s="4">
        <f>ROW()</f>
        <v>195</v>
      </c>
      <c r="B195" s="4">
        <v>11060209</v>
      </c>
      <c r="C195" s="4" t="s">
        <v>824</v>
      </c>
      <c r="D195" s="4">
        <v>110602</v>
      </c>
      <c r="E195" s="4">
        <v>5</v>
      </c>
      <c r="F195" s="4" t="s">
        <v>24</v>
      </c>
      <c r="G195" s="4" t="s">
        <v>19</v>
      </c>
      <c r="H195" s="5"/>
      <c r="I195" s="4" t="s">
        <v>20</v>
      </c>
      <c r="J195" s="4" t="s">
        <v>58</v>
      </c>
      <c r="K195" s="4" t="s">
        <v>21</v>
      </c>
      <c r="L195" s="4"/>
      <c r="M195" s="4" t="str">
        <f>IF(TableJudje[[#This Row],[الحساب الرئيسي]]=0,"اجمالي",INDEX(TableJudje[اسم الحساب],MATCH(TableJudje[[#This Row],[الحساب الرئيسي]],TableJudje[رقم الحساب],0)))</f>
        <v>العهد</v>
      </c>
      <c r="N195" s="4" t="str">
        <f>IF(TableJudje[[#This Row],[المستوى]]&gt;2,INDEX(TableJudje[اسم الحساب],MATCH(VALUE(LEFT(TableJudje[[#This Row],[الحساب الرئيسي]],2)),TableJudje[رقم الحساب],0)),"")</f>
        <v>الاصول المتداولة</v>
      </c>
      <c r="O195" s="4" t="str">
        <f>IF(TableJudje[[#This Row],[المستوى]]&gt;3,INDEX(TableJudje[اسم الحساب],MATCH(VALUE(LEFT(TableJudje[[#This Row],[الحساب الرئيسي]],4)),TableJudje[رقم الحساب],0)),"")</f>
        <v>سلف و عهد الموضفين</v>
      </c>
      <c r="P195" s="4" t="str">
        <f>IF(TableJudje[[#This Row],[المستوى]]&gt;4,INDEX(TableJudje[اسم الحساب],MATCH(VALUE(LEFT(TableJudje[[#This Row],[الحساب الرئيسي]],6)),TableJudje[رقم الحساب],0)),"")</f>
        <v>العهد</v>
      </c>
      <c r="Q195" s="4" t="str">
        <f>IF(TableJudje[[#This Row],[المستوى]]&gt;1,INDEX(TableJudje[اسم الحساب],MATCH(VALUE(LEFT(TableJudje[[#This Row],[الحساب الرئيسي]],1)),TableJudje[رقم الحساب],0)),"")</f>
        <v>الاصول</v>
      </c>
    </row>
    <row r="196" spans="1:17" x14ac:dyDescent="0.5">
      <c r="A196" s="4">
        <f>ROW()</f>
        <v>196</v>
      </c>
      <c r="B196" s="4">
        <v>11060210</v>
      </c>
      <c r="C196" s="4" t="s">
        <v>855</v>
      </c>
      <c r="D196" s="4">
        <v>110602</v>
      </c>
      <c r="E196" s="4">
        <v>5</v>
      </c>
      <c r="F196" s="4" t="s">
        <v>24</v>
      </c>
      <c r="G196" s="4" t="s">
        <v>19</v>
      </c>
      <c r="H196" s="5"/>
      <c r="I196" s="4" t="s">
        <v>20</v>
      </c>
      <c r="J196" s="4" t="s">
        <v>58</v>
      </c>
      <c r="K196" s="4" t="s">
        <v>21</v>
      </c>
      <c r="L196" s="4" t="s">
        <v>20</v>
      </c>
      <c r="M196" s="4" t="str">
        <f>IF(TableJudje[[#This Row],[الحساب الرئيسي]]=0,"اجمالي",INDEX(TableJudje[اسم الحساب],MATCH(TableJudje[[#This Row],[الحساب الرئيسي]],TableJudje[رقم الحساب],0)))</f>
        <v>العهد</v>
      </c>
      <c r="N196" s="4" t="str">
        <f>IF(TableJudje[[#This Row],[المستوى]]&gt;2,INDEX(TableJudje[اسم الحساب],MATCH(VALUE(LEFT(TableJudje[[#This Row],[الحساب الرئيسي]],2)),TableJudje[رقم الحساب],0)),"")</f>
        <v>الاصول المتداولة</v>
      </c>
      <c r="O196" s="4" t="str">
        <f>IF(TableJudje[[#This Row],[المستوى]]&gt;3,INDEX(TableJudje[اسم الحساب],MATCH(VALUE(LEFT(TableJudje[[#This Row],[الحساب الرئيسي]],4)),TableJudje[رقم الحساب],0)),"")</f>
        <v>سلف و عهد الموضفين</v>
      </c>
      <c r="P196" s="4" t="str">
        <f>IF(TableJudje[[#This Row],[المستوى]]&gt;4,INDEX(TableJudje[اسم الحساب],MATCH(VALUE(LEFT(TableJudje[[#This Row],[الحساب الرئيسي]],6)),TableJudje[رقم الحساب],0)),"")</f>
        <v>العهد</v>
      </c>
      <c r="Q196" s="4" t="str">
        <f>IF(TableJudje[[#This Row],[المستوى]]&gt;1,INDEX(TableJudje[اسم الحساب],MATCH(VALUE(LEFT(TableJudje[[#This Row],[الحساب الرئيسي]],1)),TableJudje[رقم الحساب],0)),"")</f>
        <v>الاصول</v>
      </c>
    </row>
  </sheetData>
  <conditionalFormatting sqref="D70">
    <cfRule type="duplicateValues" dxfId="306" priority="2"/>
  </conditionalFormatting>
  <conditionalFormatting sqref="D7">
    <cfRule type="duplicateValues" dxfId="305" priority="1"/>
  </conditionalFormatting>
  <conditionalFormatting sqref="C66:C144 C3:C64">
    <cfRule type="duplicateValues" dxfId="304" priority="3"/>
  </conditionalFormatting>
  <conditionalFormatting sqref="B3:B196">
    <cfRule type="duplicateValues" dxfId="303" priority="4"/>
  </conditionalFormatting>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5BEE-F557-4D81-BB36-D2F637212E87}">
  <sheetPr codeName="data"/>
  <dimension ref="A1:AL10"/>
  <sheetViews>
    <sheetView showGridLines="0" showRowColHeaders="0" rightToLeft="1" zoomScale="134" workbookViewId="0">
      <selection activeCell="D11" sqref="D11"/>
    </sheetView>
  </sheetViews>
  <sheetFormatPr defaultColWidth="12.5546875" defaultRowHeight="22.15" customHeight="1" x14ac:dyDescent="0.15"/>
  <cols>
    <col min="1" max="1" width="12.16015625" style="9" customWidth="1"/>
    <col min="2" max="2" width="20.48828125" style="9" customWidth="1"/>
    <col min="3" max="3" width="21.4140625" style="9" customWidth="1"/>
    <col min="4" max="4" width="21.54296875" style="9" customWidth="1"/>
    <col min="5" max="5" width="21.80859375" style="9" customWidth="1"/>
    <col min="6" max="6" width="20.22265625" style="9" customWidth="1"/>
    <col min="7" max="7" width="21.4140625" style="9" customWidth="1"/>
    <col min="8" max="8" width="25.51171875" style="9" customWidth="1"/>
    <col min="9" max="9" width="26.69921875" style="9" customWidth="1"/>
    <col min="10" max="10" width="22.8671875" style="9" customWidth="1"/>
    <col min="11" max="11" width="18.50390625" style="9" customWidth="1"/>
    <col min="12" max="12" width="17.4453125" style="9" customWidth="1"/>
    <col min="13" max="13" width="24.71875" style="9" customWidth="1"/>
    <col min="14" max="14" width="15.9921875" style="9" customWidth="1"/>
    <col min="15" max="15" width="14.671875" style="9" customWidth="1"/>
    <col min="16" max="16" width="18.76953125" style="9" customWidth="1"/>
    <col min="17" max="17" width="22.46875" style="9" customWidth="1"/>
    <col min="18" max="18" width="18.50390625" style="9" customWidth="1"/>
    <col min="19" max="19" width="23.39453125" style="9" customWidth="1"/>
    <col min="20" max="20" width="12.5546875" style="10"/>
    <col min="21" max="21" width="12.5546875" style="10" customWidth="1"/>
    <col min="22" max="22" width="21.67578125" style="10" customWidth="1"/>
    <col min="23" max="23" width="12.5546875" style="10" customWidth="1"/>
    <col min="24" max="24" width="13.61328125" style="9" bestFit="1" customWidth="1"/>
    <col min="25" max="26" width="19.4296875" style="9" customWidth="1"/>
    <col min="27" max="28" width="12.5546875" style="9"/>
    <col min="29" max="29" width="29.609375" style="9" customWidth="1"/>
    <col min="30" max="31" width="12.5546875" style="9" customWidth="1"/>
    <col min="32" max="32" width="17.9765625" style="9" customWidth="1"/>
    <col min="33" max="33" width="21.015625" style="9" customWidth="1"/>
    <col min="34" max="35" width="12.5546875" style="9"/>
    <col min="36" max="36" width="12.5546875" style="9" customWidth="1"/>
    <col min="37" max="37" width="20.35546875" style="9" customWidth="1"/>
    <col min="38" max="38" width="20.6171875" style="9" customWidth="1"/>
    <col min="39" max="16384" width="12.5546875" style="9"/>
  </cols>
  <sheetData>
    <row r="1" spans="1:38" ht="54" customHeight="1" x14ac:dyDescent="0.55000000000000004">
      <c r="A1"/>
      <c r="B1" s="7"/>
      <c r="C1" s="7"/>
      <c r="D1" s="7"/>
      <c r="E1" s="7"/>
      <c r="F1" s="8"/>
      <c r="G1" s="8"/>
      <c r="H1" s="8"/>
      <c r="I1" s="225" t="s">
        <v>204</v>
      </c>
      <c r="J1" s="225"/>
      <c r="K1" s="225"/>
      <c r="L1" s="225"/>
      <c r="O1" s="225" t="s">
        <v>205</v>
      </c>
      <c r="P1" s="225"/>
      <c r="Q1" s="225"/>
      <c r="R1" s="225"/>
      <c r="U1" s="226" t="s">
        <v>206</v>
      </c>
      <c r="V1" s="226"/>
      <c r="X1" s="227" t="s">
        <v>207</v>
      </c>
      <c r="Y1" s="227"/>
      <c r="Z1" s="11"/>
      <c r="AB1" s="228" t="s">
        <v>208</v>
      </c>
      <c r="AC1" s="228"/>
      <c r="AF1" s="228" t="s">
        <v>9</v>
      </c>
      <c r="AG1" s="228"/>
      <c r="AK1" s="224" t="s">
        <v>209</v>
      </c>
      <c r="AL1" s="224"/>
    </row>
    <row r="2" spans="1:38" ht="22.15" customHeight="1" x14ac:dyDescent="0.55000000000000004">
      <c r="A2" s="8" t="s">
        <v>0</v>
      </c>
      <c r="B2" s="8" t="s">
        <v>210</v>
      </c>
      <c r="C2" s="8" t="s">
        <v>211</v>
      </c>
      <c r="D2" s="8" t="s">
        <v>212</v>
      </c>
      <c r="E2" s="8" t="s">
        <v>213</v>
      </c>
      <c r="F2" s="8" t="s">
        <v>214</v>
      </c>
      <c r="G2" s="8" t="s">
        <v>215</v>
      </c>
      <c r="H2" s="8" t="s">
        <v>216</v>
      </c>
      <c r="I2" s="9" t="s">
        <v>217</v>
      </c>
      <c r="J2" s="9" t="s">
        <v>218</v>
      </c>
      <c r="K2" s="9" t="s">
        <v>219</v>
      </c>
      <c r="L2" s="9" t="s">
        <v>220</v>
      </c>
      <c r="M2" s="9" t="s">
        <v>221</v>
      </c>
      <c r="O2" s="13" t="s">
        <v>222</v>
      </c>
      <c r="P2" s="13" t="s">
        <v>223</v>
      </c>
      <c r="Q2" s="13" t="s">
        <v>224</v>
      </c>
      <c r="R2" s="13" t="s">
        <v>225</v>
      </c>
      <c r="U2" s="14" t="s">
        <v>226</v>
      </c>
      <c r="V2" s="14" t="s">
        <v>227</v>
      </c>
      <c r="X2" s="11" t="s">
        <v>228</v>
      </c>
      <c r="Y2" s="11" t="s">
        <v>229</v>
      </c>
      <c r="Z2" s="11" t="s">
        <v>225</v>
      </c>
      <c r="AB2" s="12" t="s">
        <v>230</v>
      </c>
      <c r="AC2" s="12" t="s">
        <v>231</v>
      </c>
      <c r="AF2" s="12" t="s">
        <v>230</v>
      </c>
      <c r="AG2" s="12" t="s">
        <v>223</v>
      </c>
      <c r="AK2" s="8" t="s">
        <v>232</v>
      </c>
      <c r="AL2" s="8" t="s">
        <v>233</v>
      </c>
    </row>
    <row r="3" spans="1:38" ht="22.15" customHeight="1" x14ac:dyDescent="0.7">
      <c r="A3" s="8">
        <f>ROW()-2</f>
        <v>1</v>
      </c>
      <c r="B3" s="8">
        <v>3</v>
      </c>
      <c r="C3" s="8" t="s">
        <v>234</v>
      </c>
      <c r="D3" s="8" t="s">
        <v>235</v>
      </c>
      <c r="E3" s="8">
        <v>1600</v>
      </c>
      <c r="F3" s="8">
        <v>1500</v>
      </c>
      <c r="G3" s="8">
        <v>2000</v>
      </c>
      <c r="H3" s="15" t="s">
        <v>236</v>
      </c>
      <c r="K3" s="16">
        <v>46023</v>
      </c>
      <c r="L3" s="16">
        <f ca="1">TODAY()</f>
        <v>46292</v>
      </c>
      <c r="M3" s="9">
        <v>6</v>
      </c>
      <c r="O3" s="17">
        <v>1</v>
      </c>
      <c r="P3" s="17" t="s">
        <v>237</v>
      </c>
      <c r="Q3" s="17" t="s">
        <v>18</v>
      </c>
      <c r="R3" s="17"/>
      <c r="U3" s="14">
        <v>1</v>
      </c>
      <c r="V3" s="18" t="s">
        <v>19</v>
      </c>
      <c r="X3" s="11"/>
      <c r="Y3" s="11"/>
      <c r="Z3" s="11"/>
      <c r="AB3" s="12"/>
      <c r="AC3" s="12"/>
      <c r="AF3" s="12">
        <v>1</v>
      </c>
      <c r="AG3" s="12" t="s">
        <v>45</v>
      </c>
      <c r="AK3" s="8">
        <v>1</v>
      </c>
      <c r="AL3" s="8" t="s">
        <v>166</v>
      </c>
    </row>
    <row r="4" spans="1:38" ht="22.15" customHeight="1" x14ac:dyDescent="0.55000000000000004">
      <c r="A4" s="8">
        <f>ROW()-2</f>
        <v>2</v>
      </c>
      <c r="B4" s="8">
        <v>2</v>
      </c>
      <c r="C4" s="8" t="s">
        <v>238</v>
      </c>
      <c r="D4" s="8" t="s">
        <v>239</v>
      </c>
      <c r="E4" s="8">
        <v>405</v>
      </c>
      <c r="F4" s="8">
        <v>400</v>
      </c>
      <c r="G4" s="8">
        <v>415</v>
      </c>
      <c r="H4" s="8" t="s">
        <v>236</v>
      </c>
      <c r="O4" s="19">
        <v>2</v>
      </c>
      <c r="P4" s="19" t="s">
        <v>240</v>
      </c>
      <c r="Q4" s="17" t="s">
        <v>18</v>
      </c>
      <c r="R4" s="19"/>
      <c r="U4" s="14">
        <v>2</v>
      </c>
      <c r="V4" s="18" t="s">
        <v>110</v>
      </c>
      <c r="AF4" s="12">
        <v>2</v>
      </c>
      <c r="AG4" s="12" t="s">
        <v>25</v>
      </c>
      <c r="AK4" s="8">
        <v>2</v>
      </c>
      <c r="AL4" s="8" t="s">
        <v>45</v>
      </c>
    </row>
    <row r="5" spans="1:38" ht="22.15" customHeight="1" x14ac:dyDescent="0.15">
      <c r="A5" s="8">
        <f t="shared" ref="A5" si="0">ROW()-2</f>
        <v>3</v>
      </c>
      <c r="B5" s="8">
        <v>1</v>
      </c>
      <c r="C5" s="8" t="s">
        <v>241</v>
      </c>
      <c r="D5" s="8" t="s">
        <v>242</v>
      </c>
      <c r="E5" s="8">
        <v>1</v>
      </c>
      <c r="F5" s="8">
        <v>1</v>
      </c>
      <c r="G5" s="8">
        <v>1</v>
      </c>
      <c r="H5" s="8" t="s">
        <v>243</v>
      </c>
      <c r="O5" s="19">
        <v>3</v>
      </c>
      <c r="P5" s="19" t="s">
        <v>244</v>
      </c>
      <c r="Q5" s="17" t="s">
        <v>18</v>
      </c>
      <c r="R5" s="19"/>
      <c r="AF5" s="12">
        <v>3</v>
      </c>
      <c r="AG5" s="12" t="s">
        <v>33</v>
      </c>
      <c r="AK5" s="8">
        <v>3</v>
      </c>
      <c r="AL5" s="8" t="s">
        <v>178</v>
      </c>
    </row>
    <row r="6" spans="1:38" ht="22.15" customHeight="1" x14ac:dyDescent="0.15">
      <c r="O6" s="19">
        <v>4</v>
      </c>
      <c r="P6" s="19" t="s">
        <v>245</v>
      </c>
      <c r="Q6" s="17" t="s">
        <v>18</v>
      </c>
      <c r="R6" s="19"/>
      <c r="AF6" s="12">
        <v>4</v>
      </c>
      <c r="AG6" s="12" t="s">
        <v>40</v>
      </c>
      <c r="AK6" s="8">
        <v>4</v>
      </c>
      <c r="AL6" s="8" t="s">
        <v>18</v>
      </c>
    </row>
    <row r="7" spans="1:38" ht="22.15" customHeight="1" x14ac:dyDescent="0.15">
      <c r="O7" s="19">
        <v>5</v>
      </c>
      <c r="P7" s="19" t="s">
        <v>246</v>
      </c>
      <c r="Q7" s="17" t="s">
        <v>18</v>
      </c>
      <c r="R7" s="19"/>
      <c r="AF7" s="12">
        <v>5</v>
      </c>
      <c r="AG7" s="12" t="s">
        <v>87</v>
      </c>
      <c r="AK7" s="8">
        <v>5</v>
      </c>
      <c r="AL7" s="8" t="s">
        <v>24</v>
      </c>
    </row>
    <row r="8" spans="1:38" ht="22.15" customHeight="1" x14ac:dyDescent="0.15">
      <c r="O8" s="19">
        <v>6</v>
      </c>
      <c r="P8" s="19" t="s">
        <v>247</v>
      </c>
      <c r="Q8" s="17" t="s">
        <v>18</v>
      </c>
      <c r="R8" s="19"/>
      <c r="AF8" s="12">
        <v>6</v>
      </c>
      <c r="AG8" s="12" t="s">
        <v>58</v>
      </c>
    </row>
    <row r="9" spans="1:38" ht="22.15" customHeight="1" x14ac:dyDescent="0.15">
      <c r="O9" s="19">
        <v>7</v>
      </c>
      <c r="P9" s="19" t="s">
        <v>248</v>
      </c>
      <c r="Q9" s="17" t="s">
        <v>18</v>
      </c>
      <c r="R9" s="19"/>
    </row>
    <row r="10" spans="1:38" ht="22.15" customHeight="1" x14ac:dyDescent="0.15">
      <c r="O10" s="19">
        <v>8</v>
      </c>
      <c r="P10" s="19" t="s">
        <v>249</v>
      </c>
      <c r="Q10" s="17" t="s">
        <v>18</v>
      </c>
      <c r="R10" s="19"/>
    </row>
  </sheetData>
  <mergeCells count="7">
    <mergeCell ref="AK1:AL1"/>
    <mergeCell ref="I1:L1"/>
    <mergeCell ref="O1:R1"/>
    <mergeCell ref="U1:V1"/>
    <mergeCell ref="X1:Y1"/>
    <mergeCell ref="AB1:AC1"/>
    <mergeCell ref="AF1:AG1"/>
  </mergeCells>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885C9-23AE-4757-8B32-828A2E5D98E4}">
  <sheetPr codeName="Daily_Operation"/>
  <dimension ref="A1:AS371"/>
  <sheetViews>
    <sheetView showGridLines="0" rightToLeft="1" topLeftCell="AA1" zoomScale="101" zoomScaleNormal="205" workbookViewId="0">
      <selection activeCell="A3" sqref="A3:U3"/>
    </sheetView>
  </sheetViews>
  <sheetFormatPr defaultColWidth="8.85546875" defaultRowHeight="22.9" customHeight="1" x14ac:dyDescent="0.15"/>
  <cols>
    <col min="1" max="1" width="13.61328125" style="10" bestFit="1" customWidth="1"/>
    <col min="2" max="2" width="19.82421875" style="10" customWidth="1"/>
    <col min="3" max="3" width="14.8046875" style="10" customWidth="1"/>
    <col min="4" max="4" width="21.54296875" style="10" customWidth="1"/>
    <col min="5" max="5" width="18.50390625" style="10" customWidth="1"/>
    <col min="6" max="6" width="31.98828125" style="10" customWidth="1"/>
    <col min="7" max="7" width="90.67578125" style="10" customWidth="1"/>
    <col min="8" max="8" width="18.63671875" style="10" customWidth="1"/>
    <col min="9" max="9" width="31.45703125" style="10" bestFit="1" customWidth="1"/>
    <col min="10" max="10" width="13.34765625" style="10" customWidth="1"/>
    <col min="11" max="11" width="23.26171875" style="10" customWidth="1"/>
    <col min="12" max="12" width="16.125" style="10" customWidth="1"/>
    <col min="13" max="13" width="22.20703125" style="10" customWidth="1"/>
    <col min="14" max="14" width="51.0234375" style="10" bestFit="1" customWidth="1"/>
    <col min="15" max="15" width="22.07421875" style="10" customWidth="1"/>
    <col min="16" max="16" width="40.7109375" style="10" bestFit="1" customWidth="1"/>
    <col min="17" max="19" width="22.07421875" style="10" customWidth="1"/>
    <col min="20" max="20" width="22.07421875" style="20" customWidth="1"/>
    <col min="21" max="21" width="22.07421875" style="10" customWidth="1"/>
    <col min="22" max="22" width="25.51171875" style="10" customWidth="1"/>
    <col min="23" max="23" width="21.67578125" style="10" customWidth="1"/>
    <col min="24" max="24" width="11.3671875" style="10" customWidth="1"/>
    <col min="25" max="25" width="10.44140625" style="10" customWidth="1"/>
    <col min="26" max="26" width="151.484375" style="10" bestFit="1" customWidth="1"/>
    <col min="27" max="27" width="34.5" style="10" customWidth="1"/>
    <col min="28" max="28" width="34.76171875" style="10" customWidth="1"/>
    <col min="29" max="29" width="39.5234375" style="10" customWidth="1"/>
    <col min="30" max="30" width="30.40234375" style="10" customWidth="1"/>
    <col min="31" max="33" width="9.78125" style="10" customWidth="1"/>
    <col min="34" max="34" width="13.34765625" style="10" customWidth="1"/>
    <col min="35" max="35" width="16.125" style="10" customWidth="1"/>
    <col min="36" max="41" width="8.85546875" style="10"/>
    <col min="42" max="42" width="18.63671875" style="10" customWidth="1"/>
    <col min="43" max="43" width="17.4453125" style="10" customWidth="1"/>
    <col min="44" max="44" width="21.28125" style="10" customWidth="1"/>
    <col min="45" max="45" width="18.50390625" style="10" customWidth="1"/>
    <col min="46" max="16384" width="8.85546875" style="10"/>
  </cols>
  <sheetData>
    <row r="1" spans="1:45" ht="39" customHeight="1" x14ac:dyDescent="0.2">
      <c r="A1" s="10" t="e" vm="1">
        <v>#VALUE!</v>
      </c>
      <c r="E1" s="229" t="s">
        <v>250</v>
      </c>
      <c r="F1" s="229"/>
      <c r="G1" s="229"/>
      <c r="H1" s="229"/>
      <c r="I1" s="229"/>
      <c r="AO1" s="21"/>
      <c r="AP1" s="21" t="s">
        <v>251</v>
      </c>
      <c r="AQ1" s="21" t="s">
        <v>252</v>
      </c>
      <c r="AR1" s="21" t="s">
        <v>253</v>
      </c>
      <c r="AS1" s="21" t="s">
        <v>254</v>
      </c>
    </row>
    <row r="2" spans="1:45" s="14" customFormat="1" ht="41.45" customHeight="1" x14ac:dyDescent="0.55000000000000004">
      <c r="A2" s="179" t="s">
        <v>255</v>
      </c>
      <c r="B2" s="180" t="s">
        <v>256</v>
      </c>
      <c r="C2" s="180" t="s">
        <v>257</v>
      </c>
      <c r="D2" s="180" t="s">
        <v>258</v>
      </c>
      <c r="E2" s="180" t="s">
        <v>1</v>
      </c>
      <c r="F2" s="180" t="s">
        <v>259</v>
      </c>
      <c r="G2" s="180" t="s">
        <v>260</v>
      </c>
      <c r="H2" s="180" t="s">
        <v>261</v>
      </c>
      <c r="I2" s="180" t="s">
        <v>262</v>
      </c>
      <c r="J2" s="180" t="s">
        <v>263</v>
      </c>
      <c r="K2" s="180" t="s">
        <v>264</v>
      </c>
      <c r="L2" s="181" t="s">
        <v>265</v>
      </c>
      <c r="M2" s="181" t="s">
        <v>266</v>
      </c>
      <c r="N2" s="180" t="s">
        <v>267</v>
      </c>
      <c r="O2" s="180" t="s">
        <v>268</v>
      </c>
      <c r="P2" s="180" t="s">
        <v>269</v>
      </c>
      <c r="Q2" s="180" t="s">
        <v>270</v>
      </c>
      <c r="R2" s="180" t="s">
        <v>271</v>
      </c>
      <c r="S2" s="180" t="s">
        <v>272</v>
      </c>
      <c r="T2" s="182" t="s">
        <v>273</v>
      </c>
      <c r="U2" s="180" t="s">
        <v>274</v>
      </c>
      <c r="V2" s="183" t="s">
        <v>275</v>
      </c>
      <c r="W2" s="180" t="s">
        <v>276</v>
      </c>
      <c r="X2" s="180" t="s">
        <v>277</v>
      </c>
      <c r="Y2" s="180" t="s">
        <v>278</v>
      </c>
      <c r="Z2" s="184" t="s">
        <v>279</v>
      </c>
      <c r="AA2" s="180" t="s">
        <v>280</v>
      </c>
    </row>
    <row r="3" spans="1:45" ht="22.9" customHeight="1" x14ac:dyDescent="0.55000000000000004">
      <c r="A3" s="185">
        <f>ROW()-2</f>
        <v>1</v>
      </c>
      <c r="B3" s="186" t="s">
        <v>1259</v>
      </c>
      <c r="C3" s="214" t="s">
        <v>1253</v>
      </c>
      <c r="D3" s="185" t="s">
        <v>290</v>
      </c>
      <c r="E3" s="187">
        <f>IFERROR(INDEX(TableJudje[رقم الحساب],MATCH(Tabledaily[[#This Row],[الحســاب الدئـــن]],TableJudje[اسم الحساب],0)),0)</f>
        <v>11060205</v>
      </c>
      <c r="F3" s="185" t="s">
        <v>513</v>
      </c>
      <c r="G3" s="185" t="s">
        <v>1260</v>
      </c>
      <c r="H3" s="188">
        <f>IFERROR(INDEX(TableJudje[رقم الحساب],MATCH(Tabledaily[[#This Row],[الحســاب المديــــن]],TableJudje[اسم الحساب],0)),0)</f>
        <v>31010101</v>
      </c>
      <c r="I3" s="185" t="s">
        <v>111</v>
      </c>
      <c r="J3" s="185" t="s">
        <v>238</v>
      </c>
      <c r="K3" s="189">
        <v>200000</v>
      </c>
      <c r="L3" s="186">
        <v>405</v>
      </c>
      <c r="M3" s="190">
        <f>IFERROR(Tabledaily[[#This Row],[المبلـــــــغ]]/Tabledaily[[#This Row],[سعــــــر
الصـــــرف]],"")</f>
        <v>493.82716049382714</v>
      </c>
      <c r="N3" s="185" t="s">
        <v>987</v>
      </c>
      <c r="O3" s="185" t="s">
        <v>312</v>
      </c>
      <c r="P3" s="185" t="s">
        <v>312</v>
      </c>
      <c r="Q3" s="187"/>
      <c r="R3" s="185" t="s">
        <v>248</v>
      </c>
      <c r="S3" s="188">
        <f>IFERROR(INDEX(tablecost[رقم المركز],MATCH(Tabledaily[[#This Row],[مركـــــــزالتكلفــــــة]],tablecost[الاسم],0)),0)</f>
        <v>7</v>
      </c>
      <c r="T3" s="191">
        <f>DATE(Tabledaily[[#This Row],[السنــــة]],Tabledaily[[#This Row],[الشهــــر]],Tabledaily[[#This Row],[الـــــيوم]])</f>
        <v>46195</v>
      </c>
      <c r="U3" s="193">
        <v>46195.969768518517</v>
      </c>
      <c r="V3" s="185" t="s">
        <v>646</v>
      </c>
      <c r="W3" s="188">
        <f>YEAR(Tabledaily[[#This Row],[التاريخ]])</f>
        <v>2026</v>
      </c>
      <c r="X3" s="188">
        <f>MONTH(Tabledaily[[#This Row],[التاريخ]])</f>
        <v>6</v>
      </c>
      <c r="Y3" s="188">
        <f>DAY(Tabledaily[[#This Row],[التاريخ]])</f>
        <v>22</v>
      </c>
      <c r="Z3"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v>
      </c>
      <c r="AA3" s="188" t="str">
        <f>IF(COUNTIF(TableDailyJournal[رقم العملية],Tabledaily[[#This Row],[رقم العملية]])&gt;1,"مرحل","غير مرحل")</f>
        <v>مرحل</v>
      </c>
    </row>
    <row r="4" spans="1:45" ht="22.9" customHeight="1" x14ac:dyDescent="0.55000000000000004">
      <c r="A4" s="185">
        <f>ROW()-2</f>
        <v>2</v>
      </c>
      <c r="B4" s="186" t="s">
        <v>1255</v>
      </c>
      <c r="C4" s="214" t="s">
        <v>1253</v>
      </c>
      <c r="D4" s="185" t="s">
        <v>290</v>
      </c>
      <c r="E4" s="187">
        <f>IFERROR(INDEX(TableJudje[رقم الحساب],MATCH(Tabledaily[[#This Row],[الحســاب الدئـــن]],TableJudje[اسم الحساب],0)),0)</f>
        <v>11060205</v>
      </c>
      <c r="F4" s="185" t="s">
        <v>513</v>
      </c>
      <c r="G4" s="185" t="s">
        <v>1256</v>
      </c>
      <c r="H4" s="188">
        <f>IFERROR(INDEX(TableJudje[رقم الحساب],MATCH(Tabledaily[[#This Row],[الحســاب المديــــن]],TableJudje[اسم الحساب],0)),0)</f>
        <v>11010202</v>
      </c>
      <c r="I4" s="185" t="s">
        <v>27</v>
      </c>
      <c r="J4" s="185" t="s">
        <v>238</v>
      </c>
      <c r="K4" s="189">
        <v>200000</v>
      </c>
      <c r="L4" s="186">
        <v>405</v>
      </c>
      <c r="M4" s="190">
        <f>IFERROR(Tabledaily[[#This Row],[المبلـــــــغ]]/Tabledaily[[#This Row],[سعــــــر
الصـــــرف]],"")</f>
        <v>493.82716049382714</v>
      </c>
      <c r="N4" s="185" t="s">
        <v>1257</v>
      </c>
      <c r="O4" s="185" t="s">
        <v>286</v>
      </c>
      <c r="P4" s="185" t="s">
        <v>287</v>
      </c>
      <c r="Q4" s="187" t="s">
        <v>1258</v>
      </c>
      <c r="R4" s="185" t="s">
        <v>244</v>
      </c>
      <c r="S4" s="188">
        <f>IFERROR(INDEX(tablecost[رقم المركز],MATCH(Tabledaily[[#This Row],[مركـــــــزالتكلفــــــة]],tablecost[الاسم],0)),0)</f>
        <v>3</v>
      </c>
      <c r="T4" s="191">
        <f>DATE(Tabledaily[[#This Row],[السنــــة]],Tabledaily[[#This Row],[الشهــــر]],Tabledaily[[#This Row],[الـــــيوم]])</f>
        <v>46195</v>
      </c>
      <c r="U4" s="193">
        <v>46195.968611111108</v>
      </c>
      <c r="V4" s="185" t="s">
        <v>313</v>
      </c>
      <c r="W4" s="188">
        <f>YEAR(Tabledaily[[#This Row],[التاريخ]])</f>
        <v>2026</v>
      </c>
      <c r="X4" s="188">
        <f>MONTH(Tabledaily[[#This Row],[التاريخ]])</f>
        <v>6</v>
      </c>
      <c r="Y4" s="188">
        <f>DAY(Tabledaily[[#This Row],[التاريخ]])</f>
        <v>22</v>
      </c>
      <c r="Z4"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v>
      </c>
      <c r="AA4" s="188" t="str">
        <f>IF(COUNTIF(TableDailyJournal[رقم العملية],Tabledaily[[#This Row],[رقم العملية]])&gt;1,"مرحل","غير مرحل")</f>
        <v>مرحل</v>
      </c>
    </row>
    <row r="5" spans="1:45" ht="22.9" customHeight="1" x14ac:dyDescent="0.55000000000000004">
      <c r="A5" s="185">
        <f>ROW()-2</f>
        <v>3</v>
      </c>
      <c r="B5" s="186" t="s">
        <v>1252</v>
      </c>
      <c r="C5" s="214" t="s">
        <v>1253</v>
      </c>
      <c r="D5" s="185" t="s">
        <v>290</v>
      </c>
      <c r="E5" s="187">
        <f>IFERROR(INDEX(TableJudje[رقم الحساب],MATCH(Tabledaily[[#This Row],[الحســاب الدئـــن]],TableJudje[اسم الحساب],0)),0)</f>
        <v>11060205</v>
      </c>
      <c r="F5" s="185" t="s">
        <v>513</v>
      </c>
      <c r="G5" s="185" t="s">
        <v>1123</v>
      </c>
      <c r="H5" s="188">
        <f>IFERROR(INDEX(TableJudje[رقم الحساب],MATCH(Tabledaily[[#This Row],[الحســاب المديــــن]],TableJudje[اسم الحساب],0)),0)</f>
        <v>31010101</v>
      </c>
      <c r="I5" s="185" t="s">
        <v>111</v>
      </c>
      <c r="J5" s="185" t="s">
        <v>238</v>
      </c>
      <c r="K5" s="189">
        <v>112000</v>
      </c>
      <c r="L5" s="186">
        <v>405</v>
      </c>
      <c r="M5" s="190">
        <f>IFERROR(Tabledaily[[#This Row],[المبلـــــــغ]]/Tabledaily[[#This Row],[سعــــــر
الصـــــرف]],"")</f>
        <v>276.54320987654319</v>
      </c>
      <c r="N5" s="185" t="s">
        <v>1124</v>
      </c>
      <c r="O5" s="185" t="s">
        <v>286</v>
      </c>
      <c r="P5" s="185" t="s">
        <v>287</v>
      </c>
      <c r="Q5" s="187" t="s">
        <v>1254</v>
      </c>
      <c r="R5" s="185" t="s">
        <v>237</v>
      </c>
      <c r="S5" s="188">
        <f>IFERROR(INDEX(tablecost[رقم المركز],MATCH(Tabledaily[[#This Row],[مركـــــــزالتكلفــــــة]],tablecost[الاسم],0)),0)</f>
        <v>1</v>
      </c>
      <c r="T5" s="191">
        <f>DATE(Tabledaily[[#This Row],[السنــــة]],Tabledaily[[#This Row],[الشهــــر]],Tabledaily[[#This Row],[الـــــيوم]])</f>
        <v>46195</v>
      </c>
      <c r="U5" s="193">
        <v>46195.966249999998</v>
      </c>
      <c r="V5" s="185" t="s">
        <v>313</v>
      </c>
      <c r="W5" s="188">
        <f>YEAR(Tabledaily[[#This Row],[التاريخ]])</f>
        <v>2026</v>
      </c>
      <c r="X5" s="188">
        <f>MONTH(Tabledaily[[#This Row],[التاريخ]])</f>
        <v>6</v>
      </c>
      <c r="Y5" s="188">
        <f>DAY(Tabledaily[[#This Row],[التاريخ]])</f>
        <v>22</v>
      </c>
      <c r="Z5"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v>
      </c>
      <c r="AA5" s="188" t="str">
        <f>IF(COUNTIF(TableDailyJournal[رقم العملية],Tabledaily[[#This Row],[رقم العملية]])&gt;1,"مرحل","غير مرحل")</f>
        <v>مرحل</v>
      </c>
    </row>
    <row r="6" spans="1:45" ht="22.9" customHeight="1" x14ac:dyDescent="0.55000000000000004">
      <c r="A6" s="185">
        <f>ROW()-2</f>
        <v>4</v>
      </c>
      <c r="B6" s="186" t="s">
        <v>1241</v>
      </c>
      <c r="C6" s="214" t="s">
        <v>1198</v>
      </c>
      <c r="D6" s="185" t="s">
        <v>290</v>
      </c>
      <c r="E6" s="187">
        <f>IFERROR(INDEX(TableJudje[رقم الحساب],MATCH(Tabledaily[[#This Row],[الحســاب الدئـــن]],TableJudje[اسم الحساب],0)),0)</f>
        <v>11060205</v>
      </c>
      <c r="F6" s="185" t="s">
        <v>513</v>
      </c>
      <c r="G6" s="185" t="s">
        <v>1242</v>
      </c>
      <c r="H6" s="188">
        <f>IFERROR(INDEX(TableJudje[رقم الحساب],MATCH(Tabledaily[[#This Row],[الحســاب المديــــن]],TableJudje[اسم الحساب],0)),0)</f>
        <v>31010101</v>
      </c>
      <c r="I6" s="185" t="s">
        <v>111</v>
      </c>
      <c r="J6" s="185" t="s">
        <v>238</v>
      </c>
      <c r="K6" s="189">
        <v>196000</v>
      </c>
      <c r="L6" s="186">
        <v>405</v>
      </c>
      <c r="M6" s="190">
        <f>IFERROR(Tabledaily[[#This Row],[المبلـــــــغ]]/Tabledaily[[#This Row],[سعــــــر
الصـــــرف]],"")</f>
        <v>483.95061728395063</v>
      </c>
      <c r="N6" s="185" t="s">
        <v>987</v>
      </c>
      <c r="O6" s="185" t="s">
        <v>312</v>
      </c>
      <c r="P6" s="185" t="s">
        <v>312</v>
      </c>
      <c r="Q6" s="187"/>
      <c r="R6" s="185" t="s">
        <v>248</v>
      </c>
      <c r="S6" s="188">
        <f>IFERROR(INDEX(tablecost[رقم المركز],MATCH(Tabledaily[[#This Row],[مركـــــــزالتكلفــــــة]],tablecost[الاسم],0)),0)</f>
        <v>7</v>
      </c>
      <c r="T6" s="191">
        <f>DATE(Tabledaily[[#This Row],[السنــــة]],Tabledaily[[#This Row],[الشهــــر]],Tabledaily[[#This Row],[الـــــيوم]])</f>
        <v>46194</v>
      </c>
      <c r="U6" s="193">
        <v>46195.826249999998</v>
      </c>
      <c r="V6" s="185" t="s">
        <v>646</v>
      </c>
      <c r="W6" s="188">
        <f>YEAR(Tabledaily[[#This Row],[التاريخ]])</f>
        <v>2026</v>
      </c>
      <c r="X6" s="188">
        <f>MONTH(Tabledaily[[#This Row],[التاريخ]])</f>
        <v>6</v>
      </c>
      <c r="Y6" s="188">
        <f>DAY(Tabledaily[[#This Row],[التاريخ]])</f>
        <v>21</v>
      </c>
      <c r="Z6"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v>
      </c>
      <c r="AA6" s="188" t="str">
        <f>IF(COUNTIF(TableDailyJournal[رقم العملية],Tabledaily[[#This Row],[رقم العملية]])&gt;1,"مرحل","غير مرحل")</f>
        <v>مرحل</v>
      </c>
    </row>
    <row r="7" spans="1:45" ht="22.9" customHeight="1" x14ac:dyDescent="0.55000000000000004">
      <c r="A7" s="185">
        <f>ROW()-2</f>
        <v>5</v>
      </c>
      <c r="B7" s="186" t="s">
        <v>1239</v>
      </c>
      <c r="C7" s="214" t="s">
        <v>1198</v>
      </c>
      <c r="D7" s="185" t="s">
        <v>290</v>
      </c>
      <c r="E7" s="187">
        <f>IFERROR(INDEX(TableJudje[رقم الحساب],MATCH(Tabledaily[[#This Row],[الحســاب الدئـــن]],TableJudje[اسم الحساب],0)),0)</f>
        <v>11060205</v>
      </c>
      <c r="F7" s="185" t="s">
        <v>513</v>
      </c>
      <c r="G7" s="185" t="s">
        <v>1123</v>
      </c>
      <c r="H7" s="188">
        <f>IFERROR(INDEX(TableJudje[رقم الحساب],MATCH(Tabledaily[[#This Row],[الحســاب المديــــن]],TableJudje[اسم الحساب],0)),0)</f>
        <v>31010114</v>
      </c>
      <c r="I7" s="185" t="s">
        <v>121</v>
      </c>
      <c r="J7" s="185" t="s">
        <v>238</v>
      </c>
      <c r="K7" s="189">
        <v>560000</v>
      </c>
      <c r="L7" s="186">
        <v>405</v>
      </c>
      <c r="M7" s="190">
        <f>IFERROR(Tabledaily[[#This Row],[المبلـــــــغ]]/Tabledaily[[#This Row],[سعــــــر
الصـــــرف]],"")</f>
        <v>1382.7160493827159</v>
      </c>
      <c r="N7" s="185" t="s">
        <v>1124</v>
      </c>
      <c r="O7" s="185" t="s">
        <v>286</v>
      </c>
      <c r="P7" s="185" t="s">
        <v>287</v>
      </c>
      <c r="Q7" s="187" t="s">
        <v>1240</v>
      </c>
      <c r="R7" s="185" t="s">
        <v>237</v>
      </c>
      <c r="S7" s="188">
        <f>IFERROR(INDEX(tablecost[رقم المركز],MATCH(Tabledaily[[#This Row],[مركـــــــزالتكلفــــــة]],tablecost[الاسم],0)),0)</f>
        <v>1</v>
      </c>
      <c r="T7" s="191">
        <f>DATE(Tabledaily[[#This Row],[السنــــة]],Tabledaily[[#This Row],[الشهــــر]],Tabledaily[[#This Row],[الـــــيوم]])</f>
        <v>46194</v>
      </c>
      <c r="U7" s="193">
        <v>46195.824652777781</v>
      </c>
      <c r="V7" s="185" t="s">
        <v>313</v>
      </c>
      <c r="W7" s="188">
        <f>YEAR(Tabledaily[[#This Row],[التاريخ]])</f>
        <v>2026</v>
      </c>
      <c r="X7" s="188">
        <f>MONTH(Tabledaily[[#This Row],[التاريخ]])</f>
        <v>6</v>
      </c>
      <c r="Y7" s="188">
        <f>DAY(Tabledaily[[#This Row],[التاريخ]])</f>
        <v>21</v>
      </c>
      <c r="Z7"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v>
      </c>
      <c r="AA7" s="188" t="str">
        <f>IF(COUNTIF(TableDailyJournal[رقم العملية],Tabledaily[[#This Row],[رقم العملية]])&gt;1,"مرحل","غير مرحل")</f>
        <v>مرحل</v>
      </c>
    </row>
    <row r="8" spans="1:45" ht="22.9" customHeight="1" x14ac:dyDescent="0.55000000000000004">
      <c r="A8" s="185">
        <f>ROW()-2</f>
        <v>6</v>
      </c>
      <c r="B8" s="186" t="s">
        <v>1236</v>
      </c>
      <c r="C8" s="214" t="s">
        <v>1198</v>
      </c>
      <c r="D8" s="185" t="s">
        <v>290</v>
      </c>
      <c r="E8" s="187">
        <f>IFERROR(INDEX(TableJudje[رقم الحساب],MATCH(Tabledaily[[#This Row],[الحســاب الدئـــن]],TableJudje[اسم الحساب],0)),0)</f>
        <v>11060205</v>
      </c>
      <c r="F8" s="185" t="s">
        <v>513</v>
      </c>
      <c r="G8" s="185" t="s">
        <v>1216</v>
      </c>
      <c r="H8" s="188">
        <f>IFERROR(INDEX(TableJudje[رقم الحساب],MATCH(Tabledaily[[#This Row],[الحســاب المديــــن]],TableJudje[اسم الحساب],0)),0)</f>
        <v>31010122</v>
      </c>
      <c r="I8" s="185" t="s">
        <v>487</v>
      </c>
      <c r="J8" s="185" t="s">
        <v>238</v>
      </c>
      <c r="K8" s="189">
        <v>80000</v>
      </c>
      <c r="L8" s="186">
        <v>405</v>
      </c>
      <c r="M8" s="190">
        <f>IFERROR(Tabledaily[[#This Row],[المبلـــــــغ]]/Tabledaily[[#This Row],[سعــــــر
الصـــــرف]],"")</f>
        <v>197.53086419753086</v>
      </c>
      <c r="N8" s="185" t="s">
        <v>1237</v>
      </c>
      <c r="O8" s="185" t="s">
        <v>286</v>
      </c>
      <c r="P8" s="185" t="s">
        <v>287</v>
      </c>
      <c r="Q8" s="187" t="s">
        <v>1238</v>
      </c>
      <c r="R8" s="185" t="s">
        <v>248</v>
      </c>
      <c r="S8" s="188">
        <f>IFERROR(INDEX(tablecost[رقم المركز],MATCH(Tabledaily[[#This Row],[مركـــــــزالتكلفــــــة]],tablecost[الاسم],0)),0)</f>
        <v>7</v>
      </c>
      <c r="T8" s="191">
        <f>DATE(Tabledaily[[#This Row],[السنــــة]],Tabledaily[[#This Row],[الشهــــر]],Tabledaily[[#This Row],[الـــــيوم]])</f>
        <v>46194</v>
      </c>
      <c r="U8" s="193">
        <v>46195.822488425925</v>
      </c>
      <c r="V8" s="185" t="s">
        <v>646</v>
      </c>
      <c r="W8" s="188">
        <f>YEAR(Tabledaily[[#This Row],[التاريخ]])</f>
        <v>2026</v>
      </c>
      <c r="X8" s="188">
        <f>MONTH(Tabledaily[[#This Row],[التاريخ]])</f>
        <v>6</v>
      </c>
      <c r="Y8" s="188">
        <f>DAY(Tabledaily[[#This Row],[التاريخ]])</f>
        <v>21</v>
      </c>
      <c r="Z8"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v>
      </c>
      <c r="AA8" s="188" t="str">
        <f>IF(COUNTIF(TableDailyJournal[رقم العملية],Tabledaily[[#This Row],[رقم العملية]])&gt;1,"مرحل","غير مرحل")</f>
        <v>مرحل</v>
      </c>
    </row>
    <row r="9" spans="1:45" ht="22.9" customHeight="1" x14ac:dyDescent="0.55000000000000004">
      <c r="A9" s="185">
        <f>ROW()-2</f>
        <v>7</v>
      </c>
      <c r="B9" s="186" t="s">
        <v>1233</v>
      </c>
      <c r="C9" s="214" t="s">
        <v>1198</v>
      </c>
      <c r="D9" s="185" t="s">
        <v>290</v>
      </c>
      <c r="E9" s="187">
        <f>IFERROR(INDEX(TableJudje[رقم الحساب],MATCH(Tabledaily[[#This Row],[الحســاب الدئـــن]],TableJudje[اسم الحساب],0)),0)</f>
        <v>11060205</v>
      </c>
      <c r="F9" s="185" t="s">
        <v>513</v>
      </c>
      <c r="G9" s="185" t="s">
        <v>1234</v>
      </c>
      <c r="H9" s="188">
        <f>IFERROR(INDEX(TableJudje[رقم الحساب],MATCH(Tabledaily[[#This Row],[الحســاب المديــــن]],TableJudje[اسم الحساب],0)),0)</f>
        <v>31010115</v>
      </c>
      <c r="I9" s="185" t="s">
        <v>486</v>
      </c>
      <c r="J9" s="185" t="s">
        <v>238</v>
      </c>
      <c r="K9" s="189">
        <v>100000</v>
      </c>
      <c r="L9" s="186">
        <v>405</v>
      </c>
      <c r="M9" s="190">
        <f>IFERROR(Tabledaily[[#This Row],[المبلـــــــغ]]/Tabledaily[[#This Row],[سعــــــر
الصـــــرف]],"")</f>
        <v>246.91358024691357</v>
      </c>
      <c r="N9" s="185" t="s">
        <v>766</v>
      </c>
      <c r="O9" s="185" t="s">
        <v>286</v>
      </c>
      <c r="P9" s="185" t="s">
        <v>287</v>
      </c>
      <c r="Q9" s="187" t="s">
        <v>1235</v>
      </c>
      <c r="R9" s="185" t="s">
        <v>237</v>
      </c>
      <c r="S9" s="188">
        <f>IFERROR(INDEX(tablecost[رقم المركز],MATCH(Tabledaily[[#This Row],[مركـــــــزالتكلفــــــة]],tablecost[الاسم],0)),0)</f>
        <v>1</v>
      </c>
      <c r="T9" s="191">
        <f>DATE(Tabledaily[[#This Row],[السنــــة]],Tabledaily[[#This Row],[الشهــــر]],Tabledaily[[#This Row],[الـــــيوم]])</f>
        <v>46194</v>
      </c>
      <c r="U9" s="193">
        <v>46195.82136574074</v>
      </c>
      <c r="V9" s="185" t="s">
        <v>293</v>
      </c>
      <c r="W9" s="188">
        <f>YEAR(Tabledaily[[#This Row],[التاريخ]])</f>
        <v>2026</v>
      </c>
      <c r="X9" s="188">
        <f>MONTH(Tabledaily[[#This Row],[التاريخ]])</f>
        <v>6</v>
      </c>
      <c r="Y9" s="188">
        <f>DAY(Tabledaily[[#This Row],[التاريخ]])</f>
        <v>21</v>
      </c>
      <c r="Z9"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مياة - وايت الماء - الفرقة الثالثة)  - استلام نقدي رقم 100-109  سند استلام - تعبئة القاطرة ماء من الخشعة والعودة بامرالأركان جمال مسدوس</v>
      </c>
      <c r="AA9" s="188" t="str">
        <f>IF(COUNTIF(TableDailyJournal[رقم العملية],Tabledaily[[#This Row],[رقم العملية]])&gt;1,"مرحل","غير مرحل")</f>
        <v>مرحل</v>
      </c>
    </row>
    <row r="10" spans="1:45" ht="22.9" customHeight="1" x14ac:dyDescent="0.55000000000000004">
      <c r="A10" s="185">
        <f>ROW()-2</f>
        <v>8</v>
      </c>
      <c r="B10" s="186" t="s">
        <v>1230</v>
      </c>
      <c r="C10" s="214" t="s">
        <v>1198</v>
      </c>
      <c r="D10" s="185" t="s">
        <v>290</v>
      </c>
      <c r="E10" s="187">
        <f>IFERROR(INDEX(TableJudje[رقم الحساب],MATCH(Tabledaily[[#This Row],[الحســاب الدئـــن]],TableJudje[اسم الحساب],0)),0)</f>
        <v>11060205</v>
      </c>
      <c r="F10" s="185" t="s">
        <v>513</v>
      </c>
      <c r="G10" s="185" t="s">
        <v>1216</v>
      </c>
      <c r="H10" s="188">
        <f>IFERROR(INDEX(TableJudje[رقم الحساب],MATCH(Tabledaily[[#This Row],[الحســاب المديــــن]],TableJudje[اسم الحساب],0)),0)</f>
        <v>31010122</v>
      </c>
      <c r="I10" s="185" t="s">
        <v>487</v>
      </c>
      <c r="J10" s="185" t="s">
        <v>238</v>
      </c>
      <c r="K10" s="189">
        <v>80000</v>
      </c>
      <c r="L10" s="186">
        <v>405</v>
      </c>
      <c r="M10" s="190">
        <f>IFERROR(Tabledaily[[#This Row],[المبلـــــــغ]]/Tabledaily[[#This Row],[سعــــــر
الصـــــرف]],"")</f>
        <v>197.53086419753086</v>
      </c>
      <c r="N10" s="185" t="s">
        <v>1231</v>
      </c>
      <c r="O10" s="185" t="s">
        <v>286</v>
      </c>
      <c r="P10" s="185" t="s">
        <v>287</v>
      </c>
      <c r="Q10" s="187" t="s">
        <v>1232</v>
      </c>
      <c r="R10" s="185" t="s">
        <v>248</v>
      </c>
      <c r="S10" s="188">
        <f>IFERROR(INDEX(tablecost[رقم المركز],MATCH(Tabledaily[[#This Row],[مركـــــــزالتكلفــــــة]],tablecost[الاسم],0)),0)</f>
        <v>7</v>
      </c>
      <c r="T10" s="191">
        <f>DATE(Tabledaily[[#This Row],[السنــــة]],Tabledaily[[#This Row],[الشهــــر]],Tabledaily[[#This Row],[الـــــيوم]])</f>
        <v>46194</v>
      </c>
      <c r="U10" s="193">
        <v>46195.817210648151</v>
      </c>
      <c r="V10" s="185" t="s">
        <v>646</v>
      </c>
      <c r="W10" s="188">
        <f>YEAR(Tabledaily[[#This Row],[التاريخ]])</f>
        <v>2026</v>
      </c>
      <c r="X10" s="188">
        <f>MONTH(Tabledaily[[#This Row],[التاريخ]])</f>
        <v>6</v>
      </c>
      <c r="Y10" s="188">
        <f>DAY(Tabledaily[[#This Row],[التاريخ]])</f>
        <v>21</v>
      </c>
      <c r="Z10"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v>
      </c>
      <c r="AA10" s="188" t="str">
        <f>IF(COUNTIF(TableDailyJournal[رقم العملية],Tabledaily[[#This Row],[رقم العملية]])&gt;1,"مرحل","غير مرحل")</f>
        <v>مرحل</v>
      </c>
    </row>
    <row r="11" spans="1:45" ht="22.9" customHeight="1" x14ac:dyDescent="0.55000000000000004">
      <c r="A11" s="185">
        <f>ROW()-2</f>
        <v>9</v>
      </c>
      <c r="B11" s="186" t="s">
        <v>1227</v>
      </c>
      <c r="C11" s="214" t="s">
        <v>1198</v>
      </c>
      <c r="D11" s="185" t="s">
        <v>290</v>
      </c>
      <c r="E11" s="187">
        <f>IFERROR(INDEX(TableJudje[رقم الحساب],MATCH(Tabledaily[[#This Row],[الحســاب الدئـــن]],TableJudje[اسم الحساب],0)),0)</f>
        <v>11060205</v>
      </c>
      <c r="F11" s="185" t="s">
        <v>513</v>
      </c>
      <c r="G11" s="185" t="s">
        <v>1216</v>
      </c>
      <c r="H11" s="188">
        <f>IFERROR(INDEX(TableJudje[رقم الحساب],MATCH(Tabledaily[[#This Row],[الحســاب المديــــن]],TableJudje[اسم الحساب],0)),0)</f>
        <v>31010122</v>
      </c>
      <c r="I11" s="185" t="s">
        <v>487</v>
      </c>
      <c r="J11" s="185" t="s">
        <v>238</v>
      </c>
      <c r="K11" s="189">
        <v>80000</v>
      </c>
      <c r="L11" s="186">
        <v>405</v>
      </c>
      <c r="M11" s="190">
        <f>IFERROR(Tabledaily[[#This Row],[المبلـــــــغ]]/Tabledaily[[#This Row],[سعــــــر
الصـــــرف]],"")</f>
        <v>197.53086419753086</v>
      </c>
      <c r="N11" s="185" t="s">
        <v>1228</v>
      </c>
      <c r="O11" s="185" t="s">
        <v>286</v>
      </c>
      <c r="P11" s="185" t="s">
        <v>287</v>
      </c>
      <c r="Q11" s="187" t="s">
        <v>1229</v>
      </c>
      <c r="R11" s="185" t="s">
        <v>248</v>
      </c>
      <c r="S11" s="188">
        <f>IFERROR(INDEX(tablecost[رقم المركز],MATCH(Tabledaily[[#This Row],[مركـــــــزالتكلفــــــة]],tablecost[الاسم],0)),0)</f>
        <v>7</v>
      </c>
      <c r="T11" s="191">
        <f>DATE(Tabledaily[[#This Row],[السنــــة]],Tabledaily[[#This Row],[الشهــــر]],Tabledaily[[#This Row],[الـــــيوم]])</f>
        <v>46194</v>
      </c>
      <c r="U11" s="193">
        <v>46195.815868055557</v>
      </c>
      <c r="V11" s="185" t="s">
        <v>646</v>
      </c>
      <c r="W11" s="188">
        <f>YEAR(Tabledaily[[#This Row],[التاريخ]])</f>
        <v>2026</v>
      </c>
      <c r="X11" s="188">
        <f>MONTH(Tabledaily[[#This Row],[التاريخ]])</f>
        <v>6</v>
      </c>
      <c r="Y11" s="188">
        <f>DAY(Tabledaily[[#This Row],[التاريخ]])</f>
        <v>21</v>
      </c>
      <c r="Z11"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v>
      </c>
      <c r="AA11" s="188" t="str">
        <f>IF(COUNTIF(TableDailyJournal[رقم العملية],Tabledaily[[#This Row],[رقم العملية]])&gt;1,"مرحل","غير مرحل")</f>
        <v>مرحل</v>
      </c>
    </row>
    <row r="12" spans="1:45" ht="22.9" customHeight="1" x14ac:dyDescent="0.55000000000000004">
      <c r="A12" s="185">
        <f>ROW()-2</f>
        <v>10</v>
      </c>
      <c r="B12" s="186" t="s">
        <v>1219</v>
      </c>
      <c r="C12" s="214" t="s">
        <v>1198</v>
      </c>
      <c r="D12" s="185" t="s">
        <v>290</v>
      </c>
      <c r="E12" s="187">
        <f>IFERROR(INDEX(TableJudje[رقم الحساب],MATCH(Tabledaily[[#This Row],[الحســاب الدئـــن]],TableJudje[اسم الحساب],0)),0)</f>
        <v>11060205</v>
      </c>
      <c r="F12" s="185" t="s">
        <v>513</v>
      </c>
      <c r="G12" s="185" t="s">
        <v>1216</v>
      </c>
      <c r="H12" s="188">
        <f>IFERROR(INDEX(TableJudje[رقم الحساب],MATCH(Tabledaily[[#This Row],[الحســاب المديــــن]],TableJudje[اسم الحساب],0)),0)</f>
        <v>31010122</v>
      </c>
      <c r="I12" s="185" t="s">
        <v>487</v>
      </c>
      <c r="J12" s="185" t="s">
        <v>238</v>
      </c>
      <c r="K12" s="189">
        <v>80000</v>
      </c>
      <c r="L12" s="186">
        <v>405</v>
      </c>
      <c r="M12" s="190">
        <f>IFERROR(Tabledaily[[#This Row],[المبلـــــــغ]]/Tabledaily[[#This Row],[سعــــــر
الصـــــرف]],"")</f>
        <v>197.53086419753086</v>
      </c>
      <c r="N12" s="185" t="s">
        <v>1220</v>
      </c>
      <c r="O12" s="185" t="s">
        <v>286</v>
      </c>
      <c r="P12" s="185" t="s">
        <v>287</v>
      </c>
      <c r="Q12" s="187" t="s">
        <v>1221</v>
      </c>
      <c r="R12" s="185" t="s">
        <v>248</v>
      </c>
      <c r="S12" s="188">
        <f>IFERROR(INDEX(tablecost[رقم المركز],MATCH(Tabledaily[[#This Row],[مركـــــــزالتكلفــــــة]],tablecost[الاسم],0)),0)</f>
        <v>7</v>
      </c>
      <c r="T12" s="191">
        <f>DATE(Tabledaily[[#This Row],[السنــــة]],Tabledaily[[#This Row],[الشهــــر]],Tabledaily[[#This Row],[الـــــيوم]])</f>
        <v>46194</v>
      </c>
      <c r="U12" s="193">
        <v>46195.811666666668</v>
      </c>
      <c r="V12" s="185" t="s">
        <v>646</v>
      </c>
      <c r="W12" s="188">
        <f>YEAR(Tabledaily[[#This Row],[التاريخ]])</f>
        <v>2026</v>
      </c>
      <c r="X12" s="188">
        <f>MONTH(Tabledaily[[#This Row],[التاريخ]])</f>
        <v>6</v>
      </c>
      <c r="Y12" s="188">
        <f>DAY(Tabledaily[[#This Row],[التاريخ]])</f>
        <v>21</v>
      </c>
      <c r="Z12"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v>
      </c>
      <c r="AA12" s="188" t="str">
        <f>IF(COUNTIF(TableDailyJournal[رقم العملية],Tabledaily[[#This Row],[رقم العملية]])&gt;1,"مرحل","غير مرحل")</f>
        <v>مرحل</v>
      </c>
    </row>
    <row r="13" spans="1:45" ht="22.9" customHeight="1" x14ac:dyDescent="0.55000000000000004">
      <c r="A13" s="185">
        <f>ROW()-2</f>
        <v>11</v>
      </c>
      <c r="B13" s="186" t="s">
        <v>1215</v>
      </c>
      <c r="C13" s="214" t="s">
        <v>1198</v>
      </c>
      <c r="D13" s="185" t="s">
        <v>290</v>
      </c>
      <c r="E13" s="187">
        <f>IFERROR(INDEX(TableJudje[رقم الحساب],MATCH(Tabledaily[[#This Row],[الحســاب الدئـــن]],TableJudje[اسم الحساب],0)),0)</f>
        <v>11060205</v>
      </c>
      <c r="F13" s="185" t="s">
        <v>513</v>
      </c>
      <c r="G13" s="185" t="s">
        <v>1216</v>
      </c>
      <c r="H13" s="188">
        <f>IFERROR(INDEX(TableJudje[رقم الحساب],MATCH(Tabledaily[[#This Row],[الحســاب المديــــن]],TableJudje[اسم الحساب],0)),0)</f>
        <v>31010122</v>
      </c>
      <c r="I13" s="185" t="s">
        <v>487</v>
      </c>
      <c r="J13" s="185" t="s">
        <v>238</v>
      </c>
      <c r="K13" s="189">
        <v>60000</v>
      </c>
      <c r="L13" s="186">
        <v>405</v>
      </c>
      <c r="M13" s="190">
        <f>IFERROR(Tabledaily[[#This Row],[المبلـــــــغ]]/Tabledaily[[#This Row],[سعــــــر
الصـــــرف]],"")</f>
        <v>148.14814814814815</v>
      </c>
      <c r="N13" s="185" t="s">
        <v>1217</v>
      </c>
      <c r="O13" s="185" t="s">
        <v>286</v>
      </c>
      <c r="P13" s="185" t="s">
        <v>287</v>
      </c>
      <c r="Q13" s="187" t="s">
        <v>1218</v>
      </c>
      <c r="R13" s="185" t="s">
        <v>248</v>
      </c>
      <c r="S13" s="188">
        <f>IFERROR(INDEX(tablecost[رقم المركز],MATCH(Tabledaily[[#This Row],[مركـــــــزالتكلفــــــة]],tablecost[الاسم],0)),0)</f>
        <v>7</v>
      </c>
      <c r="T13" s="191">
        <f>DATE(Tabledaily[[#This Row],[السنــــة]],Tabledaily[[#This Row],[الشهــــر]],Tabledaily[[#This Row],[الـــــيوم]])</f>
        <v>46194</v>
      </c>
      <c r="U13" s="193">
        <v>46195.810381944444</v>
      </c>
      <c r="V13" s="185" t="s">
        <v>646</v>
      </c>
      <c r="W13" s="188">
        <f>YEAR(Tabledaily[[#This Row],[التاريخ]])</f>
        <v>2026</v>
      </c>
      <c r="X13" s="188">
        <f>MONTH(Tabledaily[[#This Row],[التاريخ]])</f>
        <v>6</v>
      </c>
      <c r="Y13" s="188">
        <f>DAY(Tabledaily[[#This Row],[التاريخ]])</f>
        <v>21</v>
      </c>
      <c r="Z13"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v>
      </c>
      <c r="AA13" s="188" t="str">
        <f>IF(COUNTIF(TableDailyJournal[رقم العملية],Tabledaily[[#This Row],[رقم العملية]])&gt;1,"مرحل","غير مرحل")</f>
        <v>مرحل</v>
      </c>
    </row>
    <row r="14" spans="1:45" ht="22.9" customHeight="1" x14ac:dyDescent="0.55000000000000004">
      <c r="A14" s="185">
        <f>ROW()-2</f>
        <v>12</v>
      </c>
      <c r="B14" s="186" t="s">
        <v>1214</v>
      </c>
      <c r="C14" s="214" t="s">
        <v>1198</v>
      </c>
      <c r="D14" s="185" t="s">
        <v>290</v>
      </c>
      <c r="E14" s="187">
        <f>IFERROR(INDEX(TableJudje[رقم الحساب],MATCH(Tabledaily[[#This Row],[الحســاب الدئـــن]],TableJudje[اسم الحساب],0)),0)</f>
        <v>11060205</v>
      </c>
      <c r="F14" s="185" t="s">
        <v>513</v>
      </c>
      <c r="G14" s="22" t="s">
        <v>1111</v>
      </c>
      <c r="H14" s="188">
        <f>IFERROR(INDEX(TableJudje[رقم الحساب],MATCH(Tabledaily[[#This Row],[الحســاب المديــــن]],TableJudje[اسم الحساب],0)),0)</f>
        <v>31010101</v>
      </c>
      <c r="I14" s="185" t="s">
        <v>111</v>
      </c>
      <c r="J14" s="185" t="s">
        <v>238</v>
      </c>
      <c r="K14" s="189">
        <v>100000</v>
      </c>
      <c r="L14" s="186">
        <v>405</v>
      </c>
      <c r="M14" s="190">
        <f>IFERROR(Tabledaily[[#This Row],[المبلـــــــغ]]/Tabledaily[[#This Row],[سعــــــر
الصـــــرف]],"")</f>
        <v>246.91358024691357</v>
      </c>
      <c r="N14" s="185" t="s">
        <v>325</v>
      </c>
      <c r="O14" s="185" t="s">
        <v>312</v>
      </c>
      <c r="P14" s="185" t="s">
        <v>312</v>
      </c>
      <c r="Q14" s="187"/>
      <c r="R14" s="185" t="s">
        <v>237</v>
      </c>
      <c r="S14" s="188">
        <f>IFERROR(INDEX(tablecost[رقم المركز],MATCH(Tabledaily[[#This Row],[مركـــــــزالتكلفــــــة]],tablecost[الاسم],0)),0)</f>
        <v>1</v>
      </c>
      <c r="T14" s="191">
        <f>DATE(Tabledaily[[#This Row],[السنــــة]],Tabledaily[[#This Row],[الشهــــر]],Tabledaily[[#This Row],[الـــــيوم]])</f>
        <v>46194</v>
      </c>
      <c r="U14" s="193">
        <v>46195.808749999997</v>
      </c>
      <c r="V14" s="185"/>
      <c r="W14" s="188">
        <f>YEAR(Tabledaily[[#This Row],[التاريخ]])</f>
        <v>2026</v>
      </c>
      <c r="X14" s="188">
        <f>MONTH(Tabledaily[[#This Row],[التاريخ]])</f>
        <v>6</v>
      </c>
      <c r="Y14" s="188">
        <f>DAY(Tabledaily[[#This Row],[التاريخ]])</f>
        <v>21</v>
      </c>
      <c r="Z14"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للضباط السابقين عدد 10 ضباط بامر</v>
      </c>
      <c r="AA14" s="188" t="str">
        <f>IF(COUNTIF(TableDailyJournal[رقم العملية],Tabledaily[[#This Row],[رقم العملية]])&gt;1,"مرحل","غير مرحل")</f>
        <v>مرحل</v>
      </c>
    </row>
    <row r="15" spans="1:45" ht="22.9" customHeight="1" x14ac:dyDescent="0.55000000000000004">
      <c r="A15" s="185">
        <f>ROW()-2</f>
        <v>13</v>
      </c>
      <c r="B15" s="186" t="s">
        <v>1213</v>
      </c>
      <c r="C15" s="214" t="s">
        <v>1198</v>
      </c>
      <c r="D15" s="185" t="s">
        <v>290</v>
      </c>
      <c r="E15" s="187">
        <f>IFERROR(INDEX(TableJudje[رقم الحساب],MATCH(Tabledaily[[#This Row],[الحســاب الدئـــن]],TableJudje[اسم الحساب],0)),0)</f>
        <v>11060205</v>
      </c>
      <c r="F15" s="185" t="s">
        <v>513</v>
      </c>
      <c r="G15" s="185" t="s">
        <v>973</v>
      </c>
      <c r="H15" s="188">
        <f>IFERROR(INDEX(TableJudje[رقم الحساب],MATCH(Tabledaily[[#This Row],[الحســاب المديــــن]],TableJudje[اسم الحساب],0)),0)</f>
        <v>31010101</v>
      </c>
      <c r="I15" s="185" t="s">
        <v>111</v>
      </c>
      <c r="J15" s="185" t="s">
        <v>238</v>
      </c>
      <c r="K15" s="189">
        <v>80000</v>
      </c>
      <c r="L15" s="186">
        <v>405</v>
      </c>
      <c r="M15" s="190">
        <f>IFERROR(Tabledaily[[#This Row],[المبلـــــــغ]]/Tabledaily[[#This Row],[سعــــــر
الصـــــرف]],"")</f>
        <v>197.53086419753086</v>
      </c>
      <c r="N15" s="185" t="s">
        <v>322</v>
      </c>
      <c r="O15" s="185" t="s">
        <v>312</v>
      </c>
      <c r="P15" s="185" t="s">
        <v>312</v>
      </c>
      <c r="Q15" s="187"/>
      <c r="R15" s="185" t="s">
        <v>237</v>
      </c>
      <c r="S15" s="188">
        <f>IFERROR(INDEX(tablecost[رقم المركز],MATCH(Tabledaily[[#This Row],[مركـــــــزالتكلفــــــة]],tablecost[الاسم],0)),0)</f>
        <v>1</v>
      </c>
      <c r="T15" s="191">
        <f>DATE(Tabledaily[[#This Row],[السنــــة]],Tabledaily[[#This Row],[الشهــــر]],Tabledaily[[#This Row],[الـــــيوم]])</f>
        <v>46194</v>
      </c>
      <c r="U15" s="193">
        <v>46195.807743055557</v>
      </c>
      <c r="V15" s="185"/>
      <c r="W15" s="188">
        <f>YEAR(Tabledaily[[#This Row],[التاريخ]])</f>
        <v>2026</v>
      </c>
      <c r="X15" s="188">
        <f>MONTH(Tabledaily[[#This Row],[التاريخ]])</f>
        <v>6</v>
      </c>
      <c r="Y15" s="188">
        <f>DAY(Tabledaily[[#This Row],[التاريخ]])</f>
        <v>21</v>
      </c>
      <c r="Z15"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صرف الصرفة اليومية اخرون لعدد 9 افراد بامر</v>
      </c>
      <c r="AA15" s="188" t="str">
        <f>IF(COUNTIF(TableDailyJournal[رقم العملية],Tabledaily[[#This Row],[رقم العملية]])&gt;1,"مرحل","غير مرحل")</f>
        <v>مرحل</v>
      </c>
    </row>
    <row r="16" spans="1:45" ht="22.9" customHeight="1" x14ac:dyDescent="0.55000000000000004">
      <c r="A16" s="185">
        <f>ROW()-2</f>
        <v>14</v>
      </c>
      <c r="B16" s="186" t="s">
        <v>1212</v>
      </c>
      <c r="C16" s="214" t="s">
        <v>1198</v>
      </c>
      <c r="D16" s="185" t="s">
        <v>290</v>
      </c>
      <c r="E16" s="187">
        <f>IFERROR(INDEX(TableJudje[رقم الحساب],MATCH(Tabledaily[[#This Row],[الحســاب الدئـــن]],TableJudje[اسم الحساب],0)),0)</f>
        <v>11060205</v>
      </c>
      <c r="F16" s="185" t="s">
        <v>513</v>
      </c>
      <c r="G16" s="185" t="s">
        <v>1107</v>
      </c>
      <c r="H16" s="188">
        <f>IFERROR(INDEX(TableJudje[رقم الحساب],MATCH(Tabledaily[[#This Row],[الحســاب المديــــن]],TableJudje[اسم الحساب],0)),0)</f>
        <v>31010101</v>
      </c>
      <c r="I16" s="185" t="s">
        <v>111</v>
      </c>
      <c r="J16" s="185" t="s">
        <v>238</v>
      </c>
      <c r="K16" s="189">
        <v>33000</v>
      </c>
      <c r="L16" s="186">
        <v>405</v>
      </c>
      <c r="M16" s="190">
        <f>IFERROR(Tabledaily[[#This Row],[المبلـــــــغ]]/Tabledaily[[#This Row],[سعــــــر
الصـــــرف]],"")</f>
        <v>81.481481481481481</v>
      </c>
      <c r="N16" s="185" t="s">
        <v>459</v>
      </c>
      <c r="O16" s="185" t="s">
        <v>312</v>
      </c>
      <c r="P16" s="185" t="s">
        <v>312</v>
      </c>
      <c r="Q16" s="187"/>
      <c r="R16" s="185" t="s">
        <v>237</v>
      </c>
      <c r="S16" s="188">
        <f>IFERROR(INDEX(tablecost[رقم المركز],MATCH(Tabledaily[[#This Row],[مركـــــــزالتكلفــــــة]],tablecost[الاسم],0)),0)</f>
        <v>1</v>
      </c>
      <c r="T16" s="191">
        <f>DATE(Tabledaily[[#This Row],[السنــــة]],Tabledaily[[#This Row],[الشهــــر]],Tabledaily[[#This Row],[الـــــيوم]])</f>
        <v>46194</v>
      </c>
      <c r="U16" s="193">
        <v>46195.80667824074</v>
      </c>
      <c r="V16" s="185"/>
      <c r="W16" s="188">
        <f>YEAR(Tabledaily[[#This Row],[التاريخ]])</f>
        <v>2026</v>
      </c>
      <c r="X16" s="188">
        <f>MONTH(Tabledaily[[#This Row],[التاريخ]])</f>
        <v>6</v>
      </c>
      <c r="Y16" s="188">
        <f>DAY(Tabledaily[[#This Row],[التاريخ]])</f>
        <v>21</v>
      </c>
      <c r="Z16"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لافراد الاشغال عدد 4 افراد بامر</v>
      </c>
      <c r="AA16" s="188" t="str">
        <f>IF(COUNTIF(TableDailyJournal[رقم العملية],Tabledaily[[#This Row],[رقم العملية]])&gt;1,"مرحل","غير مرحل")</f>
        <v>مرحل</v>
      </c>
    </row>
    <row r="17" spans="1:27" ht="22.9" customHeight="1" x14ac:dyDescent="0.55000000000000004">
      <c r="A17" s="185">
        <f>ROW()-2</f>
        <v>15</v>
      </c>
      <c r="B17" s="186" t="s">
        <v>1211</v>
      </c>
      <c r="C17" s="214" t="s">
        <v>1198</v>
      </c>
      <c r="D17" s="185" t="s">
        <v>290</v>
      </c>
      <c r="E17" s="187">
        <f>IFERROR(INDEX(TableJudje[رقم الحساب],MATCH(Tabledaily[[#This Row],[الحســاب الدئـــن]],TableJudje[اسم الحساب],0)),0)</f>
        <v>11060205</v>
      </c>
      <c r="F17" s="185" t="s">
        <v>513</v>
      </c>
      <c r="G17" s="185" t="s">
        <v>977</v>
      </c>
      <c r="H17" s="188">
        <f>IFERROR(INDEX(TableJudje[رقم الحساب],MATCH(Tabledaily[[#This Row],[الحســاب المديــــن]],TableJudje[اسم الحساب],0)),0)</f>
        <v>31010101</v>
      </c>
      <c r="I17" s="185" t="s">
        <v>111</v>
      </c>
      <c r="J17" s="185" t="s">
        <v>238</v>
      </c>
      <c r="K17" s="189">
        <v>25000</v>
      </c>
      <c r="L17" s="186">
        <v>405</v>
      </c>
      <c r="M17" s="190">
        <f>IFERROR(Tabledaily[[#This Row],[المبلـــــــغ]]/Tabledaily[[#This Row],[سعــــــر
الصـــــرف]],"")</f>
        <v>61.728395061728392</v>
      </c>
      <c r="N17" s="185" t="s">
        <v>638</v>
      </c>
      <c r="O17" s="185" t="s">
        <v>312</v>
      </c>
      <c r="P17" s="185" t="s">
        <v>312</v>
      </c>
      <c r="Q17" s="187"/>
      <c r="R17" s="185" t="s">
        <v>237</v>
      </c>
      <c r="S17" s="188">
        <f>IFERROR(INDEX(tablecost[رقم المركز],MATCH(Tabledaily[[#This Row],[مركـــــــزالتكلفــــــة]],tablecost[الاسم],0)),0)</f>
        <v>1</v>
      </c>
      <c r="T17" s="191">
        <f>DATE(Tabledaily[[#This Row],[السنــــة]],Tabledaily[[#This Row],[الشهــــر]],Tabledaily[[#This Row],[الـــــيوم]])</f>
        <v>46194</v>
      </c>
      <c r="U17" s="193">
        <v>46195.805972222224</v>
      </c>
      <c r="V17" s="185"/>
      <c r="W17" s="188">
        <f>YEAR(Tabledaily[[#This Row],[التاريخ]])</f>
        <v>2026</v>
      </c>
      <c r="X17" s="188">
        <f>MONTH(Tabledaily[[#This Row],[التاريخ]])</f>
        <v>6</v>
      </c>
      <c r="Y17" s="188">
        <f>DAY(Tabledaily[[#This Row],[التاريخ]])</f>
        <v>21</v>
      </c>
      <c r="Z17"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لمرافقين الاركان عدد 4 افراد بامر</v>
      </c>
      <c r="AA17" s="188" t="str">
        <f>IF(COUNTIF(TableDailyJournal[رقم العملية],Tabledaily[[#This Row],[رقم العملية]])&gt;1,"مرحل","غير مرحل")</f>
        <v>مرحل</v>
      </c>
    </row>
    <row r="18" spans="1:27" ht="22.9" customHeight="1" x14ac:dyDescent="0.55000000000000004">
      <c r="A18" s="185">
        <f>ROW()-2</f>
        <v>16</v>
      </c>
      <c r="B18" s="186" t="s">
        <v>1210</v>
      </c>
      <c r="C18" s="214" t="s">
        <v>1198</v>
      </c>
      <c r="D18" s="185" t="s">
        <v>290</v>
      </c>
      <c r="E18" s="187">
        <f>IFERROR(INDEX(TableJudje[رقم الحساب],MATCH(Tabledaily[[#This Row],[الحســاب الدئـــن]],TableJudje[اسم الحساب],0)),0)</f>
        <v>11060205</v>
      </c>
      <c r="F18" s="185" t="s">
        <v>513</v>
      </c>
      <c r="G18" s="185" t="s">
        <v>886</v>
      </c>
      <c r="H18" s="188">
        <f>IFERROR(INDEX(TableJudje[رقم الحساب],MATCH(Tabledaily[[#This Row],[الحســاب المديــــن]],TableJudje[اسم الحساب],0)),0)</f>
        <v>31010101</v>
      </c>
      <c r="I18" s="185" t="s">
        <v>111</v>
      </c>
      <c r="J18" s="185" t="s">
        <v>238</v>
      </c>
      <c r="K18" s="189">
        <v>18000</v>
      </c>
      <c r="L18" s="186">
        <v>405</v>
      </c>
      <c r="M18" s="190">
        <f>IFERROR(Tabledaily[[#This Row],[المبلـــــــغ]]/Tabledaily[[#This Row],[سعــــــر
الصـــــرف]],"")</f>
        <v>44.444444444444443</v>
      </c>
      <c r="N18" s="185" t="s">
        <v>887</v>
      </c>
      <c r="O18" s="185" t="s">
        <v>312</v>
      </c>
      <c r="P18" s="185" t="s">
        <v>312</v>
      </c>
      <c r="Q18" s="187"/>
      <c r="R18" s="185" t="s">
        <v>237</v>
      </c>
      <c r="S18" s="188">
        <f>IFERROR(INDEX(tablecost[رقم المركز],MATCH(Tabledaily[[#This Row],[مركـــــــزالتكلفــــــة]],tablecost[الاسم],0)),0)</f>
        <v>1</v>
      </c>
      <c r="T18" s="191">
        <f>DATE(Tabledaily[[#This Row],[السنــــة]],Tabledaily[[#This Row],[الشهــــر]],Tabledaily[[#This Row],[الـــــيوم]])</f>
        <v>46194</v>
      </c>
      <c r="U18" s="193">
        <v>46195.805011574077</v>
      </c>
      <c r="V18" s="185"/>
      <c r="W18" s="188">
        <f>YEAR(Tabledaily[[#This Row],[التاريخ]])</f>
        <v>2026</v>
      </c>
      <c r="X18" s="188">
        <f>MONTH(Tabledaily[[#This Row],[التاريخ]])</f>
        <v>6</v>
      </c>
      <c r="Y18" s="188">
        <f>DAY(Tabledaily[[#This Row],[التاريخ]])</f>
        <v>21</v>
      </c>
      <c r="Z18"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A18" s="188" t="str">
        <f>IF(COUNTIF(TableDailyJournal[رقم العملية],Tabledaily[[#This Row],[رقم العملية]])&gt;1,"مرحل","غير مرحل")</f>
        <v>مرحل</v>
      </c>
    </row>
    <row r="19" spans="1:27" ht="22.9" customHeight="1" x14ac:dyDescent="0.55000000000000004">
      <c r="A19" s="185">
        <f>ROW()-2</f>
        <v>17</v>
      </c>
      <c r="B19" s="186" t="s">
        <v>1208</v>
      </c>
      <c r="C19" s="214" t="s">
        <v>1198</v>
      </c>
      <c r="D19" s="185" t="s">
        <v>290</v>
      </c>
      <c r="E19" s="187">
        <f>IFERROR(INDEX(TableJudje[رقم الحساب],MATCH(Tabledaily[[#This Row],[الحســاب الدئـــن]],TableJudje[اسم الحساب],0)),0)</f>
        <v>11060205</v>
      </c>
      <c r="F19" s="185" t="s">
        <v>513</v>
      </c>
      <c r="G19" s="185" t="s">
        <v>1209</v>
      </c>
      <c r="H19" s="188">
        <f>IFERROR(INDEX(TableJudje[رقم الحساب],MATCH(Tabledaily[[#This Row],[الحســاب المديــــن]],TableJudje[اسم الحساب],0)),0)</f>
        <v>31010101</v>
      </c>
      <c r="I19" s="185" t="s">
        <v>111</v>
      </c>
      <c r="J19" s="185" t="s">
        <v>238</v>
      </c>
      <c r="K19" s="189">
        <v>102000</v>
      </c>
      <c r="L19" s="186">
        <v>405</v>
      </c>
      <c r="M19" s="190">
        <f>IFERROR(Tabledaily[[#This Row],[المبلـــــــغ]]/Tabledaily[[#This Row],[سعــــــر
الصـــــرف]],"")</f>
        <v>251.85185185185185</v>
      </c>
      <c r="N19" s="185" t="s">
        <v>331</v>
      </c>
      <c r="O19" s="185" t="s">
        <v>312</v>
      </c>
      <c r="P19" s="185" t="s">
        <v>312</v>
      </c>
      <c r="Q19" s="187"/>
      <c r="R19" s="185" t="s">
        <v>237</v>
      </c>
      <c r="S19" s="188">
        <f>IFERROR(INDEX(tablecost[رقم المركز],MATCH(Tabledaily[[#This Row],[مركـــــــزالتكلفــــــة]],tablecost[الاسم],0)),0)</f>
        <v>1</v>
      </c>
      <c r="T19" s="191">
        <f>DATE(Tabledaily[[#This Row],[السنــــة]],Tabledaily[[#This Row],[الشهــــر]],Tabledaily[[#This Row],[الـــــيوم]])</f>
        <v>46194</v>
      </c>
      <c r="U19" s="193">
        <v>46195.804351851853</v>
      </c>
      <c r="V19" s="185"/>
      <c r="W19" s="188">
        <f>YEAR(Tabledaily[[#This Row],[التاريخ]])</f>
        <v>2026</v>
      </c>
      <c r="X19" s="188">
        <f>MONTH(Tabledaily[[#This Row],[التاريخ]])</f>
        <v>6</v>
      </c>
      <c r="Y19" s="188">
        <f>DAY(Tabledaily[[#This Row],[التاريخ]])</f>
        <v>21</v>
      </c>
      <c r="Z19"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10 بامر</v>
      </c>
      <c r="AA19" s="188" t="str">
        <f>IF(COUNTIF(TableDailyJournal[رقم العملية],Tabledaily[[#This Row],[رقم العملية]])&gt;1,"مرحل","غير مرحل")</f>
        <v>مرحل</v>
      </c>
    </row>
    <row r="20" spans="1:27" ht="22.9" customHeight="1" x14ac:dyDescent="0.55000000000000004">
      <c r="A20" s="185">
        <f>ROW()-2</f>
        <v>18</v>
      </c>
      <c r="B20" s="186" t="s">
        <v>1207</v>
      </c>
      <c r="C20" s="214" t="s">
        <v>1198</v>
      </c>
      <c r="D20" s="185" t="s">
        <v>290</v>
      </c>
      <c r="E20" s="187">
        <f>IFERROR(INDEX(TableJudje[رقم الحساب],MATCH(Tabledaily[[#This Row],[الحســاب الدئـــن]],TableJudje[اسم الحساب],0)),0)</f>
        <v>11060205</v>
      </c>
      <c r="F20" s="185" t="s">
        <v>513</v>
      </c>
      <c r="G20" s="185" t="s">
        <v>971</v>
      </c>
      <c r="H20" s="188">
        <f>IFERROR(INDEX(TableJudje[رقم الحساب],MATCH(Tabledaily[[#This Row],[الحســاب المديــــن]],TableJudje[اسم الحساب],0)),0)</f>
        <v>31010101</v>
      </c>
      <c r="I20" s="185" t="s">
        <v>111</v>
      </c>
      <c r="J20" s="185" t="s">
        <v>238</v>
      </c>
      <c r="K20" s="189">
        <v>45000</v>
      </c>
      <c r="L20" s="186">
        <v>405</v>
      </c>
      <c r="M20" s="190">
        <f>IFERROR(Tabledaily[[#This Row],[المبلـــــــغ]]/Tabledaily[[#This Row],[سعــــــر
الصـــــرف]],"")</f>
        <v>111.11111111111111</v>
      </c>
      <c r="N20" s="185" t="s">
        <v>565</v>
      </c>
      <c r="O20" s="185" t="s">
        <v>312</v>
      </c>
      <c r="P20" s="185" t="s">
        <v>312</v>
      </c>
      <c r="Q20" s="187"/>
      <c r="R20" s="185" t="s">
        <v>237</v>
      </c>
      <c r="S20" s="188">
        <f>IFERROR(INDEX(tablecost[رقم المركز],MATCH(Tabledaily[[#This Row],[مركـــــــزالتكلفــــــة]],tablecost[الاسم],0)),0)</f>
        <v>1</v>
      </c>
      <c r="T20" s="191">
        <f>DATE(Tabledaily[[#This Row],[السنــــة]],Tabledaily[[#This Row],[الشهــــر]],Tabledaily[[#This Row],[الـــــيوم]])</f>
        <v>46194</v>
      </c>
      <c r="U20" s="193">
        <v>46195.803530092591</v>
      </c>
      <c r="V20" s="185"/>
      <c r="W20" s="188">
        <f>YEAR(Tabledaily[[#This Row],[التاريخ]])</f>
        <v>2026</v>
      </c>
      <c r="X20" s="188">
        <f>MONTH(Tabledaily[[#This Row],[التاريخ]])</f>
        <v>6</v>
      </c>
      <c r="Y20" s="188">
        <f>DAY(Tabledaily[[#This Row],[التاريخ]])</f>
        <v>21</v>
      </c>
      <c r="Z20"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لافراد المدفعية عدد 5 افراد بامر</v>
      </c>
      <c r="AA20" s="188" t="str">
        <f>IF(COUNTIF(TableDailyJournal[رقم العملية],Tabledaily[[#This Row],[رقم العملية]])&gt;1,"مرحل","غير مرحل")</f>
        <v>مرحل</v>
      </c>
    </row>
    <row r="21" spans="1:27" ht="22.9" customHeight="1" x14ac:dyDescent="0.55000000000000004">
      <c r="A21" s="185">
        <f>ROW()-2</f>
        <v>19</v>
      </c>
      <c r="B21" s="186" t="s">
        <v>1206</v>
      </c>
      <c r="C21" s="214" t="s">
        <v>1198</v>
      </c>
      <c r="D21" s="185" t="s">
        <v>290</v>
      </c>
      <c r="E21" s="187">
        <f>IFERROR(INDEX(TableJudje[رقم الحساب],MATCH(Tabledaily[[#This Row],[الحســاب الدئـــن]],TableJudje[اسم الحساب],0)),0)</f>
        <v>11060205</v>
      </c>
      <c r="F21" s="185" t="s">
        <v>513</v>
      </c>
      <c r="G21" s="185" t="s">
        <v>969</v>
      </c>
      <c r="H21" s="188">
        <f>IFERROR(INDEX(TableJudje[رقم الحساب],MATCH(Tabledaily[[#This Row],[الحســاب المديــــن]],TableJudje[اسم الحساب],0)),0)</f>
        <v>31010101</v>
      </c>
      <c r="I21" s="185" t="s">
        <v>111</v>
      </c>
      <c r="J21" s="185" t="s">
        <v>238</v>
      </c>
      <c r="K21" s="189">
        <v>80000</v>
      </c>
      <c r="L21" s="186">
        <v>405</v>
      </c>
      <c r="M21" s="190">
        <f>IFERROR(Tabledaily[[#This Row],[المبلـــــــغ]]/Tabledaily[[#This Row],[سعــــــر
الصـــــرف]],"")</f>
        <v>197.53086419753086</v>
      </c>
      <c r="N21" s="185" t="s">
        <v>334</v>
      </c>
      <c r="O21" s="185" t="s">
        <v>312</v>
      </c>
      <c r="P21" s="185" t="s">
        <v>312</v>
      </c>
      <c r="Q21" s="187"/>
      <c r="R21" s="185" t="s">
        <v>237</v>
      </c>
      <c r="S21" s="188">
        <f>IFERROR(INDEX(tablecost[رقم المركز],MATCH(Tabledaily[[#This Row],[مركـــــــزالتكلفــــــة]],tablecost[الاسم],0)),0)</f>
        <v>1</v>
      </c>
      <c r="T21" s="191">
        <f>DATE(Tabledaily[[#This Row],[السنــــة]],Tabledaily[[#This Row],[الشهــــر]],Tabledaily[[#This Row],[الـــــيوم]])</f>
        <v>46194</v>
      </c>
      <c r="U21" s="193">
        <v>46195.802557870367</v>
      </c>
      <c r="V21" s="185"/>
      <c r="W21" s="188">
        <f>YEAR(Tabledaily[[#This Row],[التاريخ]])</f>
        <v>2026</v>
      </c>
      <c r="X21" s="188">
        <f>MONTH(Tabledaily[[#This Row],[التاريخ]])</f>
        <v>6</v>
      </c>
      <c r="Y21" s="188">
        <f>DAY(Tabledaily[[#This Row],[التاريخ]])</f>
        <v>21</v>
      </c>
      <c r="Z21"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لافراد الاستخبارات عدد 5 افراد بامر</v>
      </c>
      <c r="AA21" s="188" t="str">
        <f>IF(COUNTIF(TableDailyJournal[رقم العملية],Tabledaily[[#This Row],[رقم العملية]])&gt;1,"مرحل","غير مرحل")</f>
        <v>مرحل</v>
      </c>
    </row>
    <row r="22" spans="1:27" ht="22.9" customHeight="1" x14ac:dyDescent="0.55000000000000004">
      <c r="A22" s="185">
        <f>ROW()-2</f>
        <v>20</v>
      </c>
      <c r="B22" s="186" t="s">
        <v>1205</v>
      </c>
      <c r="C22" s="214" t="s">
        <v>1198</v>
      </c>
      <c r="D22" s="185" t="s">
        <v>290</v>
      </c>
      <c r="E22" s="187">
        <f>IFERROR(INDEX(TableJudje[رقم الحساب],MATCH(Tabledaily[[#This Row],[الحســاب الدئـــن]],TableJudje[اسم الحساب],0)),0)</f>
        <v>11060205</v>
      </c>
      <c r="F22" s="185" t="s">
        <v>513</v>
      </c>
      <c r="G22" s="185" t="s">
        <v>878</v>
      </c>
      <c r="H22" s="188">
        <f>IFERROR(INDEX(TableJudje[رقم الحساب],MATCH(Tabledaily[[#This Row],[الحســاب المديــــن]],TableJudje[اسم الحساب],0)),0)</f>
        <v>31010101</v>
      </c>
      <c r="I22" s="185" t="s">
        <v>111</v>
      </c>
      <c r="J22" s="185" t="s">
        <v>238</v>
      </c>
      <c r="K22" s="189">
        <v>15000</v>
      </c>
      <c r="L22" s="186">
        <v>405</v>
      </c>
      <c r="M22" s="190">
        <f>IFERROR(Tabledaily[[#This Row],[المبلـــــــغ]]/Tabledaily[[#This Row],[سعــــــر
الصـــــرف]],"")</f>
        <v>37.037037037037038</v>
      </c>
      <c r="N22" s="185" t="s">
        <v>967</v>
      </c>
      <c r="O22" s="185" t="s">
        <v>312</v>
      </c>
      <c r="P22" s="185" t="s">
        <v>312</v>
      </c>
      <c r="Q22" s="187"/>
      <c r="R22" s="185" t="s">
        <v>237</v>
      </c>
      <c r="S22" s="188">
        <f>IFERROR(INDEX(tablecost[رقم المركز],MATCH(Tabledaily[[#This Row],[مركـــــــزالتكلفــــــة]],tablecost[الاسم],0)),0)</f>
        <v>1</v>
      </c>
      <c r="T22" s="191">
        <f>DATE(Tabledaily[[#This Row],[السنــــة]],Tabledaily[[#This Row],[الشهــــر]],Tabledaily[[#This Row],[الـــــيوم]])</f>
        <v>46194</v>
      </c>
      <c r="U22" s="193">
        <v>46195.801874999997</v>
      </c>
      <c r="V22" s="185"/>
      <c r="W22" s="188">
        <f>YEAR(Tabledaily[[#This Row],[التاريخ]])</f>
        <v>2026</v>
      </c>
      <c r="X22" s="188">
        <f>MONTH(Tabledaily[[#This Row],[التاريخ]])</f>
        <v>6</v>
      </c>
      <c r="Y22" s="188">
        <f>DAY(Tabledaily[[#This Row],[التاريخ]])</f>
        <v>21</v>
      </c>
      <c r="Z22"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 الفرقة الثالثة)  - كشف صرف رقم   كشف صرف - صرف الصرفة اليومية لافراد البشرية عدد1 بامر</v>
      </c>
      <c r="AA22" s="188" t="str">
        <f>IF(COUNTIF(TableDailyJournal[رقم العملية],Tabledaily[[#This Row],[رقم العملية]])&gt;1,"مرحل","غير مرحل")</f>
        <v>مرحل</v>
      </c>
    </row>
    <row r="23" spans="1:27" ht="22.9" customHeight="1" x14ac:dyDescent="0.55000000000000004">
      <c r="A23" s="185">
        <f>ROW()-2</f>
        <v>21</v>
      </c>
      <c r="B23" s="186" t="s">
        <v>1204</v>
      </c>
      <c r="C23" s="214" t="s">
        <v>1198</v>
      </c>
      <c r="D23" s="185" t="s">
        <v>290</v>
      </c>
      <c r="E23" s="187">
        <f>IFERROR(INDEX(TableJudje[رقم الحساب],MATCH(Tabledaily[[#This Row],[الحســاب الدئـــن]],TableJudje[اسم الحساب],0)),0)</f>
        <v>11060205</v>
      </c>
      <c r="F23" s="185" t="s">
        <v>513</v>
      </c>
      <c r="G23" s="185" t="s">
        <v>875</v>
      </c>
      <c r="H23" s="188">
        <f>IFERROR(INDEX(TableJudje[رقم الحساب],MATCH(Tabledaily[[#This Row],[الحســاب المديــــن]],TableJudje[اسم الحساب],0)),0)</f>
        <v>31010101</v>
      </c>
      <c r="I23" s="185" t="s">
        <v>111</v>
      </c>
      <c r="J23" s="185" t="s">
        <v>238</v>
      </c>
      <c r="K23" s="189">
        <v>25000</v>
      </c>
      <c r="L23" s="186">
        <v>405</v>
      </c>
      <c r="M23" s="190">
        <f>IFERROR(Tabledaily[[#This Row],[المبلـــــــغ]]/Tabledaily[[#This Row],[سعــــــر
الصـــــرف]],"")</f>
        <v>61.728395061728392</v>
      </c>
      <c r="N23" s="185" t="s">
        <v>964</v>
      </c>
      <c r="O23" s="185" t="s">
        <v>312</v>
      </c>
      <c r="P23" s="185" t="s">
        <v>312</v>
      </c>
      <c r="Q23" s="187"/>
      <c r="R23" s="185" t="s">
        <v>237</v>
      </c>
      <c r="S23" s="188">
        <f>IFERROR(INDEX(tablecost[رقم المركز],MATCH(Tabledaily[[#This Row],[مركـــــــزالتكلفــــــة]],tablecost[الاسم],0)),0)</f>
        <v>1</v>
      </c>
      <c r="T23" s="191">
        <f>DATE(Tabledaily[[#This Row],[السنــــة]],Tabledaily[[#This Row],[الشهــــر]],Tabledaily[[#This Row],[الـــــيوم]])</f>
        <v>46194</v>
      </c>
      <c r="U23" s="193">
        <v>46195.801168981481</v>
      </c>
      <c r="V23" s="185"/>
      <c r="W23" s="188">
        <f>YEAR(Tabledaily[[#This Row],[التاريخ]])</f>
        <v>2026</v>
      </c>
      <c r="X23" s="188">
        <f>MONTH(Tabledaily[[#This Row],[التاريخ]])</f>
        <v>6</v>
      </c>
      <c r="Y23" s="188">
        <f>DAY(Tabledaily[[#This Row],[التاريخ]])</f>
        <v>21</v>
      </c>
      <c r="Z23"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المحاسبين - الفرقة الثالثة)  - كشف صرف رقم   كشف صرف - صرف الصرفة اليومية للمحاسبين عدد2 بامر</v>
      </c>
      <c r="AA23" s="188" t="str">
        <f>IF(COUNTIF(TableDailyJournal[رقم العملية],Tabledaily[[#This Row],[رقم العملية]])&gt;1,"مرحل","غير مرحل")</f>
        <v>مرحل</v>
      </c>
    </row>
    <row r="24" spans="1:27" ht="22.9" customHeight="1" x14ac:dyDescent="0.55000000000000004">
      <c r="A24" s="185">
        <f>ROW()-2</f>
        <v>22</v>
      </c>
      <c r="B24" s="186" t="s">
        <v>1202</v>
      </c>
      <c r="C24" s="214" t="s">
        <v>1198</v>
      </c>
      <c r="D24" s="185" t="s">
        <v>290</v>
      </c>
      <c r="E24" s="187">
        <f>IFERROR(INDEX(TableJudje[رقم الحساب],MATCH(Tabledaily[[#This Row],[الحســاب الدئـــن]],TableJudje[اسم الحساب],0)),0)</f>
        <v>11060205</v>
      </c>
      <c r="F24" s="185" t="s">
        <v>513</v>
      </c>
      <c r="G24" s="185" t="s">
        <v>1203</v>
      </c>
      <c r="H24" s="188">
        <f>IFERROR(INDEX(TableJudje[رقم الحساب],MATCH(Tabledaily[[#This Row],[الحســاب المديــــن]],TableJudje[اسم الحساب],0)),0)</f>
        <v>31010101</v>
      </c>
      <c r="I24" s="185" t="s">
        <v>111</v>
      </c>
      <c r="J24" s="185" t="s">
        <v>238</v>
      </c>
      <c r="K24" s="189">
        <v>30000</v>
      </c>
      <c r="L24" s="186">
        <v>405</v>
      </c>
      <c r="M24" s="190">
        <f>IFERROR(Tabledaily[[#This Row],[المبلـــــــغ]]/Tabledaily[[#This Row],[سعــــــر
الصـــــرف]],"")</f>
        <v>74.074074074074076</v>
      </c>
      <c r="N24" s="185" t="s">
        <v>962</v>
      </c>
      <c r="O24" s="185" t="s">
        <v>312</v>
      </c>
      <c r="P24" s="185" t="s">
        <v>312</v>
      </c>
      <c r="Q24" s="187"/>
      <c r="R24" s="185" t="s">
        <v>237</v>
      </c>
      <c r="S24" s="188">
        <f>IFERROR(INDEX(tablecost[رقم المركز],MATCH(Tabledaily[[#This Row],[مركـــــــزالتكلفــــــة]],tablecost[الاسم],0)),0)</f>
        <v>1</v>
      </c>
      <c r="T24" s="191">
        <f>DATE(Tabledaily[[#This Row],[السنــــة]],Tabledaily[[#This Row],[الشهــــر]],Tabledaily[[#This Row],[الـــــيوم]])</f>
        <v>46194</v>
      </c>
      <c r="U24" s="193">
        <v>46195.797291666669</v>
      </c>
      <c r="V24" s="185"/>
      <c r="W24" s="188">
        <f>YEAR(Tabledaily[[#This Row],[التاريخ]])</f>
        <v>2026</v>
      </c>
      <c r="X24" s="188">
        <f>MONTH(Tabledaily[[#This Row],[التاريخ]])</f>
        <v>6</v>
      </c>
      <c r="Y24" s="188">
        <f>DAY(Tabledaily[[#This Row],[التاريخ]])</f>
        <v>21</v>
      </c>
      <c r="Z24"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الاستطلاع - الفرقة الثالثة)  - كشف صرف رقم   كشف صرف - صرف الصرفة اليومية لافراد الاستطلاع عدد 2 افراد بامر</v>
      </c>
      <c r="AA24" s="188" t="str">
        <f>IF(COUNTIF(TableDailyJournal[رقم العملية],Tabledaily[[#This Row],[رقم العملية]])&gt;1,"مرحل","غير مرحل")</f>
        <v>مرحل</v>
      </c>
    </row>
    <row r="25" spans="1:27" ht="22.9" customHeight="1" x14ac:dyDescent="0.55000000000000004">
      <c r="A25" s="185">
        <f>ROW()-2</f>
        <v>23</v>
      </c>
      <c r="B25" s="186" t="s">
        <v>1201</v>
      </c>
      <c r="C25" s="214" t="s">
        <v>1198</v>
      </c>
      <c r="D25" s="185" t="s">
        <v>290</v>
      </c>
      <c r="E25" s="187">
        <f>IFERROR(INDEX(TableJudje[رقم الحساب],MATCH(Tabledaily[[#This Row],[الحســاب الدئـــن]],TableJudje[اسم الحساب],0)),0)</f>
        <v>11060205</v>
      </c>
      <c r="F25" s="185" t="s">
        <v>513</v>
      </c>
      <c r="G25" s="185" t="s">
        <v>872</v>
      </c>
      <c r="H25" s="188">
        <f>IFERROR(INDEX(TableJudje[رقم الحساب],MATCH(Tabledaily[[#This Row],[الحســاب المديــــن]],TableJudje[اسم الحساب],0)),0)</f>
        <v>31010101</v>
      </c>
      <c r="I25" s="185" t="s">
        <v>111</v>
      </c>
      <c r="J25" s="185" t="s">
        <v>238</v>
      </c>
      <c r="K25" s="189">
        <v>31000</v>
      </c>
      <c r="L25" s="186">
        <v>405</v>
      </c>
      <c r="M25" s="190">
        <f>IFERROR(Tabledaily[[#This Row],[المبلـــــــغ]]/Tabledaily[[#This Row],[سعــــــر
الصـــــرف]],"")</f>
        <v>76.543209876543216</v>
      </c>
      <c r="N25" s="185" t="s">
        <v>873</v>
      </c>
      <c r="O25" s="185" t="s">
        <v>312</v>
      </c>
      <c r="P25" s="185" t="s">
        <v>312</v>
      </c>
      <c r="Q25" s="187"/>
      <c r="R25" s="185" t="s">
        <v>237</v>
      </c>
      <c r="S25" s="188">
        <f>IFERROR(INDEX(tablecost[رقم المركز],MATCH(Tabledaily[[#This Row],[مركـــــــزالتكلفــــــة]],tablecost[الاسم],0)),0)</f>
        <v>1</v>
      </c>
      <c r="T25" s="191">
        <f>DATE(Tabledaily[[#This Row],[السنــــة]],Tabledaily[[#This Row],[الشهــــر]],Tabledaily[[#This Row],[الـــــيوم]])</f>
        <v>46194</v>
      </c>
      <c r="U25" s="193">
        <v>46195.796157407407</v>
      </c>
      <c r="V25" s="185"/>
      <c r="W25" s="188">
        <f>YEAR(Tabledaily[[#This Row],[التاريخ]])</f>
        <v>2026</v>
      </c>
      <c r="X25" s="188">
        <f>MONTH(Tabledaily[[#This Row],[التاريخ]])</f>
        <v>6</v>
      </c>
      <c r="Y25" s="188">
        <f>DAY(Tabledaily[[#This Row],[التاريخ]])</f>
        <v>21</v>
      </c>
      <c r="Z25"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قسم المشتريات - الفرقة الثالثة)  - كشف صرف رقم   كشف صرف - صرف الصرفة اليومية لافراد قسم المشتريات عدد3 بامر</v>
      </c>
      <c r="AA25" s="188" t="str">
        <f>IF(COUNTIF(TableDailyJournal[رقم العملية],Tabledaily[[#This Row],[رقم العملية]])&gt;1,"مرحل","غير مرحل")</f>
        <v>مرحل</v>
      </c>
    </row>
    <row r="26" spans="1:27" ht="22.9" customHeight="1" x14ac:dyDescent="0.55000000000000004">
      <c r="A26" s="185">
        <f>ROW()-2</f>
        <v>24</v>
      </c>
      <c r="B26" s="186" t="s">
        <v>1200</v>
      </c>
      <c r="C26" s="214" t="s">
        <v>1198</v>
      </c>
      <c r="D26" s="185" t="s">
        <v>290</v>
      </c>
      <c r="E26" s="187">
        <f>IFERROR(INDEX(TableJudje[رقم الحساب],MATCH(Tabledaily[[#This Row],[الحســاب الدئـــن]],TableJudje[اسم الحساب],0)),0)</f>
        <v>11060205</v>
      </c>
      <c r="F26" s="185" t="s">
        <v>513</v>
      </c>
      <c r="G26" s="185" t="s">
        <v>794</v>
      </c>
      <c r="H26" s="188">
        <f>IFERROR(INDEX(TableJudje[رقم الحساب],MATCH(Tabledaily[[#This Row],[الحســاب المديــــن]],TableJudje[اسم الحساب],0)),0)</f>
        <v>31010101</v>
      </c>
      <c r="I26" s="185" t="s">
        <v>111</v>
      </c>
      <c r="J26" s="185" t="s">
        <v>238</v>
      </c>
      <c r="K26" s="189">
        <v>70000</v>
      </c>
      <c r="L26" s="186">
        <v>405</v>
      </c>
      <c r="M26" s="190">
        <f>IFERROR(Tabledaily[[#This Row],[المبلـــــــغ]]/Tabledaily[[#This Row],[سعــــــر
الصـــــرف]],"")</f>
        <v>172.83950617283949</v>
      </c>
      <c r="N26" s="185" t="s">
        <v>340</v>
      </c>
      <c r="O26" s="185" t="s">
        <v>312</v>
      </c>
      <c r="P26" s="185" t="s">
        <v>312</v>
      </c>
      <c r="Q26" s="187"/>
      <c r="R26" s="185" t="s">
        <v>237</v>
      </c>
      <c r="S26" s="188">
        <f>IFERROR(INDEX(tablecost[رقم المركز],MATCH(Tabledaily[[#This Row],[مركـــــــزالتكلفــــــة]],tablecost[الاسم],0)),0)</f>
        <v>1</v>
      </c>
      <c r="T26" s="191">
        <f>DATE(Tabledaily[[#This Row],[السنــــة]],Tabledaily[[#This Row],[الشهــــر]],Tabledaily[[#This Row],[الـــــيوم]])</f>
        <v>46194</v>
      </c>
      <c r="U26" s="193">
        <v>46195.79550925926</v>
      </c>
      <c r="V26" s="185"/>
      <c r="W26" s="188">
        <f>YEAR(Tabledaily[[#This Row],[التاريخ]])</f>
        <v>2026</v>
      </c>
      <c r="X26" s="188">
        <f>MONTH(Tabledaily[[#This Row],[التاريخ]])</f>
        <v>6</v>
      </c>
      <c r="Y26" s="188">
        <f>DAY(Tabledaily[[#This Row],[التاريخ]])</f>
        <v>21</v>
      </c>
      <c r="Z26"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بامر</v>
      </c>
      <c r="AA26" s="188" t="str">
        <f>IF(COUNTIF(TableDailyJournal[رقم العملية],Tabledaily[[#This Row],[رقم العملية]])&gt;1,"مرحل","غير مرحل")</f>
        <v>مرحل</v>
      </c>
    </row>
    <row r="27" spans="1:27" ht="22.9" customHeight="1" x14ac:dyDescent="0.55000000000000004">
      <c r="A27" s="185">
        <f>ROW()-2</f>
        <v>25</v>
      </c>
      <c r="B27" s="186" t="s">
        <v>1197</v>
      </c>
      <c r="C27" s="214" t="s">
        <v>1198</v>
      </c>
      <c r="D27" s="185" t="s">
        <v>290</v>
      </c>
      <c r="E27" s="187">
        <f>IFERROR(INDEX(TableJudje[رقم الحساب],MATCH(Tabledaily[[#This Row],[الحســاب الدئـــن]],TableJudje[اسم الحساب],0)),0)</f>
        <v>11060205</v>
      </c>
      <c r="F27" s="185" t="s">
        <v>513</v>
      </c>
      <c r="G27" s="185" t="s">
        <v>1199</v>
      </c>
      <c r="H27" s="188">
        <f>IFERROR(INDEX(TableJudje[رقم الحساب],MATCH(Tabledaily[[#This Row],[الحســاب المديــــن]],TableJudje[اسم الحساب],0)),0)</f>
        <v>31010101</v>
      </c>
      <c r="I27" s="185" t="s">
        <v>111</v>
      </c>
      <c r="J27" s="185" t="s">
        <v>238</v>
      </c>
      <c r="K27" s="189">
        <v>52000</v>
      </c>
      <c r="L27" s="186">
        <v>405</v>
      </c>
      <c r="M27" s="190">
        <f>IFERROR(Tabledaily[[#This Row],[المبلـــــــغ]]/Tabledaily[[#This Row],[سعــــــر
الصـــــرف]],"")</f>
        <v>128.39506172839506</v>
      </c>
      <c r="N27" s="185" t="s">
        <v>343</v>
      </c>
      <c r="O27" s="185" t="s">
        <v>312</v>
      </c>
      <c r="P27" s="185" t="s">
        <v>312</v>
      </c>
      <c r="Q27" s="187"/>
      <c r="R27" s="185" t="s">
        <v>237</v>
      </c>
      <c r="S27" s="188">
        <f>IFERROR(INDEX(tablecost[رقم المركز],MATCH(Tabledaily[[#This Row],[مركـــــــزالتكلفــــــة]],tablecost[الاسم],0)),0)</f>
        <v>1</v>
      </c>
      <c r="T27" s="191">
        <f>DATE(Tabledaily[[#This Row],[السنــــة]],Tabledaily[[#This Row],[الشهــــر]],Tabledaily[[#This Row],[الـــــيوم]])</f>
        <v>46194</v>
      </c>
      <c r="U27" s="193">
        <v>46195.792511574073</v>
      </c>
      <c r="V27" s="185"/>
      <c r="W27" s="188">
        <f>YEAR(Tabledaily[[#This Row],[التاريخ]])</f>
        <v>2026</v>
      </c>
      <c r="X27" s="188">
        <f>MONTH(Tabledaily[[#This Row],[التاريخ]])</f>
        <v>6</v>
      </c>
      <c r="Y27" s="188">
        <f>DAY(Tabledaily[[#This Row],[التاريخ]])</f>
        <v>21</v>
      </c>
      <c r="Z27"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لعدد8 بامر</v>
      </c>
      <c r="AA27" s="188" t="str">
        <f>IF(COUNTIF(TableDailyJournal[رقم العملية],Tabledaily[[#This Row],[رقم العملية]])&gt;1,"مرحل","غير مرحل")</f>
        <v>مرحل</v>
      </c>
    </row>
    <row r="28" spans="1:27" ht="22.9" customHeight="1" x14ac:dyDescent="0.55000000000000004">
      <c r="A28" s="185">
        <f>ROW()-2</f>
        <v>26</v>
      </c>
      <c r="B28" s="186" t="s">
        <v>1193</v>
      </c>
      <c r="C28" s="214" t="s">
        <v>865</v>
      </c>
      <c r="D28" s="185" t="s">
        <v>290</v>
      </c>
      <c r="E28" s="187">
        <f>IFERROR(INDEX(TableJudje[رقم الحساب],MATCH(Tabledaily[[#This Row],[الحســاب الدئـــن]],TableJudje[اسم الحساب],0)),0)</f>
        <v>11060205</v>
      </c>
      <c r="F28" s="185" t="s">
        <v>513</v>
      </c>
      <c r="G28" s="185" t="s">
        <v>1194</v>
      </c>
      <c r="H28" s="188">
        <f>IFERROR(INDEX(TableJudje[رقم الحساب],MATCH(Tabledaily[[#This Row],[الحســاب المديــــن]],TableJudje[اسم الحساب],0)),0)</f>
        <v>31010109</v>
      </c>
      <c r="I28" s="185" t="s">
        <v>484</v>
      </c>
      <c r="J28" s="185" t="s">
        <v>241</v>
      </c>
      <c r="K28" s="189">
        <v>200</v>
      </c>
      <c r="L28" s="186">
        <v>1</v>
      </c>
      <c r="M28" s="190">
        <f>IFERROR(Tabledaily[[#This Row],[المبلـــــــغ]]/Tabledaily[[#This Row],[سعــــــر
الصـــــرف]],"")</f>
        <v>200</v>
      </c>
      <c r="N28" s="185" t="s">
        <v>545</v>
      </c>
      <c r="O28" s="185" t="s">
        <v>286</v>
      </c>
      <c r="P28" s="185" t="s">
        <v>287</v>
      </c>
      <c r="Q28" s="187" t="s">
        <v>1195</v>
      </c>
      <c r="R28" s="185" t="s">
        <v>248</v>
      </c>
      <c r="S28" s="188">
        <f>IFERROR(INDEX(tablecost[رقم المركز],MATCH(Tabledaily[[#This Row],[مركـــــــزالتكلفــــــة]],tablecost[الاسم],0)),0)</f>
        <v>7</v>
      </c>
      <c r="T28" s="191">
        <f>DATE(Tabledaily[[#This Row],[السنــــة]],Tabledaily[[#This Row],[الشهــــر]],Tabledaily[[#This Row],[الـــــيوم]])</f>
        <v>46190</v>
      </c>
      <c r="U28" s="193">
        <v>46195.778032407405</v>
      </c>
      <c r="V28" s="185" t="s">
        <v>646</v>
      </c>
      <c r="W28" s="188">
        <f>YEAR(Tabledaily[[#This Row],[التاريخ]])</f>
        <v>2026</v>
      </c>
      <c r="X28" s="188">
        <f>MONTH(Tabledaily[[#This Row],[التاريخ]])</f>
        <v>6</v>
      </c>
      <c r="Y28" s="188">
        <f>DAY(Tabledaily[[#This Row],[التاريخ]])</f>
        <v>17</v>
      </c>
      <c r="Z28" s="192"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v>
      </c>
      <c r="AA28" s="188" t="str">
        <f>IF(COUNTIF(TableDailyJournal[رقم العملية],Tabledaily[[#This Row],[رقم العملية]])&gt;1,"مرحل","غير مرحل")</f>
        <v>مرحل</v>
      </c>
    </row>
    <row r="29" spans="1:27" ht="22.9" customHeight="1" x14ac:dyDescent="0.55000000000000004">
      <c r="A29" s="22">
        <f>ROW()-2</f>
        <v>27</v>
      </c>
      <c r="B29" s="23" t="s">
        <v>1187</v>
      </c>
      <c r="C29" s="213" t="s">
        <v>860</v>
      </c>
      <c r="D29" s="22" t="s">
        <v>290</v>
      </c>
      <c r="E29" s="22">
        <f>IFERROR(INDEX(TableJudje[رقم الحساب],MATCH(Tabledaily[[#This Row],[الحســاب الدئـــن]],TableJudje[اسم الحساب],0)),0)</f>
        <v>11060205</v>
      </c>
      <c r="F29" s="22" t="s">
        <v>513</v>
      </c>
      <c r="G29" s="22" t="s">
        <v>1188</v>
      </c>
      <c r="H29" s="24">
        <f>IFERROR(INDEX(TableJudje[رقم الحساب],MATCH(Tabledaily[[#This Row],[الحســاب المديــــن]],TableJudje[اسم الحساب],0)),0)</f>
        <v>11060210</v>
      </c>
      <c r="I29" s="22" t="s">
        <v>855</v>
      </c>
      <c r="J29" s="22" t="s">
        <v>241</v>
      </c>
      <c r="K29" s="117">
        <v>12000</v>
      </c>
      <c r="L29" s="23">
        <v>1</v>
      </c>
      <c r="M29" s="118">
        <f>IFERROR(Tabledaily[[#This Row],[المبلـــــــغ]]/Tabledaily[[#This Row],[سعــــــر
الصـــــرف]],"")</f>
        <v>12000</v>
      </c>
      <c r="N29" s="22" t="s">
        <v>858</v>
      </c>
      <c r="O29" s="22" t="s">
        <v>286</v>
      </c>
      <c r="P29" s="22" t="s">
        <v>287</v>
      </c>
      <c r="Q29" s="22"/>
      <c r="R29" s="22" t="s">
        <v>237</v>
      </c>
      <c r="S29" s="24">
        <f>IFERROR(INDEX(tablecost[رقم المركز],MATCH(Tabledaily[[#This Row],[مركـــــــزالتكلفــــــة]],tablecost[الاسم],0)),0)</f>
        <v>1</v>
      </c>
      <c r="T29" s="27">
        <f>DATE(Tabledaily[[#This Row],[السنــــة]],Tabledaily[[#This Row],[الشهــــر]],Tabledaily[[#This Row],[الـــــيوم]])</f>
        <v>46192</v>
      </c>
      <c r="U29" s="28">
        <v>46195.525543981479</v>
      </c>
      <c r="V29" s="22" t="s">
        <v>646</v>
      </c>
      <c r="W29" s="24">
        <f>YEAR(Tabledaily[[#This Row],[التاريخ]])</f>
        <v>2026</v>
      </c>
      <c r="X29" s="24">
        <f>MONTH(Tabledaily[[#This Row],[التاريخ]])</f>
        <v>6</v>
      </c>
      <c r="Y29" s="24">
        <f>DAY(Tabledaily[[#This Row],[التاريخ]])</f>
        <v>19</v>
      </c>
      <c r="Z2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عبدالله باعمر - عبدالله باعمر - الفرقة الثالثة)  - استلام نقدي رقم   سند استلام - صرف عهده بامرالمستشار المالي</v>
      </c>
      <c r="AA29" s="24" t="str">
        <f>IF(COUNTIF(TableDailyJournal[رقم العملية],Tabledaily[[#This Row],[رقم العملية]])&gt;1,"مرحل","غير مرحل")</f>
        <v>مرحل</v>
      </c>
    </row>
    <row r="30" spans="1:27" ht="22.9" customHeight="1" x14ac:dyDescent="0.55000000000000004">
      <c r="A30" s="22">
        <f>ROW()-2</f>
        <v>28</v>
      </c>
      <c r="B30" s="23" t="s">
        <v>1186</v>
      </c>
      <c r="C30" s="213" t="s">
        <v>865</v>
      </c>
      <c r="D30" s="22" t="s">
        <v>283</v>
      </c>
      <c r="E30" s="22">
        <f>IFERROR(INDEX(TableJudje[رقم الحساب],MATCH(Tabledaily[[#This Row],[الحســاب الدئـــن]],TableJudje[اسم الحساب],0)),0)</f>
        <v>11010101</v>
      </c>
      <c r="F30" s="22" t="s">
        <v>23</v>
      </c>
      <c r="G30" s="22" t="s">
        <v>284</v>
      </c>
      <c r="H30" s="24">
        <f>IFERROR(INDEX(TableJudje[رقم الحساب],MATCH(Tabledaily[[#This Row],[الحســاب المديــــن]],TableJudje[اسم الحساب],0)),0)</f>
        <v>11060205</v>
      </c>
      <c r="I30" s="22" t="s">
        <v>513</v>
      </c>
      <c r="J30" s="22" t="s">
        <v>241</v>
      </c>
      <c r="K30" s="117">
        <v>29940</v>
      </c>
      <c r="L30" s="23">
        <v>1</v>
      </c>
      <c r="M30" s="118">
        <f>IFERROR(Tabledaily[[#This Row],[المبلـــــــغ]]/Tabledaily[[#This Row],[سعــــــر
الصـــــرف]],"")</f>
        <v>29940</v>
      </c>
      <c r="N30" s="22" t="s">
        <v>517</v>
      </c>
      <c r="O30" s="22" t="s">
        <v>300</v>
      </c>
      <c r="P30" s="22" t="s">
        <v>552</v>
      </c>
      <c r="Q30" s="22">
        <v>10712</v>
      </c>
      <c r="R30" s="22" t="s">
        <v>237</v>
      </c>
      <c r="S30" s="24">
        <f>IFERROR(INDEX(tablecost[رقم المركز],MATCH(Tabledaily[[#This Row],[مركـــــــزالتكلفــــــة]],tablecost[الاسم],0)),0)</f>
        <v>1</v>
      </c>
      <c r="T30" s="27">
        <f>DATE(Tabledaily[[#This Row],[السنــــة]],Tabledaily[[#This Row],[الشهــــر]],Tabledaily[[#This Row],[الـــــيوم]])</f>
        <v>46190</v>
      </c>
      <c r="U30" s="28">
        <v>46195.524722222224</v>
      </c>
      <c r="V30" s="22"/>
      <c r="W30" s="24">
        <f>YEAR(Tabledaily[[#This Row],[التاريخ]])</f>
        <v>2026</v>
      </c>
      <c r="X30" s="24">
        <f>MONTH(Tabledaily[[#This Row],[التاريخ]])</f>
        <v>6</v>
      </c>
      <c r="Y30" s="24">
        <f>DAY(Tabledaily[[#This Row],[التاريخ]])</f>
        <v>17</v>
      </c>
      <c r="Z3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حواله رقم 10712  شركة العامري للصرافة - استلام عهدة بامر</v>
      </c>
      <c r="AA30" s="24" t="str">
        <f>IF(COUNTIF(TableDailyJournal[رقم العملية],Tabledaily[[#This Row],[رقم العملية]])&gt;1,"مرحل","غير مرحل")</f>
        <v>مرحل</v>
      </c>
    </row>
    <row r="31" spans="1:27" ht="22.9" customHeight="1" x14ac:dyDescent="0.55000000000000004">
      <c r="A31" s="22">
        <f>ROW()-2</f>
        <v>29</v>
      </c>
      <c r="B31" s="23" t="s">
        <v>1184</v>
      </c>
      <c r="C31" s="213" t="s">
        <v>865</v>
      </c>
      <c r="D31" s="22" t="s">
        <v>283</v>
      </c>
      <c r="E31" s="22">
        <f>IFERROR(INDEX(TableJudje[رقم الحساب],MATCH(Tabledaily[[#This Row],[الحســاب الدئـــن]],TableJudje[اسم الحساب],0)),0)</f>
        <v>11060210</v>
      </c>
      <c r="F31" s="22" t="s">
        <v>855</v>
      </c>
      <c r="G31" s="22" t="s">
        <v>1185</v>
      </c>
      <c r="H31" s="24">
        <f>IFERROR(INDEX(TableJudje[رقم الحساب],MATCH(Tabledaily[[#This Row],[الحســاب المديــــن]],TableJudje[اسم الحساب],0)),0)</f>
        <v>11060205</v>
      </c>
      <c r="I31" s="22" t="s">
        <v>513</v>
      </c>
      <c r="J31" s="22" t="s">
        <v>241</v>
      </c>
      <c r="K31" s="117">
        <v>5000</v>
      </c>
      <c r="L31" s="23">
        <v>1</v>
      </c>
      <c r="M31" s="118">
        <f>IFERROR(Tabledaily[[#This Row],[المبلـــــــغ]]/Tabledaily[[#This Row],[سعــــــر
الصـــــرف]],"")</f>
        <v>5000</v>
      </c>
      <c r="N31" s="22" t="s">
        <v>517</v>
      </c>
      <c r="O31" s="22" t="s">
        <v>286</v>
      </c>
      <c r="P31" s="22" t="s">
        <v>287</v>
      </c>
      <c r="Q31" s="22"/>
      <c r="R31" s="22" t="s">
        <v>237</v>
      </c>
      <c r="S31" s="24">
        <f>IFERROR(INDEX(tablecost[رقم المركز],MATCH(Tabledaily[[#This Row],[مركـــــــزالتكلفــــــة]],tablecost[الاسم],0)),0)</f>
        <v>1</v>
      </c>
      <c r="T31" s="27">
        <f>DATE(Tabledaily[[#This Row],[السنــــة]],Tabledaily[[#This Row],[الشهــــر]],Tabledaily[[#This Row],[الـــــيوم]])</f>
        <v>46190</v>
      </c>
      <c r="U31" s="28">
        <v>46195.523923611108</v>
      </c>
      <c r="V31" s="22"/>
      <c r="W31" s="24">
        <f>YEAR(Tabledaily[[#This Row],[التاريخ]])</f>
        <v>2026</v>
      </c>
      <c r="X31" s="24">
        <f>MONTH(Tabledaily[[#This Row],[التاريخ]])</f>
        <v>6</v>
      </c>
      <c r="Y31" s="24">
        <f>DAY(Tabledaily[[#This Row],[التاريخ]])</f>
        <v>17</v>
      </c>
      <c r="Z3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استلام نقدي رقم   سند استلام - استلام عهدة من باعمر بامر</v>
      </c>
      <c r="AA31" s="24" t="str">
        <f>IF(COUNTIF(TableDailyJournal[رقم العملية],Tabledaily[[#This Row],[رقم العملية]])&gt;1,"مرحل","غير مرحل")</f>
        <v>مرحل</v>
      </c>
    </row>
    <row r="32" spans="1:27" ht="22.9" customHeight="1" x14ac:dyDescent="0.55000000000000004">
      <c r="A32" s="22">
        <f>ROW()-2</f>
        <v>30</v>
      </c>
      <c r="B32" s="23" t="s">
        <v>1183</v>
      </c>
      <c r="C32" s="213" t="s">
        <v>791</v>
      </c>
      <c r="D32" s="22" t="s">
        <v>283</v>
      </c>
      <c r="E32" s="22">
        <f>IFERROR(INDEX(TableJudje[رقم الحساب],MATCH(Tabledaily[[#This Row],[الحســاب الدئـــن]],TableJudje[اسم الحساب],0)),0)</f>
        <v>11010101</v>
      </c>
      <c r="F32" s="22" t="s">
        <v>23</v>
      </c>
      <c r="G32" s="22" t="s">
        <v>284</v>
      </c>
      <c r="H32" s="24">
        <f>IFERROR(INDEX(TableJudje[رقم الحساب],MATCH(Tabledaily[[#This Row],[الحســاب المديــــن]],TableJudje[اسم الحساب],0)),0)</f>
        <v>11060205</v>
      </c>
      <c r="I32" s="22" t="s">
        <v>513</v>
      </c>
      <c r="J32" s="22" t="s">
        <v>241</v>
      </c>
      <c r="K32" s="117">
        <v>19960</v>
      </c>
      <c r="L32" s="23">
        <v>1</v>
      </c>
      <c r="M32" s="118">
        <f>IFERROR(Tabledaily[[#This Row],[المبلـــــــغ]]/Tabledaily[[#This Row],[سعــــــر
الصـــــرف]],"")</f>
        <v>19960</v>
      </c>
      <c r="N32" s="22" t="s">
        <v>517</v>
      </c>
      <c r="O32" s="22" t="s">
        <v>300</v>
      </c>
      <c r="P32" s="22" t="s">
        <v>552</v>
      </c>
      <c r="Q32" s="22">
        <v>10460</v>
      </c>
      <c r="R32" s="22" t="s">
        <v>237</v>
      </c>
      <c r="S32" s="24">
        <f>IFERROR(INDEX(tablecost[رقم المركز],MATCH(Tabledaily[[#This Row],[مركـــــــزالتكلفــــــة]],tablecost[الاسم],0)),0)</f>
        <v>1</v>
      </c>
      <c r="T32" s="27">
        <f>DATE(Tabledaily[[#This Row],[السنــــة]],Tabledaily[[#This Row],[الشهــــر]],Tabledaily[[#This Row],[الـــــيوم]])</f>
        <v>46188</v>
      </c>
      <c r="U32" s="28">
        <v>46195.522858796299</v>
      </c>
      <c r="V32" s="22"/>
      <c r="W32" s="24">
        <f>YEAR(Tabledaily[[#This Row],[التاريخ]])</f>
        <v>2026</v>
      </c>
      <c r="X32" s="24">
        <f>MONTH(Tabledaily[[#This Row],[التاريخ]])</f>
        <v>6</v>
      </c>
      <c r="Y32" s="24">
        <f>DAY(Tabledaily[[#This Row],[التاريخ]])</f>
        <v>15</v>
      </c>
      <c r="Z3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حواله رقم 10460  شركة العامري للصرافة - استلام عهدة بامر</v>
      </c>
      <c r="AA32" s="24" t="str">
        <f>IF(COUNTIF(TableDailyJournal[رقم العملية],Tabledaily[[#This Row],[رقم العملية]])&gt;1,"مرحل","غير مرحل")</f>
        <v>مرحل</v>
      </c>
    </row>
    <row r="33" spans="1:27" ht="22.9" customHeight="1" x14ac:dyDescent="0.55000000000000004">
      <c r="A33" s="22">
        <f t="shared" ref="A33:A64" si="0">ROW()-2</f>
        <v>31</v>
      </c>
      <c r="B33" s="23" t="s">
        <v>1158</v>
      </c>
      <c r="C33" s="213" t="s">
        <v>1135</v>
      </c>
      <c r="D33" s="22" t="s">
        <v>290</v>
      </c>
      <c r="E33" s="22">
        <f>IFERROR(INDEX(TableJudje[رقم الحساب],MATCH(Tabledaily[[#This Row],[الحســاب الدئـــن]],TableJudje[اسم الحساب],0)),0)</f>
        <v>11060205</v>
      </c>
      <c r="F33" s="22" t="s">
        <v>513</v>
      </c>
      <c r="G33" s="22" t="s">
        <v>1159</v>
      </c>
      <c r="H33" s="24">
        <f>IFERROR(INDEX(TableJudje[رقم الحساب],MATCH(Tabledaily[[#This Row],[الحســاب المديــــن]],TableJudje[اسم الحساب],0)),0)</f>
        <v>31010114</v>
      </c>
      <c r="I33" s="22" t="s">
        <v>121</v>
      </c>
      <c r="J33" s="22" t="s">
        <v>238</v>
      </c>
      <c r="K33" s="117">
        <v>60000</v>
      </c>
      <c r="L33" s="23">
        <v>405</v>
      </c>
      <c r="M33" s="118">
        <f>IFERROR(Tabledaily[[#This Row],[المبلـــــــغ]]/Tabledaily[[#This Row],[سعــــــر
الصـــــرف]],"")</f>
        <v>148.14814814814815</v>
      </c>
      <c r="N33" s="22" t="s">
        <v>1160</v>
      </c>
      <c r="O33" s="22" t="s">
        <v>286</v>
      </c>
      <c r="P33" s="22" t="s">
        <v>287</v>
      </c>
      <c r="Q33" s="22" t="s">
        <v>1161</v>
      </c>
      <c r="R33" s="22" t="s">
        <v>237</v>
      </c>
      <c r="S33" s="24">
        <f>IFERROR(INDEX(tablecost[رقم المركز],MATCH(Tabledaily[[#This Row],[مركـــــــزالتكلفــــــة]],tablecost[الاسم],0)),0)</f>
        <v>1</v>
      </c>
      <c r="T33" s="27">
        <f>DATE(Tabledaily[[#This Row],[السنــــة]],Tabledaily[[#This Row],[الشهــــر]],Tabledaily[[#This Row],[الـــــيوم]])</f>
        <v>46193</v>
      </c>
      <c r="U33" s="28">
        <v>46195.015196759261</v>
      </c>
      <c r="V33" s="22" t="s">
        <v>646</v>
      </c>
      <c r="W33" s="24">
        <f>YEAR(Tabledaily[[#This Row],[التاريخ]])</f>
        <v>2026</v>
      </c>
      <c r="X33" s="24">
        <f>MONTH(Tabledaily[[#This Row],[التاريخ]])</f>
        <v>6</v>
      </c>
      <c r="Y33" s="24">
        <f>DAY(Tabledaily[[#This Row],[التاريخ]])</f>
        <v>20</v>
      </c>
      <c r="Z3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v>
      </c>
      <c r="AA33" s="24" t="str">
        <f>IF(COUNTIF(TableDailyJournal[رقم العملية],Tabledaily[[#This Row],[رقم العملية]])&gt;1,"مرحل","غير مرحل")</f>
        <v>مرحل</v>
      </c>
    </row>
    <row r="34" spans="1:27" ht="22.9" customHeight="1" x14ac:dyDescent="0.55000000000000004">
      <c r="A34" s="22">
        <f t="shared" si="0"/>
        <v>32</v>
      </c>
      <c r="B34" s="23" t="s">
        <v>1155</v>
      </c>
      <c r="C34" s="213" t="s">
        <v>1135</v>
      </c>
      <c r="D34" s="22" t="s">
        <v>290</v>
      </c>
      <c r="E34" s="22">
        <f>IFERROR(INDEX(TableJudje[رقم الحساب],MATCH(Tabledaily[[#This Row],[الحســاب الدئـــن]],TableJudje[اسم الحساب],0)),0)</f>
        <v>11060205</v>
      </c>
      <c r="F34" s="22" t="s">
        <v>513</v>
      </c>
      <c r="G34" s="22" t="s">
        <v>1156</v>
      </c>
      <c r="H34" s="24">
        <f>IFERROR(INDEX(TableJudje[رقم الحساب],MATCH(Tabledaily[[#This Row],[الحســاب المديــــن]],TableJudje[اسم الحساب],0)),0)</f>
        <v>31010101</v>
      </c>
      <c r="I34" s="22" t="s">
        <v>111</v>
      </c>
      <c r="J34" s="22" t="s">
        <v>238</v>
      </c>
      <c r="K34" s="117">
        <v>55000</v>
      </c>
      <c r="L34" s="23">
        <v>405</v>
      </c>
      <c r="M34" s="118">
        <f>IFERROR(Tabledaily[[#This Row],[المبلـــــــغ]]/Tabledaily[[#This Row],[سعــــــر
الصـــــرف]],"")</f>
        <v>135.80246913580248</v>
      </c>
      <c r="N34" s="22" t="s">
        <v>683</v>
      </c>
      <c r="O34" s="22" t="s">
        <v>286</v>
      </c>
      <c r="P34" s="22" t="s">
        <v>287</v>
      </c>
      <c r="Q34" s="22" t="s">
        <v>1157</v>
      </c>
      <c r="R34" s="22" t="s">
        <v>237</v>
      </c>
      <c r="S34" s="24">
        <f>IFERROR(INDEX(tablecost[رقم المركز],MATCH(Tabledaily[[#This Row],[مركـــــــزالتكلفــــــة]],tablecost[الاسم],0)),0)</f>
        <v>1</v>
      </c>
      <c r="T34" s="27">
        <f>DATE(Tabledaily[[#This Row],[السنــــة]],Tabledaily[[#This Row],[الشهــــر]],Tabledaily[[#This Row],[الـــــيوم]])</f>
        <v>46193</v>
      </c>
      <c r="U34" s="28">
        <v>46195.013391203705</v>
      </c>
      <c r="V34" s="22" t="s">
        <v>302</v>
      </c>
      <c r="W34" s="24">
        <f>YEAR(Tabledaily[[#This Row],[التاريخ]])</f>
        <v>2026</v>
      </c>
      <c r="X34" s="24">
        <f>MONTH(Tabledaily[[#This Row],[التاريخ]])</f>
        <v>6</v>
      </c>
      <c r="Y34" s="24">
        <f>DAY(Tabledaily[[#This Row],[التاريخ]])</f>
        <v>20</v>
      </c>
      <c r="Z3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v>
      </c>
      <c r="AA34" s="24" t="str">
        <f>IF(COUNTIF(TableDailyJournal[رقم العملية],Tabledaily[[#This Row],[رقم العملية]])&gt;1,"مرحل","غير مرحل")</f>
        <v>مرحل</v>
      </c>
    </row>
    <row r="35" spans="1:27" ht="22.9" customHeight="1" x14ac:dyDescent="0.55000000000000004">
      <c r="A35" s="22">
        <f t="shared" si="0"/>
        <v>33</v>
      </c>
      <c r="B35" s="23" t="s">
        <v>1151</v>
      </c>
      <c r="C35" s="213" t="s">
        <v>1135</v>
      </c>
      <c r="D35" s="22" t="s">
        <v>290</v>
      </c>
      <c r="E35" s="22">
        <f>IFERROR(INDEX(TableJudje[رقم الحساب],MATCH(Tabledaily[[#This Row],[الحســاب الدئـــن]],TableJudje[اسم الحساب],0)),0)</f>
        <v>11060205</v>
      </c>
      <c r="F35" s="22" t="s">
        <v>513</v>
      </c>
      <c r="G35" s="22" t="s">
        <v>1152</v>
      </c>
      <c r="H35" s="24">
        <f>IFERROR(INDEX(TableJudje[رقم الحساب],MATCH(Tabledaily[[#This Row],[الحســاب المديــــن]],TableJudje[اسم الحساب],0)),0)</f>
        <v>31010122</v>
      </c>
      <c r="I35" s="22" t="s">
        <v>487</v>
      </c>
      <c r="J35" s="22" t="s">
        <v>238</v>
      </c>
      <c r="K35" s="117">
        <v>100000</v>
      </c>
      <c r="L35" s="23">
        <v>405</v>
      </c>
      <c r="M35" s="118">
        <f>IFERROR(Tabledaily[[#This Row],[المبلـــــــغ]]/Tabledaily[[#This Row],[سعــــــر
الصـــــرف]],"")</f>
        <v>246.91358024691357</v>
      </c>
      <c r="N35" s="22" t="s">
        <v>1153</v>
      </c>
      <c r="O35" s="22" t="s">
        <v>286</v>
      </c>
      <c r="P35" s="22" t="s">
        <v>287</v>
      </c>
      <c r="Q35" s="22" t="s">
        <v>1154</v>
      </c>
      <c r="R35" s="22" t="s">
        <v>237</v>
      </c>
      <c r="S35" s="24">
        <f>IFERROR(INDEX(tablecost[رقم المركز],MATCH(Tabledaily[[#This Row],[مركـــــــزالتكلفــــــة]],tablecost[الاسم],0)),0)</f>
        <v>1</v>
      </c>
      <c r="T35" s="27">
        <f>DATE(Tabledaily[[#This Row],[السنــــة]],Tabledaily[[#This Row],[الشهــــر]],Tabledaily[[#This Row],[الـــــيوم]])</f>
        <v>46193</v>
      </c>
      <c r="U35" s="28">
        <v>46195.01116898148</v>
      </c>
      <c r="V35" s="22" t="s">
        <v>293</v>
      </c>
      <c r="W35" s="24">
        <f>YEAR(Tabledaily[[#This Row],[التاريخ]])</f>
        <v>2026</v>
      </c>
      <c r="X35" s="24">
        <f>MONTH(Tabledaily[[#This Row],[التاريخ]])</f>
        <v>6</v>
      </c>
      <c r="Y35" s="24">
        <f>DAY(Tabledaily[[#This Row],[التاريخ]])</f>
        <v>20</v>
      </c>
      <c r="Z3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عبدالله احمد محمد دغيش  - الفرقة الثالثة)  - استلام نقدي رقم 100-107  سند استلام - مصاريف سفر  بامرالأركان جمال مسدوس</v>
      </c>
      <c r="AA35" s="24" t="str">
        <f>IF(COUNTIF(TableDailyJournal[رقم العملية],Tabledaily[[#This Row],[رقم العملية]])&gt;1,"مرحل","غير مرحل")</f>
        <v>مرحل</v>
      </c>
    </row>
    <row r="36" spans="1:27" ht="22.9" customHeight="1" x14ac:dyDescent="0.55000000000000004">
      <c r="A36" s="22">
        <f t="shared" si="0"/>
        <v>34</v>
      </c>
      <c r="B36" s="23" t="s">
        <v>1150</v>
      </c>
      <c r="C36" s="213" t="s">
        <v>1135</v>
      </c>
      <c r="D36" s="22" t="s">
        <v>290</v>
      </c>
      <c r="E36" s="22">
        <f>IFERROR(INDEX(TableJudje[رقم الحساب],MATCH(Tabledaily[[#This Row],[الحســاب الدئـــن]],TableJudje[اسم الحساب],0)),0)</f>
        <v>11060205</v>
      </c>
      <c r="F36" s="22" t="s">
        <v>513</v>
      </c>
      <c r="G36" s="22" t="s">
        <v>1111</v>
      </c>
      <c r="H36" s="24">
        <f>IFERROR(INDEX(TableJudje[رقم الحساب],MATCH(Tabledaily[[#This Row],[الحســاب المديــــن]],TableJudje[اسم الحساب],0)),0)</f>
        <v>31010101</v>
      </c>
      <c r="I36" s="22" t="s">
        <v>111</v>
      </c>
      <c r="J36" s="22" t="s">
        <v>238</v>
      </c>
      <c r="K36" s="117">
        <v>100000</v>
      </c>
      <c r="L36" s="23">
        <v>405</v>
      </c>
      <c r="M36" s="118">
        <f>IFERROR(Tabledaily[[#This Row],[المبلـــــــغ]]/Tabledaily[[#This Row],[سعــــــر
الصـــــرف]],"")</f>
        <v>246.91358024691357</v>
      </c>
      <c r="N36" s="22" t="s">
        <v>325</v>
      </c>
      <c r="O36" s="22" t="s">
        <v>312</v>
      </c>
      <c r="P36" s="22" t="s">
        <v>312</v>
      </c>
      <c r="Q36" s="22"/>
      <c r="R36" s="22" t="s">
        <v>237</v>
      </c>
      <c r="S36" s="24">
        <f>IFERROR(INDEX(tablecost[رقم المركز],MATCH(Tabledaily[[#This Row],[مركـــــــزالتكلفــــــة]],tablecost[الاسم],0)),0)</f>
        <v>1</v>
      </c>
      <c r="T36" s="27">
        <f>DATE(Tabledaily[[#This Row],[السنــــة]],Tabledaily[[#This Row],[الشهــــر]],Tabledaily[[#This Row],[الـــــيوم]])</f>
        <v>46193</v>
      </c>
      <c r="U36" s="28">
        <v>46195.008206018516</v>
      </c>
      <c r="V36" s="22"/>
      <c r="W36" s="24">
        <f>YEAR(Tabledaily[[#This Row],[التاريخ]])</f>
        <v>2026</v>
      </c>
      <c r="X36" s="24">
        <f>MONTH(Tabledaily[[#This Row],[التاريخ]])</f>
        <v>6</v>
      </c>
      <c r="Y36" s="24">
        <f>DAY(Tabledaily[[#This Row],[التاريخ]])</f>
        <v>20</v>
      </c>
      <c r="Z3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للضباط السابقين عدد 10 ضباط بامر</v>
      </c>
      <c r="AA36" s="24" t="str">
        <f>IF(COUNTIF(TableDailyJournal[رقم العملية],Tabledaily[[#This Row],[رقم العملية]])&gt;1,"مرحل","غير مرحل")</f>
        <v>مرحل</v>
      </c>
    </row>
    <row r="37" spans="1:27" ht="22.9" customHeight="1" x14ac:dyDescent="0.55000000000000004">
      <c r="A37" s="22">
        <f t="shared" si="0"/>
        <v>35</v>
      </c>
      <c r="B37" s="23" t="s">
        <v>1149</v>
      </c>
      <c r="C37" s="213" t="s">
        <v>1135</v>
      </c>
      <c r="D37" s="22" t="s">
        <v>290</v>
      </c>
      <c r="E37" s="22">
        <f>IFERROR(INDEX(TableJudje[رقم الحساب],MATCH(Tabledaily[[#This Row],[الحســاب الدئـــن]],TableJudje[اسم الحساب],0)),0)</f>
        <v>11060205</v>
      </c>
      <c r="F37" s="22" t="s">
        <v>513</v>
      </c>
      <c r="G37" s="22" t="s">
        <v>886</v>
      </c>
      <c r="H37" s="24">
        <f>IFERROR(INDEX(TableJudje[رقم الحساب],MATCH(Tabledaily[[#This Row],[الحســاب المديــــن]],TableJudje[اسم الحساب],0)),0)</f>
        <v>31010101</v>
      </c>
      <c r="I37" s="22" t="s">
        <v>111</v>
      </c>
      <c r="J37" s="22" t="s">
        <v>238</v>
      </c>
      <c r="K37" s="117">
        <v>18000</v>
      </c>
      <c r="L37" s="23">
        <v>405</v>
      </c>
      <c r="M37" s="118">
        <f>IFERROR(Tabledaily[[#This Row],[المبلـــــــغ]]/Tabledaily[[#This Row],[سعــــــر
الصـــــرف]],"")</f>
        <v>44.444444444444443</v>
      </c>
      <c r="N37" s="22" t="s">
        <v>887</v>
      </c>
      <c r="O37" s="22" t="s">
        <v>312</v>
      </c>
      <c r="P37" s="22" t="s">
        <v>312</v>
      </c>
      <c r="Q37" s="22"/>
      <c r="R37" s="22" t="s">
        <v>237</v>
      </c>
      <c r="S37" s="24">
        <f>IFERROR(INDEX(tablecost[رقم المركز],MATCH(Tabledaily[[#This Row],[مركـــــــزالتكلفــــــة]],tablecost[الاسم],0)),0)</f>
        <v>1</v>
      </c>
      <c r="T37" s="27">
        <f>DATE(Tabledaily[[#This Row],[السنــــة]],Tabledaily[[#This Row],[الشهــــر]],Tabledaily[[#This Row],[الـــــيوم]])</f>
        <v>46193</v>
      </c>
      <c r="U37" s="28">
        <v>46195.006550925929</v>
      </c>
      <c r="V37" s="22"/>
      <c r="W37" s="24">
        <f>YEAR(Tabledaily[[#This Row],[التاريخ]])</f>
        <v>2026</v>
      </c>
      <c r="X37" s="24">
        <f>MONTH(Tabledaily[[#This Row],[التاريخ]])</f>
        <v>6</v>
      </c>
      <c r="Y37" s="24">
        <f>DAY(Tabledaily[[#This Row],[التاريخ]])</f>
        <v>20</v>
      </c>
      <c r="Z3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A37" s="24" t="str">
        <f>IF(COUNTIF(TableDailyJournal[رقم العملية],Tabledaily[[#This Row],[رقم العملية]])&gt;1,"مرحل","غير مرحل")</f>
        <v>مرحل</v>
      </c>
    </row>
    <row r="38" spans="1:27" ht="22.9" customHeight="1" x14ac:dyDescent="0.55000000000000004">
      <c r="A38" s="22">
        <f t="shared" si="0"/>
        <v>36</v>
      </c>
      <c r="B38" s="23" t="s">
        <v>1148</v>
      </c>
      <c r="C38" s="213" t="s">
        <v>1135</v>
      </c>
      <c r="D38" s="22" t="s">
        <v>290</v>
      </c>
      <c r="E38" s="22">
        <f>IFERROR(INDEX(TableJudje[رقم الحساب],MATCH(Tabledaily[[#This Row],[الحســاب الدئـــن]],TableJudje[اسم الحساب],0)),0)</f>
        <v>11060205</v>
      </c>
      <c r="F38" s="22" t="s">
        <v>513</v>
      </c>
      <c r="G38" s="22" t="s">
        <v>977</v>
      </c>
      <c r="H38" s="24">
        <f>IFERROR(INDEX(TableJudje[رقم الحساب],MATCH(Tabledaily[[#This Row],[الحســاب المديــــن]],TableJudje[اسم الحساب],0)),0)</f>
        <v>31010101</v>
      </c>
      <c r="I38" s="22" t="s">
        <v>111</v>
      </c>
      <c r="J38" s="22" t="s">
        <v>238</v>
      </c>
      <c r="K38" s="117">
        <v>25000</v>
      </c>
      <c r="L38" s="23">
        <v>405</v>
      </c>
      <c r="M38" s="118">
        <f>IFERROR(Tabledaily[[#This Row],[المبلـــــــغ]]/Tabledaily[[#This Row],[سعــــــر
الصـــــرف]],"")</f>
        <v>61.728395061728392</v>
      </c>
      <c r="N38" s="22" t="s">
        <v>638</v>
      </c>
      <c r="O38" s="22" t="s">
        <v>312</v>
      </c>
      <c r="P38" s="22" t="s">
        <v>312</v>
      </c>
      <c r="Q38" s="22"/>
      <c r="R38" s="22" t="s">
        <v>237</v>
      </c>
      <c r="S38" s="24">
        <f>IFERROR(INDEX(tablecost[رقم المركز],MATCH(Tabledaily[[#This Row],[مركـــــــزالتكلفــــــة]],tablecost[الاسم],0)),0)</f>
        <v>1</v>
      </c>
      <c r="T38" s="27">
        <f>DATE(Tabledaily[[#This Row],[السنــــة]],Tabledaily[[#This Row],[الشهــــر]],Tabledaily[[#This Row],[الـــــيوم]])</f>
        <v>46193</v>
      </c>
      <c r="U38" s="28">
        <v>46195.006064814814</v>
      </c>
      <c r="V38" s="22"/>
      <c r="W38" s="24">
        <f>YEAR(Tabledaily[[#This Row],[التاريخ]])</f>
        <v>2026</v>
      </c>
      <c r="X38" s="24">
        <f>MONTH(Tabledaily[[#This Row],[التاريخ]])</f>
        <v>6</v>
      </c>
      <c r="Y38" s="24">
        <f>DAY(Tabledaily[[#This Row],[التاريخ]])</f>
        <v>20</v>
      </c>
      <c r="Z3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لمرافقين الاركان عدد 4 افراد بامر</v>
      </c>
      <c r="AA38" s="24" t="str">
        <f>IF(COUNTIF(TableDailyJournal[رقم العملية],Tabledaily[[#This Row],[رقم العملية]])&gt;1,"مرحل","غير مرحل")</f>
        <v>مرحل</v>
      </c>
    </row>
    <row r="39" spans="1:27" ht="22.9" customHeight="1" x14ac:dyDescent="0.55000000000000004">
      <c r="A39" s="22">
        <f t="shared" si="0"/>
        <v>37</v>
      </c>
      <c r="B39" s="23" t="s">
        <v>1147</v>
      </c>
      <c r="C39" s="213" t="s">
        <v>1135</v>
      </c>
      <c r="D39" s="22" t="s">
        <v>290</v>
      </c>
      <c r="E39" s="22">
        <f>IFERROR(INDEX(TableJudje[رقم الحساب],MATCH(Tabledaily[[#This Row],[الحســاب الدئـــن]],TableJudje[اسم الحساب],0)),0)</f>
        <v>11060205</v>
      </c>
      <c r="F39" s="22" t="s">
        <v>513</v>
      </c>
      <c r="G39" s="22" t="s">
        <v>1107</v>
      </c>
      <c r="H39" s="24">
        <f>IFERROR(INDEX(TableJudje[رقم الحساب],MATCH(Tabledaily[[#This Row],[الحســاب المديــــن]],TableJudje[اسم الحساب],0)),0)</f>
        <v>31010101</v>
      </c>
      <c r="I39" s="22" t="s">
        <v>111</v>
      </c>
      <c r="J39" s="22" t="s">
        <v>238</v>
      </c>
      <c r="K39" s="117">
        <v>35000</v>
      </c>
      <c r="L39" s="23">
        <v>405</v>
      </c>
      <c r="M39" s="118">
        <f>IFERROR(Tabledaily[[#This Row],[المبلـــــــغ]]/Tabledaily[[#This Row],[سعــــــر
الصـــــرف]],"")</f>
        <v>86.419753086419746</v>
      </c>
      <c r="N39" s="22" t="s">
        <v>459</v>
      </c>
      <c r="O39" s="22" t="s">
        <v>312</v>
      </c>
      <c r="P39" s="22" t="s">
        <v>312</v>
      </c>
      <c r="Q39" s="22"/>
      <c r="R39" s="22" t="s">
        <v>237</v>
      </c>
      <c r="S39" s="24">
        <f>IFERROR(INDEX(tablecost[رقم المركز],MATCH(Tabledaily[[#This Row],[مركـــــــزالتكلفــــــة]],tablecost[الاسم],0)),0)</f>
        <v>1</v>
      </c>
      <c r="T39" s="27">
        <f>DATE(Tabledaily[[#This Row],[السنــــة]],Tabledaily[[#This Row],[الشهــــر]],Tabledaily[[#This Row],[الـــــيوم]])</f>
        <v>46193</v>
      </c>
      <c r="U39" s="28">
        <v>46195.004884259259</v>
      </c>
      <c r="V39" s="22"/>
      <c r="W39" s="24">
        <f>YEAR(Tabledaily[[#This Row],[التاريخ]])</f>
        <v>2026</v>
      </c>
      <c r="X39" s="24">
        <f>MONTH(Tabledaily[[#This Row],[التاريخ]])</f>
        <v>6</v>
      </c>
      <c r="Y39" s="24">
        <f>DAY(Tabledaily[[#This Row],[التاريخ]])</f>
        <v>20</v>
      </c>
      <c r="Z3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لافراد الاشغال عدد 4 افراد بامر</v>
      </c>
      <c r="AA39" s="24" t="str">
        <f>IF(COUNTIF(TableDailyJournal[رقم العملية],Tabledaily[[#This Row],[رقم العملية]])&gt;1,"مرحل","غير مرحل")</f>
        <v>مرحل</v>
      </c>
    </row>
    <row r="40" spans="1:27" ht="22.9" customHeight="1" x14ac:dyDescent="0.55000000000000004">
      <c r="A40" s="22">
        <f t="shared" si="0"/>
        <v>38</v>
      </c>
      <c r="B40" s="23" t="s">
        <v>1146</v>
      </c>
      <c r="C40" s="213" t="s">
        <v>1135</v>
      </c>
      <c r="D40" s="22" t="s">
        <v>290</v>
      </c>
      <c r="E40" s="22">
        <f>IFERROR(INDEX(TableJudje[رقم الحساب],MATCH(Tabledaily[[#This Row],[الحســاب الدئـــن]],TableJudje[اسم الحساب],0)),0)</f>
        <v>11060205</v>
      </c>
      <c r="F40" s="22" t="s">
        <v>513</v>
      </c>
      <c r="G40" s="22" t="s">
        <v>852</v>
      </c>
      <c r="H40" s="24">
        <f>IFERROR(INDEX(TableJudje[رقم الحساب],MATCH(Tabledaily[[#This Row],[الحســاب المديــــن]],TableJudje[اسم الحساب],0)),0)</f>
        <v>31010101</v>
      </c>
      <c r="I40" s="22" t="s">
        <v>111</v>
      </c>
      <c r="J40" s="22" t="s">
        <v>238</v>
      </c>
      <c r="K40" s="117">
        <v>80000</v>
      </c>
      <c r="L40" s="23">
        <v>405</v>
      </c>
      <c r="M40" s="118">
        <f>IFERROR(Tabledaily[[#This Row],[المبلـــــــغ]]/Tabledaily[[#This Row],[سعــــــر
الصـــــرف]],"")</f>
        <v>197.53086419753086</v>
      </c>
      <c r="N40" s="22" t="s">
        <v>322</v>
      </c>
      <c r="O40" s="22" t="s">
        <v>312</v>
      </c>
      <c r="P40" s="22" t="s">
        <v>312</v>
      </c>
      <c r="Q40" s="22"/>
      <c r="R40" s="22" t="s">
        <v>237</v>
      </c>
      <c r="S40" s="24">
        <f>IFERROR(INDEX(tablecost[رقم المركز],MATCH(Tabledaily[[#This Row],[مركـــــــزالتكلفــــــة]],tablecost[الاسم],0)),0)</f>
        <v>1</v>
      </c>
      <c r="T40" s="27">
        <f>DATE(Tabledaily[[#This Row],[السنــــة]],Tabledaily[[#This Row],[الشهــــر]],Tabledaily[[#This Row],[الـــــيوم]])</f>
        <v>46193</v>
      </c>
      <c r="U40" s="28">
        <v>46195.004155092596</v>
      </c>
      <c r="V40" s="22"/>
      <c r="W40" s="24">
        <f>YEAR(Tabledaily[[#This Row],[التاريخ]])</f>
        <v>2026</v>
      </c>
      <c r="X40" s="24">
        <f>MONTH(Tabledaily[[#This Row],[التاريخ]])</f>
        <v>6</v>
      </c>
      <c r="Y40" s="24">
        <f>DAY(Tabledaily[[#This Row],[التاريخ]])</f>
        <v>20</v>
      </c>
      <c r="Z4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9 بامر</v>
      </c>
      <c r="AA40" s="24" t="str">
        <f>IF(COUNTIF(TableDailyJournal[رقم العملية],Tabledaily[[#This Row],[رقم العملية]])&gt;1,"مرحل","غير مرحل")</f>
        <v>مرحل</v>
      </c>
    </row>
    <row r="41" spans="1:27" ht="22.9" customHeight="1" x14ac:dyDescent="0.55000000000000004">
      <c r="A41" s="22">
        <f t="shared" si="0"/>
        <v>39</v>
      </c>
      <c r="B41" s="23" t="s">
        <v>1145</v>
      </c>
      <c r="C41" s="213" t="s">
        <v>1135</v>
      </c>
      <c r="D41" s="22" t="s">
        <v>290</v>
      </c>
      <c r="E41" s="22">
        <f>IFERROR(INDEX(TableJudje[رقم الحساب],MATCH(Tabledaily[[#This Row],[الحســاب الدئـــن]],TableJudje[اسم الحساب],0)),0)</f>
        <v>11060205</v>
      </c>
      <c r="F41" s="22" t="s">
        <v>513</v>
      </c>
      <c r="G41" s="22" t="s">
        <v>971</v>
      </c>
      <c r="H41" s="24">
        <f>IFERROR(INDEX(TableJudje[رقم الحساب],MATCH(Tabledaily[[#This Row],[الحســاب المديــــن]],TableJudje[اسم الحساب],0)),0)</f>
        <v>31010101</v>
      </c>
      <c r="I41" s="22" t="s">
        <v>111</v>
      </c>
      <c r="J41" s="22" t="s">
        <v>238</v>
      </c>
      <c r="K41" s="117">
        <v>45000</v>
      </c>
      <c r="L41" s="23">
        <v>405</v>
      </c>
      <c r="M41" s="118">
        <f>IFERROR(Tabledaily[[#This Row],[المبلـــــــغ]]/Tabledaily[[#This Row],[سعــــــر
الصـــــرف]],"")</f>
        <v>111.11111111111111</v>
      </c>
      <c r="N41" s="22" t="s">
        <v>565</v>
      </c>
      <c r="O41" s="22" t="s">
        <v>312</v>
      </c>
      <c r="P41" s="22" t="s">
        <v>312</v>
      </c>
      <c r="Q41" s="22"/>
      <c r="R41" s="22" t="s">
        <v>237</v>
      </c>
      <c r="S41" s="24">
        <f>IFERROR(INDEX(tablecost[رقم المركز],MATCH(Tabledaily[[#This Row],[مركـــــــزالتكلفــــــة]],tablecost[الاسم],0)),0)</f>
        <v>1</v>
      </c>
      <c r="T41" s="27">
        <f>DATE(Tabledaily[[#This Row],[السنــــة]],Tabledaily[[#This Row],[الشهــــر]],Tabledaily[[#This Row],[الـــــيوم]])</f>
        <v>46193</v>
      </c>
      <c r="U41" s="28">
        <v>46195.002812500003</v>
      </c>
      <c r="V41" s="22"/>
      <c r="W41" s="24">
        <f>YEAR(Tabledaily[[#This Row],[التاريخ]])</f>
        <v>2026</v>
      </c>
      <c r="X41" s="24">
        <f>MONTH(Tabledaily[[#This Row],[التاريخ]])</f>
        <v>6</v>
      </c>
      <c r="Y41" s="24">
        <f>DAY(Tabledaily[[#This Row],[التاريخ]])</f>
        <v>20</v>
      </c>
      <c r="Z4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لافراد المدفعية عدد 5 افراد بامر</v>
      </c>
      <c r="AA41" s="24" t="str">
        <f>IF(COUNTIF(TableDailyJournal[رقم العملية],Tabledaily[[#This Row],[رقم العملية]])&gt;1,"مرحل","غير مرحل")</f>
        <v>مرحل</v>
      </c>
    </row>
    <row r="42" spans="1:27" ht="22.9" customHeight="1" x14ac:dyDescent="0.55000000000000004">
      <c r="A42" s="22">
        <f t="shared" si="0"/>
        <v>40</v>
      </c>
      <c r="B42" s="23" t="s">
        <v>1144</v>
      </c>
      <c r="C42" s="213" t="s">
        <v>1135</v>
      </c>
      <c r="D42" s="22" t="s">
        <v>290</v>
      </c>
      <c r="E42" s="22">
        <f>IFERROR(INDEX(TableJudje[رقم الحساب],MATCH(Tabledaily[[#This Row],[الحســاب الدئـــن]],TableJudje[اسم الحساب],0)),0)</f>
        <v>11060205</v>
      </c>
      <c r="F42" s="22" t="s">
        <v>513</v>
      </c>
      <c r="G42" s="22" t="s">
        <v>969</v>
      </c>
      <c r="H42" s="24">
        <f>IFERROR(INDEX(TableJudje[رقم الحساب],MATCH(Tabledaily[[#This Row],[الحســاب المديــــن]],TableJudje[اسم الحساب],0)),0)</f>
        <v>31010101</v>
      </c>
      <c r="I42" s="22" t="s">
        <v>111</v>
      </c>
      <c r="J42" s="22" t="s">
        <v>238</v>
      </c>
      <c r="K42" s="117">
        <v>80000</v>
      </c>
      <c r="L42" s="23">
        <v>405</v>
      </c>
      <c r="M42" s="118">
        <f>IFERROR(Tabledaily[[#This Row],[المبلـــــــغ]]/Tabledaily[[#This Row],[سعــــــر
الصـــــرف]],"")</f>
        <v>197.53086419753086</v>
      </c>
      <c r="N42" s="22" t="s">
        <v>334</v>
      </c>
      <c r="O42" s="22" t="s">
        <v>312</v>
      </c>
      <c r="P42" s="22" t="s">
        <v>312</v>
      </c>
      <c r="Q42" s="22"/>
      <c r="R42" s="22" t="s">
        <v>237</v>
      </c>
      <c r="S42" s="24">
        <f>IFERROR(INDEX(tablecost[رقم المركز],MATCH(Tabledaily[[#This Row],[مركـــــــزالتكلفــــــة]],tablecost[الاسم],0)),0)</f>
        <v>1</v>
      </c>
      <c r="T42" s="27">
        <f>DATE(Tabledaily[[#This Row],[السنــــة]],Tabledaily[[#This Row],[الشهــــر]],Tabledaily[[#This Row],[الـــــيوم]])</f>
        <v>46193</v>
      </c>
      <c r="U42" s="28">
        <v>46195.001967592594</v>
      </c>
      <c r="V42" s="22"/>
      <c r="W42" s="24">
        <f>YEAR(Tabledaily[[#This Row],[التاريخ]])</f>
        <v>2026</v>
      </c>
      <c r="X42" s="24">
        <f>MONTH(Tabledaily[[#This Row],[التاريخ]])</f>
        <v>6</v>
      </c>
      <c r="Y42" s="24">
        <f>DAY(Tabledaily[[#This Row],[التاريخ]])</f>
        <v>20</v>
      </c>
      <c r="Z4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لافراد الاستخبارات عدد 5 افراد بامر</v>
      </c>
      <c r="AA42" s="24" t="str">
        <f>IF(COUNTIF(TableDailyJournal[رقم العملية],Tabledaily[[#This Row],[رقم العملية]])&gt;1,"مرحل","غير مرحل")</f>
        <v>مرحل</v>
      </c>
    </row>
    <row r="43" spans="1:27" ht="22.9" customHeight="1" x14ac:dyDescent="0.55000000000000004">
      <c r="A43" s="22">
        <f t="shared" si="0"/>
        <v>41</v>
      </c>
      <c r="B43" s="23" t="s">
        <v>1143</v>
      </c>
      <c r="C43" s="213" t="s">
        <v>1135</v>
      </c>
      <c r="D43" s="22" t="s">
        <v>290</v>
      </c>
      <c r="E43" s="22">
        <f>IFERROR(INDEX(TableJudje[رقم الحساب],MATCH(Tabledaily[[#This Row],[الحســاب الدئـــن]],TableJudje[اسم الحساب],0)),0)</f>
        <v>11060205</v>
      </c>
      <c r="F43" s="22" t="s">
        <v>513</v>
      </c>
      <c r="G43" s="22" t="s">
        <v>878</v>
      </c>
      <c r="H43" s="24">
        <f>IFERROR(INDEX(TableJudje[رقم الحساب],MATCH(Tabledaily[[#This Row],[الحســاب المديــــن]],TableJudje[اسم الحساب],0)),0)</f>
        <v>31010101</v>
      </c>
      <c r="I43" s="22" t="s">
        <v>111</v>
      </c>
      <c r="J43" s="22" t="s">
        <v>238</v>
      </c>
      <c r="K43" s="117">
        <v>15000</v>
      </c>
      <c r="L43" s="23">
        <v>405</v>
      </c>
      <c r="M43" s="118">
        <f>IFERROR(Tabledaily[[#This Row],[المبلـــــــغ]]/Tabledaily[[#This Row],[سعــــــر
الصـــــرف]],"")</f>
        <v>37.037037037037038</v>
      </c>
      <c r="N43" s="22" t="s">
        <v>967</v>
      </c>
      <c r="O43" s="22" t="s">
        <v>312</v>
      </c>
      <c r="P43" s="22" t="s">
        <v>312</v>
      </c>
      <c r="Q43" s="22"/>
      <c r="R43" s="22" t="s">
        <v>237</v>
      </c>
      <c r="S43" s="24">
        <f>IFERROR(INDEX(tablecost[رقم المركز],MATCH(Tabledaily[[#This Row],[مركـــــــزالتكلفــــــة]],tablecost[الاسم],0)),0)</f>
        <v>1</v>
      </c>
      <c r="T43" s="27">
        <f>DATE(Tabledaily[[#This Row],[السنــــة]],Tabledaily[[#This Row],[الشهــــر]],Tabledaily[[#This Row],[الـــــيوم]])</f>
        <v>46193</v>
      </c>
      <c r="U43" s="28">
        <v>46195.000833333332</v>
      </c>
      <c r="V43" s="22"/>
      <c r="W43" s="24">
        <f>YEAR(Tabledaily[[#This Row],[التاريخ]])</f>
        <v>2026</v>
      </c>
      <c r="X43" s="24">
        <f>MONTH(Tabledaily[[#This Row],[التاريخ]])</f>
        <v>6</v>
      </c>
      <c r="Y43" s="24">
        <f>DAY(Tabledaily[[#This Row],[التاريخ]])</f>
        <v>20</v>
      </c>
      <c r="Z4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 الفرقة الثالثة)  - كشف صرف رقم   كشف صرف - صرف الصرفة اليومية لافراد البشرية عدد1 بامر</v>
      </c>
      <c r="AA43" s="24" t="str">
        <f>IF(COUNTIF(TableDailyJournal[رقم العملية],Tabledaily[[#This Row],[رقم العملية]])&gt;1,"مرحل","غير مرحل")</f>
        <v>مرحل</v>
      </c>
    </row>
    <row r="44" spans="1:27" ht="22.9" customHeight="1" x14ac:dyDescent="0.55000000000000004">
      <c r="A44" s="22">
        <f t="shared" si="0"/>
        <v>42</v>
      </c>
      <c r="B44" s="23" t="s">
        <v>1142</v>
      </c>
      <c r="C44" s="213" t="s">
        <v>1135</v>
      </c>
      <c r="D44" s="22" t="s">
        <v>290</v>
      </c>
      <c r="E44" s="22">
        <f>IFERROR(INDEX(TableJudje[رقم الحساب],MATCH(Tabledaily[[#This Row],[الحســاب الدئـــن]],TableJudje[اسم الحساب],0)),0)</f>
        <v>11060205</v>
      </c>
      <c r="F44" s="22" t="s">
        <v>513</v>
      </c>
      <c r="G44" s="22" t="s">
        <v>875</v>
      </c>
      <c r="H44" s="24">
        <f>IFERROR(INDEX(TableJudje[رقم الحساب],MATCH(Tabledaily[[#This Row],[الحســاب المديــــن]],TableJudje[اسم الحساب],0)),0)</f>
        <v>31010101</v>
      </c>
      <c r="I44" s="22" t="s">
        <v>111</v>
      </c>
      <c r="J44" s="22" t="s">
        <v>238</v>
      </c>
      <c r="K44" s="117">
        <v>25000</v>
      </c>
      <c r="L44" s="23">
        <v>405</v>
      </c>
      <c r="M44" s="118">
        <f>IFERROR(Tabledaily[[#This Row],[المبلـــــــغ]]/Tabledaily[[#This Row],[سعــــــر
الصـــــرف]],"")</f>
        <v>61.728395061728392</v>
      </c>
      <c r="N44" s="22" t="s">
        <v>964</v>
      </c>
      <c r="O44" s="22" t="s">
        <v>312</v>
      </c>
      <c r="P44" s="22" t="s">
        <v>312</v>
      </c>
      <c r="Q44" s="22"/>
      <c r="R44" s="22" t="s">
        <v>237</v>
      </c>
      <c r="S44" s="24">
        <f>IFERROR(INDEX(tablecost[رقم المركز],MATCH(Tabledaily[[#This Row],[مركـــــــزالتكلفــــــة]],tablecost[الاسم],0)),0)</f>
        <v>1</v>
      </c>
      <c r="T44" s="27">
        <f>DATE(Tabledaily[[#This Row],[السنــــة]],Tabledaily[[#This Row],[الشهــــر]],Tabledaily[[#This Row],[الـــــيوم]])</f>
        <v>46193</v>
      </c>
      <c r="U44" s="28">
        <v>46194.999895833331</v>
      </c>
      <c r="V44" s="22"/>
      <c r="W44" s="24">
        <f>YEAR(Tabledaily[[#This Row],[التاريخ]])</f>
        <v>2026</v>
      </c>
      <c r="X44" s="24">
        <f>MONTH(Tabledaily[[#This Row],[التاريخ]])</f>
        <v>6</v>
      </c>
      <c r="Y44" s="24">
        <f>DAY(Tabledaily[[#This Row],[التاريخ]])</f>
        <v>20</v>
      </c>
      <c r="Z4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المحاسبين - الفرقة الثالثة)  - كشف صرف رقم   كشف صرف - صرف الصرفة اليومية للمحاسبين عدد2 بامر</v>
      </c>
      <c r="AA44" s="24" t="str">
        <f>IF(COUNTIF(TableDailyJournal[رقم العملية],Tabledaily[[#This Row],[رقم العملية]])&gt;1,"مرحل","غير مرحل")</f>
        <v>مرحل</v>
      </c>
    </row>
    <row r="45" spans="1:27" ht="22.9" customHeight="1" x14ac:dyDescent="0.55000000000000004">
      <c r="A45" s="22">
        <f t="shared" si="0"/>
        <v>43</v>
      </c>
      <c r="B45" s="23" t="s">
        <v>1140</v>
      </c>
      <c r="C45" s="213" t="s">
        <v>1135</v>
      </c>
      <c r="D45" s="22" t="s">
        <v>290</v>
      </c>
      <c r="E45" s="22">
        <f>IFERROR(INDEX(TableJudje[رقم الحساب],MATCH(Tabledaily[[#This Row],[الحســاب الدئـــن]],TableJudje[اسم الحساب],0)),0)</f>
        <v>11060205</v>
      </c>
      <c r="F45" s="22" t="s">
        <v>513</v>
      </c>
      <c r="G45" s="22" t="s">
        <v>1141</v>
      </c>
      <c r="H45" s="24">
        <f>IFERROR(INDEX(TableJudje[رقم الحساب],MATCH(Tabledaily[[#This Row],[الحســاب المديــــن]],TableJudje[اسم الحساب],0)),0)</f>
        <v>31010101</v>
      </c>
      <c r="I45" s="22" t="s">
        <v>111</v>
      </c>
      <c r="J45" s="22" t="s">
        <v>238</v>
      </c>
      <c r="K45" s="117">
        <v>30000</v>
      </c>
      <c r="L45" s="23">
        <v>405</v>
      </c>
      <c r="M45" s="118">
        <f>IFERROR(Tabledaily[[#This Row],[المبلـــــــغ]]/Tabledaily[[#This Row],[سعــــــر
الصـــــرف]],"")</f>
        <v>74.074074074074076</v>
      </c>
      <c r="N45" s="22" t="s">
        <v>962</v>
      </c>
      <c r="O45" s="22" t="s">
        <v>312</v>
      </c>
      <c r="P45" s="22" t="s">
        <v>312</v>
      </c>
      <c r="Q45" s="22"/>
      <c r="R45" s="22" t="s">
        <v>237</v>
      </c>
      <c r="S45" s="24">
        <f>IFERROR(INDEX(tablecost[رقم المركز],MATCH(Tabledaily[[#This Row],[مركـــــــزالتكلفــــــة]],tablecost[الاسم],0)),0)</f>
        <v>1</v>
      </c>
      <c r="T45" s="27">
        <f>DATE(Tabledaily[[#This Row],[السنــــة]],Tabledaily[[#This Row],[الشهــــر]],Tabledaily[[#This Row],[الـــــيوم]])</f>
        <v>46193</v>
      </c>
      <c r="U45" s="28">
        <v>46194.999293981484</v>
      </c>
      <c r="V45" s="22"/>
      <c r="W45" s="24">
        <f>YEAR(Tabledaily[[#This Row],[التاريخ]])</f>
        <v>2026</v>
      </c>
      <c r="X45" s="24">
        <f>MONTH(Tabledaily[[#This Row],[التاريخ]])</f>
        <v>6</v>
      </c>
      <c r="Y45" s="24">
        <f>DAY(Tabledaily[[#This Row],[التاريخ]])</f>
        <v>20</v>
      </c>
      <c r="Z4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الاستطلاع - الفرقة الثالثة)  - كشف صرف رقم   كشف صرف - صرف الصرفة اليومية لافراد الاستطلاع عدد 2 افراد  بامر</v>
      </c>
      <c r="AA45" s="24" t="str">
        <f>IF(COUNTIF(TableDailyJournal[رقم العملية],Tabledaily[[#This Row],[رقم العملية]])&gt;1,"مرحل","غير مرحل")</f>
        <v>مرحل</v>
      </c>
    </row>
    <row r="46" spans="1:27" ht="22.9" customHeight="1" x14ac:dyDescent="0.55000000000000004">
      <c r="A46" s="22">
        <f t="shared" si="0"/>
        <v>44</v>
      </c>
      <c r="B46" s="23" t="s">
        <v>1139</v>
      </c>
      <c r="C46" s="213" t="s">
        <v>1135</v>
      </c>
      <c r="D46" s="22" t="s">
        <v>290</v>
      </c>
      <c r="E46" s="22">
        <f>IFERROR(INDEX(TableJudje[رقم الحساب],MATCH(Tabledaily[[#This Row],[الحســاب الدئـــن]],TableJudje[اسم الحساب],0)),0)</f>
        <v>11060205</v>
      </c>
      <c r="F46" s="22" t="s">
        <v>513</v>
      </c>
      <c r="G46" s="22" t="s">
        <v>872</v>
      </c>
      <c r="H46" s="24">
        <f>IFERROR(INDEX(TableJudje[رقم الحساب],MATCH(Tabledaily[[#This Row],[الحســاب المديــــن]],TableJudje[اسم الحساب],0)),0)</f>
        <v>31010101</v>
      </c>
      <c r="I46" s="22" t="s">
        <v>111</v>
      </c>
      <c r="J46" s="22" t="s">
        <v>238</v>
      </c>
      <c r="K46" s="117">
        <v>31000</v>
      </c>
      <c r="L46" s="23">
        <v>405</v>
      </c>
      <c r="M46" s="118">
        <f>IFERROR(Tabledaily[[#This Row],[المبلـــــــغ]]/Tabledaily[[#This Row],[سعــــــر
الصـــــرف]],"")</f>
        <v>76.543209876543216</v>
      </c>
      <c r="N46" s="22" t="s">
        <v>873</v>
      </c>
      <c r="O46" s="22" t="s">
        <v>312</v>
      </c>
      <c r="P46" s="22" t="s">
        <v>312</v>
      </c>
      <c r="Q46" s="22"/>
      <c r="R46" s="22" t="s">
        <v>237</v>
      </c>
      <c r="S46" s="24">
        <f>IFERROR(INDEX(tablecost[رقم المركز],MATCH(Tabledaily[[#This Row],[مركـــــــزالتكلفــــــة]],tablecost[الاسم],0)),0)</f>
        <v>1</v>
      </c>
      <c r="T46" s="27">
        <f>DATE(Tabledaily[[#This Row],[السنــــة]],Tabledaily[[#This Row],[الشهــــر]],Tabledaily[[#This Row],[الـــــيوم]])</f>
        <v>46193</v>
      </c>
      <c r="U46" s="28">
        <v>46194.998425925929</v>
      </c>
      <c r="V46" s="22"/>
      <c r="W46" s="24">
        <f>YEAR(Tabledaily[[#This Row],[التاريخ]])</f>
        <v>2026</v>
      </c>
      <c r="X46" s="24">
        <f>MONTH(Tabledaily[[#This Row],[التاريخ]])</f>
        <v>6</v>
      </c>
      <c r="Y46" s="24">
        <f>DAY(Tabledaily[[#This Row],[التاريخ]])</f>
        <v>20</v>
      </c>
      <c r="Z4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قسم المشتريات - الفرقة الثالثة)  - كشف صرف رقم   كشف صرف - صرف الصرفة اليومية لافراد قسم المشتريات عدد3 بامر</v>
      </c>
      <c r="AA46" s="24" t="str">
        <f>IF(COUNTIF(TableDailyJournal[رقم العملية],Tabledaily[[#This Row],[رقم العملية]])&gt;1,"مرحل","غير مرحل")</f>
        <v>مرحل</v>
      </c>
    </row>
    <row r="47" spans="1:27" ht="22.9" customHeight="1" x14ac:dyDescent="0.55000000000000004">
      <c r="A47" s="22">
        <f t="shared" si="0"/>
        <v>45</v>
      </c>
      <c r="B47" s="23" t="s">
        <v>1138</v>
      </c>
      <c r="C47" s="213" t="s">
        <v>1135</v>
      </c>
      <c r="D47" s="22" t="s">
        <v>290</v>
      </c>
      <c r="E47" s="22">
        <f>IFERROR(INDEX(TableJudje[رقم الحساب],MATCH(Tabledaily[[#This Row],[الحســاب الدئـــن]],TableJudje[اسم الحساب],0)),0)</f>
        <v>11060205</v>
      </c>
      <c r="F47" s="22" t="s">
        <v>513</v>
      </c>
      <c r="G47" s="22" t="s">
        <v>869</v>
      </c>
      <c r="H47" s="24">
        <f>IFERROR(INDEX(TableJudje[رقم الحساب],MATCH(Tabledaily[[#This Row],[الحســاب المديــــن]],TableJudje[اسم الحساب],0)),0)</f>
        <v>31010101</v>
      </c>
      <c r="I47" s="22" t="s">
        <v>111</v>
      </c>
      <c r="J47" s="22" t="s">
        <v>238</v>
      </c>
      <c r="K47" s="117">
        <v>23000</v>
      </c>
      <c r="L47" s="23">
        <v>405</v>
      </c>
      <c r="M47" s="118">
        <f>IFERROR(Tabledaily[[#This Row],[المبلـــــــغ]]/Tabledaily[[#This Row],[سعــــــر
الصـــــرف]],"")</f>
        <v>56.790123456790127</v>
      </c>
      <c r="N47" s="22" t="s">
        <v>870</v>
      </c>
      <c r="O47" s="22" t="s">
        <v>312</v>
      </c>
      <c r="P47" s="22" t="s">
        <v>312</v>
      </c>
      <c r="Q47" s="22"/>
      <c r="R47" s="22" t="s">
        <v>237</v>
      </c>
      <c r="S47" s="24">
        <f>IFERROR(INDEX(tablecost[رقم المركز],MATCH(Tabledaily[[#This Row],[مركـــــــزالتكلفــــــة]],tablecost[الاسم],0)),0)</f>
        <v>1</v>
      </c>
      <c r="T47" s="27">
        <f>DATE(Tabledaily[[#This Row],[السنــــة]],Tabledaily[[#This Row],[الشهــــر]],Tabledaily[[#This Row],[الـــــيوم]])</f>
        <v>46193</v>
      </c>
      <c r="U47" s="28">
        <v>46194.997858796298</v>
      </c>
      <c r="V47" s="22"/>
      <c r="W47" s="24">
        <f>YEAR(Tabledaily[[#This Row],[التاريخ]])</f>
        <v>2026</v>
      </c>
      <c r="X47" s="24">
        <f>MONTH(Tabledaily[[#This Row],[التاريخ]])</f>
        <v>6</v>
      </c>
      <c r="Y47" s="24">
        <f>DAY(Tabledaily[[#This Row],[التاريخ]])</f>
        <v>20</v>
      </c>
      <c r="Z4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طبية - الفرقة الثالثة)  - كشف صرف رقم   كشف صرف - صرف الصرفة اليومية لافراد الطبية عدد 3 افراد بامر</v>
      </c>
      <c r="AA47" s="24" t="str">
        <f>IF(COUNTIF(TableDailyJournal[رقم العملية],Tabledaily[[#This Row],[رقم العملية]])&gt;1,"مرحل","غير مرحل")</f>
        <v>مرحل</v>
      </c>
    </row>
    <row r="48" spans="1:27" ht="22.9" customHeight="1" x14ac:dyDescent="0.55000000000000004">
      <c r="A48" s="22">
        <f t="shared" si="0"/>
        <v>46</v>
      </c>
      <c r="B48" s="23" t="s">
        <v>1137</v>
      </c>
      <c r="C48" s="213" t="s">
        <v>1135</v>
      </c>
      <c r="D48" s="22" t="s">
        <v>290</v>
      </c>
      <c r="E48" s="22">
        <f>IFERROR(INDEX(TableJudje[رقم الحساب],MATCH(Tabledaily[[#This Row],[الحســاب الدئـــن]],TableJudje[اسم الحساب],0)),0)</f>
        <v>11060205</v>
      </c>
      <c r="F48" s="22" t="s">
        <v>513</v>
      </c>
      <c r="G48" s="22" t="s">
        <v>831</v>
      </c>
      <c r="H48" s="24">
        <f>IFERROR(INDEX(TableJudje[رقم الحساب],MATCH(Tabledaily[[#This Row],[الحســاب المديــــن]],TableJudje[اسم الحساب],0)),0)</f>
        <v>31010101</v>
      </c>
      <c r="I48" s="22" t="s">
        <v>111</v>
      </c>
      <c r="J48" s="22" t="s">
        <v>238</v>
      </c>
      <c r="K48" s="117">
        <v>70000</v>
      </c>
      <c r="L48" s="23">
        <v>405</v>
      </c>
      <c r="M48" s="118">
        <f>IFERROR(Tabledaily[[#This Row],[المبلـــــــغ]]/Tabledaily[[#This Row],[سعــــــر
الصـــــرف]],"")</f>
        <v>172.83950617283949</v>
      </c>
      <c r="N48" s="22" t="s">
        <v>340</v>
      </c>
      <c r="O48" s="22" t="s">
        <v>312</v>
      </c>
      <c r="P48" s="22" t="s">
        <v>312</v>
      </c>
      <c r="Q48" s="22"/>
      <c r="R48" s="22" t="s">
        <v>237</v>
      </c>
      <c r="S48" s="24">
        <f>IFERROR(INDEX(tablecost[رقم المركز],MATCH(Tabledaily[[#This Row],[مركـــــــزالتكلفــــــة]],tablecost[الاسم],0)),0)</f>
        <v>1</v>
      </c>
      <c r="T48" s="27">
        <f>DATE(Tabledaily[[#This Row],[السنــــة]],Tabledaily[[#This Row],[الشهــــر]],Tabledaily[[#This Row],[الـــــيوم]])</f>
        <v>46193</v>
      </c>
      <c r="U48" s="28">
        <v>46194.996562499997</v>
      </c>
      <c r="V48" s="22"/>
      <c r="W48" s="24">
        <f>YEAR(Tabledaily[[#This Row],[التاريخ]])</f>
        <v>2026</v>
      </c>
      <c r="X48" s="24">
        <f>MONTH(Tabledaily[[#This Row],[التاريخ]])</f>
        <v>6</v>
      </c>
      <c r="Y48" s="24">
        <f>DAY(Tabledaily[[#This Row],[التاريخ]])</f>
        <v>20</v>
      </c>
      <c r="Z4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فرد بامر</v>
      </c>
      <c r="AA48" s="24" t="str">
        <f>IF(COUNTIF(TableDailyJournal[رقم العملية],Tabledaily[[#This Row],[رقم العملية]])&gt;1,"مرحل","غير مرحل")</f>
        <v>مرحل</v>
      </c>
    </row>
    <row r="49" spans="1:27" ht="22.9" customHeight="1" x14ac:dyDescent="0.55000000000000004">
      <c r="A49" s="22">
        <f t="shared" si="0"/>
        <v>47</v>
      </c>
      <c r="B49" s="23" t="s">
        <v>1134</v>
      </c>
      <c r="C49" s="213" t="s">
        <v>1135</v>
      </c>
      <c r="D49" s="22" t="s">
        <v>290</v>
      </c>
      <c r="E49" s="22">
        <f>IFERROR(INDEX(TableJudje[رقم الحساب],MATCH(Tabledaily[[#This Row],[الحســاب الدئـــن]],TableJudje[اسم الحساب],0)),0)</f>
        <v>11060205</v>
      </c>
      <c r="F49" s="22" t="s">
        <v>513</v>
      </c>
      <c r="G49" s="22" t="s">
        <v>1136</v>
      </c>
      <c r="H49" s="24">
        <f>IFERROR(INDEX(TableJudje[رقم الحساب],MATCH(Tabledaily[[#This Row],[الحســاب المديــــن]],TableJudje[اسم الحساب],0)),0)</f>
        <v>31010101</v>
      </c>
      <c r="I49" s="22" t="s">
        <v>111</v>
      </c>
      <c r="J49" s="22" t="s">
        <v>238</v>
      </c>
      <c r="K49" s="117">
        <v>52000</v>
      </c>
      <c r="L49" s="23">
        <v>405</v>
      </c>
      <c r="M49" s="118">
        <f>IFERROR(Tabledaily[[#This Row],[المبلـــــــغ]]/Tabledaily[[#This Row],[سعــــــر
الصـــــرف]],"")</f>
        <v>128.39506172839506</v>
      </c>
      <c r="N49" s="22" t="s">
        <v>343</v>
      </c>
      <c r="O49" s="22" t="s">
        <v>312</v>
      </c>
      <c r="P49" s="22" t="s">
        <v>312</v>
      </c>
      <c r="Q49" s="22"/>
      <c r="R49" s="22" t="s">
        <v>237</v>
      </c>
      <c r="S49" s="24">
        <f>IFERROR(INDEX(tablecost[رقم المركز],MATCH(Tabledaily[[#This Row],[مركـــــــزالتكلفــــــة]],tablecost[الاسم],0)),0)</f>
        <v>1</v>
      </c>
      <c r="T49" s="27">
        <f>DATE(Tabledaily[[#This Row],[السنــــة]],Tabledaily[[#This Row],[الشهــــر]],Tabledaily[[#This Row],[الـــــيوم]])</f>
        <v>46193</v>
      </c>
      <c r="U49" s="28">
        <v>46194.995451388888</v>
      </c>
      <c r="V49" s="22"/>
      <c r="W49" s="24">
        <f>YEAR(Tabledaily[[#This Row],[التاريخ]])</f>
        <v>2026</v>
      </c>
      <c r="X49" s="24">
        <f>MONTH(Tabledaily[[#This Row],[التاريخ]])</f>
        <v>6</v>
      </c>
      <c r="Y49" s="24">
        <f>DAY(Tabledaily[[#This Row],[التاريخ]])</f>
        <v>20</v>
      </c>
      <c r="Z4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لعدد10 بامر</v>
      </c>
      <c r="AA49" s="24" t="str">
        <f>IF(COUNTIF(TableDailyJournal[رقم العملية],Tabledaily[[#This Row],[رقم العملية]])&gt;1,"مرحل","غير مرحل")</f>
        <v>مرحل</v>
      </c>
    </row>
    <row r="50" spans="1:27" ht="22.9" customHeight="1" x14ac:dyDescent="0.55000000000000004">
      <c r="A50" s="22">
        <f t="shared" si="0"/>
        <v>48</v>
      </c>
      <c r="B50" s="23" t="s">
        <v>1130</v>
      </c>
      <c r="C50" s="213" t="s">
        <v>860</v>
      </c>
      <c r="D50" s="22" t="s">
        <v>290</v>
      </c>
      <c r="E50" s="22">
        <f>IFERROR(INDEX(TableJudje[رقم الحساب],MATCH(Tabledaily[[#This Row],[الحســاب الدئـــن]],TableJudje[اسم الحساب],0)),0)</f>
        <v>11060205</v>
      </c>
      <c r="F50" s="22" t="s">
        <v>513</v>
      </c>
      <c r="G50" s="22" t="s">
        <v>1131</v>
      </c>
      <c r="H50" s="24">
        <f>IFERROR(INDEX(TableJudje[رقم الحساب],MATCH(Tabledaily[[#This Row],[الحســاب المديــــن]],TableJudje[اسم الحساب],0)),0)</f>
        <v>31010109</v>
      </c>
      <c r="I50" s="22" t="s">
        <v>484</v>
      </c>
      <c r="J50" s="22" t="s">
        <v>241</v>
      </c>
      <c r="K50" s="117">
        <v>500</v>
      </c>
      <c r="L50" s="23">
        <v>1</v>
      </c>
      <c r="M50" s="118">
        <f>IFERROR(Tabledaily[[#This Row],[المبلـــــــغ]]/Tabledaily[[#This Row],[سعــــــر
الصـــــرف]],"")</f>
        <v>500</v>
      </c>
      <c r="N50" s="22" t="s">
        <v>1132</v>
      </c>
      <c r="O50" s="22" t="s">
        <v>286</v>
      </c>
      <c r="P50" s="22" t="s">
        <v>287</v>
      </c>
      <c r="Q50" s="22" t="s">
        <v>1133</v>
      </c>
      <c r="R50" s="22" t="s">
        <v>237</v>
      </c>
      <c r="S50" s="24">
        <f>IFERROR(INDEX(tablecost[رقم المركز],MATCH(Tabledaily[[#This Row],[مركـــــــزالتكلفــــــة]],tablecost[الاسم],0)),0)</f>
        <v>1</v>
      </c>
      <c r="T50" s="27">
        <f>DATE(Tabledaily[[#This Row],[السنــــة]],Tabledaily[[#This Row],[الشهــــر]],Tabledaily[[#This Row],[الـــــيوم]])</f>
        <v>46192</v>
      </c>
      <c r="U50" s="28">
        <v>46194.992754629631</v>
      </c>
      <c r="V50" s="22" t="s">
        <v>646</v>
      </c>
      <c r="W50" s="24">
        <f>YEAR(Tabledaily[[#This Row],[التاريخ]])</f>
        <v>2026</v>
      </c>
      <c r="X50" s="24">
        <f>MONTH(Tabledaily[[#This Row],[التاريخ]])</f>
        <v>6</v>
      </c>
      <c r="Y50" s="24">
        <f>DAY(Tabledaily[[#This Row],[التاريخ]])</f>
        <v>19</v>
      </c>
      <c r="Z5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v>
      </c>
      <c r="AA50" s="24" t="str">
        <f>IF(COUNTIF(TableDailyJournal[رقم العملية],Tabledaily[[#This Row],[رقم العملية]])&gt;1,"مرحل","غير مرحل")</f>
        <v>مرحل</v>
      </c>
    </row>
    <row r="51" spans="1:27" ht="22.9" customHeight="1" x14ac:dyDescent="0.55000000000000004">
      <c r="A51" s="22">
        <f t="shared" si="0"/>
        <v>49</v>
      </c>
      <c r="B51" s="23" t="s">
        <v>1126</v>
      </c>
      <c r="C51" s="213" t="s">
        <v>860</v>
      </c>
      <c r="D51" s="22" t="s">
        <v>290</v>
      </c>
      <c r="E51" s="22">
        <f>IFERROR(INDEX(TableJudje[رقم الحساب],MATCH(Tabledaily[[#This Row],[الحســاب الدئـــن]],TableJudje[اسم الحساب],0)),0)</f>
        <v>11060205</v>
      </c>
      <c r="F51" s="22" t="s">
        <v>513</v>
      </c>
      <c r="G51" s="22" t="s">
        <v>1127</v>
      </c>
      <c r="H51" s="24">
        <f>IFERROR(INDEX(TableJudje[رقم الحساب],MATCH(Tabledaily[[#This Row],[الحســاب المديــــن]],TableJudje[اسم الحساب],0)),0)</f>
        <v>31010114</v>
      </c>
      <c r="I51" s="22" t="s">
        <v>121</v>
      </c>
      <c r="J51" s="22" t="s">
        <v>241</v>
      </c>
      <c r="K51" s="117">
        <v>500</v>
      </c>
      <c r="L51" s="23">
        <v>1</v>
      </c>
      <c r="M51" s="118">
        <f>IFERROR(Tabledaily[[#This Row],[المبلـــــــغ]]/Tabledaily[[#This Row],[سعــــــر
الصـــــرف]],"")</f>
        <v>500</v>
      </c>
      <c r="N51" s="22" t="s">
        <v>1128</v>
      </c>
      <c r="O51" s="22" t="s">
        <v>286</v>
      </c>
      <c r="P51" s="22" t="s">
        <v>287</v>
      </c>
      <c r="Q51" s="22" t="s">
        <v>1129</v>
      </c>
      <c r="R51" s="22" t="s">
        <v>237</v>
      </c>
      <c r="S51" s="24">
        <f>IFERROR(INDEX(tablecost[رقم المركز],MATCH(Tabledaily[[#This Row],[مركـــــــزالتكلفــــــة]],tablecost[الاسم],0)),0)</f>
        <v>1</v>
      </c>
      <c r="T51" s="27">
        <f>DATE(Tabledaily[[#This Row],[السنــــة]],Tabledaily[[#This Row],[الشهــــر]],Tabledaily[[#This Row],[الـــــيوم]])</f>
        <v>46192</v>
      </c>
      <c r="U51" s="28">
        <v>46194.983703703707</v>
      </c>
      <c r="V51" s="22" t="s">
        <v>646</v>
      </c>
      <c r="W51" s="24">
        <f>YEAR(Tabledaily[[#This Row],[التاريخ]])</f>
        <v>2026</v>
      </c>
      <c r="X51" s="24">
        <f>MONTH(Tabledaily[[#This Row],[التاريخ]])</f>
        <v>6</v>
      </c>
      <c r="Y51" s="24">
        <f>DAY(Tabledaily[[#This Row],[التاريخ]])</f>
        <v>19</v>
      </c>
      <c r="Z5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v>
      </c>
      <c r="AA51" s="24" t="str">
        <f>IF(COUNTIF(TableDailyJournal[رقم العملية],Tabledaily[[#This Row],[رقم العملية]])&gt;1,"مرحل","غير مرحل")</f>
        <v>مرحل</v>
      </c>
    </row>
    <row r="52" spans="1:27" ht="22.9" customHeight="1" x14ac:dyDescent="0.55000000000000004">
      <c r="A52" s="22">
        <f t="shared" si="0"/>
        <v>50</v>
      </c>
      <c r="B52" s="23" t="s">
        <v>1122</v>
      </c>
      <c r="C52" s="213" t="s">
        <v>860</v>
      </c>
      <c r="D52" s="22" t="s">
        <v>290</v>
      </c>
      <c r="E52" s="22">
        <f>IFERROR(INDEX(TableJudje[رقم الحساب],MATCH(Tabledaily[[#This Row],[الحســاب الدئـــن]],TableJudje[اسم الحساب],0)),0)</f>
        <v>11060205</v>
      </c>
      <c r="F52" s="22" t="s">
        <v>513</v>
      </c>
      <c r="G52" s="22" t="s">
        <v>1123</v>
      </c>
      <c r="H52" s="24">
        <f>IFERROR(INDEX(TableJudje[رقم الحساب],MATCH(Tabledaily[[#This Row],[الحســاب المديــــن]],TableJudje[اسم الحساب],0)),0)</f>
        <v>31010109</v>
      </c>
      <c r="I52" s="22" t="s">
        <v>484</v>
      </c>
      <c r="J52" s="22" t="s">
        <v>241</v>
      </c>
      <c r="K52" s="117">
        <v>500</v>
      </c>
      <c r="L52" s="23">
        <v>1</v>
      </c>
      <c r="M52" s="118">
        <f>IFERROR(Tabledaily[[#This Row],[المبلـــــــغ]]/Tabledaily[[#This Row],[سعــــــر
الصـــــرف]],"")</f>
        <v>500</v>
      </c>
      <c r="N52" s="22" t="s">
        <v>1124</v>
      </c>
      <c r="O52" s="22" t="s">
        <v>286</v>
      </c>
      <c r="P52" s="22" t="s">
        <v>287</v>
      </c>
      <c r="Q52" s="22" t="s">
        <v>1125</v>
      </c>
      <c r="R52" s="22" t="s">
        <v>237</v>
      </c>
      <c r="S52" s="24">
        <f>IFERROR(INDEX(tablecost[رقم المركز],MATCH(Tabledaily[[#This Row],[مركـــــــزالتكلفــــــة]],tablecost[الاسم],0)),0)</f>
        <v>1</v>
      </c>
      <c r="T52" s="27">
        <f>DATE(Tabledaily[[#This Row],[السنــــة]],Tabledaily[[#This Row],[الشهــــر]],Tabledaily[[#This Row],[الـــــيوم]])</f>
        <v>46192</v>
      </c>
      <c r="U52" s="28">
        <v>46194.982349537036</v>
      </c>
      <c r="V52" s="22" t="s">
        <v>313</v>
      </c>
      <c r="W52" s="24">
        <f>YEAR(Tabledaily[[#This Row],[التاريخ]])</f>
        <v>2026</v>
      </c>
      <c r="X52" s="24">
        <f>MONTH(Tabledaily[[#This Row],[التاريخ]])</f>
        <v>6</v>
      </c>
      <c r="Y52" s="24">
        <f>DAY(Tabledaily[[#This Row],[التاريخ]])</f>
        <v>19</v>
      </c>
      <c r="Z5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v>
      </c>
      <c r="AA52" s="24" t="str">
        <f>IF(COUNTIF(TableDailyJournal[رقم العملية],Tabledaily[[#This Row],[رقم العملية]])&gt;1,"مرحل","غير مرحل")</f>
        <v>مرحل</v>
      </c>
    </row>
    <row r="53" spans="1:27" ht="22.9" customHeight="1" x14ac:dyDescent="0.55000000000000004">
      <c r="A53" s="22">
        <f t="shared" si="0"/>
        <v>51</v>
      </c>
      <c r="B53" s="23" t="s">
        <v>1119</v>
      </c>
      <c r="C53" s="213" t="s">
        <v>860</v>
      </c>
      <c r="D53" s="22" t="s">
        <v>290</v>
      </c>
      <c r="E53" s="22">
        <f>IFERROR(INDEX(TableJudje[رقم الحساب],MATCH(Tabledaily[[#This Row],[الحســاب الدئـــن]],TableJudje[اسم الحساب],0)),0)</f>
        <v>11060205</v>
      </c>
      <c r="F53" s="22" t="s">
        <v>513</v>
      </c>
      <c r="G53" s="22" t="s">
        <v>1120</v>
      </c>
      <c r="H53" s="24">
        <f>IFERROR(INDEX(TableJudje[رقم الحساب],MATCH(Tabledaily[[#This Row],[الحســاب المديــــن]],TableJudje[اسم الحساب],0)),0)</f>
        <v>31010109</v>
      </c>
      <c r="I53" s="22" t="s">
        <v>484</v>
      </c>
      <c r="J53" s="22" t="s">
        <v>238</v>
      </c>
      <c r="K53" s="117">
        <v>25000</v>
      </c>
      <c r="L53" s="23">
        <v>405</v>
      </c>
      <c r="M53" s="118">
        <f>IFERROR(Tabledaily[[#This Row],[المبلـــــــغ]]/Tabledaily[[#This Row],[سعــــــر
الصـــــرف]],"")</f>
        <v>61.728395061728392</v>
      </c>
      <c r="N53" s="22" t="s">
        <v>683</v>
      </c>
      <c r="O53" s="22" t="s">
        <v>286</v>
      </c>
      <c r="P53" s="22" t="s">
        <v>287</v>
      </c>
      <c r="Q53" s="22" t="s">
        <v>1121</v>
      </c>
      <c r="R53" s="22" t="s">
        <v>237</v>
      </c>
      <c r="S53" s="24">
        <f>IFERROR(INDEX(tablecost[رقم المركز],MATCH(Tabledaily[[#This Row],[مركـــــــزالتكلفــــــة]],tablecost[الاسم],0)),0)</f>
        <v>1</v>
      </c>
      <c r="T53" s="27">
        <f>DATE(Tabledaily[[#This Row],[السنــــة]],Tabledaily[[#This Row],[الشهــــر]],Tabledaily[[#This Row],[الـــــيوم]])</f>
        <v>46192</v>
      </c>
      <c r="U53" s="28">
        <v>46194.979814814818</v>
      </c>
      <c r="V53" s="22"/>
      <c r="W53" s="24">
        <f>YEAR(Tabledaily[[#This Row],[التاريخ]])</f>
        <v>2026</v>
      </c>
      <c r="X53" s="24">
        <f>MONTH(Tabledaily[[#This Row],[التاريخ]])</f>
        <v>6</v>
      </c>
      <c r="Y53" s="24">
        <f>DAY(Tabledaily[[#This Row],[التاريخ]])</f>
        <v>19</v>
      </c>
      <c r="Z5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عمال - الفرقة الثالثة)  - استلام نقدي رقم 100-43  سند استلام - صرف اجور 5 عمال انزال المهام الى مستودعات الامداد  بامر</v>
      </c>
      <c r="AA53" s="24" t="str">
        <f>IF(COUNTIF(TableDailyJournal[رقم العملية],Tabledaily[[#This Row],[رقم العملية]])&gt;1,"مرحل","غير مرحل")</f>
        <v>مرحل</v>
      </c>
    </row>
    <row r="54" spans="1:27" ht="22.9" customHeight="1" x14ac:dyDescent="0.55000000000000004">
      <c r="A54" s="22">
        <f t="shared" si="0"/>
        <v>52</v>
      </c>
      <c r="B54" s="23" t="s">
        <v>1117</v>
      </c>
      <c r="C54" s="213" t="s">
        <v>860</v>
      </c>
      <c r="D54" s="22" t="s">
        <v>290</v>
      </c>
      <c r="E54" s="22">
        <f>IFERROR(INDEX(TableJudje[رقم الحساب],MATCH(Tabledaily[[#This Row],[الحســاب الدئـــن]],TableJudje[اسم الحساب],0)),0)</f>
        <v>11060205</v>
      </c>
      <c r="F54" s="22" t="s">
        <v>513</v>
      </c>
      <c r="G54" s="22" t="s">
        <v>1090</v>
      </c>
      <c r="H54" s="24">
        <f>IFERROR(INDEX(TableJudje[رقم الحساب],MATCH(Tabledaily[[#This Row],[الحســاب المديــــن]],TableJudje[اسم الحساب],0)),0)</f>
        <v>31010101</v>
      </c>
      <c r="I54" s="22" t="s">
        <v>111</v>
      </c>
      <c r="J54" s="22" t="s">
        <v>238</v>
      </c>
      <c r="K54" s="117">
        <v>20000</v>
      </c>
      <c r="L54" s="23">
        <v>405</v>
      </c>
      <c r="M54" s="118">
        <f>IFERROR(Tabledaily[[#This Row],[المبلـــــــغ]]/Tabledaily[[#This Row],[سعــــــر
الصـــــرف]],"")</f>
        <v>49.382716049382715</v>
      </c>
      <c r="N54" s="22" t="s">
        <v>1091</v>
      </c>
      <c r="O54" s="22" t="s">
        <v>286</v>
      </c>
      <c r="P54" s="22" t="s">
        <v>287</v>
      </c>
      <c r="Q54" s="22" t="s">
        <v>1118</v>
      </c>
      <c r="R54" s="22" t="s">
        <v>248</v>
      </c>
      <c r="S54" s="24">
        <f>IFERROR(INDEX(tablecost[رقم المركز],MATCH(Tabledaily[[#This Row],[مركـــــــزالتكلفــــــة]],tablecost[الاسم],0)),0)</f>
        <v>7</v>
      </c>
      <c r="T54" s="27">
        <f>DATE(Tabledaily[[#This Row],[السنــــة]],Tabledaily[[#This Row],[الشهــــر]],Tabledaily[[#This Row],[الـــــيوم]])</f>
        <v>46192</v>
      </c>
      <c r="U54" s="28">
        <v>46194.976851851854</v>
      </c>
      <c r="V54" s="22" t="s">
        <v>646</v>
      </c>
      <c r="W54" s="24">
        <f>YEAR(Tabledaily[[#This Row],[التاريخ]])</f>
        <v>2026</v>
      </c>
      <c r="X54" s="24">
        <f>MONTH(Tabledaily[[#This Row],[التاريخ]])</f>
        <v>6</v>
      </c>
      <c r="Y54" s="24">
        <f>DAY(Tabledaily[[#This Row],[التاريخ]])</f>
        <v>19</v>
      </c>
      <c r="Z5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v>
      </c>
      <c r="AA54" s="24" t="str">
        <f>IF(COUNTIF(TableDailyJournal[رقم العملية],Tabledaily[[#This Row],[رقم العملية]])&gt;1,"مرحل","غير مرحل")</f>
        <v>مرحل</v>
      </c>
    </row>
    <row r="55" spans="1:27" ht="22.9" customHeight="1" x14ac:dyDescent="0.55000000000000004">
      <c r="A55" s="22">
        <f t="shared" si="0"/>
        <v>53</v>
      </c>
      <c r="B55" s="23" t="s">
        <v>1115</v>
      </c>
      <c r="C55" s="213" t="s">
        <v>860</v>
      </c>
      <c r="D55" s="22" t="s">
        <v>290</v>
      </c>
      <c r="E55" s="22">
        <f>IFERROR(INDEX(TableJudje[رقم الحساب],MATCH(Tabledaily[[#This Row],[الحســاب الدئـــن]],TableJudje[اسم الحساب],0)),0)</f>
        <v>11060205</v>
      </c>
      <c r="F55" s="22" t="s">
        <v>513</v>
      </c>
      <c r="G55" s="22" t="s">
        <v>1116</v>
      </c>
      <c r="H55" s="24">
        <f>IFERROR(INDEX(TableJudje[رقم الحساب],MATCH(Tabledaily[[#This Row],[الحســاب المديــــن]],TableJudje[اسم الحساب],0)),0)</f>
        <v>31010109</v>
      </c>
      <c r="I55" s="22" t="s">
        <v>484</v>
      </c>
      <c r="J55" s="22" t="s">
        <v>238</v>
      </c>
      <c r="K55" s="117">
        <v>50000</v>
      </c>
      <c r="L55" s="23">
        <v>405</v>
      </c>
      <c r="M55" s="118">
        <f>IFERROR(Tabledaily[[#This Row],[المبلـــــــغ]]/Tabledaily[[#This Row],[سعــــــر
الصـــــرف]],"")</f>
        <v>123.45679012345678</v>
      </c>
      <c r="N55" s="22" t="s">
        <v>949</v>
      </c>
      <c r="O55" s="22" t="s">
        <v>286</v>
      </c>
      <c r="P55" s="22" t="s">
        <v>287</v>
      </c>
      <c r="Q55" s="22"/>
      <c r="R55" s="22" t="s">
        <v>237</v>
      </c>
      <c r="S55" s="24">
        <f>IFERROR(INDEX(tablecost[رقم المركز],MATCH(Tabledaily[[#This Row],[مركـــــــزالتكلفــــــة]],tablecost[الاسم],0)),0)</f>
        <v>1</v>
      </c>
      <c r="T55" s="27">
        <f>DATE(Tabledaily[[#This Row],[السنــــة]],Tabledaily[[#This Row],[الشهــــر]],Tabledaily[[#This Row],[الـــــيوم]])</f>
        <v>46192</v>
      </c>
      <c r="U55" s="28">
        <v>46194.96707175926</v>
      </c>
      <c r="V55" s="22" t="s">
        <v>293</v>
      </c>
      <c r="W55" s="24">
        <f>YEAR(Tabledaily[[#This Row],[التاريخ]])</f>
        <v>2026</v>
      </c>
      <c r="X55" s="24">
        <f>MONTH(Tabledaily[[#This Row],[التاريخ]])</f>
        <v>6</v>
      </c>
      <c r="Y55" s="24">
        <f>DAY(Tabledaily[[#This Row],[التاريخ]])</f>
        <v>19</v>
      </c>
      <c r="Z5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الركن المالي - الفرقة الثالثة)  - استلام نقدي رقم   سند استلام - نثريات عمل الركن المالي مع المحاسبين بامرالأركان جمال مسدوس</v>
      </c>
      <c r="AA55" s="24" t="str">
        <f>IF(COUNTIF(TableDailyJournal[رقم العملية],Tabledaily[[#This Row],[رقم العملية]])&gt;1,"مرحل","غير مرحل")</f>
        <v>مرحل</v>
      </c>
    </row>
    <row r="56" spans="1:27" ht="22.9" customHeight="1" x14ac:dyDescent="0.55000000000000004">
      <c r="A56" s="22">
        <f t="shared" si="0"/>
        <v>54</v>
      </c>
      <c r="B56" s="23" t="s">
        <v>1112</v>
      </c>
      <c r="C56" s="213" t="s">
        <v>860</v>
      </c>
      <c r="D56" s="22" t="s">
        <v>290</v>
      </c>
      <c r="E56" s="22">
        <f>IFERROR(INDEX(TableJudje[رقم الحساب],MATCH(Tabledaily[[#This Row],[الحســاب الدئـــن]],TableJudje[اسم الحساب],0)),0)</f>
        <v>11060205</v>
      </c>
      <c r="F56" s="22" t="s">
        <v>513</v>
      </c>
      <c r="G56" s="22" t="s">
        <v>1113</v>
      </c>
      <c r="H56" s="24">
        <f>IFERROR(INDEX(TableJudje[رقم الحساب],MATCH(Tabledaily[[#This Row],[الحســاب المديــــن]],TableJudje[اسم الحساب],0)),0)</f>
        <v>11060209</v>
      </c>
      <c r="I56" s="22" t="s">
        <v>824</v>
      </c>
      <c r="J56" s="22" t="s">
        <v>238</v>
      </c>
      <c r="K56" s="117">
        <v>800000</v>
      </c>
      <c r="L56" s="23">
        <v>405</v>
      </c>
      <c r="M56" s="118">
        <f>IFERROR(Tabledaily[[#This Row],[المبلـــــــغ]]/Tabledaily[[#This Row],[سعــــــر
الصـــــرف]],"")</f>
        <v>1975.3086419753085</v>
      </c>
      <c r="N56" s="22" t="s">
        <v>292</v>
      </c>
      <c r="O56" s="22" t="s">
        <v>286</v>
      </c>
      <c r="P56" s="22" t="s">
        <v>287</v>
      </c>
      <c r="Q56" s="22" t="s">
        <v>1114</v>
      </c>
      <c r="R56" s="22" t="s">
        <v>237</v>
      </c>
      <c r="S56" s="24">
        <f>IFERROR(INDEX(tablecost[رقم المركز],MATCH(Tabledaily[[#This Row],[مركـــــــزالتكلفــــــة]],tablecost[الاسم],0)),0)</f>
        <v>1</v>
      </c>
      <c r="T56" s="27">
        <f>DATE(Tabledaily[[#This Row],[السنــــة]],Tabledaily[[#This Row],[الشهــــر]],Tabledaily[[#This Row],[الـــــيوم]])</f>
        <v>46192</v>
      </c>
      <c r="U56" s="28">
        <v>46194.965416666666</v>
      </c>
      <c r="V56" s="22" t="s">
        <v>646</v>
      </c>
      <c r="W56" s="24">
        <f>YEAR(Tabledaily[[#This Row],[التاريخ]])</f>
        <v>2026</v>
      </c>
      <c r="X56" s="24">
        <f>MONTH(Tabledaily[[#This Row],[التاريخ]])</f>
        <v>6</v>
      </c>
      <c r="Y56" s="24">
        <f>DAY(Tabledaily[[#This Row],[التاريخ]])</f>
        <v>19</v>
      </c>
      <c r="Z5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جمال مسدوس - جمال مسدوس - الفرقة الثالثة)  - استلام نقدي رقم 100-110  سند استلام - عهدة المشروع التدريبي بامرالمستشار المالي</v>
      </c>
      <c r="AA56" s="24" t="str">
        <f>IF(COUNTIF(TableDailyJournal[رقم العملية],Tabledaily[[#This Row],[رقم العملية]])&gt;1,"مرحل","غير مرحل")</f>
        <v>مرحل</v>
      </c>
    </row>
    <row r="57" spans="1:27" ht="22.9" customHeight="1" x14ac:dyDescent="0.55000000000000004">
      <c r="A57" s="22">
        <f t="shared" si="0"/>
        <v>55</v>
      </c>
      <c r="B57" s="23" t="s">
        <v>1110</v>
      </c>
      <c r="C57" s="213" t="s">
        <v>860</v>
      </c>
      <c r="D57" s="22" t="s">
        <v>290</v>
      </c>
      <c r="E57" s="22">
        <f>IFERROR(INDEX(TableJudje[رقم الحساب],MATCH(Tabledaily[[#This Row],[الحســاب الدئـــن]],TableJudje[اسم الحساب],0)),0)</f>
        <v>11060205</v>
      </c>
      <c r="F57" s="22" t="s">
        <v>513</v>
      </c>
      <c r="G57" s="22" t="s">
        <v>1111</v>
      </c>
      <c r="H57" s="24">
        <f>IFERROR(INDEX(TableJudje[رقم الحساب],MATCH(Tabledaily[[#This Row],[الحســاب المديــــن]],TableJudje[اسم الحساب],0)),0)</f>
        <v>31010101</v>
      </c>
      <c r="I57" s="22" t="s">
        <v>111</v>
      </c>
      <c r="J57" s="22" t="s">
        <v>238</v>
      </c>
      <c r="K57" s="117">
        <v>100000</v>
      </c>
      <c r="L57" s="23">
        <v>405</v>
      </c>
      <c r="M57" s="118">
        <f>IFERROR(Tabledaily[[#This Row],[المبلـــــــغ]]/Tabledaily[[#This Row],[سعــــــر
الصـــــرف]],"")</f>
        <v>246.91358024691357</v>
      </c>
      <c r="N57" s="22" t="s">
        <v>325</v>
      </c>
      <c r="O57" s="22" t="s">
        <v>312</v>
      </c>
      <c r="P57" s="22" t="s">
        <v>312</v>
      </c>
      <c r="Q57" s="22"/>
      <c r="R57" s="22" t="s">
        <v>237</v>
      </c>
      <c r="S57" s="24">
        <f>IFERROR(INDEX(tablecost[رقم المركز],MATCH(Tabledaily[[#This Row],[مركـــــــزالتكلفــــــة]],tablecost[الاسم],0)),0)</f>
        <v>1</v>
      </c>
      <c r="T57" s="27">
        <f>DATE(Tabledaily[[#This Row],[السنــــة]],Tabledaily[[#This Row],[الشهــــر]],Tabledaily[[#This Row],[الـــــيوم]])</f>
        <v>46192</v>
      </c>
      <c r="U57" s="28">
        <v>46194.962731481479</v>
      </c>
      <c r="V57" s="22"/>
      <c r="W57" s="24">
        <f>YEAR(Tabledaily[[#This Row],[التاريخ]])</f>
        <v>2026</v>
      </c>
      <c r="X57" s="24">
        <f>MONTH(Tabledaily[[#This Row],[التاريخ]])</f>
        <v>6</v>
      </c>
      <c r="Y57" s="24">
        <f>DAY(Tabledaily[[#This Row],[التاريخ]])</f>
        <v>19</v>
      </c>
      <c r="Z5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للضباط السابقين عدد 10 ضباط بامر</v>
      </c>
      <c r="AA57" s="24" t="str">
        <f>IF(COUNTIF(TableDailyJournal[رقم العملية],Tabledaily[[#This Row],[رقم العملية]])&gt;1,"مرحل","غير مرحل")</f>
        <v>مرحل</v>
      </c>
    </row>
    <row r="58" spans="1:27" ht="22.9" customHeight="1" x14ac:dyDescent="0.55000000000000004">
      <c r="A58" s="22">
        <f t="shared" si="0"/>
        <v>56</v>
      </c>
      <c r="B58" s="23" t="s">
        <v>1109</v>
      </c>
      <c r="C58" s="213" t="s">
        <v>860</v>
      </c>
      <c r="D58" s="22" t="s">
        <v>290</v>
      </c>
      <c r="E58" s="22">
        <f>IFERROR(INDEX(TableJudje[رقم الحساب],MATCH(Tabledaily[[#This Row],[الحســاب الدئـــن]],TableJudje[اسم الحساب],0)),0)</f>
        <v>11060205</v>
      </c>
      <c r="F58" s="22" t="s">
        <v>513</v>
      </c>
      <c r="G58" s="22" t="s">
        <v>886</v>
      </c>
      <c r="H58" s="24">
        <f>IFERROR(INDEX(TableJudje[رقم الحساب],MATCH(Tabledaily[[#This Row],[الحســاب المديــــن]],TableJudje[اسم الحساب],0)),0)</f>
        <v>31010101</v>
      </c>
      <c r="I58" s="22" t="s">
        <v>111</v>
      </c>
      <c r="J58" s="22" t="s">
        <v>238</v>
      </c>
      <c r="K58" s="117">
        <v>18000</v>
      </c>
      <c r="L58" s="23">
        <v>405</v>
      </c>
      <c r="M58" s="118">
        <f>IFERROR(Tabledaily[[#This Row],[المبلـــــــغ]]/Tabledaily[[#This Row],[سعــــــر
الصـــــرف]],"")</f>
        <v>44.444444444444443</v>
      </c>
      <c r="N58" s="22" t="s">
        <v>887</v>
      </c>
      <c r="O58" s="22" t="s">
        <v>312</v>
      </c>
      <c r="P58" s="22" t="s">
        <v>312</v>
      </c>
      <c r="Q58" s="22"/>
      <c r="R58" s="22" t="s">
        <v>237</v>
      </c>
      <c r="S58" s="24">
        <f>IFERROR(INDEX(tablecost[رقم المركز],MATCH(Tabledaily[[#This Row],[مركـــــــزالتكلفــــــة]],tablecost[الاسم],0)),0)</f>
        <v>1</v>
      </c>
      <c r="T58" s="27">
        <f>DATE(Tabledaily[[#This Row],[السنــــة]],Tabledaily[[#This Row],[الشهــــر]],Tabledaily[[#This Row],[الـــــيوم]])</f>
        <v>46192</v>
      </c>
      <c r="U58" s="28">
        <v>46194.959814814814</v>
      </c>
      <c r="V58" s="22"/>
      <c r="W58" s="24">
        <f>YEAR(Tabledaily[[#This Row],[التاريخ]])</f>
        <v>2026</v>
      </c>
      <c r="X58" s="24">
        <f>MONTH(Tabledaily[[#This Row],[التاريخ]])</f>
        <v>6</v>
      </c>
      <c r="Y58" s="24">
        <f>DAY(Tabledaily[[#This Row],[التاريخ]])</f>
        <v>19</v>
      </c>
      <c r="Z5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A58" s="24" t="str">
        <f>IF(COUNTIF(TableDailyJournal[رقم العملية],Tabledaily[[#This Row],[رقم العملية]])&gt;1,"مرحل","غير مرحل")</f>
        <v>مرحل</v>
      </c>
    </row>
    <row r="59" spans="1:27" ht="22.9" customHeight="1" x14ac:dyDescent="0.55000000000000004">
      <c r="A59" s="22">
        <f t="shared" si="0"/>
        <v>57</v>
      </c>
      <c r="B59" s="23" t="s">
        <v>1108</v>
      </c>
      <c r="C59" s="213" t="s">
        <v>860</v>
      </c>
      <c r="D59" s="22" t="s">
        <v>290</v>
      </c>
      <c r="E59" s="22">
        <f>IFERROR(INDEX(TableJudje[رقم الحساب],MATCH(Tabledaily[[#This Row],[الحســاب الدئـــن]],TableJudje[اسم الحساب],0)),0)</f>
        <v>11060205</v>
      </c>
      <c r="F59" s="22" t="s">
        <v>513</v>
      </c>
      <c r="G59" s="22" t="s">
        <v>977</v>
      </c>
      <c r="H59" s="24">
        <f>IFERROR(INDEX(TableJudje[رقم الحساب],MATCH(Tabledaily[[#This Row],[الحســاب المديــــن]],TableJudje[اسم الحساب],0)),0)</f>
        <v>31010101</v>
      </c>
      <c r="I59" s="22" t="s">
        <v>111</v>
      </c>
      <c r="J59" s="22" t="s">
        <v>238</v>
      </c>
      <c r="K59" s="117">
        <v>25000</v>
      </c>
      <c r="L59" s="23">
        <v>405</v>
      </c>
      <c r="M59" s="118">
        <f>IFERROR(Tabledaily[[#This Row],[المبلـــــــغ]]/Tabledaily[[#This Row],[سعــــــر
الصـــــرف]],"")</f>
        <v>61.728395061728392</v>
      </c>
      <c r="N59" s="22" t="s">
        <v>638</v>
      </c>
      <c r="O59" s="22" t="s">
        <v>312</v>
      </c>
      <c r="P59" s="22" t="s">
        <v>312</v>
      </c>
      <c r="Q59" s="22"/>
      <c r="R59" s="22" t="s">
        <v>237</v>
      </c>
      <c r="S59" s="24">
        <f>IFERROR(INDEX(tablecost[رقم المركز],MATCH(Tabledaily[[#This Row],[مركـــــــزالتكلفــــــة]],tablecost[الاسم],0)),0)</f>
        <v>1</v>
      </c>
      <c r="T59" s="27">
        <f>DATE(Tabledaily[[#This Row],[السنــــة]],Tabledaily[[#This Row],[الشهــــر]],Tabledaily[[#This Row],[الـــــيوم]])</f>
        <v>46192</v>
      </c>
      <c r="U59" s="28">
        <v>46194.959305555552</v>
      </c>
      <c r="V59" s="22"/>
      <c r="W59" s="24">
        <f>YEAR(Tabledaily[[#This Row],[التاريخ]])</f>
        <v>2026</v>
      </c>
      <c r="X59" s="24">
        <f>MONTH(Tabledaily[[#This Row],[التاريخ]])</f>
        <v>6</v>
      </c>
      <c r="Y59" s="24">
        <f>DAY(Tabledaily[[#This Row],[التاريخ]])</f>
        <v>19</v>
      </c>
      <c r="Z5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لمرافقين الاركان عدد 4 افراد بامر</v>
      </c>
      <c r="AA59" s="24" t="str">
        <f>IF(COUNTIF(TableDailyJournal[رقم العملية],Tabledaily[[#This Row],[رقم العملية]])&gt;1,"مرحل","غير مرحل")</f>
        <v>مرحل</v>
      </c>
    </row>
    <row r="60" spans="1:27" ht="22.9" customHeight="1" x14ac:dyDescent="0.55000000000000004">
      <c r="A60" s="22">
        <f t="shared" si="0"/>
        <v>58</v>
      </c>
      <c r="B60" s="23" t="s">
        <v>1106</v>
      </c>
      <c r="C60" s="213" t="s">
        <v>860</v>
      </c>
      <c r="D60" s="22" t="s">
        <v>290</v>
      </c>
      <c r="E60" s="22">
        <f>IFERROR(INDEX(TableJudje[رقم الحساب],MATCH(Tabledaily[[#This Row],[الحســاب الدئـــن]],TableJudje[اسم الحساب],0)),0)</f>
        <v>11060205</v>
      </c>
      <c r="F60" s="22" t="s">
        <v>513</v>
      </c>
      <c r="G60" s="22" t="s">
        <v>1107</v>
      </c>
      <c r="H60" s="24">
        <f>IFERROR(INDEX(TableJudje[رقم الحساب],MATCH(Tabledaily[[#This Row],[الحســاب المديــــن]],TableJudje[اسم الحساب],0)),0)</f>
        <v>31010101</v>
      </c>
      <c r="I60" s="22" t="s">
        <v>111</v>
      </c>
      <c r="J60" s="22" t="s">
        <v>238</v>
      </c>
      <c r="K60" s="117">
        <v>33000</v>
      </c>
      <c r="L60" s="23">
        <v>405</v>
      </c>
      <c r="M60" s="118">
        <f>IFERROR(Tabledaily[[#This Row],[المبلـــــــغ]]/Tabledaily[[#This Row],[سعــــــر
الصـــــرف]],"")</f>
        <v>81.481481481481481</v>
      </c>
      <c r="N60" s="22" t="s">
        <v>459</v>
      </c>
      <c r="O60" s="22" t="s">
        <v>312</v>
      </c>
      <c r="P60" s="22" t="s">
        <v>312</v>
      </c>
      <c r="Q60" s="22"/>
      <c r="R60" s="22" t="s">
        <v>237</v>
      </c>
      <c r="S60" s="24">
        <f>IFERROR(INDEX(tablecost[رقم المركز],MATCH(Tabledaily[[#This Row],[مركـــــــزالتكلفــــــة]],tablecost[الاسم],0)),0)</f>
        <v>1</v>
      </c>
      <c r="T60" s="27">
        <f>DATE(Tabledaily[[#This Row],[السنــــة]],Tabledaily[[#This Row],[الشهــــر]],Tabledaily[[#This Row],[الـــــيوم]])</f>
        <v>46192</v>
      </c>
      <c r="U60" s="28">
        <v>46194.957662037035</v>
      </c>
      <c r="V60" s="22"/>
      <c r="W60" s="24">
        <f>YEAR(Tabledaily[[#This Row],[التاريخ]])</f>
        <v>2026</v>
      </c>
      <c r="X60" s="24">
        <f>MONTH(Tabledaily[[#This Row],[التاريخ]])</f>
        <v>6</v>
      </c>
      <c r="Y60" s="24">
        <f>DAY(Tabledaily[[#This Row],[التاريخ]])</f>
        <v>19</v>
      </c>
      <c r="Z6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لافراد الاشغال عدد 4 افراد بامر</v>
      </c>
      <c r="AA60" s="24" t="str">
        <f>IF(COUNTIF(TableDailyJournal[رقم العملية],Tabledaily[[#This Row],[رقم العملية]])&gt;1,"مرحل","غير مرحل")</f>
        <v>مرحل</v>
      </c>
    </row>
    <row r="61" spans="1:27" ht="22.9" customHeight="1" x14ac:dyDescent="0.55000000000000004">
      <c r="A61" s="22">
        <f t="shared" si="0"/>
        <v>59</v>
      </c>
      <c r="B61" s="23" t="s">
        <v>1105</v>
      </c>
      <c r="C61" s="213" t="s">
        <v>860</v>
      </c>
      <c r="D61" s="22" t="s">
        <v>290</v>
      </c>
      <c r="E61" s="22">
        <f>IFERROR(INDEX(TableJudje[رقم الحساب],MATCH(Tabledaily[[#This Row],[الحســاب الدئـــن]],TableJudje[اسم الحساب],0)),0)</f>
        <v>11060205</v>
      </c>
      <c r="F61" s="22" t="s">
        <v>513</v>
      </c>
      <c r="G61" s="22" t="s">
        <v>838</v>
      </c>
      <c r="H61" s="24">
        <f>IFERROR(INDEX(TableJudje[رقم الحساب],MATCH(Tabledaily[[#This Row],[الحســاب المديــــن]],TableJudje[اسم الحساب],0)),0)</f>
        <v>31010101</v>
      </c>
      <c r="I61" s="22" t="s">
        <v>111</v>
      </c>
      <c r="J61" s="22" t="s">
        <v>238</v>
      </c>
      <c r="K61" s="117">
        <v>112000</v>
      </c>
      <c r="L61" s="23">
        <v>405</v>
      </c>
      <c r="M61" s="118">
        <f>IFERROR(Tabledaily[[#This Row],[المبلـــــــغ]]/Tabledaily[[#This Row],[سعــــــر
الصـــــرف]],"")</f>
        <v>276.54320987654319</v>
      </c>
      <c r="N61" s="22" t="s">
        <v>331</v>
      </c>
      <c r="O61" s="22" t="s">
        <v>312</v>
      </c>
      <c r="P61" s="22" t="s">
        <v>312</v>
      </c>
      <c r="Q61" s="22"/>
      <c r="R61" s="22" t="s">
        <v>237</v>
      </c>
      <c r="S61" s="24">
        <f>IFERROR(INDEX(tablecost[رقم المركز],MATCH(Tabledaily[[#This Row],[مركـــــــزالتكلفــــــة]],tablecost[الاسم],0)),0)</f>
        <v>1</v>
      </c>
      <c r="T61" s="27">
        <f>DATE(Tabledaily[[#This Row],[السنــــة]],Tabledaily[[#This Row],[الشهــــر]],Tabledaily[[#This Row],[الـــــيوم]])</f>
        <v>46192</v>
      </c>
      <c r="U61" s="28">
        <v>46194.956354166665</v>
      </c>
      <c r="V61" s="22"/>
      <c r="W61" s="24">
        <f>YEAR(Tabledaily[[#This Row],[التاريخ]])</f>
        <v>2026</v>
      </c>
      <c r="X61" s="24">
        <f>MONTH(Tabledaily[[#This Row],[التاريخ]])</f>
        <v>6</v>
      </c>
      <c r="Y61" s="24">
        <f>DAY(Tabledaily[[#This Row],[التاريخ]])</f>
        <v>19</v>
      </c>
      <c r="Z6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A61" s="24" t="str">
        <f>IF(COUNTIF(TableDailyJournal[رقم العملية],Tabledaily[[#This Row],[رقم العملية]])&gt;1,"مرحل","غير مرحل")</f>
        <v>مرحل</v>
      </c>
    </row>
    <row r="62" spans="1:27" ht="22.9" customHeight="1" x14ac:dyDescent="0.55000000000000004">
      <c r="A62" s="22">
        <f t="shared" si="0"/>
        <v>60</v>
      </c>
      <c r="B62" s="23" t="s">
        <v>1104</v>
      </c>
      <c r="C62" s="213" t="s">
        <v>860</v>
      </c>
      <c r="D62" s="22" t="s">
        <v>290</v>
      </c>
      <c r="E62" s="22">
        <f>IFERROR(INDEX(TableJudje[رقم الحساب],MATCH(Tabledaily[[#This Row],[الحســاب الدئـــن]],TableJudje[اسم الحساب],0)),0)</f>
        <v>11060205</v>
      </c>
      <c r="F62" s="22" t="s">
        <v>513</v>
      </c>
      <c r="G62" s="22" t="s">
        <v>852</v>
      </c>
      <c r="H62" s="24">
        <f>IFERROR(INDEX(TableJudje[رقم الحساب],MATCH(Tabledaily[[#This Row],[الحســاب المديــــن]],TableJudje[اسم الحساب],0)),0)</f>
        <v>31010101</v>
      </c>
      <c r="I62" s="22" t="s">
        <v>111</v>
      </c>
      <c r="J62" s="22" t="s">
        <v>238</v>
      </c>
      <c r="K62" s="117">
        <v>80000</v>
      </c>
      <c r="L62" s="23">
        <v>405</v>
      </c>
      <c r="M62" s="118">
        <f>IFERROR(Tabledaily[[#This Row],[المبلـــــــغ]]/Tabledaily[[#This Row],[سعــــــر
الصـــــرف]],"")</f>
        <v>197.53086419753086</v>
      </c>
      <c r="N62" s="22" t="s">
        <v>322</v>
      </c>
      <c r="O62" s="22" t="s">
        <v>312</v>
      </c>
      <c r="P62" s="22" t="s">
        <v>312</v>
      </c>
      <c r="Q62" s="22"/>
      <c r="R62" s="22" t="s">
        <v>237</v>
      </c>
      <c r="S62" s="24">
        <f>IFERROR(INDEX(tablecost[رقم المركز],MATCH(Tabledaily[[#This Row],[مركـــــــزالتكلفــــــة]],tablecost[الاسم],0)),0)</f>
        <v>1</v>
      </c>
      <c r="T62" s="27">
        <f>DATE(Tabledaily[[#This Row],[السنــــة]],Tabledaily[[#This Row],[الشهــــر]],Tabledaily[[#This Row],[الـــــيوم]])</f>
        <v>46192</v>
      </c>
      <c r="U62" s="28">
        <v>46194.954432870371</v>
      </c>
      <c r="V62" s="22"/>
      <c r="W62" s="24">
        <f>YEAR(Tabledaily[[#This Row],[التاريخ]])</f>
        <v>2026</v>
      </c>
      <c r="X62" s="24">
        <f>MONTH(Tabledaily[[#This Row],[التاريخ]])</f>
        <v>6</v>
      </c>
      <c r="Y62" s="24">
        <f>DAY(Tabledaily[[#This Row],[التاريخ]])</f>
        <v>19</v>
      </c>
      <c r="Z6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9 بامر</v>
      </c>
      <c r="AA62" s="24" t="str">
        <f>IF(COUNTIF(TableDailyJournal[رقم العملية],Tabledaily[[#This Row],[رقم العملية]])&gt;1,"مرحل","غير مرحل")</f>
        <v>مرحل</v>
      </c>
    </row>
    <row r="63" spans="1:27" ht="22.9" customHeight="1" x14ac:dyDescent="0.55000000000000004">
      <c r="A63" s="22">
        <f t="shared" si="0"/>
        <v>61</v>
      </c>
      <c r="B63" s="23" t="s">
        <v>1103</v>
      </c>
      <c r="C63" s="213" t="s">
        <v>860</v>
      </c>
      <c r="D63" s="22" t="s">
        <v>290</v>
      </c>
      <c r="E63" s="22">
        <f>IFERROR(INDEX(TableJudje[رقم الحساب],MATCH(Tabledaily[[#This Row],[الحســاب الدئـــن]],TableJudje[اسم الحساب],0)),0)</f>
        <v>11060205</v>
      </c>
      <c r="F63" s="22" t="s">
        <v>513</v>
      </c>
      <c r="G63" s="22" t="s">
        <v>971</v>
      </c>
      <c r="H63" s="24">
        <f>IFERROR(INDEX(TableJudje[رقم الحساب],MATCH(Tabledaily[[#This Row],[الحســاب المديــــن]],TableJudje[اسم الحساب],0)),0)</f>
        <v>31010101</v>
      </c>
      <c r="I63" s="22" t="s">
        <v>111</v>
      </c>
      <c r="J63" s="22" t="s">
        <v>238</v>
      </c>
      <c r="K63" s="117">
        <v>45000</v>
      </c>
      <c r="L63" s="23">
        <v>405</v>
      </c>
      <c r="M63" s="118">
        <f>IFERROR(Tabledaily[[#This Row],[المبلـــــــغ]]/Tabledaily[[#This Row],[سعــــــر
الصـــــرف]],"")</f>
        <v>111.11111111111111</v>
      </c>
      <c r="N63" s="22" t="s">
        <v>565</v>
      </c>
      <c r="O63" s="22" t="s">
        <v>312</v>
      </c>
      <c r="P63" s="22" t="s">
        <v>312</v>
      </c>
      <c r="Q63" s="22"/>
      <c r="R63" s="22" t="s">
        <v>237</v>
      </c>
      <c r="S63" s="24">
        <f>IFERROR(INDEX(tablecost[رقم المركز],MATCH(Tabledaily[[#This Row],[مركـــــــزالتكلفــــــة]],tablecost[الاسم],0)),0)</f>
        <v>1</v>
      </c>
      <c r="T63" s="27">
        <f>DATE(Tabledaily[[#This Row],[السنــــة]],Tabledaily[[#This Row],[الشهــــر]],Tabledaily[[#This Row],[الـــــيوم]])</f>
        <v>46192</v>
      </c>
      <c r="U63" s="28">
        <v>46194.953032407408</v>
      </c>
      <c r="V63" s="22"/>
      <c r="W63" s="24">
        <f>YEAR(Tabledaily[[#This Row],[التاريخ]])</f>
        <v>2026</v>
      </c>
      <c r="X63" s="24">
        <f>MONTH(Tabledaily[[#This Row],[التاريخ]])</f>
        <v>6</v>
      </c>
      <c r="Y63" s="24">
        <f>DAY(Tabledaily[[#This Row],[التاريخ]])</f>
        <v>19</v>
      </c>
      <c r="Z6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لافراد المدفعية عدد 5 افراد بامر</v>
      </c>
      <c r="AA63" s="24" t="str">
        <f>IF(COUNTIF(TableDailyJournal[رقم العملية],Tabledaily[[#This Row],[رقم العملية]])&gt;1,"مرحل","غير مرحل")</f>
        <v>مرحل</v>
      </c>
    </row>
    <row r="64" spans="1:27" ht="22.9" customHeight="1" x14ac:dyDescent="0.55000000000000004">
      <c r="A64" s="22">
        <f t="shared" si="0"/>
        <v>62</v>
      </c>
      <c r="B64" s="23" t="s">
        <v>1102</v>
      </c>
      <c r="C64" s="213" t="s">
        <v>860</v>
      </c>
      <c r="D64" s="22" t="s">
        <v>290</v>
      </c>
      <c r="E64" s="22">
        <f>IFERROR(INDEX(TableJudje[رقم الحساب],MATCH(Tabledaily[[#This Row],[الحســاب الدئـــن]],TableJudje[اسم الحساب],0)),0)</f>
        <v>11060205</v>
      </c>
      <c r="F64" s="22" t="s">
        <v>513</v>
      </c>
      <c r="G64" s="22" t="s">
        <v>969</v>
      </c>
      <c r="H64" s="24">
        <f>IFERROR(INDEX(TableJudje[رقم الحساب],MATCH(Tabledaily[[#This Row],[الحســاب المديــــن]],TableJudje[اسم الحساب],0)),0)</f>
        <v>31010101</v>
      </c>
      <c r="I64" s="22" t="s">
        <v>111</v>
      </c>
      <c r="J64" s="22" t="s">
        <v>238</v>
      </c>
      <c r="K64" s="117">
        <v>80000</v>
      </c>
      <c r="L64" s="23">
        <v>405</v>
      </c>
      <c r="M64" s="118">
        <f>IFERROR(Tabledaily[[#This Row],[المبلـــــــغ]]/Tabledaily[[#This Row],[سعــــــر
الصـــــرف]],"")</f>
        <v>197.53086419753086</v>
      </c>
      <c r="N64" s="22" t="s">
        <v>334</v>
      </c>
      <c r="O64" s="22" t="s">
        <v>312</v>
      </c>
      <c r="P64" s="22" t="s">
        <v>312</v>
      </c>
      <c r="Q64" s="22"/>
      <c r="R64" s="22" t="s">
        <v>237</v>
      </c>
      <c r="S64" s="24">
        <f>IFERROR(INDEX(tablecost[رقم المركز],MATCH(Tabledaily[[#This Row],[مركـــــــزالتكلفــــــة]],tablecost[الاسم],0)),0)</f>
        <v>1</v>
      </c>
      <c r="T64" s="27">
        <f>DATE(Tabledaily[[#This Row],[السنــــة]],Tabledaily[[#This Row],[الشهــــر]],Tabledaily[[#This Row],[الـــــيوم]])</f>
        <v>46192</v>
      </c>
      <c r="U64" s="28">
        <v>46194.949733796297</v>
      </c>
      <c r="V64" s="22"/>
      <c r="W64" s="24">
        <f>YEAR(Tabledaily[[#This Row],[التاريخ]])</f>
        <v>2026</v>
      </c>
      <c r="X64" s="24">
        <f>MONTH(Tabledaily[[#This Row],[التاريخ]])</f>
        <v>6</v>
      </c>
      <c r="Y64" s="24">
        <f>DAY(Tabledaily[[#This Row],[التاريخ]])</f>
        <v>19</v>
      </c>
      <c r="Z6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لافراد الاستخبارات عدد 5 افراد بامر</v>
      </c>
      <c r="AA64" s="24" t="str">
        <f>IF(COUNTIF(TableDailyJournal[رقم العملية],Tabledaily[[#This Row],[رقم العملية]])&gt;1,"مرحل","غير مرحل")</f>
        <v>مرحل</v>
      </c>
    </row>
    <row r="65" spans="1:27" ht="22.9" customHeight="1" x14ac:dyDescent="0.55000000000000004">
      <c r="A65" s="22">
        <f t="shared" ref="A65:A96" si="1">ROW()-2</f>
        <v>63</v>
      </c>
      <c r="B65" s="23" t="s">
        <v>1101</v>
      </c>
      <c r="C65" s="213" t="s">
        <v>860</v>
      </c>
      <c r="D65" s="22" t="s">
        <v>290</v>
      </c>
      <c r="E65" s="22">
        <f>IFERROR(INDEX(TableJudje[رقم الحساب],MATCH(Tabledaily[[#This Row],[الحســاب الدئـــن]],TableJudje[اسم الحساب],0)),0)</f>
        <v>11060205</v>
      </c>
      <c r="F65" s="22" t="s">
        <v>513</v>
      </c>
      <c r="G65" s="22" t="s">
        <v>878</v>
      </c>
      <c r="H65" s="24">
        <f>IFERROR(INDEX(TableJudje[رقم الحساب],MATCH(Tabledaily[[#This Row],[الحســاب المديــــن]],TableJudje[اسم الحساب],0)),0)</f>
        <v>31010101</v>
      </c>
      <c r="I65" s="22" t="s">
        <v>111</v>
      </c>
      <c r="J65" s="22" t="s">
        <v>238</v>
      </c>
      <c r="K65" s="117">
        <v>15000</v>
      </c>
      <c r="L65" s="23">
        <v>405</v>
      </c>
      <c r="M65" s="118">
        <f>IFERROR(Tabledaily[[#This Row],[المبلـــــــغ]]/Tabledaily[[#This Row],[سعــــــر
الصـــــرف]],"")</f>
        <v>37.037037037037038</v>
      </c>
      <c r="N65" s="22" t="s">
        <v>967</v>
      </c>
      <c r="O65" s="22" t="s">
        <v>312</v>
      </c>
      <c r="P65" s="22" t="s">
        <v>312</v>
      </c>
      <c r="Q65" s="22"/>
      <c r="R65" s="22" t="s">
        <v>237</v>
      </c>
      <c r="S65" s="24">
        <f>IFERROR(INDEX(tablecost[رقم المركز],MATCH(Tabledaily[[#This Row],[مركـــــــزالتكلفــــــة]],tablecost[الاسم],0)),0)</f>
        <v>1</v>
      </c>
      <c r="T65" s="27">
        <f>DATE(Tabledaily[[#This Row],[السنــــة]],Tabledaily[[#This Row],[الشهــــر]],Tabledaily[[#This Row],[الـــــيوم]])</f>
        <v>46192</v>
      </c>
      <c r="U65" s="28">
        <v>46194.948796296296</v>
      </c>
      <c r="V65" s="22"/>
      <c r="W65" s="24">
        <f>YEAR(Tabledaily[[#This Row],[التاريخ]])</f>
        <v>2026</v>
      </c>
      <c r="X65" s="24">
        <f>MONTH(Tabledaily[[#This Row],[التاريخ]])</f>
        <v>6</v>
      </c>
      <c r="Y65" s="24">
        <f>DAY(Tabledaily[[#This Row],[التاريخ]])</f>
        <v>19</v>
      </c>
      <c r="Z6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 الفرقة الثالثة)  - كشف صرف رقم   كشف صرف - صرف الصرفة اليومية لافراد البشرية عدد1 بامر</v>
      </c>
      <c r="AA65" s="24" t="str">
        <f>IF(COUNTIF(TableDailyJournal[رقم العملية],Tabledaily[[#This Row],[رقم العملية]])&gt;1,"مرحل","غير مرحل")</f>
        <v>مرحل</v>
      </c>
    </row>
    <row r="66" spans="1:27" ht="22.9" customHeight="1" x14ac:dyDescent="0.55000000000000004">
      <c r="A66" s="22">
        <f t="shared" si="1"/>
        <v>64</v>
      </c>
      <c r="B66" s="23" t="s">
        <v>1100</v>
      </c>
      <c r="C66" s="213" t="s">
        <v>860</v>
      </c>
      <c r="D66" s="22" t="s">
        <v>290</v>
      </c>
      <c r="E66" s="22">
        <f>IFERROR(INDEX(TableJudje[رقم الحساب],MATCH(Tabledaily[[#This Row],[الحســاب الدئـــن]],TableJudje[اسم الحساب],0)),0)</f>
        <v>11060205</v>
      </c>
      <c r="F66" s="22" t="s">
        <v>513</v>
      </c>
      <c r="G66" s="22" t="s">
        <v>875</v>
      </c>
      <c r="H66" s="24">
        <f>IFERROR(INDEX(TableJudje[رقم الحساب],MATCH(Tabledaily[[#This Row],[الحســاب المديــــن]],TableJudje[اسم الحساب],0)),0)</f>
        <v>31010101</v>
      </c>
      <c r="I66" s="22" t="s">
        <v>111</v>
      </c>
      <c r="J66" s="22" t="s">
        <v>238</v>
      </c>
      <c r="K66" s="117">
        <v>25000</v>
      </c>
      <c r="L66" s="23">
        <v>405</v>
      </c>
      <c r="M66" s="118">
        <f>IFERROR(Tabledaily[[#This Row],[المبلـــــــغ]]/Tabledaily[[#This Row],[سعــــــر
الصـــــرف]],"")</f>
        <v>61.728395061728392</v>
      </c>
      <c r="N66" s="22" t="s">
        <v>964</v>
      </c>
      <c r="O66" s="22" t="s">
        <v>312</v>
      </c>
      <c r="P66" s="22" t="s">
        <v>312</v>
      </c>
      <c r="Q66" s="22"/>
      <c r="R66" s="22" t="s">
        <v>237</v>
      </c>
      <c r="S66" s="24">
        <f>IFERROR(INDEX(tablecost[رقم المركز],MATCH(Tabledaily[[#This Row],[مركـــــــزالتكلفــــــة]],tablecost[الاسم],0)),0)</f>
        <v>1</v>
      </c>
      <c r="T66" s="27">
        <f>DATE(Tabledaily[[#This Row],[السنــــة]],Tabledaily[[#This Row],[الشهــــر]],Tabledaily[[#This Row],[الـــــيوم]])</f>
        <v>46192</v>
      </c>
      <c r="U66" s="28">
        <v>46194.94804398148</v>
      </c>
      <c r="V66" s="22"/>
      <c r="W66" s="24">
        <f>YEAR(Tabledaily[[#This Row],[التاريخ]])</f>
        <v>2026</v>
      </c>
      <c r="X66" s="24">
        <f>MONTH(Tabledaily[[#This Row],[التاريخ]])</f>
        <v>6</v>
      </c>
      <c r="Y66" s="24">
        <f>DAY(Tabledaily[[#This Row],[التاريخ]])</f>
        <v>19</v>
      </c>
      <c r="Z6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المحاسبين - الفرقة الثالثة)  - كشف صرف رقم   كشف صرف - صرف الصرفة اليومية للمحاسبين عدد2 بامر</v>
      </c>
      <c r="AA66" s="24" t="str">
        <f>IF(COUNTIF(TableDailyJournal[رقم العملية],Tabledaily[[#This Row],[رقم العملية]])&gt;1,"مرحل","غير مرحل")</f>
        <v>مرحل</v>
      </c>
    </row>
    <row r="67" spans="1:27" ht="22.9" customHeight="1" x14ac:dyDescent="0.55000000000000004">
      <c r="A67" s="22">
        <f t="shared" si="1"/>
        <v>65</v>
      </c>
      <c r="B67" s="23" t="s">
        <v>1099</v>
      </c>
      <c r="C67" s="213" t="s">
        <v>860</v>
      </c>
      <c r="D67" s="22" t="s">
        <v>290</v>
      </c>
      <c r="E67" s="22">
        <f>IFERROR(INDEX(TableJudje[رقم الحساب],MATCH(Tabledaily[[#This Row],[الحســاب الدئـــن]],TableJudje[اسم الحساب],0)),0)</f>
        <v>11060205</v>
      </c>
      <c r="F67" s="22" t="s">
        <v>513</v>
      </c>
      <c r="G67" s="22" t="s">
        <v>1086</v>
      </c>
      <c r="H67" s="24">
        <f>IFERROR(INDEX(TableJudje[رقم الحساب],MATCH(Tabledaily[[#This Row],[الحســاب المديــــن]],TableJudje[اسم الحساب],0)),0)</f>
        <v>31010101</v>
      </c>
      <c r="I67" s="22" t="s">
        <v>111</v>
      </c>
      <c r="J67" s="22" t="s">
        <v>238</v>
      </c>
      <c r="K67" s="117">
        <v>30000</v>
      </c>
      <c r="L67" s="23">
        <v>405</v>
      </c>
      <c r="M67" s="118">
        <f>IFERROR(Tabledaily[[#This Row],[المبلـــــــغ]]/Tabledaily[[#This Row],[سعــــــر
الصـــــرف]],"")</f>
        <v>74.074074074074076</v>
      </c>
      <c r="N67" s="22" t="s">
        <v>962</v>
      </c>
      <c r="O67" s="22" t="s">
        <v>312</v>
      </c>
      <c r="P67" s="22" t="s">
        <v>312</v>
      </c>
      <c r="Q67" s="22"/>
      <c r="R67" s="22" t="s">
        <v>237</v>
      </c>
      <c r="S67" s="24">
        <f>IFERROR(INDEX(tablecost[رقم المركز],MATCH(Tabledaily[[#This Row],[مركـــــــزالتكلفــــــة]],tablecost[الاسم],0)),0)</f>
        <v>1</v>
      </c>
      <c r="T67" s="27">
        <f>DATE(Tabledaily[[#This Row],[السنــــة]],Tabledaily[[#This Row],[الشهــــر]],Tabledaily[[#This Row],[الـــــيوم]])</f>
        <v>46192</v>
      </c>
      <c r="U67" s="28">
        <v>46194.947129629632</v>
      </c>
      <c r="V67" s="22"/>
      <c r="W67" s="24">
        <f>YEAR(Tabledaily[[#This Row],[التاريخ]])</f>
        <v>2026</v>
      </c>
      <c r="X67" s="24">
        <f>MONTH(Tabledaily[[#This Row],[التاريخ]])</f>
        <v>6</v>
      </c>
      <c r="Y67" s="24">
        <f>DAY(Tabledaily[[#This Row],[التاريخ]])</f>
        <v>19</v>
      </c>
      <c r="Z6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v>
      </c>
      <c r="AA67" s="24" t="str">
        <f>IF(COUNTIF(TableDailyJournal[رقم العملية],Tabledaily[[#This Row],[رقم العملية]])&gt;1,"مرحل","غير مرحل")</f>
        <v>مرحل</v>
      </c>
    </row>
    <row r="68" spans="1:27" ht="22.9" customHeight="1" x14ac:dyDescent="0.55000000000000004">
      <c r="A68" s="22">
        <f t="shared" si="1"/>
        <v>66</v>
      </c>
      <c r="B68" s="23" t="s">
        <v>1098</v>
      </c>
      <c r="C68" s="213" t="s">
        <v>860</v>
      </c>
      <c r="D68" s="22" t="s">
        <v>290</v>
      </c>
      <c r="E68" s="22">
        <f>IFERROR(INDEX(TableJudje[رقم الحساب],MATCH(Tabledaily[[#This Row],[الحســاب الدئـــن]],TableJudje[اسم الحساب],0)),0)</f>
        <v>11060205</v>
      </c>
      <c r="F68" s="22" t="s">
        <v>513</v>
      </c>
      <c r="G68" s="22" t="s">
        <v>872</v>
      </c>
      <c r="H68" s="24">
        <f>IFERROR(INDEX(TableJudje[رقم الحساب],MATCH(Tabledaily[[#This Row],[الحســاب المديــــن]],TableJudje[اسم الحساب],0)),0)</f>
        <v>31010101</v>
      </c>
      <c r="I68" s="22" t="s">
        <v>111</v>
      </c>
      <c r="J68" s="22" t="s">
        <v>238</v>
      </c>
      <c r="K68" s="117">
        <v>31000</v>
      </c>
      <c r="L68" s="23">
        <v>405</v>
      </c>
      <c r="M68" s="118">
        <f>IFERROR(Tabledaily[[#This Row],[المبلـــــــغ]]/Tabledaily[[#This Row],[سعــــــر
الصـــــرف]],"")</f>
        <v>76.543209876543216</v>
      </c>
      <c r="N68" s="22" t="s">
        <v>873</v>
      </c>
      <c r="O68" s="22" t="s">
        <v>312</v>
      </c>
      <c r="P68" s="22" t="s">
        <v>312</v>
      </c>
      <c r="Q68" s="22"/>
      <c r="R68" s="22" t="s">
        <v>237</v>
      </c>
      <c r="S68" s="24">
        <f>IFERROR(INDEX(tablecost[رقم المركز],MATCH(Tabledaily[[#This Row],[مركـــــــزالتكلفــــــة]],tablecost[الاسم],0)),0)</f>
        <v>1</v>
      </c>
      <c r="T68" s="27">
        <f>DATE(Tabledaily[[#This Row],[السنــــة]],Tabledaily[[#This Row],[الشهــــر]],Tabledaily[[#This Row],[الـــــيوم]])</f>
        <v>46192</v>
      </c>
      <c r="U68" s="28">
        <v>46194.946400462963</v>
      </c>
      <c r="V68" s="22"/>
      <c r="W68" s="24">
        <f>YEAR(Tabledaily[[#This Row],[التاريخ]])</f>
        <v>2026</v>
      </c>
      <c r="X68" s="24">
        <f>MONTH(Tabledaily[[#This Row],[التاريخ]])</f>
        <v>6</v>
      </c>
      <c r="Y68" s="24">
        <f>DAY(Tabledaily[[#This Row],[التاريخ]])</f>
        <v>19</v>
      </c>
      <c r="Z6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قسم المشتريات - الفرقة الثالثة)  - كشف صرف رقم   كشف صرف - صرف الصرفة اليومية لافراد قسم المشتريات عدد3 بامر</v>
      </c>
      <c r="AA68" s="24" t="str">
        <f>IF(COUNTIF(TableDailyJournal[رقم العملية],Tabledaily[[#This Row],[رقم العملية]])&gt;1,"مرحل","غير مرحل")</f>
        <v>مرحل</v>
      </c>
    </row>
    <row r="69" spans="1:27" ht="22.9" customHeight="1" x14ac:dyDescent="0.55000000000000004">
      <c r="A69" s="22">
        <f t="shared" si="1"/>
        <v>67</v>
      </c>
      <c r="B69" s="23" t="s">
        <v>1097</v>
      </c>
      <c r="C69" s="213" t="s">
        <v>860</v>
      </c>
      <c r="D69" s="22" t="s">
        <v>290</v>
      </c>
      <c r="E69" s="22">
        <f>IFERROR(INDEX(TableJudje[رقم الحساب],MATCH(Tabledaily[[#This Row],[الحســاب الدئـــن]],TableJudje[اسم الحساب],0)),0)</f>
        <v>11060205</v>
      </c>
      <c r="F69" s="22" t="s">
        <v>513</v>
      </c>
      <c r="G69" s="22" t="s">
        <v>831</v>
      </c>
      <c r="H69" s="24">
        <f>IFERROR(INDEX(TableJudje[رقم الحساب],MATCH(Tabledaily[[#This Row],[الحســاب المديــــن]],TableJudje[اسم الحساب],0)),0)</f>
        <v>31010101</v>
      </c>
      <c r="I69" s="22" t="s">
        <v>111</v>
      </c>
      <c r="J69" s="22" t="s">
        <v>238</v>
      </c>
      <c r="K69" s="117">
        <v>70000</v>
      </c>
      <c r="L69" s="23">
        <v>405</v>
      </c>
      <c r="M69" s="118">
        <f>IFERROR(Tabledaily[[#This Row],[المبلـــــــغ]]/Tabledaily[[#This Row],[سعــــــر
الصـــــرف]],"")</f>
        <v>172.83950617283949</v>
      </c>
      <c r="N69" s="22" t="s">
        <v>340</v>
      </c>
      <c r="O69" s="22" t="s">
        <v>312</v>
      </c>
      <c r="P69" s="22" t="s">
        <v>312</v>
      </c>
      <c r="Q69" s="22"/>
      <c r="R69" s="22" t="s">
        <v>237</v>
      </c>
      <c r="S69" s="24">
        <f>IFERROR(INDEX(tablecost[رقم المركز],MATCH(Tabledaily[[#This Row],[مركـــــــزالتكلفــــــة]],tablecost[الاسم],0)),0)</f>
        <v>1</v>
      </c>
      <c r="T69" s="27">
        <f>DATE(Tabledaily[[#This Row],[السنــــة]],Tabledaily[[#This Row],[الشهــــر]],Tabledaily[[#This Row],[الـــــيوم]])</f>
        <v>46192</v>
      </c>
      <c r="U69" s="28">
        <v>46194.945659722223</v>
      </c>
      <c r="V69" s="22"/>
      <c r="W69" s="24">
        <f>YEAR(Tabledaily[[#This Row],[التاريخ]])</f>
        <v>2026</v>
      </c>
      <c r="X69" s="24">
        <f>MONTH(Tabledaily[[#This Row],[التاريخ]])</f>
        <v>6</v>
      </c>
      <c r="Y69" s="24">
        <f>DAY(Tabledaily[[#This Row],[التاريخ]])</f>
        <v>19</v>
      </c>
      <c r="Z6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فرد بامر</v>
      </c>
      <c r="AA69" s="24" t="str">
        <f>IF(COUNTIF(TableDailyJournal[رقم العملية],Tabledaily[[#This Row],[رقم العملية]])&gt;1,"مرحل","غير مرحل")</f>
        <v>مرحل</v>
      </c>
    </row>
    <row r="70" spans="1:27" ht="22.9" customHeight="1" x14ac:dyDescent="0.55000000000000004">
      <c r="A70" s="22">
        <f t="shared" si="1"/>
        <v>68</v>
      </c>
      <c r="B70" s="23" t="s">
        <v>1096</v>
      </c>
      <c r="C70" s="213" t="s">
        <v>860</v>
      </c>
      <c r="D70" s="22" t="s">
        <v>290</v>
      </c>
      <c r="E70" s="22">
        <f>IFERROR(INDEX(TableJudje[رقم الحساب],MATCH(Tabledaily[[#This Row],[الحســاب الدئـــن]],TableJudje[اسم الحساب],0)),0)</f>
        <v>11060205</v>
      </c>
      <c r="F70" s="22" t="s">
        <v>513</v>
      </c>
      <c r="G70" s="22" t="s">
        <v>829</v>
      </c>
      <c r="H70" s="24">
        <f>IFERROR(INDEX(TableJudje[رقم الحساب],MATCH(Tabledaily[[#This Row],[الحســاب المديــــن]],TableJudje[اسم الحساب],0)),0)</f>
        <v>31010101</v>
      </c>
      <c r="I70" s="22" t="s">
        <v>111</v>
      </c>
      <c r="J70" s="22" t="s">
        <v>238</v>
      </c>
      <c r="K70" s="117">
        <v>55000</v>
      </c>
      <c r="L70" s="23">
        <v>405</v>
      </c>
      <c r="M70" s="118">
        <f>IFERROR(Tabledaily[[#This Row],[المبلـــــــغ]]/Tabledaily[[#This Row],[سعــــــر
الصـــــرف]],"")</f>
        <v>135.80246913580248</v>
      </c>
      <c r="N70" s="22" t="s">
        <v>343</v>
      </c>
      <c r="O70" s="22" t="s">
        <v>312</v>
      </c>
      <c r="P70" s="22" t="s">
        <v>312</v>
      </c>
      <c r="Q70" s="22"/>
      <c r="R70" s="22" t="s">
        <v>237</v>
      </c>
      <c r="S70" s="24">
        <f>IFERROR(INDEX(tablecost[رقم المركز],MATCH(Tabledaily[[#This Row],[مركـــــــزالتكلفــــــة]],tablecost[الاسم],0)),0)</f>
        <v>1</v>
      </c>
      <c r="T70" s="27">
        <f>DATE(Tabledaily[[#This Row],[السنــــة]],Tabledaily[[#This Row],[الشهــــر]],Tabledaily[[#This Row],[الـــــيوم]])</f>
        <v>46192</v>
      </c>
      <c r="U70" s="28">
        <v>46194.944745370369</v>
      </c>
      <c r="V70" s="22"/>
      <c r="W70" s="24">
        <f>YEAR(Tabledaily[[#This Row],[التاريخ]])</f>
        <v>2026</v>
      </c>
      <c r="X70" s="24">
        <f>MONTH(Tabledaily[[#This Row],[التاريخ]])</f>
        <v>6</v>
      </c>
      <c r="Y70" s="24">
        <f>DAY(Tabledaily[[#This Row],[التاريخ]])</f>
        <v>19</v>
      </c>
      <c r="Z7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9 بامر</v>
      </c>
      <c r="AA70" s="24" t="str">
        <f>IF(COUNTIF(TableDailyJournal[رقم العملية],Tabledaily[[#This Row],[رقم العملية]])&gt;1,"مرحل","غير مرحل")</f>
        <v>مرحل</v>
      </c>
    </row>
    <row r="71" spans="1:27" ht="22.9" customHeight="1" x14ac:dyDescent="0.55000000000000004">
      <c r="A71" s="22">
        <f t="shared" si="1"/>
        <v>69</v>
      </c>
      <c r="B71" s="23" t="s">
        <v>1092</v>
      </c>
      <c r="C71" s="213" t="s">
        <v>954</v>
      </c>
      <c r="D71" s="22" t="s">
        <v>290</v>
      </c>
      <c r="E71" s="22">
        <f>IFERROR(INDEX(TableJudje[رقم الحساب],MATCH(Tabledaily[[#This Row],[الحســاب الدئـــن]],TableJudje[اسم الحساب],0)),0)</f>
        <v>11060205</v>
      </c>
      <c r="F71" s="22" t="s">
        <v>513</v>
      </c>
      <c r="G71" s="22" t="s">
        <v>1093</v>
      </c>
      <c r="H71" s="24">
        <f>IFERROR(INDEX(TableJudje[رقم الحساب],MATCH(Tabledaily[[#This Row],[الحســاب المديــــن]],TableJudje[اسم الحساب],0)),0)</f>
        <v>31010106</v>
      </c>
      <c r="I71" s="22" t="s">
        <v>115</v>
      </c>
      <c r="J71" s="22" t="s">
        <v>238</v>
      </c>
      <c r="K71" s="117">
        <v>32000</v>
      </c>
      <c r="L71" s="23">
        <v>405</v>
      </c>
      <c r="M71" s="118">
        <f>IFERROR(Tabledaily[[#This Row],[المبلـــــــغ]]/Tabledaily[[#This Row],[سعــــــر
الصـــــرف]],"")</f>
        <v>79.012345679012341</v>
      </c>
      <c r="N71" s="22" t="s">
        <v>1094</v>
      </c>
      <c r="O71" s="22" t="s">
        <v>286</v>
      </c>
      <c r="P71" s="22" t="s">
        <v>287</v>
      </c>
      <c r="Q71" s="22" t="s">
        <v>1095</v>
      </c>
      <c r="R71" s="22" t="s">
        <v>237</v>
      </c>
      <c r="S71" s="24">
        <f>IFERROR(INDEX(tablecost[رقم المركز],MATCH(Tabledaily[[#This Row],[مركـــــــزالتكلفــــــة]],tablecost[الاسم],0)),0)</f>
        <v>1</v>
      </c>
      <c r="T71" s="27">
        <f>DATE(Tabledaily[[#This Row],[السنــــة]],Tabledaily[[#This Row],[الشهــــر]],Tabledaily[[#This Row],[الـــــيوم]])</f>
        <v>46191</v>
      </c>
      <c r="U71" s="28">
        <v>46194.941284722219</v>
      </c>
      <c r="V71" s="22" t="s">
        <v>293</v>
      </c>
      <c r="W71" s="24">
        <f>YEAR(Tabledaily[[#This Row],[التاريخ]])</f>
        <v>2026</v>
      </c>
      <c r="X71" s="24">
        <f>MONTH(Tabledaily[[#This Row],[التاريخ]])</f>
        <v>6</v>
      </c>
      <c r="Y71" s="24">
        <f>DAY(Tabledaily[[#This Row],[التاريخ]])</f>
        <v>18</v>
      </c>
      <c r="Z7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v>
      </c>
      <c r="AA71" s="24" t="str">
        <f>IF(COUNTIF(TableDailyJournal[رقم العملية],Tabledaily[[#This Row],[رقم العملية]])&gt;1,"مرحل","غير مرحل")</f>
        <v>مرحل</v>
      </c>
    </row>
    <row r="72" spans="1:27" ht="22.9" customHeight="1" x14ac:dyDescent="0.55000000000000004">
      <c r="A72" s="22">
        <f t="shared" si="1"/>
        <v>70</v>
      </c>
      <c r="B72" s="23" t="s">
        <v>1089</v>
      </c>
      <c r="C72" s="213" t="s">
        <v>954</v>
      </c>
      <c r="D72" s="22" t="s">
        <v>290</v>
      </c>
      <c r="E72" s="22">
        <f>IFERROR(INDEX(TableJudje[رقم الحساب],MATCH(Tabledaily[[#This Row],[الحســاب الدئـــن]],TableJudje[اسم الحساب],0)),0)</f>
        <v>11060205</v>
      </c>
      <c r="F72" s="22" t="s">
        <v>513</v>
      </c>
      <c r="G72" s="22" t="s">
        <v>1090</v>
      </c>
      <c r="H72" s="24">
        <f>IFERROR(INDEX(TableJudje[رقم الحساب],MATCH(Tabledaily[[#This Row],[الحســاب المديــــن]],TableJudje[اسم الحساب],0)),0)</f>
        <v>31010101</v>
      </c>
      <c r="I72" s="22" t="s">
        <v>111</v>
      </c>
      <c r="J72" s="22" t="s">
        <v>238</v>
      </c>
      <c r="K72" s="117">
        <v>20000</v>
      </c>
      <c r="L72" s="23">
        <v>405</v>
      </c>
      <c r="M72" s="118">
        <f>IFERROR(Tabledaily[[#This Row],[المبلـــــــغ]]/Tabledaily[[#This Row],[سعــــــر
الصـــــرف]],"")</f>
        <v>49.382716049382715</v>
      </c>
      <c r="N72" s="22" t="s">
        <v>1091</v>
      </c>
      <c r="O72" s="22" t="s">
        <v>286</v>
      </c>
      <c r="P72" s="22" t="s">
        <v>287</v>
      </c>
      <c r="Q72" s="22" t="s">
        <v>1081</v>
      </c>
      <c r="R72" s="22" t="s">
        <v>248</v>
      </c>
      <c r="S72" s="24">
        <f>IFERROR(INDEX(tablecost[رقم المركز],MATCH(Tabledaily[[#This Row],[مركـــــــزالتكلفــــــة]],tablecost[الاسم],0)),0)</f>
        <v>7</v>
      </c>
      <c r="T72" s="27">
        <f>DATE(Tabledaily[[#This Row],[السنــــة]],Tabledaily[[#This Row],[الشهــــر]],Tabledaily[[#This Row],[الـــــيوم]])</f>
        <v>46191</v>
      </c>
      <c r="U72" s="28">
        <v>46194.939525462964</v>
      </c>
      <c r="V72" s="22" t="s">
        <v>646</v>
      </c>
      <c r="W72" s="24">
        <f>YEAR(Tabledaily[[#This Row],[التاريخ]])</f>
        <v>2026</v>
      </c>
      <c r="X72" s="24">
        <f>MONTH(Tabledaily[[#This Row],[التاريخ]])</f>
        <v>6</v>
      </c>
      <c r="Y72" s="24">
        <f>DAY(Tabledaily[[#This Row],[التاريخ]])</f>
        <v>18</v>
      </c>
      <c r="Z7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v>
      </c>
      <c r="AA72" s="24" t="str">
        <f>IF(COUNTIF(TableDailyJournal[رقم العملية],Tabledaily[[#This Row],[رقم العملية]])&gt;1,"مرحل","غير مرحل")</f>
        <v>مرحل</v>
      </c>
    </row>
    <row r="73" spans="1:27" ht="22.9" customHeight="1" x14ac:dyDescent="0.55000000000000004">
      <c r="A73" s="22">
        <f t="shared" si="1"/>
        <v>71</v>
      </c>
      <c r="B73" s="23" t="s">
        <v>1085</v>
      </c>
      <c r="C73" s="213" t="s">
        <v>954</v>
      </c>
      <c r="D73" s="22" t="s">
        <v>290</v>
      </c>
      <c r="E73" s="22">
        <f>IFERROR(INDEX(TableJudje[رقم الحساب],MATCH(Tabledaily[[#This Row],[الحســاب الدئـــن]],TableJudje[اسم الحساب],0)),0)</f>
        <v>11060205</v>
      </c>
      <c r="F73" s="22" t="s">
        <v>513</v>
      </c>
      <c r="G73" s="22" t="s">
        <v>1086</v>
      </c>
      <c r="H73" s="24">
        <f>IFERROR(INDEX(TableJudje[رقم الحساب],MATCH(Tabledaily[[#This Row],[الحســاب المديــــن]],TableJudje[اسم الحساب],0)),0)</f>
        <v>31010101</v>
      </c>
      <c r="I73" s="22" t="s">
        <v>111</v>
      </c>
      <c r="J73" s="22" t="s">
        <v>238</v>
      </c>
      <c r="K73" s="117">
        <v>60000</v>
      </c>
      <c r="L73" s="23">
        <v>405</v>
      </c>
      <c r="M73" s="118">
        <f>IFERROR(Tabledaily[[#This Row],[المبلـــــــغ]]/Tabledaily[[#This Row],[سعــــــر
الصـــــرف]],"")</f>
        <v>148.14814814814815</v>
      </c>
      <c r="N73" s="22" t="s">
        <v>1087</v>
      </c>
      <c r="O73" s="22" t="s">
        <v>286</v>
      </c>
      <c r="P73" s="22" t="s">
        <v>287</v>
      </c>
      <c r="Q73" s="22" t="s">
        <v>1088</v>
      </c>
      <c r="R73" s="22" t="s">
        <v>237</v>
      </c>
      <c r="S73" s="24">
        <f>IFERROR(INDEX(tablecost[رقم المركز],MATCH(Tabledaily[[#This Row],[مركـــــــزالتكلفــــــة]],tablecost[الاسم],0)),0)</f>
        <v>1</v>
      </c>
      <c r="T73" s="27">
        <f>DATE(Tabledaily[[#This Row],[السنــــة]],Tabledaily[[#This Row],[الشهــــر]],Tabledaily[[#This Row],[الـــــيوم]])</f>
        <v>46191</v>
      </c>
      <c r="U73" s="28">
        <v>46194.938379629632</v>
      </c>
      <c r="V73" s="22"/>
      <c r="W73" s="24">
        <f>YEAR(Tabledaily[[#This Row],[التاريخ]])</f>
        <v>2026</v>
      </c>
      <c r="X73" s="24">
        <f>MONTH(Tabledaily[[#This Row],[التاريخ]])</f>
        <v>6</v>
      </c>
      <c r="Y73" s="24">
        <f>DAY(Tabledaily[[#This Row],[التاريخ]])</f>
        <v>18</v>
      </c>
      <c r="Z7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v>
      </c>
      <c r="AA73" s="24" t="str">
        <f>IF(COUNTIF(TableDailyJournal[رقم العملية],Tabledaily[[#This Row],[رقم العملية]])&gt;1,"مرحل","غير مرحل")</f>
        <v>مرحل</v>
      </c>
    </row>
    <row r="74" spans="1:27" ht="22.9" customHeight="1" x14ac:dyDescent="0.55000000000000004">
      <c r="A74" s="22">
        <f t="shared" si="1"/>
        <v>72</v>
      </c>
      <c r="B74" s="23" t="s">
        <v>1082</v>
      </c>
      <c r="C74" s="213" t="s">
        <v>954</v>
      </c>
      <c r="D74" s="22" t="s">
        <v>290</v>
      </c>
      <c r="E74" s="22">
        <f>IFERROR(INDEX(TableJudje[رقم الحساب],MATCH(Tabledaily[[#This Row],[الحســاب الدئـــن]],TableJudje[اسم الحساب],0)),0)</f>
        <v>11060205</v>
      </c>
      <c r="F74" s="22" t="s">
        <v>513</v>
      </c>
      <c r="G74" s="22" t="s">
        <v>1083</v>
      </c>
      <c r="H74" s="24">
        <f>IFERROR(INDEX(TableJudje[رقم الحساب],MATCH(Tabledaily[[#This Row],[الحســاب المديــــن]],TableJudje[اسم الحساب],0)),0)</f>
        <v>31010115</v>
      </c>
      <c r="I74" s="22" t="s">
        <v>486</v>
      </c>
      <c r="J74" s="22" t="s">
        <v>238</v>
      </c>
      <c r="K74" s="117">
        <v>100000</v>
      </c>
      <c r="L74" s="23">
        <v>405</v>
      </c>
      <c r="M74" s="118">
        <f>IFERROR(Tabledaily[[#This Row],[المبلـــــــغ]]/Tabledaily[[#This Row],[سعــــــر
الصـــــرف]],"")</f>
        <v>246.91358024691357</v>
      </c>
      <c r="N74" s="22" t="s">
        <v>766</v>
      </c>
      <c r="O74" s="22" t="s">
        <v>286</v>
      </c>
      <c r="P74" s="22" t="s">
        <v>287</v>
      </c>
      <c r="Q74" s="22" t="s">
        <v>1084</v>
      </c>
      <c r="R74" s="22" t="s">
        <v>237</v>
      </c>
      <c r="S74" s="24">
        <f>IFERROR(INDEX(tablecost[رقم المركز],MATCH(Tabledaily[[#This Row],[مركـــــــزالتكلفــــــة]],tablecost[الاسم],0)),0)</f>
        <v>1</v>
      </c>
      <c r="T74" s="27">
        <f>DATE(Tabledaily[[#This Row],[السنــــة]],Tabledaily[[#This Row],[الشهــــر]],Tabledaily[[#This Row],[الـــــيوم]])</f>
        <v>46191</v>
      </c>
      <c r="U74" s="28">
        <v>46194.936759259261</v>
      </c>
      <c r="V74" s="22" t="s">
        <v>646</v>
      </c>
      <c r="W74" s="24">
        <f>YEAR(Tabledaily[[#This Row],[التاريخ]])</f>
        <v>2026</v>
      </c>
      <c r="X74" s="24">
        <f>MONTH(Tabledaily[[#This Row],[التاريخ]])</f>
        <v>6</v>
      </c>
      <c r="Y74" s="24">
        <f>DAY(Tabledaily[[#This Row],[التاريخ]])</f>
        <v>18</v>
      </c>
      <c r="Z7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مياة - وايت الماء - الفرقة الثالثة)  - استلام نقدي رقم 100-487  سند استلام - تعبئة القاطرة متء من الخشعة وتغيير زيت بامرالمستشار المالي</v>
      </c>
      <c r="AA74" s="24" t="str">
        <f>IF(COUNTIF(TableDailyJournal[رقم العملية],Tabledaily[[#This Row],[رقم العملية]])&gt;1,"مرحل","غير مرحل")</f>
        <v>مرحل</v>
      </c>
    </row>
    <row r="75" spans="1:27" ht="22.9" customHeight="1" x14ac:dyDescent="0.55000000000000004">
      <c r="A75" s="22">
        <f t="shared" si="1"/>
        <v>73</v>
      </c>
      <c r="B75" s="23" t="s">
        <v>1079</v>
      </c>
      <c r="C75" s="213" t="s">
        <v>954</v>
      </c>
      <c r="D75" s="22" t="s">
        <v>290</v>
      </c>
      <c r="E75" s="22">
        <f>IFERROR(INDEX(TableJudje[رقم الحساب],MATCH(Tabledaily[[#This Row],[الحســاب الدئـــن]],TableJudje[اسم الحساب],0)),0)</f>
        <v>11060205</v>
      </c>
      <c r="F75" s="22" t="s">
        <v>513</v>
      </c>
      <c r="G75" s="22" t="s">
        <v>1080</v>
      </c>
      <c r="H75" s="24">
        <f>IFERROR(INDEX(TableJudje[رقم الحساب],MATCH(Tabledaily[[#This Row],[الحســاب المديــــن]],TableJudje[اسم الحساب],0)),0)</f>
        <v>31010101</v>
      </c>
      <c r="I75" s="22" t="s">
        <v>111</v>
      </c>
      <c r="J75" s="22" t="s">
        <v>238</v>
      </c>
      <c r="K75" s="117">
        <v>30000</v>
      </c>
      <c r="L75" s="23">
        <v>405</v>
      </c>
      <c r="M75" s="118">
        <f>IFERROR(Tabledaily[[#This Row],[المبلـــــــغ]]/Tabledaily[[#This Row],[سعــــــر
الصـــــرف]],"")</f>
        <v>74.074074074074076</v>
      </c>
      <c r="N75" s="22" t="s">
        <v>615</v>
      </c>
      <c r="O75" s="22" t="s">
        <v>286</v>
      </c>
      <c r="P75" s="22" t="s">
        <v>287</v>
      </c>
      <c r="Q75" s="22" t="s">
        <v>1081</v>
      </c>
      <c r="R75" s="22" t="s">
        <v>237</v>
      </c>
      <c r="S75" s="24">
        <f>IFERROR(INDEX(tablecost[رقم المركز],MATCH(Tabledaily[[#This Row],[مركـــــــزالتكلفــــــة]],tablecost[الاسم],0)),0)</f>
        <v>1</v>
      </c>
      <c r="T75" s="27">
        <f>DATE(Tabledaily[[#This Row],[السنــــة]],Tabledaily[[#This Row],[الشهــــر]],Tabledaily[[#This Row],[الـــــيوم]])</f>
        <v>46191</v>
      </c>
      <c r="U75" s="28">
        <v>46194.934699074074</v>
      </c>
      <c r="V75" s="22"/>
      <c r="W75" s="24">
        <f>YEAR(Tabledaily[[#This Row],[التاريخ]])</f>
        <v>2026</v>
      </c>
      <c r="X75" s="24">
        <f>MONTH(Tabledaily[[#This Row],[التاريخ]])</f>
        <v>6</v>
      </c>
      <c r="Y75" s="24">
        <f>DAY(Tabledaily[[#This Row],[التاريخ]])</f>
        <v>18</v>
      </c>
      <c r="Z7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v>
      </c>
      <c r="AA75" s="24" t="str">
        <f>IF(COUNTIF(TableDailyJournal[رقم العملية],Tabledaily[[#This Row],[رقم العملية]])&gt;1,"مرحل","غير مرحل")</f>
        <v>مرحل</v>
      </c>
    </row>
    <row r="76" spans="1:27" ht="22.9" customHeight="1" x14ac:dyDescent="0.55000000000000004">
      <c r="A76" s="22">
        <f t="shared" si="1"/>
        <v>74</v>
      </c>
      <c r="B76" s="23" t="s">
        <v>993</v>
      </c>
      <c r="C76" s="213" t="s">
        <v>865</v>
      </c>
      <c r="D76" s="22" t="s">
        <v>290</v>
      </c>
      <c r="E76" s="22">
        <f>IFERROR(INDEX(TableJudje[رقم الحساب],MATCH(Tabledaily[[#This Row],[الحســاب الدئـــن]],TableJudje[اسم الحساب],0)),0)</f>
        <v>11060205</v>
      </c>
      <c r="F76" s="22" t="s">
        <v>513</v>
      </c>
      <c r="G76" s="22" t="s">
        <v>994</v>
      </c>
      <c r="H76" s="24">
        <f>IFERROR(INDEX(TableJudje[رقم الحساب],MATCH(Tabledaily[[#This Row],[الحســاب المديــــن]],TableJudje[اسم الحساب],0)),0)</f>
        <v>31010101</v>
      </c>
      <c r="I76" s="22" t="s">
        <v>111</v>
      </c>
      <c r="J76" s="22" t="s">
        <v>238</v>
      </c>
      <c r="K76" s="117">
        <v>25000</v>
      </c>
      <c r="L76" s="23">
        <v>405</v>
      </c>
      <c r="M76" s="118">
        <f>IFERROR(Tabledaily[[#This Row],[المبلـــــــغ]]/Tabledaily[[#This Row],[سعــــــر
الصـــــرف]],"")</f>
        <v>61.728395061728392</v>
      </c>
      <c r="N76" s="22" t="s">
        <v>638</v>
      </c>
      <c r="O76" s="22" t="s">
        <v>312</v>
      </c>
      <c r="P76" s="22" t="s">
        <v>312</v>
      </c>
      <c r="Q76" s="22"/>
      <c r="R76" s="22" t="s">
        <v>237</v>
      </c>
      <c r="S76" s="24">
        <f>IFERROR(INDEX(tablecost[رقم المركز],MATCH(Tabledaily[[#This Row],[مركـــــــزالتكلفــــــة]],tablecost[الاسم],0)),0)</f>
        <v>1</v>
      </c>
      <c r="T76" s="27">
        <f>DATE(Tabledaily[[#This Row],[السنــــة]],Tabledaily[[#This Row],[الشهــــر]],Tabledaily[[#This Row],[الـــــيوم]])</f>
        <v>46190</v>
      </c>
      <c r="U76" s="28">
        <v>46194.91134259259</v>
      </c>
      <c r="V76" s="22"/>
      <c r="W76" s="24">
        <f>YEAR(Tabledaily[[#This Row],[التاريخ]])</f>
        <v>2026</v>
      </c>
      <c r="X76" s="24">
        <f>MONTH(Tabledaily[[#This Row],[التاريخ]])</f>
        <v>6</v>
      </c>
      <c r="Y76" s="24">
        <f>DAY(Tabledaily[[#This Row],[التاريخ]])</f>
        <v>17</v>
      </c>
      <c r="Z7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لمرافقين الاركان عدد 4 افراد  بامر</v>
      </c>
      <c r="AA76" s="24" t="str">
        <f>IF(COUNTIF(TableDailyJournal[رقم العملية],Tabledaily[[#This Row],[رقم العملية]])&gt;1,"مرحل","غير مرحل")</f>
        <v>مرحل</v>
      </c>
    </row>
    <row r="77" spans="1:27" ht="22.9" customHeight="1" x14ac:dyDescent="0.55000000000000004">
      <c r="A77" s="22">
        <f t="shared" si="1"/>
        <v>75</v>
      </c>
      <c r="B77" s="23" t="s">
        <v>990</v>
      </c>
      <c r="C77" s="213" t="s">
        <v>954</v>
      </c>
      <c r="D77" s="22" t="s">
        <v>290</v>
      </c>
      <c r="E77" s="22">
        <f>IFERROR(INDEX(TableJudje[رقم الحساب],MATCH(Tabledaily[[#This Row],[الحســاب الدئـــن]],TableJudje[اسم الحساب],0)),0)</f>
        <v>11060205</v>
      </c>
      <c r="F77" s="22" t="s">
        <v>513</v>
      </c>
      <c r="G77" s="22" t="s">
        <v>991</v>
      </c>
      <c r="H77" s="24">
        <f>IFERROR(INDEX(TableJudje[رقم الحساب],MATCH(Tabledaily[[#This Row],[الحســاب المديــــن]],TableJudje[اسم الحساب],0)),0)</f>
        <v>31010106</v>
      </c>
      <c r="I77" s="22" t="s">
        <v>115</v>
      </c>
      <c r="J77" s="22" t="s">
        <v>238</v>
      </c>
      <c r="K77" s="117">
        <v>19500</v>
      </c>
      <c r="L77" s="23">
        <v>405</v>
      </c>
      <c r="M77" s="118">
        <f>IFERROR(Tabledaily[[#This Row],[المبلـــــــغ]]/Tabledaily[[#This Row],[سعــــــر
الصـــــرف]],"")</f>
        <v>48.148148148148145</v>
      </c>
      <c r="N77" s="22" t="s">
        <v>992</v>
      </c>
      <c r="O77" s="22" t="s">
        <v>351</v>
      </c>
      <c r="P77" s="22" t="s">
        <v>359</v>
      </c>
      <c r="Q77" s="22">
        <v>4268</v>
      </c>
      <c r="R77" s="22" t="s">
        <v>237</v>
      </c>
      <c r="S77" s="24">
        <f>IFERROR(INDEX(tablecost[رقم المركز],MATCH(Tabledaily[[#This Row],[مركـــــــزالتكلفــــــة]],tablecost[الاسم],0)),0)</f>
        <v>1</v>
      </c>
      <c r="T77" s="27">
        <f>DATE(Tabledaily[[#This Row],[السنــــة]],Tabledaily[[#This Row],[الشهــــر]],Tabledaily[[#This Row],[الـــــيوم]])</f>
        <v>46191</v>
      </c>
      <c r="U77" s="28">
        <v>46194.908136574071</v>
      </c>
      <c r="V77" s="22" t="s">
        <v>646</v>
      </c>
      <c r="W77" s="24">
        <f>YEAR(Tabledaily[[#This Row],[التاريخ]])</f>
        <v>2026</v>
      </c>
      <c r="X77" s="24">
        <f>MONTH(Tabledaily[[#This Row],[التاريخ]])</f>
        <v>6</v>
      </c>
      <c r="Y77" s="24">
        <f>DAY(Tabledaily[[#This Row],[التاريخ]])</f>
        <v>18</v>
      </c>
      <c r="Z7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v>
      </c>
      <c r="AA77" s="24" t="str">
        <f>IF(COUNTIF(TableDailyJournal[رقم العملية],Tabledaily[[#This Row],[رقم العملية]])&gt;1,"مرحل","غير مرحل")</f>
        <v>مرحل</v>
      </c>
    </row>
    <row r="78" spans="1:27" ht="22.9" customHeight="1" x14ac:dyDescent="0.55000000000000004">
      <c r="A78" s="22">
        <f t="shared" si="1"/>
        <v>76</v>
      </c>
      <c r="B78" s="23" t="s">
        <v>988</v>
      </c>
      <c r="C78" s="213" t="s">
        <v>954</v>
      </c>
      <c r="D78" s="22" t="s">
        <v>290</v>
      </c>
      <c r="E78" s="22">
        <f>IFERROR(INDEX(TableJudje[رقم الحساب],MATCH(Tabledaily[[#This Row],[الحســاب الدئـــن]],TableJudje[اسم الحساب],0)),0)</f>
        <v>11060205</v>
      </c>
      <c r="F78" s="22" t="s">
        <v>513</v>
      </c>
      <c r="G78" s="22" t="s">
        <v>989</v>
      </c>
      <c r="H78" s="24">
        <f>IFERROR(INDEX(TableJudje[رقم الحساب],MATCH(Tabledaily[[#This Row],[الحســاب المديــــن]],TableJudje[اسم الحساب],0)),0)</f>
        <v>31010101</v>
      </c>
      <c r="I78" s="22" t="s">
        <v>111</v>
      </c>
      <c r="J78" s="22" t="s">
        <v>238</v>
      </c>
      <c r="K78" s="117">
        <v>140000</v>
      </c>
      <c r="L78" s="23">
        <v>405</v>
      </c>
      <c r="M78" s="118">
        <f>IFERROR(Tabledaily[[#This Row],[المبلـــــــغ]]/Tabledaily[[#This Row],[سعــــــر
الصـــــرف]],"")</f>
        <v>345.67901234567898</v>
      </c>
      <c r="N78" s="22" t="s">
        <v>311</v>
      </c>
      <c r="O78" s="22" t="s">
        <v>312</v>
      </c>
      <c r="P78" s="22" t="s">
        <v>312</v>
      </c>
      <c r="Q78" s="22"/>
      <c r="R78" s="22" t="s">
        <v>248</v>
      </c>
      <c r="S78" s="24">
        <f>IFERROR(INDEX(tablecost[رقم المركز],MATCH(Tabledaily[[#This Row],[مركـــــــزالتكلفــــــة]],tablecost[الاسم],0)),0)</f>
        <v>7</v>
      </c>
      <c r="T78" s="27">
        <f>DATE(Tabledaily[[#This Row],[السنــــة]],Tabledaily[[#This Row],[الشهــــر]],Tabledaily[[#This Row],[الـــــيوم]])</f>
        <v>46191</v>
      </c>
      <c r="U78" s="28">
        <v>46194.902928240743</v>
      </c>
      <c r="V78" s="22"/>
      <c r="W78" s="24">
        <f>YEAR(Tabledaily[[#This Row],[التاريخ]])</f>
        <v>2026</v>
      </c>
      <c r="X78" s="24">
        <f>MONTH(Tabledaily[[#This Row],[التاريخ]])</f>
        <v>6</v>
      </c>
      <c r="Y78" s="24">
        <f>DAY(Tabledaily[[#This Row],[التاريخ]])</f>
        <v>18</v>
      </c>
      <c r="Z7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صرف الصرفة اليومية سرية اللواء السادس ع دد 35 فرد بامر</v>
      </c>
      <c r="AA78" s="24" t="str">
        <f>IF(COUNTIF(TableDailyJournal[رقم العملية],Tabledaily[[#This Row],[رقم العملية]])&gt;1,"مرحل","غير مرحل")</f>
        <v>مرحل</v>
      </c>
    </row>
    <row r="79" spans="1:27" ht="22.9" customHeight="1" x14ac:dyDescent="0.55000000000000004">
      <c r="A79" s="22">
        <f t="shared" si="1"/>
        <v>77</v>
      </c>
      <c r="B79" s="23" t="s">
        <v>985</v>
      </c>
      <c r="C79" s="213" t="s">
        <v>954</v>
      </c>
      <c r="D79" s="22" t="s">
        <v>290</v>
      </c>
      <c r="E79" s="22">
        <f>IFERROR(INDEX(TableJudje[رقم الحساب],MATCH(Tabledaily[[#This Row],[الحســاب الدئـــن]],TableJudje[اسم الحساب],0)),0)</f>
        <v>11060205</v>
      </c>
      <c r="F79" s="22" t="s">
        <v>513</v>
      </c>
      <c r="G79" s="22" t="s">
        <v>986</v>
      </c>
      <c r="H79" s="24">
        <f>IFERROR(INDEX(TableJudje[رقم الحساب],MATCH(Tabledaily[[#This Row],[الحســاب المديــــن]],TableJudje[اسم الحساب],0)),0)</f>
        <v>31010101</v>
      </c>
      <c r="I79" s="22" t="s">
        <v>111</v>
      </c>
      <c r="J79" s="22" t="s">
        <v>238</v>
      </c>
      <c r="K79" s="117">
        <v>216000</v>
      </c>
      <c r="L79" s="23">
        <v>405</v>
      </c>
      <c r="M79" s="118">
        <f>IFERROR(Tabledaily[[#This Row],[المبلـــــــغ]]/Tabledaily[[#This Row],[سعــــــر
الصـــــرف]],"")</f>
        <v>533.33333333333337</v>
      </c>
      <c r="N79" s="22" t="s">
        <v>987</v>
      </c>
      <c r="O79" s="22" t="s">
        <v>312</v>
      </c>
      <c r="P79" s="22" t="s">
        <v>312</v>
      </c>
      <c r="Q79" s="22"/>
      <c r="R79" s="22" t="s">
        <v>248</v>
      </c>
      <c r="S79" s="24">
        <f>IFERROR(INDEX(tablecost[رقم المركز],MATCH(Tabledaily[[#This Row],[مركـــــــزالتكلفــــــة]],tablecost[الاسم],0)),0)</f>
        <v>7</v>
      </c>
      <c r="T79" s="27">
        <f>DATE(Tabledaily[[#This Row],[السنــــة]],Tabledaily[[#This Row],[الشهــــر]],Tabledaily[[#This Row],[الـــــيوم]])</f>
        <v>46191</v>
      </c>
      <c r="U79" s="28">
        <v>46194.899467592593</v>
      </c>
      <c r="V79" s="22"/>
      <c r="W79" s="24">
        <f>YEAR(Tabledaily[[#This Row],[التاريخ]])</f>
        <v>2026</v>
      </c>
      <c r="X79" s="24">
        <f>MONTH(Tabledaily[[#This Row],[التاريخ]])</f>
        <v>6</v>
      </c>
      <c r="Y79" s="24">
        <f>DAY(Tabledaily[[#This Row],[التاريخ]])</f>
        <v>18</v>
      </c>
      <c r="Z7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v>
      </c>
      <c r="AA79" s="24" t="str">
        <f>IF(COUNTIF(TableDailyJournal[رقم العملية],Tabledaily[[#This Row],[رقم العملية]])&gt;1,"مرحل","غير مرحل")</f>
        <v>مرحل</v>
      </c>
    </row>
    <row r="80" spans="1:27" ht="22.9" customHeight="1" x14ac:dyDescent="0.55000000000000004">
      <c r="A80" s="22">
        <f t="shared" si="1"/>
        <v>78</v>
      </c>
      <c r="B80" s="23" t="s">
        <v>983</v>
      </c>
      <c r="C80" s="213" t="s">
        <v>954</v>
      </c>
      <c r="D80" s="22" t="s">
        <v>290</v>
      </c>
      <c r="E80" s="22">
        <f>IFERROR(INDEX(TableJudje[رقم الحساب],MATCH(Tabledaily[[#This Row],[الحســاب الدئـــن]],TableJudje[اسم الحساب],0)),0)</f>
        <v>11060205</v>
      </c>
      <c r="F80" s="22" t="s">
        <v>513</v>
      </c>
      <c r="G80" s="22" t="s">
        <v>984</v>
      </c>
      <c r="H80" s="24">
        <f>IFERROR(INDEX(TableJudje[رقم الحساب],MATCH(Tabledaily[[#This Row],[الحســاب المديــــن]],TableJudje[اسم الحساب],0)),0)</f>
        <v>31010101</v>
      </c>
      <c r="I80" s="22" t="s">
        <v>111</v>
      </c>
      <c r="J80" s="22" t="s">
        <v>238</v>
      </c>
      <c r="K80" s="117">
        <v>720000</v>
      </c>
      <c r="L80" s="23">
        <v>405</v>
      </c>
      <c r="M80" s="118">
        <f>IFERROR(Tabledaily[[#This Row],[المبلـــــــغ]]/Tabledaily[[#This Row],[سعــــــر
الصـــــرف]],"")</f>
        <v>1777.7777777777778</v>
      </c>
      <c r="N80" s="22" t="s">
        <v>446</v>
      </c>
      <c r="O80" s="22" t="s">
        <v>312</v>
      </c>
      <c r="P80" s="22" t="s">
        <v>312</v>
      </c>
      <c r="Q80" s="22"/>
      <c r="R80" s="22" t="s">
        <v>237</v>
      </c>
      <c r="S80" s="24">
        <f>IFERROR(INDEX(tablecost[رقم المركز],MATCH(Tabledaily[[#This Row],[مركـــــــزالتكلفــــــة]],tablecost[الاسم],0)),0)</f>
        <v>1</v>
      </c>
      <c r="T80" s="27">
        <f>DATE(Tabledaily[[#This Row],[السنــــة]],Tabledaily[[#This Row],[الشهــــر]],Tabledaily[[#This Row],[الـــــيوم]])</f>
        <v>46191</v>
      </c>
      <c r="U80" s="28">
        <v>46194.897916666669</v>
      </c>
      <c r="V80" s="22"/>
      <c r="W80" s="24">
        <f>YEAR(Tabledaily[[#This Row],[التاريخ]])</f>
        <v>2026</v>
      </c>
      <c r="X80" s="24">
        <f>MONTH(Tabledaily[[#This Row],[التاريخ]])</f>
        <v>6</v>
      </c>
      <c r="Y80" s="24">
        <f>DAY(Tabledaily[[#This Row],[التاريخ]])</f>
        <v>18</v>
      </c>
      <c r="Z8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الشرطة - الفرقة الثالثة)  - كشف صرف رقم   كشف صرف - صرف الصرفة الاسبوعي سرية الشرطة لعدد 60 فرد بامر</v>
      </c>
      <c r="AA80" s="24" t="str">
        <f>IF(COUNTIF(TableDailyJournal[رقم العملية],Tabledaily[[#This Row],[رقم العملية]])&gt;1,"مرحل","غير مرحل")</f>
        <v>مرحل</v>
      </c>
    </row>
    <row r="81" spans="1:27" ht="22.9" customHeight="1" x14ac:dyDescent="0.55000000000000004">
      <c r="A81" s="22">
        <f t="shared" si="1"/>
        <v>79</v>
      </c>
      <c r="B81" s="23" t="s">
        <v>980</v>
      </c>
      <c r="C81" s="213" t="s">
        <v>954</v>
      </c>
      <c r="D81" s="22" t="s">
        <v>290</v>
      </c>
      <c r="E81" s="22">
        <f>IFERROR(INDEX(TableJudje[رقم الحساب],MATCH(Tabledaily[[#This Row],[الحســاب الدئـــن]],TableJudje[اسم الحساب],0)),0)</f>
        <v>11060205</v>
      </c>
      <c r="F81" s="22" t="s">
        <v>513</v>
      </c>
      <c r="G81" s="22" t="s">
        <v>981</v>
      </c>
      <c r="H81" s="24">
        <f>IFERROR(INDEX(TableJudje[رقم الحساب],MATCH(Tabledaily[[#This Row],[الحســاب المديــــن]],TableJudje[اسم الحساب],0)),0)</f>
        <v>31010101</v>
      </c>
      <c r="I81" s="22" t="s">
        <v>111</v>
      </c>
      <c r="J81" s="22" t="s">
        <v>238</v>
      </c>
      <c r="K81" s="117">
        <v>60000</v>
      </c>
      <c r="L81" s="23">
        <v>405</v>
      </c>
      <c r="M81" s="118">
        <f>IFERROR(Tabledaily[[#This Row],[المبلـــــــغ]]/Tabledaily[[#This Row],[سعــــــر
الصـــــرف]],"")</f>
        <v>148.14814814814815</v>
      </c>
      <c r="N81" s="22" t="s">
        <v>982</v>
      </c>
      <c r="O81" s="22" t="s">
        <v>312</v>
      </c>
      <c r="P81" s="22" t="s">
        <v>312</v>
      </c>
      <c r="Q81" s="22"/>
      <c r="R81" s="22" t="s">
        <v>248</v>
      </c>
      <c r="S81" s="24">
        <f>IFERROR(INDEX(tablecost[رقم المركز],MATCH(Tabledaily[[#This Row],[مركـــــــزالتكلفــــــة]],tablecost[الاسم],0)),0)</f>
        <v>7</v>
      </c>
      <c r="T81" s="27">
        <f>DATE(Tabledaily[[#This Row],[السنــــة]],Tabledaily[[#This Row],[الشهــــر]],Tabledaily[[#This Row],[الـــــيوم]])</f>
        <v>46191</v>
      </c>
      <c r="U81" s="28">
        <v>46194.893842592595</v>
      </c>
      <c r="V81" s="22" t="s">
        <v>646</v>
      </c>
      <c r="W81" s="24">
        <f>YEAR(Tabledaily[[#This Row],[التاريخ]])</f>
        <v>2026</v>
      </c>
      <c r="X81" s="24">
        <f>MONTH(Tabledaily[[#This Row],[التاريخ]])</f>
        <v>6</v>
      </c>
      <c r="Y81" s="24">
        <f>DAY(Tabledaily[[#This Row],[التاريخ]])</f>
        <v>18</v>
      </c>
      <c r="Z8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v>
      </c>
      <c r="AA81" s="24" t="str">
        <f>IF(COUNTIF(TableDailyJournal[رقم العملية],Tabledaily[[#This Row],[رقم العملية]])&gt;1,"مرحل","غير مرحل")</f>
        <v>مرحل</v>
      </c>
    </row>
    <row r="82" spans="1:27" ht="22.9" customHeight="1" x14ac:dyDescent="0.55000000000000004">
      <c r="A82" s="22">
        <f t="shared" si="1"/>
        <v>80</v>
      </c>
      <c r="B82" s="23" t="s">
        <v>979</v>
      </c>
      <c r="C82" s="213" t="s">
        <v>954</v>
      </c>
      <c r="D82" s="22" t="s">
        <v>290</v>
      </c>
      <c r="E82" s="22">
        <f>IFERROR(INDEX(TableJudje[رقم الحساب],MATCH(Tabledaily[[#This Row],[الحســاب الدئـــن]],TableJudje[اسم الحساب],0)),0)</f>
        <v>11060205</v>
      </c>
      <c r="F82" s="22" t="s">
        <v>513</v>
      </c>
      <c r="G82" s="22" t="s">
        <v>889</v>
      </c>
      <c r="H82" s="24">
        <f>IFERROR(INDEX(TableJudje[رقم الحساب],MATCH(Tabledaily[[#This Row],[الحســاب المديــــن]],TableJudje[اسم الحساب],0)),0)</f>
        <v>31010101</v>
      </c>
      <c r="I82" s="22" t="s">
        <v>111</v>
      </c>
      <c r="J82" s="22" t="s">
        <v>238</v>
      </c>
      <c r="K82" s="117">
        <v>100000</v>
      </c>
      <c r="L82" s="23">
        <v>405</v>
      </c>
      <c r="M82" s="118">
        <f>IFERROR(Tabledaily[[#This Row],[المبلـــــــغ]]/Tabledaily[[#This Row],[سعــــــر
الصـــــرف]],"")</f>
        <v>246.91358024691357</v>
      </c>
      <c r="N82" s="22" t="s">
        <v>325</v>
      </c>
      <c r="O82" s="22" t="s">
        <v>312</v>
      </c>
      <c r="P82" s="22" t="s">
        <v>312</v>
      </c>
      <c r="Q82" s="22"/>
      <c r="R82" s="22" t="s">
        <v>237</v>
      </c>
      <c r="S82" s="24">
        <f>IFERROR(INDEX(tablecost[رقم المركز],MATCH(Tabledaily[[#This Row],[مركـــــــزالتكلفــــــة]],tablecost[الاسم],0)),0)</f>
        <v>1</v>
      </c>
      <c r="T82" s="27">
        <f>DATE(Tabledaily[[#This Row],[السنــــة]],Tabledaily[[#This Row],[الشهــــر]],Tabledaily[[#This Row],[الـــــيوم]])</f>
        <v>46191</v>
      </c>
      <c r="U82" s="28">
        <v>46194.892337962963</v>
      </c>
      <c r="V82" s="22"/>
      <c r="W82" s="24">
        <f>YEAR(Tabledaily[[#This Row],[التاريخ]])</f>
        <v>2026</v>
      </c>
      <c r="X82" s="24">
        <f>MONTH(Tabledaily[[#This Row],[التاريخ]])</f>
        <v>6</v>
      </c>
      <c r="Y82" s="24">
        <f>DAY(Tabledaily[[#This Row],[التاريخ]])</f>
        <v>18</v>
      </c>
      <c r="Z8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للضباط السابقين عدد10 ضباط بامر</v>
      </c>
      <c r="AA82" s="24" t="str">
        <f>IF(COUNTIF(TableDailyJournal[رقم العملية],Tabledaily[[#This Row],[رقم العملية]])&gt;1,"مرحل","غير مرحل")</f>
        <v>مرحل</v>
      </c>
    </row>
    <row r="83" spans="1:27" ht="22.9" customHeight="1" x14ac:dyDescent="0.55000000000000004">
      <c r="A83" s="22">
        <f t="shared" si="1"/>
        <v>81</v>
      </c>
      <c r="B83" s="23" t="s">
        <v>978</v>
      </c>
      <c r="C83" s="213" t="s">
        <v>954</v>
      </c>
      <c r="D83" s="22" t="s">
        <v>290</v>
      </c>
      <c r="E83" s="22">
        <f>IFERROR(INDEX(TableJudje[رقم الحساب],MATCH(Tabledaily[[#This Row],[الحســاب الدئـــن]],TableJudje[اسم الحساب],0)),0)</f>
        <v>11060205</v>
      </c>
      <c r="F83" s="22" t="s">
        <v>513</v>
      </c>
      <c r="G83" s="22" t="s">
        <v>886</v>
      </c>
      <c r="H83" s="24">
        <f>IFERROR(INDEX(TableJudje[رقم الحساب],MATCH(Tabledaily[[#This Row],[الحســاب المديــــن]],TableJudje[اسم الحساب],0)),0)</f>
        <v>31010101</v>
      </c>
      <c r="I83" s="22" t="s">
        <v>111</v>
      </c>
      <c r="J83" s="22" t="s">
        <v>238</v>
      </c>
      <c r="K83" s="117">
        <v>18000</v>
      </c>
      <c r="L83" s="23">
        <v>405</v>
      </c>
      <c r="M83" s="118">
        <f>IFERROR(Tabledaily[[#This Row],[المبلـــــــغ]]/Tabledaily[[#This Row],[سعــــــر
الصـــــرف]],"")</f>
        <v>44.444444444444443</v>
      </c>
      <c r="N83" s="22" t="s">
        <v>887</v>
      </c>
      <c r="O83" s="22" t="s">
        <v>312</v>
      </c>
      <c r="P83" s="22" t="s">
        <v>312</v>
      </c>
      <c r="Q83" s="22"/>
      <c r="R83" s="22" t="s">
        <v>237</v>
      </c>
      <c r="S83" s="24">
        <f>IFERROR(INDEX(tablecost[رقم المركز],MATCH(Tabledaily[[#This Row],[مركـــــــزالتكلفــــــة]],tablecost[الاسم],0)),0)</f>
        <v>1</v>
      </c>
      <c r="T83" s="27">
        <f>DATE(Tabledaily[[#This Row],[السنــــة]],Tabledaily[[#This Row],[الشهــــر]],Tabledaily[[#This Row],[الـــــيوم]])</f>
        <v>46191</v>
      </c>
      <c r="U83" s="28">
        <v>46194.891238425924</v>
      </c>
      <c r="V83" s="22"/>
      <c r="W83" s="24">
        <f>YEAR(Tabledaily[[#This Row],[التاريخ]])</f>
        <v>2026</v>
      </c>
      <c r="X83" s="24">
        <f>MONTH(Tabledaily[[#This Row],[التاريخ]])</f>
        <v>6</v>
      </c>
      <c r="Y83" s="24">
        <f>DAY(Tabledaily[[#This Row],[التاريخ]])</f>
        <v>18</v>
      </c>
      <c r="Z8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A83" s="24" t="str">
        <f>IF(COUNTIF(TableDailyJournal[رقم العملية],Tabledaily[[#This Row],[رقم العملية]])&gt;1,"مرحل","غير مرحل")</f>
        <v>مرحل</v>
      </c>
    </row>
    <row r="84" spans="1:27" ht="22.9" customHeight="1" x14ac:dyDescent="0.55000000000000004">
      <c r="A84" s="22">
        <f t="shared" si="1"/>
        <v>82</v>
      </c>
      <c r="B84" s="23" t="s">
        <v>976</v>
      </c>
      <c r="C84" s="213" t="s">
        <v>954</v>
      </c>
      <c r="D84" s="22" t="s">
        <v>290</v>
      </c>
      <c r="E84" s="22">
        <f>IFERROR(INDEX(TableJudje[رقم الحساب],MATCH(Tabledaily[[#This Row],[الحســاب الدئـــن]],TableJudje[اسم الحساب],0)),0)</f>
        <v>11060205</v>
      </c>
      <c r="F84" s="22" t="s">
        <v>513</v>
      </c>
      <c r="G84" s="22" t="s">
        <v>977</v>
      </c>
      <c r="H84" s="24">
        <f>IFERROR(INDEX(TableJudje[رقم الحساب],MATCH(Tabledaily[[#This Row],[الحســاب المديــــن]],TableJudje[اسم الحساب],0)),0)</f>
        <v>31010101</v>
      </c>
      <c r="I84" s="22" t="s">
        <v>111</v>
      </c>
      <c r="J84" s="22" t="s">
        <v>238</v>
      </c>
      <c r="K84" s="117">
        <v>25000</v>
      </c>
      <c r="L84" s="23">
        <v>405</v>
      </c>
      <c r="M84" s="118">
        <f>IFERROR(Tabledaily[[#This Row],[المبلـــــــغ]]/Tabledaily[[#This Row],[سعــــــر
الصـــــرف]],"")</f>
        <v>61.728395061728392</v>
      </c>
      <c r="N84" s="22" t="s">
        <v>638</v>
      </c>
      <c r="O84" s="22" t="s">
        <v>312</v>
      </c>
      <c r="P84" s="22" t="s">
        <v>312</v>
      </c>
      <c r="Q84" s="22"/>
      <c r="R84" s="22" t="s">
        <v>237</v>
      </c>
      <c r="S84" s="24">
        <f>IFERROR(INDEX(tablecost[رقم المركز],MATCH(Tabledaily[[#This Row],[مركـــــــزالتكلفــــــة]],tablecost[الاسم],0)),0)</f>
        <v>1</v>
      </c>
      <c r="T84" s="27">
        <f>DATE(Tabledaily[[#This Row],[السنــــة]],Tabledaily[[#This Row],[الشهــــر]],Tabledaily[[#This Row],[الـــــيوم]])</f>
        <v>46191</v>
      </c>
      <c r="U84" s="28">
        <v>46194.889988425923</v>
      </c>
      <c r="V84" s="22"/>
      <c r="W84" s="24">
        <f>YEAR(Tabledaily[[#This Row],[التاريخ]])</f>
        <v>2026</v>
      </c>
      <c r="X84" s="24">
        <f>MONTH(Tabledaily[[#This Row],[التاريخ]])</f>
        <v>6</v>
      </c>
      <c r="Y84" s="24">
        <f>DAY(Tabledaily[[#This Row],[التاريخ]])</f>
        <v>18</v>
      </c>
      <c r="Z8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لمرافقين الاركان عدد 4 افراد بامر</v>
      </c>
      <c r="AA84" s="24" t="str">
        <f>IF(COUNTIF(TableDailyJournal[رقم العملية],Tabledaily[[#This Row],[رقم العملية]])&gt;1,"مرحل","غير مرحل")</f>
        <v>مرحل</v>
      </c>
    </row>
    <row r="85" spans="1:27" ht="22.9" customHeight="1" x14ac:dyDescent="0.55000000000000004">
      <c r="A85" s="22">
        <f t="shared" si="1"/>
        <v>83</v>
      </c>
      <c r="B85" s="23" t="s">
        <v>975</v>
      </c>
      <c r="C85" s="213" t="s">
        <v>954</v>
      </c>
      <c r="D85" s="22" t="s">
        <v>290</v>
      </c>
      <c r="E85" s="22">
        <f>IFERROR(INDEX(TableJudje[رقم الحساب],MATCH(Tabledaily[[#This Row],[الحســاب الدئـــن]],TableJudje[اسم الحساب],0)),0)</f>
        <v>11060205</v>
      </c>
      <c r="F85" s="22" t="s">
        <v>513</v>
      </c>
      <c r="G85" s="22" t="s">
        <v>458</v>
      </c>
      <c r="H85" s="24">
        <f>IFERROR(INDEX(TableJudje[رقم الحساب],MATCH(Tabledaily[[#This Row],[الحســاب المديــــن]],TableJudje[اسم الحساب],0)),0)</f>
        <v>31010101</v>
      </c>
      <c r="I85" s="22" t="s">
        <v>111</v>
      </c>
      <c r="J85" s="22" t="s">
        <v>238</v>
      </c>
      <c r="K85" s="117">
        <v>35000</v>
      </c>
      <c r="L85" s="23">
        <v>405</v>
      </c>
      <c r="M85" s="118">
        <f>IFERROR(Tabledaily[[#This Row],[المبلـــــــغ]]/Tabledaily[[#This Row],[سعــــــر
الصـــــرف]],"")</f>
        <v>86.419753086419746</v>
      </c>
      <c r="N85" s="22" t="s">
        <v>459</v>
      </c>
      <c r="O85" s="22" t="s">
        <v>312</v>
      </c>
      <c r="P85" s="22" t="s">
        <v>312</v>
      </c>
      <c r="Q85" s="22"/>
      <c r="R85" s="22" t="s">
        <v>237</v>
      </c>
      <c r="S85" s="24">
        <f>IFERROR(INDEX(tablecost[رقم المركز],MATCH(Tabledaily[[#This Row],[مركـــــــزالتكلفــــــة]],tablecost[الاسم],0)),0)</f>
        <v>1</v>
      </c>
      <c r="T85" s="27">
        <f>DATE(Tabledaily[[#This Row],[السنــــة]],Tabledaily[[#This Row],[الشهــــر]],Tabledaily[[#This Row],[الـــــيوم]])</f>
        <v>46191</v>
      </c>
      <c r="U85" s="28">
        <v>46194.888668981483</v>
      </c>
      <c r="V85" s="22"/>
      <c r="W85" s="24">
        <f>YEAR(Tabledaily[[#This Row],[التاريخ]])</f>
        <v>2026</v>
      </c>
      <c r="X85" s="24">
        <f>MONTH(Tabledaily[[#This Row],[التاريخ]])</f>
        <v>6</v>
      </c>
      <c r="Y85" s="24">
        <f>DAY(Tabledaily[[#This Row],[التاريخ]])</f>
        <v>18</v>
      </c>
      <c r="Z8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85" s="24" t="str">
        <f>IF(COUNTIF(TableDailyJournal[رقم العملية],Tabledaily[[#This Row],[رقم العملية]])&gt;1,"مرحل","غير مرحل")</f>
        <v>مرحل</v>
      </c>
    </row>
    <row r="86" spans="1:27" ht="22.9" customHeight="1" x14ac:dyDescent="0.55000000000000004">
      <c r="A86" s="22">
        <f t="shared" si="1"/>
        <v>84</v>
      </c>
      <c r="B86" s="23" t="s">
        <v>974</v>
      </c>
      <c r="C86" s="213" t="s">
        <v>954</v>
      </c>
      <c r="D86" s="22" t="s">
        <v>290</v>
      </c>
      <c r="E86" s="22">
        <f>IFERROR(INDEX(TableJudje[رقم الحساب],MATCH(Tabledaily[[#This Row],[الحســاب الدئـــن]],TableJudje[اسم الحساب],0)),0)</f>
        <v>11060205</v>
      </c>
      <c r="F86" s="22" t="s">
        <v>513</v>
      </c>
      <c r="G86" s="22" t="s">
        <v>838</v>
      </c>
      <c r="H86" s="24">
        <f>IFERROR(INDEX(TableJudje[رقم الحساب],MATCH(Tabledaily[[#This Row],[الحســاب المديــــن]],TableJudje[اسم الحساب],0)),0)</f>
        <v>31010101</v>
      </c>
      <c r="I86" s="22" t="s">
        <v>111</v>
      </c>
      <c r="J86" s="22" t="s">
        <v>238</v>
      </c>
      <c r="K86" s="117">
        <v>112000</v>
      </c>
      <c r="L86" s="23">
        <v>405</v>
      </c>
      <c r="M86" s="118">
        <f>IFERROR(Tabledaily[[#This Row],[المبلـــــــغ]]/Tabledaily[[#This Row],[سعــــــر
الصـــــرف]],"")</f>
        <v>276.54320987654319</v>
      </c>
      <c r="N86" s="22" t="s">
        <v>331</v>
      </c>
      <c r="O86" s="22" t="s">
        <v>312</v>
      </c>
      <c r="P86" s="22" t="s">
        <v>312</v>
      </c>
      <c r="Q86" s="22"/>
      <c r="R86" s="22" t="s">
        <v>237</v>
      </c>
      <c r="S86" s="24">
        <f>IFERROR(INDEX(tablecost[رقم المركز],MATCH(Tabledaily[[#This Row],[مركـــــــزالتكلفــــــة]],tablecost[الاسم],0)),0)</f>
        <v>1</v>
      </c>
      <c r="T86" s="27">
        <f>DATE(Tabledaily[[#This Row],[السنــــة]],Tabledaily[[#This Row],[الشهــــر]],Tabledaily[[#This Row],[الـــــيوم]])</f>
        <v>46191</v>
      </c>
      <c r="U86" s="28">
        <v>46194.887488425928</v>
      </c>
      <c r="V86" s="22"/>
      <c r="W86" s="24">
        <f>YEAR(Tabledaily[[#This Row],[التاريخ]])</f>
        <v>2026</v>
      </c>
      <c r="X86" s="24">
        <f>MONTH(Tabledaily[[#This Row],[التاريخ]])</f>
        <v>6</v>
      </c>
      <c r="Y86" s="24">
        <f>DAY(Tabledaily[[#This Row],[التاريخ]])</f>
        <v>18</v>
      </c>
      <c r="Z8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A86" s="24" t="str">
        <f>IF(COUNTIF(TableDailyJournal[رقم العملية],Tabledaily[[#This Row],[رقم العملية]])&gt;1,"مرحل","غير مرحل")</f>
        <v>مرحل</v>
      </c>
    </row>
    <row r="87" spans="1:27" ht="22.9" customHeight="1" x14ac:dyDescent="0.55000000000000004">
      <c r="A87" s="22">
        <f t="shared" si="1"/>
        <v>85</v>
      </c>
      <c r="B87" s="23" t="s">
        <v>972</v>
      </c>
      <c r="C87" s="213" t="s">
        <v>954</v>
      </c>
      <c r="D87" s="22" t="s">
        <v>290</v>
      </c>
      <c r="E87" s="22">
        <f>IFERROR(INDEX(TableJudje[رقم الحساب],MATCH(Tabledaily[[#This Row],[الحســاب الدئـــن]],TableJudje[اسم الحساب],0)),0)</f>
        <v>11060205</v>
      </c>
      <c r="F87" s="22" t="s">
        <v>513</v>
      </c>
      <c r="G87" s="22" t="s">
        <v>973</v>
      </c>
      <c r="H87" s="24">
        <f>IFERROR(INDEX(TableJudje[رقم الحساب],MATCH(Tabledaily[[#This Row],[الحســاب المديــــن]],TableJudje[اسم الحساب],0)),0)</f>
        <v>31010101</v>
      </c>
      <c r="I87" s="22" t="s">
        <v>111</v>
      </c>
      <c r="J87" s="22" t="s">
        <v>238</v>
      </c>
      <c r="K87" s="117">
        <v>80000</v>
      </c>
      <c r="L87" s="23">
        <v>405</v>
      </c>
      <c r="M87" s="118">
        <f>IFERROR(Tabledaily[[#This Row],[المبلـــــــغ]]/Tabledaily[[#This Row],[سعــــــر
الصـــــرف]],"")</f>
        <v>197.53086419753086</v>
      </c>
      <c r="N87" s="22" t="s">
        <v>322</v>
      </c>
      <c r="O87" s="22" t="s">
        <v>312</v>
      </c>
      <c r="P87" s="22" t="s">
        <v>312</v>
      </c>
      <c r="Q87" s="22"/>
      <c r="R87" s="22" t="s">
        <v>237</v>
      </c>
      <c r="S87" s="24">
        <f>IFERROR(INDEX(tablecost[رقم المركز],MATCH(Tabledaily[[#This Row],[مركـــــــزالتكلفــــــة]],tablecost[الاسم],0)),0)</f>
        <v>1</v>
      </c>
      <c r="T87" s="27">
        <f>DATE(Tabledaily[[#This Row],[السنــــة]],Tabledaily[[#This Row],[الشهــــر]],Tabledaily[[#This Row],[الـــــيوم]])</f>
        <v>46191</v>
      </c>
      <c r="U87" s="28">
        <v>46194.886203703703</v>
      </c>
      <c r="V87" s="22"/>
      <c r="W87" s="24">
        <f>YEAR(Tabledaily[[#This Row],[التاريخ]])</f>
        <v>2026</v>
      </c>
      <c r="X87" s="24">
        <f>MONTH(Tabledaily[[#This Row],[التاريخ]])</f>
        <v>6</v>
      </c>
      <c r="Y87" s="24">
        <f>DAY(Tabledaily[[#This Row],[التاريخ]])</f>
        <v>18</v>
      </c>
      <c r="Z8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صرف الصرفة اليومية اخرون لعدد 9 افراد بامر</v>
      </c>
      <c r="AA87" s="24" t="str">
        <f>IF(COUNTIF(TableDailyJournal[رقم العملية],Tabledaily[[#This Row],[رقم العملية]])&gt;1,"مرحل","غير مرحل")</f>
        <v>مرحل</v>
      </c>
    </row>
    <row r="88" spans="1:27" ht="22.9" customHeight="1" x14ac:dyDescent="0.55000000000000004">
      <c r="A88" s="22">
        <f t="shared" si="1"/>
        <v>86</v>
      </c>
      <c r="B88" s="23" t="s">
        <v>970</v>
      </c>
      <c r="C88" s="213" t="s">
        <v>954</v>
      </c>
      <c r="D88" s="22" t="s">
        <v>290</v>
      </c>
      <c r="E88" s="22">
        <f>IFERROR(INDEX(TableJudje[رقم الحساب],MATCH(Tabledaily[[#This Row],[الحســاب الدئـــن]],TableJudje[اسم الحساب],0)),0)</f>
        <v>11060205</v>
      </c>
      <c r="F88" s="22" t="s">
        <v>513</v>
      </c>
      <c r="G88" s="22" t="s">
        <v>971</v>
      </c>
      <c r="H88" s="24">
        <f>IFERROR(INDEX(TableJudje[رقم الحساب],MATCH(Tabledaily[[#This Row],[الحســاب المديــــن]],TableJudje[اسم الحساب],0)),0)</f>
        <v>31010101</v>
      </c>
      <c r="I88" s="22" t="s">
        <v>111</v>
      </c>
      <c r="J88" s="22" t="s">
        <v>238</v>
      </c>
      <c r="K88" s="117">
        <v>45000</v>
      </c>
      <c r="L88" s="23">
        <v>405</v>
      </c>
      <c r="M88" s="118">
        <f>IFERROR(Tabledaily[[#This Row],[المبلـــــــغ]]/Tabledaily[[#This Row],[سعــــــر
الصـــــرف]],"")</f>
        <v>111.11111111111111</v>
      </c>
      <c r="N88" s="22" t="s">
        <v>565</v>
      </c>
      <c r="O88" s="22" t="s">
        <v>312</v>
      </c>
      <c r="P88" s="22" t="s">
        <v>312</v>
      </c>
      <c r="Q88" s="22"/>
      <c r="R88" s="22" t="s">
        <v>237</v>
      </c>
      <c r="S88" s="24">
        <f>IFERROR(INDEX(tablecost[رقم المركز],MATCH(Tabledaily[[#This Row],[مركـــــــزالتكلفــــــة]],tablecost[الاسم],0)),0)</f>
        <v>1</v>
      </c>
      <c r="T88" s="27">
        <f>DATE(Tabledaily[[#This Row],[السنــــة]],Tabledaily[[#This Row],[الشهــــر]],Tabledaily[[#This Row],[الـــــيوم]])</f>
        <v>46191</v>
      </c>
      <c r="U88" s="28">
        <v>46194.88480324074</v>
      </c>
      <c r="V88" s="22"/>
      <c r="W88" s="24">
        <f>YEAR(Tabledaily[[#This Row],[التاريخ]])</f>
        <v>2026</v>
      </c>
      <c r="X88" s="24">
        <f>MONTH(Tabledaily[[#This Row],[التاريخ]])</f>
        <v>6</v>
      </c>
      <c r="Y88" s="24">
        <f>DAY(Tabledaily[[#This Row],[التاريخ]])</f>
        <v>18</v>
      </c>
      <c r="Z8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لافراد المدفعية عدد 5 افراد بامر</v>
      </c>
      <c r="AA88" s="24" t="str">
        <f>IF(COUNTIF(TableDailyJournal[رقم العملية],Tabledaily[[#This Row],[رقم العملية]])&gt;1,"مرحل","غير مرحل")</f>
        <v>مرحل</v>
      </c>
    </row>
    <row r="89" spans="1:27" ht="22.9" customHeight="1" x14ac:dyDescent="0.55000000000000004">
      <c r="A89" s="22">
        <f t="shared" si="1"/>
        <v>87</v>
      </c>
      <c r="B89" s="23" t="s">
        <v>968</v>
      </c>
      <c r="C89" s="213" t="s">
        <v>954</v>
      </c>
      <c r="D89" s="22" t="s">
        <v>290</v>
      </c>
      <c r="E89" s="22">
        <f>IFERROR(INDEX(TableJudje[رقم الحساب],MATCH(Tabledaily[[#This Row],[الحســاب الدئـــن]],TableJudje[اسم الحساب],0)),0)</f>
        <v>11060205</v>
      </c>
      <c r="F89" s="22" t="s">
        <v>513</v>
      </c>
      <c r="G89" s="22" t="s">
        <v>969</v>
      </c>
      <c r="H89" s="24">
        <f>IFERROR(INDEX(TableJudje[رقم الحساب],MATCH(Tabledaily[[#This Row],[الحســاب المديــــن]],TableJudje[اسم الحساب],0)),0)</f>
        <v>31010101</v>
      </c>
      <c r="I89" s="22" t="s">
        <v>111</v>
      </c>
      <c r="J89" s="22" t="s">
        <v>238</v>
      </c>
      <c r="K89" s="117">
        <v>80000</v>
      </c>
      <c r="L89" s="23">
        <v>405</v>
      </c>
      <c r="M89" s="118">
        <f>IFERROR(Tabledaily[[#This Row],[المبلـــــــغ]]/Tabledaily[[#This Row],[سعــــــر
الصـــــرف]],"")</f>
        <v>197.53086419753086</v>
      </c>
      <c r="N89" s="22" t="s">
        <v>334</v>
      </c>
      <c r="O89" s="22" t="s">
        <v>312</v>
      </c>
      <c r="P89" s="22" t="s">
        <v>312</v>
      </c>
      <c r="Q89" s="22"/>
      <c r="R89" s="22" t="s">
        <v>237</v>
      </c>
      <c r="S89" s="24">
        <f>IFERROR(INDEX(tablecost[رقم المركز],MATCH(Tabledaily[[#This Row],[مركـــــــزالتكلفــــــة]],tablecost[الاسم],0)),0)</f>
        <v>1</v>
      </c>
      <c r="T89" s="27">
        <f>DATE(Tabledaily[[#This Row],[السنــــة]],Tabledaily[[#This Row],[الشهــــر]],Tabledaily[[#This Row],[الـــــيوم]])</f>
        <v>46191</v>
      </c>
      <c r="U89" s="28">
        <v>46194.883518518516</v>
      </c>
      <c r="V89" s="22"/>
      <c r="W89" s="24">
        <f>YEAR(Tabledaily[[#This Row],[التاريخ]])</f>
        <v>2026</v>
      </c>
      <c r="X89" s="24">
        <f>MONTH(Tabledaily[[#This Row],[التاريخ]])</f>
        <v>6</v>
      </c>
      <c r="Y89" s="24">
        <f>DAY(Tabledaily[[#This Row],[التاريخ]])</f>
        <v>18</v>
      </c>
      <c r="Z8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لافراد الاستخبارات عدد 5 افراد بامر</v>
      </c>
      <c r="AA89" s="24" t="str">
        <f>IF(COUNTIF(TableDailyJournal[رقم العملية],Tabledaily[[#This Row],[رقم العملية]])&gt;1,"مرحل","غير مرحل")</f>
        <v>مرحل</v>
      </c>
    </row>
    <row r="90" spans="1:27" ht="22.9" customHeight="1" x14ac:dyDescent="0.55000000000000004">
      <c r="A90" s="22">
        <f t="shared" si="1"/>
        <v>88</v>
      </c>
      <c r="B90" s="23" t="s">
        <v>965</v>
      </c>
      <c r="C90" s="213" t="s">
        <v>954</v>
      </c>
      <c r="D90" s="22" t="s">
        <v>290</v>
      </c>
      <c r="E90" s="22">
        <f>IFERROR(INDEX(TableJudje[رقم الحساب],MATCH(Tabledaily[[#This Row],[الحســاب الدئـــن]],TableJudje[اسم الحساب],0)),0)</f>
        <v>11060205</v>
      </c>
      <c r="F90" s="22" t="s">
        <v>513</v>
      </c>
      <c r="G90" s="22" t="s">
        <v>966</v>
      </c>
      <c r="H90" s="24">
        <f>IFERROR(INDEX(TableJudje[رقم الحساب],MATCH(Tabledaily[[#This Row],[الحســاب المديــــن]],TableJudje[اسم الحساب],0)),0)</f>
        <v>31010101</v>
      </c>
      <c r="I90" s="22" t="s">
        <v>111</v>
      </c>
      <c r="J90" s="22" t="s">
        <v>238</v>
      </c>
      <c r="K90" s="117">
        <v>15000</v>
      </c>
      <c r="L90" s="23">
        <v>405</v>
      </c>
      <c r="M90" s="118">
        <f>IFERROR(Tabledaily[[#This Row],[المبلـــــــغ]]/Tabledaily[[#This Row],[سعــــــر
الصـــــرف]],"")</f>
        <v>37.037037037037038</v>
      </c>
      <c r="N90" s="22" t="s">
        <v>967</v>
      </c>
      <c r="O90" s="22" t="s">
        <v>312</v>
      </c>
      <c r="P90" s="22" t="s">
        <v>312</v>
      </c>
      <c r="Q90" s="22"/>
      <c r="R90" s="22" t="s">
        <v>237</v>
      </c>
      <c r="S90" s="24">
        <f>IFERROR(INDEX(tablecost[رقم المركز],MATCH(Tabledaily[[#This Row],[مركـــــــزالتكلفــــــة]],tablecost[الاسم],0)),0)</f>
        <v>1</v>
      </c>
      <c r="T90" s="27">
        <f>DATE(Tabledaily[[#This Row],[السنــــة]],Tabledaily[[#This Row],[الشهــــر]],Tabledaily[[#This Row],[الـــــيوم]])</f>
        <v>46191</v>
      </c>
      <c r="U90" s="28">
        <v>46194.882199074076</v>
      </c>
      <c r="V90" s="22"/>
      <c r="W90" s="24">
        <f>YEAR(Tabledaily[[#This Row],[التاريخ]])</f>
        <v>2026</v>
      </c>
      <c r="X90" s="24">
        <f>MONTH(Tabledaily[[#This Row],[التاريخ]])</f>
        <v>6</v>
      </c>
      <c r="Y90" s="24">
        <f>DAY(Tabledaily[[#This Row],[التاريخ]])</f>
        <v>18</v>
      </c>
      <c r="Z9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 الفرقة الثالثة)  - كشف صرف رقم   كشف صرف - صرف الصرفة اليومية للبشرية عدد1 بامر</v>
      </c>
      <c r="AA90" s="24" t="str">
        <f>IF(COUNTIF(TableDailyJournal[رقم العملية],Tabledaily[[#This Row],[رقم العملية]])&gt;1,"مرحل","غير مرحل")</f>
        <v>مرحل</v>
      </c>
    </row>
    <row r="91" spans="1:27" ht="22.9" customHeight="1" x14ac:dyDescent="0.55000000000000004">
      <c r="A91" s="22">
        <f t="shared" si="1"/>
        <v>89</v>
      </c>
      <c r="B91" s="23" t="s">
        <v>963</v>
      </c>
      <c r="C91" s="213" t="s">
        <v>954</v>
      </c>
      <c r="D91" s="22" t="s">
        <v>290</v>
      </c>
      <c r="E91" s="22">
        <f>IFERROR(INDEX(TableJudje[رقم الحساب],MATCH(Tabledaily[[#This Row],[الحســاب الدئـــن]],TableJudje[اسم الحساب],0)),0)</f>
        <v>11060205</v>
      </c>
      <c r="F91" s="22" t="s">
        <v>513</v>
      </c>
      <c r="G91" s="22" t="s">
        <v>875</v>
      </c>
      <c r="H91" s="24">
        <f>IFERROR(INDEX(TableJudje[رقم الحساب],MATCH(Tabledaily[[#This Row],[الحســاب المديــــن]],TableJudje[اسم الحساب],0)),0)</f>
        <v>31010101</v>
      </c>
      <c r="I91" s="22" t="s">
        <v>111</v>
      </c>
      <c r="J91" s="22" t="s">
        <v>238</v>
      </c>
      <c r="K91" s="117">
        <v>25000</v>
      </c>
      <c r="L91" s="23">
        <v>405</v>
      </c>
      <c r="M91" s="118">
        <f>IFERROR(Tabledaily[[#This Row],[المبلـــــــغ]]/Tabledaily[[#This Row],[سعــــــر
الصـــــرف]],"")</f>
        <v>61.728395061728392</v>
      </c>
      <c r="N91" s="22" t="s">
        <v>964</v>
      </c>
      <c r="O91" s="22" t="s">
        <v>312</v>
      </c>
      <c r="P91" s="22" t="s">
        <v>312</v>
      </c>
      <c r="Q91" s="22"/>
      <c r="R91" s="22" t="s">
        <v>237</v>
      </c>
      <c r="S91" s="24">
        <f>IFERROR(INDEX(tablecost[رقم المركز],MATCH(Tabledaily[[#This Row],[مركـــــــزالتكلفــــــة]],tablecost[الاسم],0)),0)</f>
        <v>1</v>
      </c>
      <c r="T91" s="27">
        <f>DATE(Tabledaily[[#This Row],[السنــــة]],Tabledaily[[#This Row],[الشهــــر]],Tabledaily[[#This Row],[الـــــيوم]])</f>
        <v>46191</v>
      </c>
      <c r="U91" s="28">
        <v>46194.881412037037</v>
      </c>
      <c r="V91" s="22"/>
      <c r="W91" s="24">
        <f>YEAR(Tabledaily[[#This Row],[التاريخ]])</f>
        <v>2026</v>
      </c>
      <c r="X91" s="24">
        <f>MONTH(Tabledaily[[#This Row],[التاريخ]])</f>
        <v>6</v>
      </c>
      <c r="Y91" s="24">
        <f>DAY(Tabledaily[[#This Row],[التاريخ]])</f>
        <v>18</v>
      </c>
      <c r="Z9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المحاسبين - الفرقة الثالثة)  - كشف صرف رقم   كشف صرف - صرف الصرفة اليومية للمحاسبين عدد2 بامر</v>
      </c>
      <c r="AA91" s="24" t="str">
        <f>IF(COUNTIF(TableDailyJournal[رقم العملية],Tabledaily[[#This Row],[رقم العملية]])&gt;1,"مرحل","غير مرحل")</f>
        <v>مرحل</v>
      </c>
    </row>
    <row r="92" spans="1:27" ht="22.9" customHeight="1" x14ac:dyDescent="0.55000000000000004">
      <c r="A92" s="22">
        <f t="shared" si="1"/>
        <v>90</v>
      </c>
      <c r="B92" s="23" t="s">
        <v>960</v>
      </c>
      <c r="C92" s="213" t="s">
        <v>954</v>
      </c>
      <c r="D92" s="22" t="s">
        <v>290</v>
      </c>
      <c r="E92" s="22">
        <f>IFERROR(INDEX(TableJudje[رقم الحساب],MATCH(Tabledaily[[#This Row],[الحســاب الدئـــن]],TableJudje[اسم الحساب],0)),0)</f>
        <v>11060205</v>
      </c>
      <c r="F92" s="22" t="s">
        <v>513</v>
      </c>
      <c r="G92" s="22" t="s">
        <v>961</v>
      </c>
      <c r="H92" s="24">
        <f>IFERROR(INDEX(TableJudje[رقم الحساب],MATCH(Tabledaily[[#This Row],[الحســاب المديــــن]],TableJudje[اسم الحساب],0)),0)</f>
        <v>31010101</v>
      </c>
      <c r="I92" s="22" t="s">
        <v>111</v>
      </c>
      <c r="J92" s="22" t="s">
        <v>238</v>
      </c>
      <c r="K92" s="117">
        <v>30000</v>
      </c>
      <c r="L92" s="23">
        <v>405</v>
      </c>
      <c r="M92" s="118">
        <f>IFERROR(Tabledaily[[#This Row],[المبلـــــــغ]]/Tabledaily[[#This Row],[سعــــــر
الصـــــرف]],"")</f>
        <v>74.074074074074076</v>
      </c>
      <c r="N92" s="22" t="s">
        <v>962</v>
      </c>
      <c r="O92" s="22" t="s">
        <v>312</v>
      </c>
      <c r="P92" s="22" t="s">
        <v>312</v>
      </c>
      <c r="Q92" s="22"/>
      <c r="R92" s="22" t="s">
        <v>237</v>
      </c>
      <c r="S92" s="24">
        <f>IFERROR(INDEX(tablecost[رقم المركز],MATCH(Tabledaily[[#This Row],[مركـــــــزالتكلفــــــة]],tablecost[الاسم],0)),0)</f>
        <v>1</v>
      </c>
      <c r="T92" s="27">
        <f>DATE(Tabledaily[[#This Row],[السنــــة]],Tabledaily[[#This Row],[الشهــــر]],Tabledaily[[#This Row],[الـــــيوم]])</f>
        <v>46191</v>
      </c>
      <c r="U92" s="28">
        <v>46194.879861111112</v>
      </c>
      <c r="V92" s="22"/>
      <c r="W92" s="24">
        <f>YEAR(Tabledaily[[#This Row],[التاريخ]])</f>
        <v>2026</v>
      </c>
      <c r="X92" s="24">
        <f>MONTH(Tabledaily[[#This Row],[التاريخ]])</f>
        <v>6</v>
      </c>
      <c r="Y92" s="24">
        <f>DAY(Tabledaily[[#This Row],[التاريخ]])</f>
        <v>18</v>
      </c>
      <c r="Z9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الاستطلاع - الفرقة الثالثة)  - كشف صرف رقم   كشف صرف - صرف الصرفة اليومية لافراد الإستطلاع عدد 2 افراد بامر</v>
      </c>
      <c r="AA92" s="24" t="str">
        <f>IF(COUNTIF(TableDailyJournal[رقم العملية],Tabledaily[[#This Row],[رقم العملية]])&gt;1,"مرحل","غير مرحل")</f>
        <v>مرحل</v>
      </c>
    </row>
    <row r="93" spans="1:27" ht="22.9" customHeight="1" x14ac:dyDescent="0.55000000000000004">
      <c r="A93" s="22">
        <f t="shared" si="1"/>
        <v>91</v>
      </c>
      <c r="B93" s="23" t="s">
        <v>959</v>
      </c>
      <c r="C93" s="213" t="s">
        <v>954</v>
      </c>
      <c r="D93" s="22" t="s">
        <v>290</v>
      </c>
      <c r="E93" s="22">
        <f>IFERROR(INDEX(TableJudje[رقم الحساب],MATCH(Tabledaily[[#This Row],[الحســاب الدئـــن]],TableJudje[اسم الحساب],0)),0)</f>
        <v>11060205</v>
      </c>
      <c r="F93" s="22" t="s">
        <v>513</v>
      </c>
      <c r="G93" s="22" t="s">
        <v>869</v>
      </c>
      <c r="H93" s="24">
        <f>IFERROR(INDEX(TableJudje[رقم الحساب],MATCH(Tabledaily[[#This Row],[الحســاب المديــــن]],TableJudje[اسم الحساب],0)),0)</f>
        <v>31010101</v>
      </c>
      <c r="I93" s="22" t="s">
        <v>111</v>
      </c>
      <c r="J93" s="22" t="s">
        <v>238</v>
      </c>
      <c r="K93" s="117">
        <v>23000</v>
      </c>
      <c r="L93" s="23">
        <v>405</v>
      </c>
      <c r="M93" s="118">
        <f>IFERROR(Tabledaily[[#This Row],[المبلـــــــغ]]/Tabledaily[[#This Row],[سعــــــر
الصـــــرف]],"")</f>
        <v>56.790123456790127</v>
      </c>
      <c r="N93" s="22" t="s">
        <v>870</v>
      </c>
      <c r="O93" s="22" t="s">
        <v>312</v>
      </c>
      <c r="P93" s="22" t="s">
        <v>312</v>
      </c>
      <c r="Q93" s="22"/>
      <c r="R93" s="22" t="s">
        <v>237</v>
      </c>
      <c r="S93" s="24">
        <f>IFERROR(INDEX(tablecost[رقم المركز],MATCH(Tabledaily[[#This Row],[مركـــــــزالتكلفــــــة]],tablecost[الاسم],0)),0)</f>
        <v>1</v>
      </c>
      <c r="T93" s="27">
        <f>DATE(Tabledaily[[#This Row],[السنــــة]],Tabledaily[[#This Row],[الشهــــر]],Tabledaily[[#This Row],[الـــــيوم]])</f>
        <v>46191</v>
      </c>
      <c r="U93" s="28">
        <v>46194.87877314815</v>
      </c>
      <c r="V93" s="22"/>
      <c r="W93" s="24">
        <f>YEAR(Tabledaily[[#This Row],[التاريخ]])</f>
        <v>2026</v>
      </c>
      <c r="X93" s="24">
        <f>MONTH(Tabledaily[[#This Row],[التاريخ]])</f>
        <v>6</v>
      </c>
      <c r="Y93" s="24">
        <f>DAY(Tabledaily[[#This Row],[التاريخ]])</f>
        <v>18</v>
      </c>
      <c r="Z9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طبية - الفرقة الثالثة)  - كشف صرف رقم   كشف صرف - صرف الصرفة اليومية لافراد الطبية عدد 3 افراد بامر</v>
      </c>
      <c r="AA93" s="24" t="str">
        <f>IF(COUNTIF(TableDailyJournal[رقم العملية],Tabledaily[[#This Row],[رقم العملية]])&gt;1,"مرحل","غير مرحل")</f>
        <v>مرحل</v>
      </c>
    </row>
    <row r="94" spans="1:27" ht="22.9" customHeight="1" x14ac:dyDescent="0.55000000000000004">
      <c r="A94" s="22">
        <f t="shared" si="1"/>
        <v>92</v>
      </c>
      <c r="B94" s="23" t="s">
        <v>956</v>
      </c>
      <c r="C94" s="213" t="s">
        <v>954</v>
      </c>
      <c r="D94" s="22" t="s">
        <v>290</v>
      </c>
      <c r="E94" s="22">
        <f>IFERROR(INDEX(TableJudje[رقم الحساب],MATCH(Tabledaily[[#This Row],[الحســاب الدئـــن]],TableJudje[اسم الحساب],0)),0)</f>
        <v>11060205</v>
      </c>
      <c r="F94" s="22" t="s">
        <v>513</v>
      </c>
      <c r="G94" s="22" t="s">
        <v>872</v>
      </c>
      <c r="H94" s="24">
        <f>IFERROR(INDEX(TableJudje[رقم الحساب],MATCH(Tabledaily[[#This Row],[الحســاب المديــــن]],TableJudje[اسم الحساب],0)),0)</f>
        <v>31010101</v>
      </c>
      <c r="I94" s="22" t="s">
        <v>111</v>
      </c>
      <c r="J94" s="22" t="s">
        <v>238</v>
      </c>
      <c r="K94" s="117">
        <v>31000</v>
      </c>
      <c r="L94" s="23">
        <v>405</v>
      </c>
      <c r="M94" s="118">
        <f>IFERROR(Tabledaily[[#This Row],[المبلـــــــغ]]/Tabledaily[[#This Row],[سعــــــر
الصـــــرف]],"")</f>
        <v>76.543209876543216</v>
      </c>
      <c r="N94" s="22" t="s">
        <v>873</v>
      </c>
      <c r="O94" s="22" t="s">
        <v>312</v>
      </c>
      <c r="P94" s="22" t="s">
        <v>312</v>
      </c>
      <c r="Q94" s="22"/>
      <c r="R94" s="22" t="s">
        <v>237</v>
      </c>
      <c r="S94" s="24">
        <f>IFERROR(INDEX(tablecost[رقم المركز],MATCH(Tabledaily[[#This Row],[مركـــــــزالتكلفــــــة]],tablecost[الاسم],0)),0)</f>
        <v>1</v>
      </c>
      <c r="T94" s="27">
        <f>DATE(Tabledaily[[#This Row],[السنــــة]],Tabledaily[[#This Row],[الشهــــر]],Tabledaily[[#This Row],[الـــــيوم]])</f>
        <v>46191</v>
      </c>
      <c r="U94" s="28">
        <v>46194.875173611108</v>
      </c>
      <c r="V94" s="22"/>
      <c r="W94" s="24">
        <f>YEAR(Tabledaily[[#This Row],[التاريخ]])</f>
        <v>2026</v>
      </c>
      <c r="X94" s="24">
        <f>MONTH(Tabledaily[[#This Row],[التاريخ]])</f>
        <v>6</v>
      </c>
      <c r="Y94" s="24">
        <f>DAY(Tabledaily[[#This Row],[التاريخ]])</f>
        <v>18</v>
      </c>
      <c r="Z9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قسم المشتريات - الفرقة الثالثة)  - كشف صرف رقم   كشف صرف - صرف الصرفة اليومية لافراد قسم المشتريات عدد3 بامر</v>
      </c>
      <c r="AA94" s="24" t="str">
        <f>IF(COUNTIF(TableDailyJournal[رقم العملية],Tabledaily[[#This Row],[رقم العملية]])&gt;1,"مرحل","غير مرحل")</f>
        <v>مرحل</v>
      </c>
    </row>
    <row r="95" spans="1:27" ht="22.9" customHeight="1" x14ac:dyDescent="0.55000000000000004">
      <c r="A95" s="22">
        <f t="shared" si="1"/>
        <v>93</v>
      </c>
      <c r="B95" s="23" t="s">
        <v>955</v>
      </c>
      <c r="C95" s="213" t="s">
        <v>954</v>
      </c>
      <c r="D95" s="22" t="s">
        <v>290</v>
      </c>
      <c r="E95" s="22">
        <f>IFERROR(INDEX(TableJudje[رقم الحساب],MATCH(Tabledaily[[#This Row],[الحســاب الدئـــن]],TableJudje[اسم الحساب],0)),0)</f>
        <v>11060205</v>
      </c>
      <c r="F95" s="22" t="s">
        <v>513</v>
      </c>
      <c r="G95" s="22" t="s">
        <v>831</v>
      </c>
      <c r="H95" s="24">
        <f>IFERROR(INDEX(TableJudje[رقم الحساب],MATCH(Tabledaily[[#This Row],[الحســاب المديــــن]],TableJudje[اسم الحساب],0)),0)</f>
        <v>31010101</v>
      </c>
      <c r="I95" s="22" t="s">
        <v>111</v>
      </c>
      <c r="J95" s="22" t="s">
        <v>238</v>
      </c>
      <c r="K95" s="117">
        <v>70000</v>
      </c>
      <c r="L95" s="23">
        <v>405</v>
      </c>
      <c r="M95" s="118">
        <f>IFERROR(Tabledaily[[#This Row],[المبلـــــــغ]]/Tabledaily[[#This Row],[سعــــــر
الصـــــرف]],"")</f>
        <v>172.83950617283949</v>
      </c>
      <c r="N95" s="22" t="s">
        <v>340</v>
      </c>
      <c r="O95" s="22" t="s">
        <v>312</v>
      </c>
      <c r="P95" s="22" t="s">
        <v>312</v>
      </c>
      <c r="Q95" s="22"/>
      <c r="R95" s="22" t="s">
        <v>237</v>
      </c>
      <c r="S95" s="24">
        <f>IFERROR(INDEX(tablecost[رقم المركز],MATCH(Tabledaily[[#This Row],[مركـــــــزالتكلفــــــة]],tablecost[الاسم],0)),0)</f>
        <v>1</v>
      </c>
      <c r="T95" s="27">
        <f>DATE(Tabledaily[[#This Row],[السنــــة]],Tabledaily[[#This Row],[الشهــــر]],Tabledaily[[#This Row],[الـــــيوم]])</f>
        <v>46191</v>
      </c>
      <c r="U95" s="28">
        <v>46194.874155092592</v>
      </c>
      <c r="V95" s="22"/>
      <c r="W95" s="24">
        <f>YEAR(Tabledaily[[#This Row],[التاريخ]])</f>
        <v>2026</v>
      </c>
      <c r="X95" s="24">
        <f>MONTH(Tabledaily[[#This Row],[التاريخ]])</f>
        <v>6</v>
      </c>
      <c r="Y95" s="24">
        <f>DAY(Tabledaily[[#This Row],[التاريخ]])</f>
        <v>18</v>
      </c>
      <c r="Z9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فرد بامر</v>
      </c>
      <c r="AA95" s="24" t="str">
        <f>IF(COUNTIF(TableDailyJournal[رقم العملية],Tabledaily[[#This Row],[رقم العملية]])&gt;1,"مرحل","غير مرحل")</f>
        <v>مرحل</v>
      </c>
    </row>
    <row r="96" spans="1:27" ht="22.9" customHeight="1" x14ac:dyDescent="0.55000000000000004">
      <c r="A96" s="22">
        <f t="shared" si="1"/>
        <v>94</v>
      </c>
      <c r="B96" s="23" t="s">
        <v>953</v>
      </c>
      <c r="C96" s="213" t="s">
        <v>954</v>
      </c>
      <c r="D96" s="22" t="s">
        <v>290</v>
      </c>
      <c r="E96" s="22">
        <f>IFERROR(INDEX(TableJudje[رقم الحساب],MATCH(Tabledaily[[#This Row],[الحســاب الدئـــن]],TableJudje[اسم الحساب],0)),0)</f>
        <v>11060205</v>
      </c>
      <c r="F96" s="22" t="s">
        <v>513</v>
      </c>
      <c r="G96" s="22" t="s">
        <v>829</v>
      </c>
      <c r="H96" s="24">
        <f>IFERROR(INDEX(TableJudje[رقم الحساب],MATCH(Tabledaily[[#This Row],[الحســاب المديــــن]],TableJudje[اسم الحساب],0)),0)</f>
        <v>31010101</v>
      </c>
      <c r="I96" s="22" t="s">
        <v>111</v>
      </c>
      <c r="J96" s="22" t="s">
        <v>238</v>
      </c>
      <c r="K96" s="117">
        <v>65000</v>
      </c>
      <c r="L96" s="23">
        <v>405</v>
      </c>
      <c r="M96" s="118">
        <f>IFERROR(Tabledaily[[#This Row],[المبلـــــــغ]]/Tabledaily[[#This Row],[سعــــــر
الصـــــرف]],"")</f>
        <v>160.49382716049382</v>
      </c>
      <c r="N96" s="22" t="s">
        <v>343</v>
      </c>
      <c r="O96" s="22" t="s">
        <v>312</v>
      </c>
      <c r="P96" s="22" t="s">
        <v>312</v>
      </c>
      <c r="Q96" s="22"/>
      <c r="R96" s="22" t="s">
        <v>237</v>
      </c>
      <c r="S96" s="24">
        <f>IFERROR(INDEX(tablecost[رقم المركز],MATCH(Tabledaily[[#This Row],[مركـــــــزالتكلفــــــة]],tablecost[الاسم],0)),0)</f>
        <v>1</v>
      </c>
      <c r="T96" s="27">
        <f>DATE(Tabledaily[[#This Row],[السنــــة]],Tabledaily[[#This Row],[الشهــــر]],Tabledaily[[#This Row],[الـــــيوم]])</f>
        <v>46191</v>
      </c>
      <c r="U96" s="28">
        <v>46194.872152777774</v>
      </c>
      <c r="V96" s="22"/>
      <c r="W96" s="24">
        <f>YEAR(Tabledaily[[#This Row],[التاريخ]])</f>
        <v>2026</v>
      </c>
      <c r="X96" s="24">
        <f>MONTH(Tabledaily[[#This Row],[التاريخ]])</f>
        <v>6</v>
      </c>
      <c r="Y96" s="24">
        <f>DAY(Tabledaily[[#This Row],[التاريخ]])</f>
        <v>18</v>
      </c>
      <c r="Z9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9 بامر</v>
      </c>
      <c r="AA96" s="24" t="str">
        <f>IF(COUNTIF(TableDailyJournal[رقم العملية],Tabledaily[[#This Row],[رقم العملية]])&gt;1,"مرحل","غير مرحل")</f>
        <v>مرحل</v>
      </c>
    </row>
    <row r="97" spans="1:27" ht="22.9" customHeight="1" x14ac:dyDescent="0.55000000000000004">
      <c r="A97" s="22">
        <f t="shared" ref="A97:A124" si="2">ROW()-2</f>
        <v>95</v>
      </c>
      <c r="B97" s="23" t="s">
        <v>937</v>
      </c>
      <c r="C97" s="213" t="s">
        <v>865</v>
      </c>
      <c r="D97" s="22" t="s">
        <v>290</v>
      </c>
      <c r="E97" s="22">
        <f>IFERROR(INDEX(TableJudje[رقم الحساب],MATCH(Tabledaily[[#This Row],[الحســاب الدئـــن]],TableJudje[اسم الحساب],0)),0)</f>
        <v>11060205</v>
      </c>
      <c r="F97" s="22" t="s">
        <v>513</v>
      </c>
      <c r="G97" s="22" t="s">
        <v>938</v>
      </c>
      <c r="H97" s="24">
        <f>IFERROR(INDEX(TableJudje[رقم الحساب],MATCH(Tabledaily[[#This Row],[الحســاب المديــــن]],TableJudje[اسم الحساب],0)),0)</f>
        <v>31010109</v>
      </c>
      <c r="I97" s="22" t="s">
        <v>484</v>
      </c>
      <c r="J97" s="22" t="s">
        <v>238</v>
      </c>
      <c r="K97" s="117">
        <v>300000</v>
      </c>
      <c r="L97" s="23">
        <v>405</v>
      </c>
      <c r="M97" s="118">
        <f>IFERROR(Tabledaily[[#This Row],[المبلـــــــغ]]/Tabledaily[[#This Row],[سعــــــر
الصـــــرف]],"")</f>
        <v>740.74074074074076</v>
      </c>
      <c r="N97" s="22" t="s">
        <v>939</v>
      </c>
      <c r="O97" s="22" t="s">
        <v>286</v>
      </c>
      <c r="P97" s="22" t="s">
        <v>287</v>
      </c>
      <c r="Q97" s="22" t="s">
        <v>940</v>
      </c>
      <c r="R97" s="22" t="s">
        <v>237</v>
      </c>
      <c r="S97" s="24">
        <f>IFERROR(INDEX(tablecost[رقم المركز],MATCH(Tabledaily[[#This Row],[مركـــــــزالتكلفــــــة]],tablecost[الاسم],0)),0)</f>
        <v>1</v>
      </c>
      <c r="T97" s="27">
        <f>DATE(Tabledaily[[#This Row],[السنــــة]],Tabledaily[[#This Row],[الشهــــر]],Tabledaily[[#This Row],[الـــــيوم]])</f>
        <v>46190</v>
      </c>
      <c r="U97" s="28">
        <v>46194.830891203703</v>
      </c>
      <c r="V97" s="22" t="s">
        <v>646</v>
      </c>
      <c r="W97" s="24">
        <f>YEAR(Tabledaily[[#This Row],[التاريخ]])</f>
        <v>2026</v>
      </c>
      <c r="X97" s="24">
        <f>MONTH(Tabledaily[[#This Row],[التاريخ]])</f>
        <v>6</v>
      </c>
      <c r="Y97" s="24">
        <f>DAY(Tabledaily[[#This Row],[التاريخ]])</f>
        <v>17</v>
      </c>
      <c r="Z9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v>
      </c>
      <c r="AA97" s="24" t="str">
        <f>IF(COUNTIF(TableDailyJournal[رقم العملية],Tabledaily[[#This Row],[رقم العملية]])&gt;1,"مرحل","غير مرحل")</f>
        <v>مرحل</v>
      </c>
    </row>
    <row r="98" spans="1:27" ht="22.9" customHeight="1" x14ac:dyDescent="0.55000000000000004">
      <c r="A98" s="22">
        <f t="shared" si="2"/>
        <v>96</v>
      </c>
      <c r="B98" s="23" t="s">
        <v>933</v>
      </c>
      <c r="C98" s="213" t="s">
        <v>865</v>
      </c>
      <c r="D98" s="22" t="s">
        <v>290</v>
      </c>
      <c r="E98" s="22">
        <f>IFERROR(INDEX(TableJudje[رقم الحساب],MATCH(Tabledaily[[#This Row],[الحســاب الدئـــن]],TableJudje[اسم الحساب],0)),0)</f>
        <v>11060205</v>
      </c>
      <c r="F98" s="22" t="s">
        <v>513</v>
      </c>
      <c r="G98" s="22" t="s">
        <v>934</v>
      </c>
      <c r="H98" s="24">
        <f>IFERROR(INDEX(TableJudje[رقم الحساب],MATCH(Tabledaily[[#This Row],[الحســاب المديــــن]],TableJudje[اسم الحساب],0)),0)</f>
        <v>31010103</v>
      </c>
      <c r="I98" s="22" t="s">
        <v>112</v>
      </c>
      <c r="J98" s="22" t="s">
        <v>238</v>
      </c>
      <c r="K98" s="117">
        <v>25000</v>
      </c>
      <c r="L98" s="23">
        <v>405</v>
      </c>
      <c r="M98" s="118">
        <f>IFERROR(Tabledaily[[#This Row],[المبلـــــــغ]]/Tabledaily[[#This Row],[سعــــــر
الصـــــرف]],"")</f>
        <v>61.728395061728392</v>
      </c>
      <c r="N98" s="22" t="s">
        <v>935</v>
      </c>
      <c r="O98" s="22" t="s">
        <v>286</v>
      </c>
      <c r="P98" s="22" t="s">
        <v>287</v>
      </c>
      <c r="Q98" s="22" t="s">
        <v>936</v>
      </c>
      <c r="R98" s="22" t="s">
        <v>237</v>
      </c>
      <c r="S98" s="24">
        <f>IFERROR(INDEX(tablecost[رقم المركز],MATCH(Tabledaily[[#This Row],[مركـــــــزالتكلفــــــة]],tablecost[الاسم],0)),0)</f>
        <v>1</v>
      </c>
      <c r="T98" s="27">
        <f>DATE(Tabledaily[[#This Row],[السنــــة]],Tabledaily[[#This Row],[الشهــــر]],Tabledaily[[#This Row],[الـــــيوم]])</f>
        <v>46190</v>
      </c>
      <c r="U98" s="28">
        <v>46194.828842592593</v>
      </c>
      <c r="V98" s="22" t="s">
        <v>313</v>
      </c>
      <c r="W98" s="24">
        <f>YEAR(Tabledaily[[#This Row],[التاريخ]])</f>
        <v>2026</v>
      </c>
      <c r="X98" s="24">
        <f>MONTH(Tabledaily[[#This Row],[التاريخ]])</f>
        <v>6</v>
      </c>
      <c r="Y98" s="24">
        <f>DAY(Tabledaily[[#This Row],[التاريخ]])</f>
        <v>17</v>
      </c>
      <c r="Z9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v>
      </c>
      <c r="AA98" s="24" t="str">
        <f>IF(COUNTIF(TableDailyJournal[رقم العملية],Tabledaily[[#This Row],[رقم العملية]])&gt;1,"مرحل","غير مرحل")</f>
        <v>مرحل</v>
      </c>
    </row>
    <row r="99" spans="1:27" ht="22.9" customHeight="1" x14ac:dyDescent="0.55000000000000004">
      <c r="A99" s="22">
        <f t="shared" si="2"/>
        <v>97</v>
      </c>
      <c r="B99" s="23" t="s">
        <v>929</v>
      </c>
      <c r="C99" s="213" t="s">
        <v>865</v>
      </c>
      <c r="D99" s="22" t="s">
        <v>290</v>
      </c>
      <c r="E99" s="22">
        <f>IFERROR(INDEX(TableJudje[رقم الحساب],MATCH(Tabledaily[[#This Row],[الحســاب الدئـــن]],TableJudje[اسم الحساب],0)),0)</f>
        <v>11060205</v>
      </c>
      <c r="F99" s="22" t="s">
        <v>513</v>
      </c>
      <c r="G99" s="22" t="s">
        <v>930</v>
      </c>
      <c r="H99" s="24">
        <f>IFERROR(INDEX(TableJudje[رقم الحساب],MATCH(Tabledaily[[#This Row],[الحســاب المديــــن]],TableJudje[اسم الحساب],0)),0)</f>
        <v>31010101</v>
      </c>
      <c r="I99" s="22" t="s">
        <v>111</v>
      </c>
      <c r="J99" s="22" t="s">
        <v>238</v>
      </c>
      <c r="K99" s="117">
        <v>32000</v>
      </c>
      <c r="L99" s="23">
        <v>405</v>
      </c>
      <c r="M99" s="118">
        <f>IFERROR(Tabledaily[[#This Row],[المبلـــــــغ]]/Tabledaily[[#This Row],[سعــــــر
الصـــــرف]],"")</f>
        <v>79.012345679012341</v>
      </c>
      <c r="N99" s="22" t="s">
        <v>931</v>
      </c>
      <c r="O99" s="22" t="s">
        <v>286</v>
      </c>
      <c r="P99" s="22" t="s">
        <v>287</v>
      </c>
      <c r="Q99" s="22" t="s">
        <v>932</v>
      </c>
      <c r="R99" s="22" t="s">
        <v>237</v>
      </c>
      <c r="S99" s="24">
        <f>IFERROR(INDEX(tablecost[رقم المركز],MATCH(Tabledaily[[#This Row],[مركـــــــزالتكلفــــــة]],tablecost[الاسم],0)),0)</f>
        <v>1</v>
      </c>
      <c r="T99" s="27">
        <f>DATE(Tabledaily[[#This Row],[السنــــة]],Tabledaily[[#This Row],[الشهــــر]],Tabledaily[[#This Row],[الـــــيوم]])</f>
        <v>46190</v>
      </c>
      <c r="U99" s="28">
        <v>46194.825729166667</v>
      </c>
      <c r="V99" s="22"/>
      <c r="W99" s="24">
        <f>YEAR(Tabledaily[[#This Row],[التاريخ]])</f>
        <v>2026</v>
      </c>
      <c r="X99" s="24">
        <f>MONTH(Tabledaily[[#This Row],[التاريخ]])</f>
        <v>6</v>
      </c>
      <c r="Y99" s="24">
        <f>DAY(Tabledaily[[#This Row],[التاريخ]])</f>
        <v>17</v>
      </c>
      <c r="Z9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v>
      </c>
      <c r="AA99" s="24" t="str">
        <f>IF(COUNTIF(TableDailyJournal[رقم العملية],Tabledaily[[#This Row],[رقم العملية]])&gt;1,"مرحل","غير مرحل")</f>
        <v>مرحل</v>
      </c>
    </row>
    <row r="100" spans="1:27" ht="22.9" customHeight="1" x14ac:dyDescent="0.55000000000000004">
      <c r="A100" s="22">
        <f t="shared" si="2"/>
        <v>98</v>
      </c>
      <c r="B100" s="23" t="s">
        <v>925</v>
      </c>
      <c r="C100" s="213" t="s">
        <v>865</v>
      </c>
      <c r="D100" s="22" t="s">
        <v>290</v>
      </c>
      <c r="E100" s="22">
        <f>IFERROR(INDEX(TableJudje[رقم الحساب],MATCH(Tabledaily[[#This Row],[الحســاب الدئـــن]],TableJudje[اسم الحساب],0)),0)</f>
        <v>11060205</v>
      </c>
      <c r="F100" s="22" t="s">
        <v>513</v>
      </c>
      <c r="G100" s="22" t="s">
        <v>926</v>
      </c>
      <c r="H100" s="24">
        <f>IFERROR(INDEX(TableJudje[رقم الحساب],MATCH(Tabledaily[[#This Row],[الحســاب المديــــن]],TableJudje[اسم الحساب],0)),0)</f>
        <v>31010101</v>
      </c>
      <c r="I100" s="22" t="s">
        <v>111</v>
      </c>
      <c r="J100" s="22" t="s">
        <v>238</v>
      </c>
      <c r="K100" s="117">
        <v>20000</v>
      </c>
      <c r="L100" s="23">
        <v>405</v>
      </c>
      <c r="M100" s="118">
        <f>IFERROR(Tabledaily[[#This Row],[المبلـــــــغ]]/Tabledaily[[#This Row],[سعــــــر
الصـــــرف]],"")</f>
        <v>49.382716049382715</v>
      </c>
      <c r="N100" s="22" t="s">
        <v>927</v>
      </c>
      <c r="O100" s="22" t="s">
        <v>286</v>
      </c>
      <c r="P100" s="22" t="s">
        <v>287</v>
      </c>
      <c r="Q100" s="22" t="s">
        <v>928</v>
      </c>
      <c r="R100" s="22" t="s">
        <v>237</v>
      </c>
      <c r="S100" s="24">
        <f>IFERROR(INDEX(tablecost[رقم المركز],MATCH(Tabledaily[[#This Row],[مركـــــــزالتكلفــــــة]],tablecost[الاسم],0)),0)</f>
        <v>1</v>
      </c>
      <c r="T100" s="27">
        <f>DATE(Tabledaily[[#This Row],[السنــــة]],Tabledaily[[#This Row],[الشهــــر]],Tabledaily[[#This Row],[الـــــيوم]])</f>
        <v>46190</v>
      </c>
      <c r="U100" s="28">
        <v>46194.824236111112</v>
      </c>
      <c r="V100" s="22"/>
      <c r="W100" s="24">
        <f>YEAR(Tabledaily[[#This Row],[التاريخ]])</f>
        <v>2026</v>
      </c>
      <c r="X100" s="24">
        <f>MONTH(Tabledaily[[#This Row],[التاريخ]])</f>
        <v>6</v>
      </c>
      <c r="Y100" s="24">
        <f>DAY(Tabledaily[[#This Row],[التاريخ]])</f>
        <v>17</v>
      </c>
      <c r="Z10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v>
      </c>
      <c r="AA100" s="24" t="str">
        <f>IF(COUNTIF(TableDailyJournal[رقم العملية],Tabledaily[[#This Row],[رقم العملية]])&gt;1,"مرحل","غير مرحل")</f>
        <v>مرحل</v>
      </c>
    </row>
    <row r="101" spans="1:27" ht="22.9" customHeight="1" x14ac:dyDescent="0.55000000000000004">
      <c r="A101" s="22">
        <f t="shared" si="2"/>
        <v>99</v>
      </c>
      <c r="B101" s="23" t="s">
        <v>921</v>
      </c>
      <c r="C101" s="213" t="s">
        <v>865</v>
      </c>
      <c r="D101" s="22" t="s">
        <v>290</v>
      </c>
      <c r="E101" s="22">
        <f>IFERROR(INDEX(TableJudje[رقم الحساب],MATCH(Tabledaily[[#This Row],[الحســاب الدئـــن]],TableJudje[اسم الحساب],0)),0)</f>
        <v>11060205</v>
      </c>
      <c r="F101" s="22" t="s">
        <v>513</v>
      </c>
      <c r="G101" s="22" t="s">
        <v>922</v>
      </c>
      <c r="H101" s="24">
        <f>IFERROR(INDEX(TableJudje[رقم الحساب],MATCH(Tabledaily[[#This Row],[الحســاب المديــــن]],TableJudje[اسم الحساب],0)),0)</f>
        <v>31010101</v>
      </c>
      <c r="I101" s="22" t="s">
        <v>111</v>
      </c>
      <c r="J101" s="22" t="s">
        <v>238</v>
      </c>
      <c r="K101" s="117">
        <v>7000</v>
      </c>
      <c r="L101" s="23">
        <v>405</v>
      </c>
      <c r="M101" s="118">
        <f>IFERROR(Tabledaily[[#This Row],[المبلـــــــغ]]/Tabledaily[[#This Row],[سعــــــر
الصـــــرف]],"")</f>
        <v>17.283950617283949</v>
      </c>
      <c r="N101" s="22" t="s">
        <v>923</v>
      </c>
      <c r="O101" s="22" t="s">
        <v>286</v>
      </c>
      <c r="P101" s="22" t="s">
        <v>287</v>
      </c>
      <c r="Q101" s="22" t="s">
        <v>924</v>
      </c>
      <c r="R101" s="22" t="s">
        <v>237</v>
      </c>
      <c r="S101" s="24">
        <f>IFERROR(INDEX(tablecost[رقم المركز],MATCH(Tabledaily[[#This Row],[مركـــــــزالتكلفــــــة]],tablecost[الاسم],0)),0)</f>
        <v>1</v>
      </c>
      <c r="T101" s="27">
        <f>DATE(Tabledaily[[#This Row],[السنــــة]],Tabledaily[[#This Row],[الشهــــر]],Tabledaily[[#This Row],[الـــــيوم]])</f>
        <v>46190</v>
      </c>
      <c r="U101" s="28">
        <v>46194.821331018517</v>
      </c>
      <c r="V101" s="22" t="s">
        <v>313</v>
      </c>
      <c r="W101" s="24">
        <f>YEAR(Tabledaily[[#This Row],[التاريخ]])</f>
        <v>2026</v>
      </c>
      <c r="X101" s="24">
        <f>MONTH(Tabledaily[[#This Row],[التاريخ]])</f>
        <v>6</v>
      </c>
      <c r="Y101" s="24">
        <f>DAY(Tabledaily[[#This Row],[التاريخ]])</f>
        <v>17</v>
      </c>
      <c r="Z10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نجيب محمد حزام - الفرقة الثالثة)  - استلام نقدي رقم 100-457  سند استلام - صرفة يومية  أبتدء من اليوم  بامرالقائد</v>
      </c>
      <c r="AA101" s="24" t="str">
        <f>IF(COUNTIF(TableDailyJournal[رقم العملية],Tabledaily[[#This Row],[رقم العملية]])&gt;1,"مرحل","غير مرحل")</f>
        <v>مرحل</v>
      </c>
    </row>
    <row r="102" spans="1:27" ht="22.9" customHeight="1" x14ac:dyDescent="0.55000000000000004">
      <c r="A102" s="22">
        <f t="shared" si="2"/>
        <v>100</v>
      </c>
      <c r="B102" s="23" t="s">
        <v>918</v>
      </c>
      <c r="C102" s="213" t="s">
        <v>865</v>
      </c>
      <c r="D102" s="22" t="s">
        <v>290</v>
      </c>
      <c r="E102" s="22">
        <f>IFERROR(INDEX(TableJudje[رقم الحساب],MATCH(Tabledaily[[#This Row],[الحســاب الدئـــن]],TableJudje[اسم الحساب],0)),0)</f>
        <v>11060205</v>
      </c>
      <c r="F102" s="22" t="s">
        <v>513</v>
      </c>
      <c r="G102" s="22" t="s">
        <v>919</v>
      </c>
      <c r="H102" s="24">
        <f>IFERROR(INDEX(TableJudje[رقم الحساب],MATCH(Tabledaily[[#This Row],[الحســاب المديــــن]],TableJudje[اسم الحساب],0)),0)</f>
        <v>31010101</v>
      </c>
      <c r="I102" s="22" t="s">
        <v>111</v>
      </c>
      <c r="J102" s="22" t="s">
        <v>238</v>
      </c>
      <c r="K102" s="117">
        <v>224000</v>
      </c>
      <c r="L102" s="23">
        <v>405</v>
      </c>
      <c r="M102" s="118">
        <f>IFERROR(Tabledaily[[#This Row],[المبلـــــــغ]]/Tabledaily[[#This Row],[سعــــــر
الصـــــرف]],"")</f>
        <v>553.08641975308637</v>
      </c>
      <c r="N102" s="22" t="s">
        <v>920</v>
      </c>
      <c r="O102" s="22" t="s">
        <v>312</v>
      </c>
      <c r="P102" s="22" t="s">
        <v>312</v>
      </c>
      <c r="Q102" s="22"/>
      <c r="R102" s="22" t="s">
        <v>237</v>
      </c>
      <c r="S102" s="24">
        <f>IFERROR(INDEX(tablecost[رقم المركز],MATCH(Tabledaily[[#This Row],[مركـــــــزالتكلفــــــة]],tablecost[الاسم],0)),0)</f>
        <v>1</v>
      </c>
      <c r="T102" s="27">
        <f>DATE(Tabledaily[[#This Row],[السنــــة]],Tabledaily[[#This Row],[الشهــــر]],Tabledaily[[#This Row],[الـــــيوم]])</f>
        <v>46190</v>
      </c>
      <c r="U102" s="28">
        <v>46194.819884259261</v>
      </c>
      <c r="V102" s="22" t="s">
        <v>313</v>
      </c>
      <c r="W102" s="24">
        <f>YEAR(Tabledaily[[#This Row],[التاريخ]])</f>
        <v>2026</v>
      </c>
      <c r="X102" s="24">
        <f>MONTH(Tabledaily[[#This Row],[التاريخ]])</f>
        <v>6</v>
      </c>
      <c r="Y102" s="24">
        <f>DAY(Tabledaily[[#This Row],[التاريخ]])</f>
        <v>17</v>
      </c>
      <c r="Z10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v>
      </c>
      <c r="AA102" s="24" t="str">
        <f>IF(COUNTIF(TableDailyJournal[رقم العملية],Tabledaily[[#This Row],[رقم العملية]])&gt;1,"مرحل","غير مرحل")</f>
        <v>مرحل</v>
      </c>
    </row>
    <row r="103" spans="1:27" ht="22.9" customHeight="1" x14ac:dyDescent="0.55000000000000004">
      <c r="A103" s="22">
        <f t="shared" si="2"/>
        <v>101</v>
      </c>
      <c r="B103" s="23" t="s">
        <v>905</v>
      </c>
      <c r="C103" s="213" t="s">
        <v>865</v>
      </c>
      <c r="D103" s="22" t="s">
        <v>290</v>
      </c>
      <c r="E103" s="22">
        <f>IFERROR(INDEX(TableJudje[رقم الحساب],MATCH(Tabledaily[[#This Row],[الحســاب الدئـــن]],TableJudje[اسم الحساب],0)),0)</f>
        <v>11060205</v>
      </c>
      <c r="F103" s="22" t="s">
        <v>513</v>
      </c>
      <c r="G103" s="22" t="s">
        <v>906</v>
      </c>
      <c r="H103" s="24">
        <f>IFERROR(INDEX(TableJudje[رقم الحساب],MATCH(Tabledaily[[#This Row],[الحســاب المديــــن]],TableJudje[اسم الحساب],0)),0)</f>
        <v>31010109</v>
      </c>
      <c r="I103" s="22" t="s">
        <v>484</v>
      </c>
      <c r="J103" s="22" t="s">
        <v>238</v>
      </c>
      <c r="K103" s="117">
        <v>1500000</v>
      </c>
      <c r="L103" s="23">
        <v>405</v>
      </c>
      <c r="M103" s="118">
        <f>IFERROR(Tabledaily[[#This Row],[المبلـــــــغ]]/Tabledaily[[#This Row],[سعــــــر
الصـــــرف]],"")</f>
        <v>3703.7037037037039</v>
      </c>
      <c r="N103" s="22" t="s">
        <v>907</v>
      </c>
      <c r="O103" s="22" t="s">
        <v>286</v>
      </c>
      <c r="P103" s="22" t="s">
        <v>287</v>
      </c>
      <c r="Q103" s="22" t="s">
        <v>908</v>
      </c>
      <c r="R103" s="22" t="s">
        <v>237</v>
      </c>
      <c r="S103" s="24">
        <f>IFERROR(INDEX(tablecost[رقم المركز],MATCH(Tabledaily[[#This Row],[مركـــــــزالتكلفــــــة]],tablecost[الاسم],0)),0)</f>
        <v>1</v>
      </c>
      <c r="T103" s="27">
        <f>DATE(Tabledaily[[#This Row],[السنــــة]],Tabledaily[[#This Row],[الشهــــر]],Tabledaily[[#This Row],[الـــــيوم]])</f>
        <v>46190</v>
      </c>
      <c r="U103" s="28">
        <v>46194.811516203707</v>
      </c>
      <c r="V103" s="22" t="s">
        <v>646</v>
      </c>
      <c r="W103" s="24">
        <f>YEAR(Tabledaily[[#This Row],[التاريخ]])</f>
        <v>2026</v>
      </c>
      <c r="X103" s="24">
        <f>MONTH(Tabledaily[[#This Row],[التاريخ]])</f>
        <v>6</v>
      </c>
      <c r="Y103" s="24">
        <f>DAY(Tabledaily[[#This Row],[التاريخ]])</f>
        <v>17</v>
      </c>
      <c r="Z10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v>
      </c>
      <c r="AA103" s="24" t="str">
        <f>IF(COUNTIF(TableDailyJournal[رقم العملية],Tabledaily[[#This Row],[رقم العملية]])&gt;1,"مرحل","غير مرحل")</f>
        <v>مرحل</v>
      </c>
    </row>
    <row r="104" spans="1:27" ht="22.9" customHeight="1" x14ac:dyDescent="0.55000000000000004">
      <c r="A104" s="22">
        <f t="shared" si="2"/>
        <v>102</v>
      </c>
      <c r="B104" s="23" t="s">
        <v>902</v>
      </c>
      <c r="C104" s="213" t="s">
        <v>865</v>
      </c>
      <c r="D104" s="22" t="s">
        <v>290</v>
      </c>
      <c r="E104" s="22">
        <f>IFERROR(INDEX(TableJudje[رقم الحساب],MATCH(Tabledaily[[#This Row],[الحســاب الدئـــن]],TableJudje[اسم الحساب],0)),0)</f>
        <v>11060205</v>
      </c>
      <c r="F104" s="22" t="s">
        <v>513</v>
      </c>
      <c r="G104" s="22" t="s">
        <v>957</v>
      </c>
      <c r="H104" s="24">
        <f>IFERROR(INDEX(TableJudje[رقم الحساب],MATCH(Tabledaily[[#This Row],[الحســاب المديــــن]],TableJudje[اسم الحساب],0)),0)</f>
        <v>31010109</v>
      </c>
      <c r="I104" s="22" t="s">
        <v>484</v>
      </c>
      <c r="J104" s="22" t="s">
        <v>238</v>
      </c>
      <c r="K104" s="117">
        <v>4500000</v>
      </c>
      <c r="L104" s="23">
        <v>405</v>
      </c>
      <c r="M104" s="118">
        <f>IFERROR(Tabledaily[[#This Row],[المبلـــــــغ]]/Tabledaily[[#This Row],[سعــــــر
الصـــــرف]],"")</f>
        <v>11111.111111111111</v>
      </c>
      <c r="N104" s="22" t="s">
        <v>903</v>
      </c>
      <c r="O104" s="22" t="s">
        <v>286</v>
      </c>
      <c r="P104" s="22" t="s">
        <v>287</v>
      </c>
      <c r="Q104" s="22" t="s">
        <v>904</v>
      </c>
      <c r="R104" s="22" t="s">
        <v>237</v>
      </c>
      <c r="S104" s="24">
        <f>IFERROR(INDEX(tablecost[رقم المركز],MATCH(Tabledaily[[#This Row],[مركـــــــزالتكلفــــــة]],tablecost[الاسم],0)),0)</f>
        <v>1</v>
      </c>
      <c r="T104" s="27">
        <f>DATE(Tabledaily[[#This Row],[السنــــة]],Tabledaily[[#This Row],[الشهــــر]],Tabledaily[[#This Row],[الـــــيوم]])</f>
        <v>46190</v>
      </c>
      <c r="U104" s="28">
        <v>46194.803182870368</v>
      </c>
      <c r="V104" s="22" t="s">
        <v>313</v>
      </c>
      <c r="W104" s="24">
        <f>YEAR(Tabledaily[[#This Row],[التاريخ]])</f>
        <v>2026</v>
      </c>
      <c r="X104" s="24">
        <f>MONTH(Tabledaily[[#This Row],[التاريخ]])</f>
        <v>6</v>
      </c>
      <c r="Y104" s="24">
        <f>DAY(Tabledaily[[#This Row],[التاريخ]])</f>
        <v>17</v>
      </c>
      <c r="Z10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v>
      </c>
      <c r="AA104" s="24" t="str">
        <f>IF(COUNTIF(TableDailyJournal[رقم العملية],Tabledaily[[#This Row],[رقم العملية]])&gt;1,"مرحل","غير مرحل")</f>
        <v>مرحل</v>
      </c>
    </row>
    <row r="105" spans="1:27" ht="22.9" customHeight="1" x14ac:dyDescent="0.55000000000000004">
      <c r="A105" s="22">
        <f t="shared" si="2"/>
        <v>103</v>
      </c>
      <c r="B105" s="23" t="s">
        <v>898</v>
      </c>
      <c r="C105" s="213" t="s">
        <v>865</v>
      </c>
      <c r="D105" s="22" t="s">
        <v>290</v>
      </c>
      <c r="E105" s="22">
        <f>IFERROR(INDEX(TableJudje[رقم الحساب],MATCH(Tabledaily[[#This Row],[الحســاب الدئـــن]],TableJudje[اسم الحساب],0)),0)</f>
        <v>11060205</v>
      </c>
      <c r="F105" s="22" t="s">
        <v>513</v>
      </c>
      <c r="G105" s="22" t="s">
        <v>899</v>
      </c>
      <c r="H105" s="24">
        <f>IFERROR(INDEX(TableJudje[رقم الحساب],MATCH(Tabledaily[[#This Row],[الحســاب المديــــن]],TableJudje[اسم الحساب],0)),0)</f>
        <v>31010101</v>
      </c>
      <c r="I105" s="22" t="s">
        <v>111</v>
      </c>
      <c r="J105" s="22" t="s">
        <v>238</v>
      </c>
      <c r="K105" s="117">
        <v>300000</v>
      </c>
      <c r="L105" s="23">
        <v>405</v>
      </c>
      <c r="M105" s="118">
        <f>IFERROR(Tabledaily[[#This Row],[المبلـــــــغ]]/Tabledaily[[#This Row],[سعــــــر
الصـــــرف]],"")</f>
        <v>740.74074074074076</v>
      </c>
      <c r="N105" s="22" t="s">
        <v>900</v>
      </c>
      <c r="O105" s="22" t="s">
        <v>286</v>
      </c>
      <c r="P105" s="22" t="s">
        <v>287</v>
      </c>
      <c r="Q105" s="22" t="s">
        <v>901</v>
      </c>
      <c r="R105" s="22" t="s">
        <v>237</v>
      </c>
      <c r="S105" s="24">
        <f>IFERROR(INDEX(tablecost[رقم المركز],MATCH(Tabledaily[[#This Row],[مركـــــــزالتكلفــــــة]],tablecost[الاسم],0)),0)</f>
        <v>1</v>
      </c>
      <c r="T105" s="27">
        <f>DATE(Tabledaily[[#This Row],[السنــــة]],Tabledaily[[#This Row],[الشهــــر]],Tabledaily[[#This Row],[الـــــيوم]])</f>
        <v>46190</v>
      </c>
      <c r="U105" s="28">
        <v>46194.801076388889</v>
      </c>
      <c r="V105" s="22" t="s">
        <v>949</v>
      </c>
      <c r="W105" s="24">
        <f>YEAR(Tabledaily[[#This Row],[التاريخ]])</f>
        <v>2026</v>
      </c>
      <c r="X105" s="24">
        <f>MONTH(Tabledaily[[#This Row],[التاريخ]])</f>
        <v>6</v>
      </c>
      <c r="Y105" s="24">
        <f>DAY(Tabledaily[[#This Row],[التاريخ]])</f>
        <v>17</v>
      </c>
      <c r="Z10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v>
      </c>
      <c r="AA105" s="24" t="str">
        <f>IF(COUNTIF(TableDailyJournal[رقم العملية],Tabledaily[[#This Row],[رقم العملية]])&gt;1,"مرحل","غير مرحل")</f>
        <v>مرحل</v>
      </c>
    </row>
    <row r="106" spans="1:27" ht="22.9" customHeight="1" x14ac:dyDescent="0.55000000000000004">
      <c r="A106" s="22">
        <f t="shared" si="2"/>
        <v>104</v>
      </c>
      <c r="B106" s="23" t="s">
        <v>894</v>
      </c>
      <c r="C106" s="213" t="s">
        <v>865</v>
      </c>
      <c r="D106" s="22" t="s">
        <v>290</v>
      </c>
      <c r="E106" s="22">
        <f>IFERROR(INDEX(TableJudje[رقم الحساب],MATCH(Tabledaily[[#This Row],[الحســاب الدئـــن]],TableJudje[اسم الحساب],0)),0)</f>
        <v>11060205</v>
      </c>
      <c r="F106" s="22" t="s">
        <v>513</v>
      </c>
      <c r="G106" s="22" t="s">
        <v>895</v>
      </c>
      <c r="H106" s="24">
        <f>IFERROR(INDEX(TableJudje[رقم الحساب],MATCH(Tabledaily[[#This Row],[الحســاب المديــــن]],TableJudje[اسم الحساب],0)),0)</f>
        <v>31010101</v>
      </c>
      <c r="I106" s="22" t="s">
        <v>111</v>
      </c>
      <c r="J106" s="22" t="s">
        <v>238</v>
      </c>
      <c r="K106" s="117">
        <v>150000</v>
      </c>
      <c r="L106" s="23">
        <v>405</v>
      </c>
      <c r="M106" s="118">
        <f>IFERROR(Tabledaily[[#This Row],[المبلـــــــغ]]/Tabledaily[[#This Row],[سعــــــر
الصـــــرف]],"")</f>
        <v>370.37037037037038</v>
      </c>
      <c r="N106" s="22" t="s">
        <v>896</v>
      </c>
      <c r="O106" s="22" t="s">
        <v>286</v>
      </c>
      <c r="P106" s="22" t="s">
        <v>287</v>
      </c>
      <c r="Q106" s="22" t="s">
        <v>897</v>
      </c>
      <c r="R106" s="22" t="s">
        <v>237</v>
      </c>
      <c r="S106" s="24">
        <f>IFERROR(INDEX(tablecost[رقم المركز],MATCH(Tabledaily[[#This Row],[مركـــــــزالتكلفــــــة]],tablecost[الاسم],0)),0)</f>
        <v>1</v>
      </c>
      <c r="T106" s="27">
        <f>DATE(Tabledaily[[#This Row],[السنــــة]],Tabledaily[[#This Row],[الشهــــر]],Tabledaily[[#This Row],[الـــــيوم]])</f>
        <v>46190</v>
      </c>
      <c r="U106" s="28">
        <v>46194.798113425924</v>
      </c>
      <c r="V106" s="22" t="s">
        <v>313</v>
      </c>
      <c r="W106" s="24">
        <f>YEAR(Tabledaily[[#This Row],[التاريخ]])</f>
        <v>2026</v>
      </c>
      <c r="X106" s="24">
        <f>MONTH(Tabledaily[[#This Row],[التاريخ]])</f>
        <v>6</v>
      </c>
      <c r="Y106" s="24">
        <f>DAY(Tabledaily[[#This Row],[التاريخ]])</f>
        <v>17</v>
      </c>
      <c r="Z10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v>
      </c>
      <c r="AA106" s="24" t="str">
        <f>IF(COUNTIF(TableDailyJournal[رقم العملية],Tabledaily[[#This Row],[رقم العملية]])&gt;1,"مرحل","غير مرحل")</f>
        <v>مرحل</v>
      </c>
    </row>
    <row r="107" spans="1:27" ht="22.9" customHeight="1" x14ac:dyDescent="0.55000000000000004">
      <c r="A107" s="22">
        <f t="shared" si="2"/>
        <v>105</v>
      </c>
      <c r="B107" s="23" t="s">
        <v>890</v>
      </c>
      <c r="C107" s="213" t="s">
        <v>865</v>
      </c>
      <c r="D107" s="22" t="s">
        <v>290</v>
      </c>
      <c r="E107" s="22">
        <f>IFERROR(INDEX(TableJudje[رقم الحساب],MATCH(Tabledaily[[#This Row],[الحســاب الدئـــن]],TableJudje[اسم الحساب],0)),0)</f>
        <v>11060205</v>
      </c>
      <c r="F107" s="22" t="s">
        <v>513</v>
      </c>
      <c r="G107" s="22" t="s">
        <v>891</v>
      </c>
      <c r="H107" s="24">
        <f>IFERROR(INDEX(TableJudje[رقم الحساب],MATCH(Tabledaily[[#This Row],[الحســاب المديــــن]],TableJudje[اسم الحساب],0)),0)</f>
        <v>31010109</v>
      </c>
      <c r="I107" s="22" t="s">
        <v>484</v>
      </c>
      <c r="J107" s="22" t="s">
        <v>238</v>
      </c>
      <c r="K107" s="117">
        <v>200000</v>
      </c>
      <c r="L107" s="23">
        <v>405</v>
      </c>
      <c r="M107" s="118">
        <f>IFERROR(Tabledaily[[#This Row],[المبلـــــــغ]]/Tabledaily[[#This Row],[سعــــــر
الصـــــرف]],"")</f>
        <v>493.82716049382714</v>
      </c>
      <c r="N107" s="22" t="s">
        <v>892</v>
      </c>
      <c r="O107" s="22" t="s">
        <v>286</v>
      </c>
      <c r="P107" s="22" t="s">
        <v>287</v>
      </c>
      <c r="Q107" s="22" t="s">
        <v>893</v>
      </c>
      <c r="R107" s="22" t="s">
        <v>237</v>
      </c>
      <c r="S107" s="24">
        <f>IFERROR(INDEX(tablecost[رقم المركز],MATCH(Tabledaily[[#This Row],[مركـــــــزالتكلفــــــة]],tablecost[الاسم],0)),0)</f>
        <v>1</v>
      </c>
      <c r="T107" s="27">
        <f>DATE(Tabledaily[[#This Row],[السنــــة]],Tabledaily[[#This Row],[الشهــــر]],Tabledaily[[#This Row],[الـــــيوم]])</f>
        <v>46190</v>
      </c>
      <c r="U107" s="28">
        <v>46194.796157407407</v>
      </c>
      <c r="V107" s="22" t="s">
        <v>313</v>
      </c>
      <c r="W107" s="24">
        <f>YEAR(Tabledaily[[#This Row],[التاريخ]])</f>
        <v>2026</v>
      </c>
      <c r="X107" s="24">
        <f>MONTH(Tabledaily[[#This Row],[التاريخ]])</f>
        <v>6</v>
      </c>
      <c r="Y107" s="24">
        <f>DAY(Tabledaily[[#This Row],[التاريخ]])</f>
        <v>17</v>
      </c>
      <c r="Z10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v>
      </c>
      <c r="AA107" s="24" t="str">
        <f>IF(COUNTIF(TableDailyJournal[رقم العملية],Tabledaily[[#This Row],[رقم العملية]])&gt;1,"مرحل","غير مرحل")</f>
        <v>مرحل</v>
      </c>
    </row>
    <row r="108" spans="1:27" ht="22.9" customHeight="1" x14ac:dyDescent="0.55000000000000004">
      <c r="A108" s="22">
        <f t="shared" si="2"/>
        <v>106</v>
      </c>
      <c r="B108" s="23" t="s">
        <v>888</v>
      </c>
      <c r="C108" s="213" t="s">
        <v>865</v>
      </c>
      <c r="D108" s="22" t="s">
        <v>290</v>
      </c>
      <c r="E108" s="22">
        <f>IFERROR(INDEX(TableJudje[رقم الحساب],MATCH(Tabledaily[[#This Row],[الحســاب الدئـــن]],TableJudje[اسم الحساب],0)),0)</f>
        <v>11060205</v>
      </c>
      <c r="F108" s="22" t="s">
        <v>513</v>
      </c>
      <c r="G108" s="22" t="s">
        <v>889</v>
      </c>
      <c r="H108" s="24">
        <f>IFERROR(INDEX(TableJudje[رقم الحساب],MATCH(Tabledaily[[#This Row],[الحســاب المديــــن]],TableJudje[اسم الحساب],0)),0)</f>
        <v>31010101</v>
      </c>
      <c r="I108" s="22" t="s">
        <v>111</v>
      </c>
      <c r="J108" s="22" t="s">
        <v>238</v>
      </c>
      <c r="K108" s="117">
        <v>100000</v>
      </c>
      <c r="L108" s="23">
        <v>405</v>
      </c>
      <c r="M108" s="118">
        <f>IFERROR(Tabledaily[[#This Row],[المبلـــــــغ]]/Tabledaily[[#This Row],[سعــــــر
الصـــــرف]],"")</f>
        <v>246.91358024691357</v>
      </c>
      <c r="N108" s="22" t="s">
        <v>325</v>
      </c>
      <c r="O108" s="22" t="s">
        <v>312</v>
      </c>
      <c r="P108" s="22" t="s">
        <v>312</v>
      </c>
      <c r="Q108" s="22"/>
      <c r="R108" s="22" t="s">
        <v>237</v>
      </c>
      <c r="S108" s="24">
        <f>IFERROR(INDEX(tablecost[رقم المركز],MATCH(Tabledaily[[#This Row],[مركـــــــزالتكلفــــــة]],tablecost[الاسم],0)),0)</f>
        <v>1</v>
      </c>
      <c r="T108" s="27">
        <f>DATE(Tabledaily[[#This Row],[السنــــة]],Tabledaily[[#This Row],[الشهــــر]],Tabledaily[[#This Row],[الـــــيوم]])</f>
        <v>46190</v>
      </c>
      <c r="U108" s="28">
        <v>46194.793587962966</v>
      </c>
      <c r="V108" s="22"/>
      <c r="W108" s="24">
        <f>YEAR(Tabledaily[[#This Row],[التاريخ]])</f>
        <v>2026</v>
      </c>
      <c r="X108" s="24">
        <f>MONTH(Tabledaily[[#This Row],[التاريخ]])</f>
        <v>6</v>
      </c>
      <c r="Y108" s="24">
        <f>DAY(Tabledaily[[#This Row],[التاريخ]])</f>
        <v>17</v>
      </c>
      <c r="Z10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للضباط السابقين عدد10 ضباط بامر</v>
      </c>
      <c r="AA108" s="24" t="str">
        <f>IF(COUNTIF(TableDailyJournal[رقم العملية],Tabledaily[[#This Row],[رقم العملية]])&gt;1,"مرحل","غير مرحل")</f>
        <v>مرحل</v>
      </c>
    </row>
    <row r="109" spans="1:27" ht="22.9" customHeight="1" x14ac:dyDescent="0.55000000000000004">
      <c r="A109" s="22">
        <f t="shared" si="2"/>
        <v>107</v>
      </c>
      <c r="B109" s="23" t="s">
        <v>885</v>
      </c>
      <c r="C109" s="213" t="s">
        <v>865</v>
      </c>
      <c r="D109" s="22" t="s">
        <v>290</v>
      </c>
      <c r="E109" s="22">
        <f>IFERROR(INDEX(TableJudje[رقم الحساب],MATCH(Tabledaily[[#This Row],[الحســاب الدئـــن]],TableJudje[اسم الحساب],0)),0)</f>
        <v>11060205</v>
      </c>
      <c r="F109" s="22" t="s">
        <v>513</v>
      </c>
      <c r="G109" s="22" t="s">
        <v>886</v>
      </c>
      <c r="H109" s="24">
        <f>IFERROR(INDEX(TableJudje[رقم الحساب],MATCH(Tabledaily[[#This Row],[الحســاب المديــــن]],TableJudje[اسم الحساب],0)),0)</f>
        <v>31010101</v>
      </c>
      <c r="I109" s="22" t="s">
        <v>111</v>
      </c>
      <c r="J109" s="22" t="s">
        <v>238</v>
      </c>
      <c r="K109" s="117">
        <v>18000</v>
      </c>
      <c r="L109" s="23">
        <v>405</v>
      </c>
      <c r="M109" s="118">
        <f>IFERROR(Tabledaily[[#This Row],[المبلـــــــغ]]/Tabledaily[[#This Row],[سعــــــر
الصـــــرف]],"")</f>
        <v>44.444444444444443</v>
      </c>
      <c r="N109" s="22" t="s">
        <v>887</v>
      </c>
      <c r="O109" s="22" t="s">
        <v>312</v>
      </c>
      <c r="P109" s="22" t="s">
        <v>312</v>
      </c>
      <c r="Q109" s="22"/>
      <c r="R109" s="22" t="s">
        <v>249</v>
      </c>
      <c r="S109" s="24">
        <f>IFERROR(INDEX(tablecost[رقم المركز],MATCH(Tabledaily[[#This Row],[مركـــــــزالتكلفــــــة]],tablecost[الاسم],0)),0)</f>
        <v>8</v>
      </c>
      <c r="T109" s="27">
        <f>DATE(Tabledaily[[#This Row],[السنــــة]],Tabledaily[[#This Row],[الشهــــر]],Tabledaily[[#This Row],[الـــــيوم]])</f>
        <v>46190</v>
      </c>
      <c r="U109" s="28">
        <v>46194.792638888888</v>
      </c>
      <c r="V109" s="22"/>
      <c r="W109" s="24">
        <f>YEAR(Tabledaily[[#This Row],[التاريخ]])</f>
        <v>2026</v>
      </c>
      <c r="X109" s="24">
        <f>MONTH(Tabledaily[[#This Row],[التاريخ]])</f>
        <v>6</v>
      </c>
      <c r="Y109" s="24">
        <f>DAY(Tabledaily[[#This Row],[التاريخ]])</f>
        <v>17</v>
      </c>
      <c r="Z10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طقم اللواء السابع - اللواء السابع)  - كشف صرف رقم   كشف صرف - صرف الصرفة اليومية لافراد طقم اللواء السابع عدد3 افراد بامر</v>
      </c>
      <c r="AA109" s="24" t="str">
        <f>IF(COUNTIF(TableDailyJournal[رقم العملية],Tabledaily[[#This Row],[رقم العملية]])&gt;1,"مرحل","غير مرحل")</f>
        <v>مرحل</v>
      </c>
    </row>
    <row r="110" spans="1:27" ht="22.9" customHeight="1" x14ac:dyDescent="0.55000000000000004">
      <c r="A110" s="22">
        <f t="shared" si="2"/>
        <v>108</v>
      </c>
      <c r="B110" s="23" t="s">
        <v>884</v>
      </c>
      <c r="C110" s="213" t="s">
        <v>865</v>
      </c>
      <c r="D110" s="22" t="s">
        <v>290</v>
      </c>
      <c r="E110" s="22">
        <f>IFERROR(INDEX(TableJudje[رقم الحساب],MATCH(Tabledaily[[#This Row],[الحســاب الدئـــن]],TableJudje[اسم الحساب],0)),0)</f>
        <v>11060205</v>
      </c>
      <c r="F110" s="22" t="s">
        <v>513</v>
      </c>
      <c r="G110" s="22" t="s">
        <v>852</v>
      </c>
      <c r="H110" s="24">
        <f>IFERROR(INDEX(TableJudje[رقم الحساب],MATCH(Tabledaily[[#This Row],[الحســاب المديــــن]],TableJudje[اسم الحساب],0)),0)</f>
        <v>31010101</v>
      </c>
      <c r="I110" s="22" t="s">
        <v>111</v>
      </c>
      <c r="J110" s="22" t="s">
        <v>238</v>
      </c>
      <c r="K110" s="117">
        <v>80000</v>
      </c>
      <c r="L110" s="23">
        <v>405</v>
      </c>
      <c r="M110" s="118">
        <f>IFERROR(Tabledaily[[#This Row],[المبلـــــــغ]]/Tabledaily[[#This Row],[سعــــــر
الصـــــرف]],"")</f>
        <v>197.53086419753086</v>
      </c>
      <c r="N110" s="22" t="s">
        <v>322</v>
      </c>
      <c r="O110" s="22" t="s">
        <v>312</v>
      </c>
      <c r="P110" s="22" t="s">
        <v>312</v>
      </c>
      <c r="Q110" s="22"/>
      <c r="R110" s="22" t="s">
        <v>237</v>
      </c>
      <c r="S110" s="24">
        <f>IFERROR(INDEX(tablecost[رقم المركز],MATCH(Tabledaily[[#This Row],[مركـــــــزالتكلفــــــة]],tablecost[الاسم],0)),0)</f>
        <v>1</v>
      </c>
      <c r="T110" s="27">
        <f>DATE(Tabledaily[[#This Row],[السنــــة]],Tabledaily[[#This Row],[الشهــــر]],Tabledaily[[#This Row],[الـــــيوم]])</f>
        <v>46190</v>
      </c>
      <c r="U110" s="28">
        <v>46194.790717592594</v>
      </c>
      <c r="V110" s="22"/>
      <c r="W110" s="24">
        <f>YEAR(Tabledaily[[#This Row],[التاريخ]])</f>
        <v>2026</v>
      </c>
      <c r="X110" s="24">
        <f>MONTH(Tabledaily[[#This Row],[التاريخ]])</f>
        <v>6</v>
      </c>
      <c r="Y110" s="24">
        <f>DAY(Tabledaily[[#This Row],[التاريخ]])</f>
        <v>17</v>
      </c>
      <c r="Z11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9 بامر</v>
      </c>
      <c r="AA110" s="24" t="str">
        <f>IF(COUNTIF(TableDailyJournal[رقم العملية],Tabledaily[[#This Row],[رقم العملية]])&gt;1,"مرحل","غير مرحل")</f>
        <v>مرحل</v>
      </c>
    </row>
    <row r="111" spans="1:27" ht="22.9" customHeight="1" x14ac:dyDescent="0.55000000000000004">
      <c r="A111" s="22">
        <f t="shared" si="2"/>
        <v>109</v>
      </c>
      <c r="B111" s="23" t="s">
        <v>883</v>
      </c>
      <c r="C111" s="213" t="s">
        <v>865</v>
      </c>
      <c r="D111" s="22" t="s">
        <v>290</v>
      </c>
      <c r="E111" s="22">
        <f>IFERROR(INDEX(TableJudje[رقم الحساب],MATCH(Tabledaily[[#This Row],[الحســاب الدئـــن]],TableJudje[اسم الحساب],0)),0)</f>
        <v>11060205</v>
      </c>
      <c r="F111" s="22" t="s">
        <v>513</v>
      </c>
      <c r="G111" s="22" t="s">
        <v>838</v>
      </c>
      <c r="H111" s="24">
        <f>IFERROR(INDEX(TableJudje[رقم الحساب],MATCH(Tabledaily[[#This Row],[الحســاب المديــــن]],TableJudje[اسم الحساب],0)),0)</f>
        <v>31010101</v>
      </c>
      <c r="I111" s="22" t="s">
        <v>111</v>
      </c>
      <c r="J111" s="22" t="s">
        <v>238</v>
      </c>
      <c r="K111" s="117">
        <v>112000</v>
      </c>
      <c r="L111" s="23">
        <v>405</v>
      </c>
      <c r="M111" s="118">
        <f>IFERROR(Tabledaily[[#This Row],[المبلـــــــغ]]/Tabledaily[[#This Row],[سعــــــر
الصـــــرف]],"")</f>
        <v>276.54320987654319</v>
      </c>
      <c r="N111" s="22" t="s">
        <v>331</v>
      </c>
      <c r="O111" s="22" t="s">
        <v>312</v>
      </c>
      <c r="P111" s="22" t="s">
        <v>312</v>
      </c>
      <c r="Q111" s="22"/>
      <c r="R111" s="22" t="s">
        <v>237</v>
      </c>
      <c r="S111" s="24">
        <f>IFERROR(INDEX(tablecost[رقم المركز],MATCH(Tabledaily[[#This Row],[مركـــــــزالتكلفــــــة]],tablecost[الاسم],0)),0)</f>
        <v>1</v>
      </c>
      <c r="T111" s="27">
        <f>DATE(Tabledaily[[#This Row],[السنــــة]],Tabledaily[[#This Row],[الشهــــر]],Tabledaily[[#This Row],[الـــــيوم]])</f>
        <v>46190</v>
      </c>
      <c r="U111" s="28">
        <v>46194.789178240739</v>
      </c>
      <c r="V111" s="22"/>
      <c r="W111" s="24">
        <f>YEAR(Tabledaily[[#This Row],[التاريخ]])</f>
        <v>2026</v>
      </c>
      <c r="X111" s="24">
        <f>MONTH(Tabledaily[[#This Row],[التاريخ]])</f>
        <v>6</v>
      </c>
      <c r="Y111" s="24">
        <f>DAY(Tabledaily[[#This Row],[التاريخ]])</f>
        <v>17</v>
      </c>
      <c r="Z11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A111" s="24" t="str">
        <f>IF(COUNTIF(TableDailyJournal[رقم العملية],Tabledaily[[#This Row],[رقم العملية]])&gt;1,"مرحل","غير مرحل")</f>
        <v>مرحل</v>
      </c>
    </row>
    <row r="112" spans="1:27" ht="22.9" customHeight="1" x14ac:dyDescent="0.55000000000000004">
      <c r="A112" s="22">
        <f t="shared" si="2"/>
        <v>110</v>
      </c>
      <c r="B112" s="23" t="s">
        <v>882</v>
      </c>
      <c r="C112" s="213" t="s">
        <v>865</v>
      </c>
      <c r="D112" s="22" t="s">
        <v>290</v>
      </c>
      <c r="E112" s="22">
        <f>IFERROR(INDEX(TableJudje[رقم الحساب],MATCH(Tabledaily[[#This Row],[الحســاب الدئـــن]],TableJudje[اسم الحساب],0)),0)</f>
        <v>11060205</v>
      </c>
      <c r="F112" s="22" t="s">
        <v>513</v>
      </c>
      <c r="G112" s="22" t="s">
        <v>971</v>
      </c>
      <c r="H112" s="24">
        <f>IFERROR(INDEX(TableJudje[رقم الحساب],MATCH(Tabledaily[[#This Row],[الحســاب المديــــن]],TableJudje[اسم الحساب],0)),0)</f>
        <v>31010101</v>
      </c>
      <c r="I112" s="22" t="s">
        <v>111</v>
      </c>
      <c r="J112" s="22" t="s">
        <v>238</v>
      </c>
      <c r="K112" s="117">
        <v>45000</v>
      </c>
      <c r="L112" s="23">
        <v>405</v>
      </c>
      <c r="M112" s="118">
        <f>IFERROR(Tabledaily[[#This Row],[المبلـــــــغ]]/Tabledaily[[#This Row],[سعــــــر
الصـــــرف]],"")</f>
        <v>111.11111111111111</v>
      </c>
      <c r="N112" s="22" t="s">
        <v>565</v>
      </c>
      <c r="O112" s="22" t="s">
        <v>312</v>
      </c>
      <c r="P112" s="22" t="s">
        <v>312</v>
      </c>
      <c r="Q112" s="22"/>
      <c r="R112" s="22" t="s">
        <v>237</v>
      </c>
      <c r="S112" s="24">
        <f>IFERROR(INDEX(tablecost[رقم المركز],MATCH(Tabledaily[[#This Row],[مركـــــــزالتكلفــــــة]],tablecost[الاسم],0)),0)</f>
        <v>1</v>
      </c>
      <c r="T112" s="27">
        <f>DATE(Tabledaily[[#This Row],[السنــــة]],Tabledaily[[#This Row],[الشهــــر]],Tabledaily[[#This Row],[الـــــيوم]])</f>
        <v>46190</v>
      </c>
      <c r="U112" s="28">
        <v>46194.787881944445</v>
      </c>
      <c r="V112" s="22"/>
      <c r="W112" s="24">
        <f>YEAR(Tabledaily[[#This Row],[التاريخ]])</f>
        <v>2026</v>
      </c>
      <c r="X112" s="24">
        <f>MONTH(Tabledaily[[#This Row],[التاريخ]])</f>
        <v>6</v>
      </c>
      <c r="Y112" s="24">
        <f>DAY(Tabledaily[[#This Row],[التاريخ]])</f>
        <v>17</v>
      </c>
      <c r="Z11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لافراد المدفعية عدد 5 افراد بامر</v>
      </c>
      <c r="AA112" s="24" t="str">
        <f>IF(COUNTIF(TableDailyJournal[رقم العملية],Tabledaily[[#This Row],[رقم العملية]])&gt;1,"مرحل","غير مرحل")</f>
        <v>مرحل</v>
      </c>
    </row>
    <row r="113" spans="1:27" ht="22.9" customHeight="1" x14ac:dyDescent="0.55000000000000004">
      <c r="A113" s="22">
        <f t="shared" si="2"/>
        <v>111</v>
      </c>
      <c r="B113" s="23" t="s">
        <v>880</v>
      </c>
      <c r="C113" s="213" t="s">
        <v>865</v>
      </c>
      <c r="D113" s="22" t="s">
        <v>290</v>
      </c>
      <c r="E113" s="22">
        <f>IFERROR(INDEX(TableJudje[رقم الحساب],MATCH(Tabledaily[[#This Row],[الحســاب الدئـــن]],TableJudje[اسم الحساب],0)),0)</f>
        <v>11060205</v>
      </c>
      <c r="F113" s="22" t="s">
        <v>513</v>
      </c>
      <c r="G113" s="22" t="s">
        <v>881</v>
      </c>
      <c r="H113" s="24">
        <f>IFERROR(INDEX(TableJudje[رقم الحساب],MATCH(Tabledaily[[#This Row],[الحســاب المديــــن]],TableJudje[اسم الحساب],0)),0)</f>
        <v>31010101</v>
      </c>
      <c r="I113" s="22" t="s">
        <v>111</v>
      </c>
      <c r="J113" s="22" t="s">
        <v>238</v>
      </c>
      <c r="K113" s="117">
        <v>110000</v>
      </c>
      <c r="L113" s="23">
        <v>405</v>
      </c>
      <c r="M113" s="118">
        <f>IFERROR(Tabledaily[[#This Row],[المبلـــــــغ]]/Tabledaily[[#This Row],[سعــــــر
الصـــــرف]],"")</f>
        <v>271.60493827160496</v>
      </c>
      <c r="N113" s="22" t="s">
        <v>334</v>
      </c>
      <c r="O113" s="22" t="s">
        <v>312</v>
      </c>
      <c r="P113" s="22" t="s">
        <v>312</v>
      </c>
      <c r="Q113" s="22"/>
      <c r="R113" s="22" t="s">
        <v>237</v>
      </c>
      <c r="S113" s="24">
        <f>IFERROR(INDEX(tablecost[رقم المركز],MATCH(Tabledaily[[#This Row],[مركـــــــزالتكلفــــــة]],tablecost[الاسم],0)),0)</f>
        <v>1</v>
      </c>
      <c r="T113" s="27">
        <f>DATE(Tabledaily[[#This Row],[السنــــة]],Tabledaily[[#This Row],[الشهــــر]],Tabledaily[[#This Row],[الـــــيوم]])</f>
        <v>46190</v>
      </c>
      <c r="U113" s="28">
        <v>46194.786527777775</v>
      </c>
      <c r="V113" s="22"/>
      <c r="W113" s="24">
        <f>YEAR(Tabledaily[[#This Row],[التاريخ]])</f>
        <v>2026</v>
      </c>
      <c r="X113" s="24">
        <f>MONTH(Tabledaily[[#This Row],[التاريخ]])</f>
        <v>6</v>
      </c>
      <c r="Y113" s="24">
        <f>DAY(Tabledaily[[#This Row],[التاريخ]])</f>
        <v>17</v>
      </c>
      <c r="Z11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لافراد الاستخبارات عدد 7 افراد بامر</v>
      </c>
      <c r="AA113" s="24" t="str">
        <f>IF(COUNTIF(TableDailyJournal[رقم العملية],Tabledaily[[#This Row],[رقم العملية]])&gt;1,"مرحل","غير مرحل")</f>
        <v>مرحل</v>
      </c>
    </row>
    <row r="114" spans="1:27" ht="22.9" customHeight="1" x14ac:dyDescent="0.55000000000000004">
      <c r="A114" s="22">
        <f t="shared" si="2"/>
        <v>112</v>
      </c>
      <c r="B114" s="23" t="s">
        <v>877</v>
      </c>
      <c r="C114" s="213" t="s">
        <v>865</v>
      </c>
      <c r="D114" s="22" t="s">
        <v>290</v>
      </c>
      <c r="E114" s="22">
        <f>IFERROR(INDEX(TableJudje[رقم الحساب],MATCH(Tabledaily[[#This Row],[الحســاب الدئـــن]],TableJudje[اسم الحساب],0)),0)</f>
        <v>11060205</v>
      </c>
      <c r="F114" s="22" t="s">
        <v>513</v>
      </c>
      <c r="G114" s="22" t="s">
        <v>878</v>
      </c>
      <c r="H114" s="24">
        <f>IFERROR(INDEX(TableJudje[رقم الحساب],MATCH(Tabledaily[[#This Row],[الحســاب المديــــن]],TableJudje[اسم الحساب],0)),0)</f>
        <v>31010101</v>
      </c>
      <c r="I114" s="22" t="s">
        <v>111</v>
      </c>
      <c r="J114" s="22" t="s">
        <v>238</v>
      </c>
      <c r="K114" s="117">
        <v>15000</v>
      </c>
      <c r="L114" s="23">
        <v>405</v>
      </c>
      <c r="M114" s="118">
        <f>IFERROR(Tabledaily[[#This Row],[المبلـــــــغ]]/Tabledaily[[#This Row],[سعــــــر
الصـــــرف]],"")</f>
        <v>37.037037037037038</v>
      </c>
      <c r="N114" s="22" t="s">
        <v>879</v>
      </c>
      <c r="O114" s="22" t="s">
        <v>312</v>
      </c>
      <c r="P114" s="22" t="s">
        <v>312</v>
      </c>
      <c r="Q114" s="22"/>
      <c r="R114" s="22" t="s">
        <v>237</v>
      </c>
      <c r="S114" s="24">
        <f>IFERROR(INDEX(tablecost[رقم المركز],MATCH(Tabledaily[[#This Row],[مركـــــــزالتكلفــــــة]],tablecost[الاسم],0)),0)</f>
        <v>1</v>
      </c>
      <c r="T114" s="27">
        <f>DATE(Tabledaily[[#This Row],[السنــــة]],Tabledaily[[#This Row],[الشهــــر]],Tabledaily[[#This Row],[الـــــيوم]])</f>
        <v>46190</v>
      </c>
      <c r="U114" s="28">
        <v>46194.785057870373</v>
      </c>
      <c r="V114" s="22"/>
      <c r="W114" s="24">
        <f>YEAR(Tabledaily[[#This Row],[التاريخ]])</f>
        <v>2026</v>
      </c>
      <c r="X114" s="24">
        <f>MONTH(Tabledaily[[#This Row],[التاريخ]])</f>
        <v>6</v>
      </c>
      <c r="Y114" s="24">
        <f>DAY(Tabledaily[[#This Row],[التاريخ]])</f>
        <v>17</v>
      </c>
      <c r="Z11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 الفرقة الثالثة)  - كشف صرف رقم   كشف صرف - صرف الصرفة اليومية لافراد البشرية عدد1 بامر</v>
      </c>
      <c r="AA114" s="24" t="str">
        <f>IF(COUNTIF(TableDailyJournal[رقم العملية],Tabledaily[[#This Row],[رقم العملية]])&gt;1,"مرحل","غير مرحل")</f>
        <v>مرحل</v>
      </c>
    </row>
    <row r="115" spans="1:27" ht="22.9" customHeight="1" x14ac:dyDescent="0.55000000000000004">
      <c r="A115" s="22">
        <f t="shared" si="2"/>
        <v>113</v>
      </c>
      <c r="B115" s="23" t="s">
        <v>874</v>
      </c>
      <c r="C115" s="213" t="s">
        <v>865</v>
      </c>
      <c r="D115" s="22" t="s">
        <v>290</v>
      </c>
      <c r="E115" s="22">
        <f>IFERROR(INDEX(TableJudje[رقم الحساب],MATCH(Tabledaily[[#This Row],[الحســاب الدئـــن]],TableJudje[اسم الحساب],0)),0)</f>
        <v>11060205</v>
      </c>
      <c r="F115" s="22" t="s">
        <v>513</v>
      </c>
      <c r="G115" s="22" t="s">
        <v>875</v>
      </c>
      <c r="H115" s="24">
        <f>IFERROR(INDEX(TableJudje[رقم الحساب],MATCH(Tabledaily[[#This Row],[الحســاب المديــــن]],TableJudje[اسم الحساب],0)),0)</f>
        <v>31010101</v>
      </c>
      <c r="I115" s="22" t="s">
        <v>111</v>
      </c>
      <c r="J115" s="22" t="s">
        <v>238</v>
      </c>
      <c r="K115" s="117">
        <v>25000</v>
      </c>
      <c r="L115" s="23">
        <v>405</v>
      </c>
      <c r="M115" s="118">
        <f>IFERROR(Tabledaily[[#This Row],[المبلـــــــغ]]/Tabledaily[[#This Row],[سعــــــر
الصـــــرف]],"")</f>
        <v>61.728395061728392</v>
      </c>
      <c r="N115" s="22" t="s">
        <v>876</v>
      </c>
      <c r="O115" s="22" t="s">
        <v>312</v>
      </c>
      <c r="P115" s="22" t="s">
        <v>312</v>
      </c>
      <c r="Q115" s="22"/>
      <c r="R115" s="22" t="s">
        <v>237</v>
      </c>
      <c r="S115" s="24">
        <f>IFERROR(INDEX(tablecost[رقم المركز],MATCH(Tabledaily[[#This Row],[مركـــــــزالتكلفــــــة]],tablecost[الاسم],0)),0)</f>
        <v>1</v>
      </c>
      <c r="T115" s="27">
        <f>DATE(Tabledaily[[#This Row],[السنــــة]],Tabledaily[[#This Row],[الشهــــر]],Tabledaily[[#This Row],[الـــــيوم]])</f>
        <v>46190</v>
      </c>
      <c r="U115" s="28">
        <v>46194.784050925926</v>
      </c>
      <c r="V115" s="22"/>
      <c r="W115" s="24">
        <f>YEAR(Tabledaily[[#This Row],[التاريخ]])</f>
        <v>2026</v>
      </c>
      <c r="X115" s="24">
        <f>MONTH(Tabledaily[[#This Row],[التاريخ]])</f>
        <v>6</v>
      </c>
      <c r="Y115" s="24">
        <f>DAY(Tabledaily[[#This Row],[التاريخ]])</f>
        <v>17</v>
      </c>
      <c r="Z11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المحاسبين  - الفرقة الثالثة)  - كشف صرف رقم   كشف صرف - صرف الصرفة اليومية للمحاسبين عدد2 بامر</v>
      </c>
      <c r="AA115" s="24" t="str">
        <f>IF(COUNTIF(TableDailyJournal[رقم العملية],Tabledaily[[#This Row],[رقم العملية]])&gt;1,"مرحل","غير مرحل")</f>
        <v>مرحل</v>
      </c>
    </row>
    <row r="116" spans="1:27" ht="22.9" customHeight="1" x14ac:dyDescent="0.55000000000000004">
      <c r="A116" s="22">
        <f t="shared" si="2"/>
        <v>114</v>
      </c>
      <c r="B116" s="23" t="s">
        <v>871</v>
      </c>
      <c r="C116" s="213" t="s">
        <v>865</v>
      </c>
      <c r="D116" s="22" t="s">
        <v>290</v>
      </c>
      <c r="E116" s="22">
        <f>IFERROR(INDEX(TableJudje[رقم الحساب],MATCH(Tabledaily[[#This Row],[الحســاب الدئـــن]],TableJudje[اسم الحساب],0)),0)</f>
        <v>11060205</v>
      </c>
      <c r="F116" s="22" t="s">
        <v>513</v>
      </c>
      <c r="G116" s="22" t="s">
        <v>872</v>
      </c>
      <c r="H116" s="24">
        <f>IFERROR(INDEX(TableJudje[رقم الحساب],MATCH(Tabledaily[[#This Row],[الحســاب المديــــن]],TableJudje[اسم الحساب],0)),0)</f>
        <v>31010101</v>
      </c>
      <c r="I116" s="22" t="s">
        <v>111</v>
      </c>
      <c r="J116" s="22" t="s">
        <v>238</v>
      </c>
      <c r="K116" s="117">
        <v>31000</v>
      </c>
      <c r="L116" s="23">
        <v>405</v>
      </c>
      <c r="M116" s="118">
        <f>IFERROR(Tabledaily[[#This Row],[المبلـــــــغ]]/Tabledaily[[#This Row],[سعــــــر
الصـــــرف]],"")</f>
        <v>76.543209876543216</v>
      </c>
      <c r="N116" s="22" t="s">
        <v>873</v>
      </c>
      <c r="O116" s="22" t="s">
        <v>312</v>
      </c>
      <c r="P116" s="22" t="s">
        <v>312</v>
      </c>
      <c r="Q116" s="22"/>
      <c r="R116" s="22" t="s">
        <v>237</v>
      </c>
      <c r="S116" s="24">
        <f>IFERROR(INDEX(tablecost[رقم المركز],MATCH(Tabledaily[[#This Row],[مركـــــــزالتكلفــــــة]],tablecost[الاسم],0)),0)</f>
        <v>1</v>
      </c>
      <c r="T116" s="27">
        <f>DATE(Tabledaily[[#This Row],[السنــــة]],Tabledaily[[#This Row],[الشهــــر]],Tabledaily[[#This Row],[الـــــيوم]])</f>
        <v>46190</v>
      </c>
      <c r="U116" s="28">
        <v>46194.783078703702</v>
      </c>
      <c r="V116" s="22"/>
      <c r="W116" s="24">
        <f>YEAR(Tabledaily[[#This Row],[التاريخ]])</f>
        <v>2026</v>
      </c>
      <c r="X116" s="24">
        <f>MONTH(Tabledaily[[#This Row],[التاريخ]])</f>
        <v>6</v>
      </c>
      <c r="Y116" s="24">
        <f>DAY(Tabledaily[[#This Row],[التاريخ]])</f>
        <v>17</v>
      </c>
      <c r="Z11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قسم المشتريات - الفرقة الثالثة)  - كشف صرف رقم   كشف صرف - صرف الصرفة اليومية لافراد قسم المشتريات عدد3 بامر</v>
      </c>
      <c r="AA116" s="24" t="str">
        <f>IF(COUNTIF(TableDailyJournal[رقم العملية],Tabledaily[[#This Row],[رقم العملية]])&gt;1,"مرحل","غير مرحل")</f>
        <v>مرحل</v>
      </c>
    </row>
    <row r="117" spans="1:27" ht="22.9" customHeight="1" x14ac:dyDescent="0.55000000000000004">
      <c r="A117" s="22">
        <f t="shared" si="2"/>
        <v>115</v>
      </c>
      <c r="B117" s="23" t="s">
        <v>868</v>
      </c>
      <c r="C117" s="213" t="s">
        <v>865</v>
      </c>
      <c r="D117" s="22" t="s">
        <v>290</v>
      </c>
      <c r="E117" s="22">
        <f>IFERROR(INDEX(TableJudje[رقم الحساب],MATCH(Tabledaily[[#This Row],[الحســاب الدئـــن]],TableJudje[اسم الحساب],0)),0)</f>
        <v>11060205</v>
      </c>
      <c r="F117" s="22" t="s">
        <v>513</v>
      </c>
      <c r="G117" s="22" t="s">
        <v>869</v>
      </c>
      <c r="H117" s="24">
        <f>IFERROR(INDEX(TableJudje[رقم الحساب],MATCH(Tabledaily[[#This Row],[الحســاب المديــــن]],TableJudje[اسم الحساب],0)),0)</f>
        <v>31010101</v>
      </c>
      <c r="I117" s="22" t="s">
        <v>111</v>
      </c>
      <c r="J117" s="22" t="s">
        <v>238</v>
      </c>
      <c r="K117" s="117">
        <v>23000</v>
      </c>
      <c r="L117" s="23">
        <v>405</v>
      </c>
      <c r="M117" s="118">
        <f>IFERROR(Tabledaily[[#This Row],[المبلـــــــغ]]/Tabledaily[[#This Row],[سعــــــر
الصـــــرف]],"")</f>
        <v>56.790123456790127</v>
      </c>
      <c r="N117" s="22" t="s">
        <v>870</v>
      </c>
      <c r="O117" s="22" t="s">
        <v>312</v>
      </c>
      <c r="P117" s="22" t="s">
        <v>312</v>
      </c>
      <c r="Q117" s="22"/>
      <c r="R117" s="22" t="s">
        <v>237</v>
      </c>
      <c r="S117" s="24">
        <f>IFERROR(INDEX(tablecost[رقم المركز],MATCH(Tabledaily[[#This Row],[مركـــــــزالتكلفــــــة]],tablecost[الاسم],0)),0)</f>
        <v>1</v>
      </c>
      <c r="T117" s="27">
        <f>DATE(Tabledaily[[#This Row],[السنــــة]],Tabledaily[[#This Row],[الشهــــر]],Tabledaily[[#This Row],[الـــــيوم]])</f>
        <v>46190</v>
      </c>
      <c r="U117" s="28">
        <v>46194.781701388885</v>
      </c>
      <c r="V117" s="22"/>
      <c r="W117" s="24">
        <f>YEAR(Tabledaily[[#This Row],[التاريخ]])</f>
        <v>2026</v>
      </c>
      <c r="X117" s="24">
        <f>MONTH(Tabledaily[[#This Row],[التاريخ]])</f>
        <v>6</v>
      </c>
      <c r="Y117" s="24">
        <f>DAY(Tabledaily[[#This Row],[التاريخ]])</f>
        <v>17</v>
      </c>
      <c r="Z11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طبية - الفرقة الثالثة)  - كشف صرف رقم   كشف صرف - صرف الصرفة اليومية لافراد الطبية عدد 3 افراد بامر</v>
      </c>
      <c r="AA117" s="24" t="str">
        <f>IF(COUNTIF(TableDailyJournal[رقم العملية],Tabledaily[[#This Row],[رقم العملية]])&gt;1,"مرحل","غير مرحل")</f>
        <v>مرحل</v>
      </c>
    </row>
    <row r="118" spans="1:27" ht="22.9" customHeight="1" x14ac:dyDescent="0.55000000000000004">
      <c r="A118" s="22">
        <f t="shared" si="2"/>
        <v>116</v>
      </c>
      <c r="B118" s="23" t="s">
        <v>867</v>
      </c>
      <c r="C118" s="213" t="s">
        <v>865</v>
      </c>
      <c r="D118" s="22" t="s">
        <v>290</v>
      </c>
      <c r="E118" s="22">
        <f>IFERROR(INDEX(TableJudje[رقم الحساب],MATCH(Tabledaily[[#This Row],[الحســاب الدئـــن]],TableJudje[اسم الحساب],0)),0)</f>
        <v>11060205</v>
      </c>
      <c r="F118" s="22" t="s">
        <v>513</v>
      </c>
      <c r="G118" s="22" t="s">
        <v>831</v>
      </c>
      <c r="H118" s="24">
        <f>IFERROR(INDEX(TableJudje[رقم الحساب],MATCH(Tabledaily[[#This Row],[الحســاب المديــــن]],TableJudje[اسم الحساب],0)),0)</f>
        <v>31010101</v>
      </c>
      <c r="I118" s="22" t="s">
        <v>111</v>
      </c>
      <c r="J118" s="22" t="s">
        <v>238</v>
      </c>
      <c r="K118" s="117">
        <v>70000</v>
      </c>
      <c r="L118" s="23">
        <v>405</v>
      </c>
      <c r="M118" s="118">
        <f>IFERROR(Tabledaily[[#This Row],[المبلـــــــغ]]/Tabledaily[[#This Row],[سعــــــر
الصـــــرف]],"")</f>
        <v>172.83950617283949</v>
      </c>
      <c r="N118" s="22" t="s">
        <v>340</v>
      </c>
      <c r="O118" s="22" t="s">
        <v>312</v>
      </c>
      <c r="P118" s="22" t="s">
        <v>312</v>
      </c>
      <c r="Q118" s="22"/>
      <c r="R118" s="22" t="s">
        <v>237</v>
      </c>
      <c r="S118" s="24">
        <f>IFERROR(INDEX(tablecost[رقم المركز],MATCH(Tabledaily[[#This Row],[مركـــــــزالتكلفــــــة]],tablecost[الاسم],0)),0)</f>
        <v>1</v>
      </c>
      <c r="T118" s="27">
        <f>DATE(Tabledaily[[#This Row],[السنــــة]],Tabledaily[[#This Row],[الشهــــر]],Tabledaily[[#This Row],[الـــــيوم]])</f>
        <v>46190</v>
      </c>
      <c r="U118" s="28">
        <v>46194.779745370368</v>
      </c>
      <c r="V118" s="22"/>
      <c r="W118" s="24">
        <f>YEAR(Tabledaily[[#This Row],[التاريخ]])</f>
        <v>2026</v>
      </c>
      <c r="X118" s="24">
        <f>MONTH(Tabledaily[[#This Row],[التاريخ]])</f>
        <v>6</v>
      </c>
      <c r="Y118" s="24">
        <f>DAY(Tabledaily[[#This Row],[التاريخ]])</f>
        <v>17</v>
      </c>
      <c r="Z11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فرد بامر</v>
      </c>
      <c r="AA118" s="24" t="str">
        <f>IF(COUNTIF(TableDailyJournal[رقم العملية],Tabledaily[[#This Row],[رقم العملية]])&gt;1,"مرحل","غير مرحل")</f>
        <v>مرحل</v>
      </c>
    </row>
    <row r="119" spans="1:27" ht="22.9" customHeight="1" x14ac:dyDescent="0.55000000000000004">
      <c r="A119" s="22">
        <f t="shared" si="2"/>
        <v>117</v>
      </c>
      <c r="B119" s="23" t="s">
        <v>866</v>
      </c>
      <c r="C119" s="213" t="s">
        <v>865</v>
      </c>
      <c r="D119" s="22" t="s">
        <v>290</v>
      </c>
      <c r="E119" s="22">
        <f>IFERROR(INDEX(TableJudje[رقم الحساب],MATCH(Tabledaily[[#This Row],[الحســاب الدئـــن]],TableJudje[اسم الحساب],0)),0)</f>
        <v>11060205</v>
      </c>
      <c r="F119" s="22" t="s">
        <v>513</v>
      </c>
      <c r="G119" s="22" t="s">
        <v>829</v>
      </c>
      <c r="H119" s="24">
        <f>IFERROR(INDEX(TableJudje[رقم الحساب],MATCH(Tabledaily[[#This Row],[الحســاب المديــــن]],TableJudje[اسم الحساب],0)),0)</f>
        <v>31010101</v>
      </c>
      <c r="I119" s="22" t="s">
        <v>111</v>
      </c>
      <c r="J119" s="22" t="s">
        <v>238</v>
      </c>
      <c r="K119" s="117">
        <v>65000</v>
      </c>
      <c r="L119" s="23">
        <v>405</v>
      </c>
      <c r="M119" s="118">
        <f>IFERROR(Tabledaily[[#This Row],[المبلـــــــغ]]/Tabledaily[[#This Row],[سعــــــر
الصـــــرف]],"")</f>
        <v>160.49382716049382</v>
      </c>
      <c r="N119" s="22" t="s">
        <v>343</v>
      </c>
      <c r="O119" s="22" t="s">
        <v>312</v>
      </c>
      <c r="P119" s="22" t="s">
        <v>312</v>
      </c>
      <c r="Q119" s="22"/>
      <c r="R119" s="22" t="s">
        <v>237</v>
      </c>
      <c r="S119" s="24">
        <f>IFERROR(INDEX(tablecost[رقم المركز],MATCH(Tabledaily[[#This Row],[مركـــــــزالتكلفــــــة]],tablecost[الاسم],0)),0)</f>
        <v>1</v>
      </c>
      <c r="T119" s="27">
        <f>DATE(Tabledaily[[#This Row],[السنــــة]],Tabledaily[[#This Row],[الشهــــر]],Tabledaily[[#This Row],[الـــــيوم]])</f>
        <v>46190</v>
      </c>
      <c r="U119" s="28">
        <v>46194.778252314813</v>
      </c>
      <c r="V119" s="22"/>
      <c r="W119" s="24">
        <f>YEAR(Tabledaily[[#This Row],[التاريخ]])</f>
        <v>2026</v>
      </c>
      <c r="X119" s="24">
        <f>MONTH(Tabledaily[[#This Row],[التاريخ]])</f>
        <v>6</v>
      </c>
      <c r="Y119" s="24">
        <f>DAY(Tabledaily[[#This Row],[التاريخ]])</f>
        <v>17</v>
      </c>
      <c r="Z11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9 بامر</v>
      </c>
      <c r="AA119" s="24" t="str">
        <f>IF(COUNTIF(TableDailyJournal[رقم العملية],Tabledaily[[#This Row],[رقم العملية]])&gt;1,"مرحل","غير مرحل")</f>
        <v>مرحل</v>
      </c>
    </row>
    <row r="120" spans="1:27" ht="22.9" customHeight="1" x14ac:dyDescent="0.55000000000000004">
      <c r="A120" s="22">
        <f t="shared" si="2"/>
        <v>118</v>
      </c>
      <c r="B120" s="23" t="s">
        <v>864</v>
      </c>
      <c r="C120" s="213" t="s">
        <v>865</v>
      </c>
      <c r="D120" s="22" t="s">
        <v>290</v>
      </c>
      <c r="E120" s="22">
        <f>IFERROR(INDEX(TableJudje[رقم الحساب],MATCH(Tabledaily[[#This Row],[الحســاب الدئـــن]],TableJudje[اسم الحساب],0)),0)</f>
        <v>11060205</v>
      </c>
      <c r="F120" s="22" t="s">
        <v>513</v>
      </c>
      <c r="G120" s="22" t="s">
        <v>641</v>
      </c>
      <c r="H120" s="24">
        <f>IFERROR(INDEX(TableJudje[رقم الحساب],MATCH(Tabledaily[[#This Row],[الحســاب المديــــن]],TableJudje[اسم الحساب],0)),0)</f>
        <v>31010101</v>
      </c>
      <c r="I120" s="22" t="s">
        <v>111</v>
      </c>
      <c r="J120" s="22" t="s">
        <v>238</v>
      </c>
      <c r="K120" s="117">
        <v>152000</v>
      </c>
      <c r="L120" s="23">
        <v>405</v>
      </c>
      <c r="M120" s="118">
        <f>IFERROR(Tabledaily[[#This Row],[المبلـــــــغ]]/Tabledaily[[#This Row],[سعــــــر
الصـــــرف]],"")</f>
        <v>375.30864197530866</v>
      </c>
      <c r="N120" s="22" t="s">
        <v>311</v>
      </c>
      <c r="O120" s="22" t="s">
        <v>312</v>
      </c>
      <c r="P120" s="22" t="s">
        <v>312</v>
      </c>
      <c r="Q120" s="22"/>
      <c r="R120" s="22" t="s">
        <v>248</v>
      </c>
      <c r="S120" s="24">
        <f>IFERROR(INDEX(tablecost[رقم المركز],MATCH(Tabledaily[[#This Row],[مركـــــــزالتكلفــــــة]],tablecost[الاسم],0)),0)</f>
        <v>7</v>
      </c>
      <c r="T120" s="27">
        <f>DATE(Tabledaily[[#This Row],[السنــــة]],Tabledaily[[#This Row],[الشهــــر]],Tabledaily[[#This Row],[الـــــيوم]])</f>
        <v>46190</v>
      </c>
      <c r="U120" s="28">
        <v>46194.773541666669</v>
      </c>
      <c r="V120" s="22"/>
      <c r="W120" s="24">
        <f>YEAR(Tabledaily[[#This Row],[التاريخ]])</f>
        <v>2026</v>
      </c>
      <c r="X120" s="24">
        <f>MONTH(Tabledaily[[#This Row],[التاريخ]])</f>
        <v>6</v>
      </c>
      <c r="Y120" s="24">
        <f>DAY(Tabledaily[[#This Row],[التاريخ]])</f>
        <v>17</v>
      </c>
      <c r="Z12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38 بامر</v>
      </c>
      <c r="AA120" s="24" t="str">
        <f>IF(COUNTIF(TableDailyJournal[رقم العملية],Tabledaily[[#This Row],[رقم العملية]])&gt;1,"مرحل","غير مرحل")</f>
        <v>مرحل</v>
      </c>
    </row>
    <row r="121" spans="1:27" ht="22.9" customHeight="1" x14ac:dyDescent="0.55000000000000004">
      <c r="A121" s="22">
        <f t="shared" si="2"/>
        <v>119</v>
      </c>
      <c r="B121" s="23" t="s">
        <v>859</v>
      </c>
      <c r="C121" s="213" t="s">
        <v>860</v>
      </c>
      <c r="D121" s="22" t="s">
        <v>290</v>
      </c>
      <c r="E121" s="22">
        <f>IFERROR(INDEX(TableJudje[رقم الحساب],MATCH(Tabledaily[[#This Row],[الحســاب الدئـــن]],TableJudje[اسم الحساب],0)),0)</f>
        <v>11060205</v>
      </c>
      <c r="F121" s="22" t="s">
        <v>513</v>
      </c>
      <c r="G121" s="22" t="s">
        <v>857</v>
      </c>
      <c r="H121" s="24">
        <f>IFERROR(INDEX(TableJudje[رقم الحساب],MATCH(Tabledaily[[#This Row],[الحســاب المديــــن]],TableJudje[اسم الحساب],0)),0)</f>
        <v>11060210</v>
      </c>
      <c r="I121" s="22" t="s">
        <v>855</v>
      </c>
      <c r="J121" s="22" t="s">
        <v>238</v>
      </c>
      <c r="K121" s="117">
        <v>500000</v>
      </c>
      <c r="L121" s="23">
        <v>405</v>
      </c>
      <c r="M121" s="118">
        <f>IFERROR(Tabledaily[[#This Row],[المبلـــــــغ]]/Tabledaily[[#This Row],[سعــــــر
الصـــــرف]],"")</f>
        <v>1234.5679012345679</v>
      </c>
      <c r="N121" s="22" t="s">
        <v>858</v>
      </c>
      <c r="O121" s="22" t="s">
        <v>286</v>
      </c>
      <c r="P121" s="22" t="s">
        <v>287</v>
      </c>
      <c r="Q121" s="22"/>
      <c r="R121" s="22" t="s">
        <v>237</v>
      </c>
      <c r="S121" s="24">
        <f>IFERROR(INDEX(tablecost[رقم المركز],MATCH(Tabledaily[[#This Row],[مركـــــــزالتكلفــــــة]],tablecost[الاسم],0)),0)</f>
        <v>1</v>
      </c>
      <c r="T121" s="27">
        <f>DATE(Tabledaily[[#This Row],[السنــــة]],Tabledaily[[#This Row],[الشهــــر]],Tabledaily[[#This Row],[الـــــيوم]])</f>
        <v>46192</v>
      </c>
      <c r="U121" s="28">
        <v>46193.829594907409</v>
      </c>
      <c r="V121" s="22"/>
      <c r="W121" s="24">
        <f>YEAR(Tabledaily[[#This Row],[التاريخ]])</f>
        <v>2026</v>
      </c>
      <c r="X121" s="24">
        <f>MONTH(Tabledaily[[#This Row],[التاريخ]])</f>
        <v>6</v>
      </c>
      <c r="Y121" s="24">
        <f>DAY(Tabledaily[[#This Row],[التاريخ]])</f>
        <v>19</v>
      </c>
      <c r="Z12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عبدالله باعمر - عبدالله باعمر - الفرقة الثالثة)  - استلام نقدي رقم   سند استلام - صرف مبلغ بيد عبدالله باعمر بامر</v>
      </c>
      <c r="AA121" s="24" t="str">
        <f>IF(COUNTIF(TableDailyJournal[رقم العملية],Tabledaily[[#This Row],[رقم العملية]])&gt;1,"مرحل","غير مرحل")</f>
        <v>مرحل</v>
      </c>
    </row>
    <row r="122" spans="1:27" ht="22.9" customHeight="1" x14ac:dyDescent="0.55000000000000004">
      <c r="A122" s="22">
        <f t="shared" si="2"/>
        <v>120</v>
      </c>
      <c r="B122" s="23" t="s">
        <v>856</v>
      </c>
      <c r="C122" s="213" t="s">
        <v>828</v>
      </c>
      <c r="D122" s="22" t="s">
        <v>290</v>
      </c>
      <c r="E122" s="22">
        <f>IFERROR(INDEX(TableJudje[رقم الحساب],MATCH(Tabledaily[[#This Row],[الحســاب الدئـــن]],TableJudje[اسم الحساب],0)),0)</f>
        <v>11060205</v>
      </c>
      <c r="F122" s="22" t="s">
        <v>513</v>
      </c>
      <c r="G122" s="22" t="s">
        <v>857</v>
      </c>
      <c r="H122" s="24">
        <f>IFERROR(INDEX(TableJudje[رقم الحساب],MATCH(Tabledaily[[#This Row],[الحســاب المديــــن]],TableJudje[اسم الحساب],0)),0)</f>
        <v>11060209</v>
      </c>
      <c r="I122" s="22" t="s">
        <v>824</v>
      </c>
      <c r="J122" s="22" t="s">
        <v>241</v>
      </c>
      <c r="K122" s="117">
        <v>2000</v>
      </c>
      <c r="L122" s="23">
        <v>1</v>
      </c>
      <c r="M122" s="118">
        <f>IFERROR(Tabledaily[[#This Row],[المبلـــــــغ]]/Tabledaily[[#This Row],[سعــــــر
الصـــــرف]],"")</f>
        <v>2000</v>
      </c>
      <c r="N122" s="22" t="s">
        <v>858</v>
      </c>
      <c r="O122" s="22" t="s">
        <v>286</v>
      </c>
      <c r="P122" s="22" t="s">
        <v>287</v>
      </c>
      <c r="Q122" s="22"/>
      <c r="R122" s="22" t="s">
        <v>237</v>
      </c>
      <c r="S122" s="24">
        <f>IFERROR(INDEX(tablecost[رقم المركز],MATCH(Tabledaily[[#This Row],[مركـــــــزالتكلفــــــة]],tablecost[الاسم],0)),0)</f>
        <v>1</v>
      </c>
      <c r="T122" s="27">
        <f>DATE(Tabledaily[[#This Row],[السنــــة]],Tabledaily[[#This Row],[الشهــــر]],Tabledaily[[#This Row],[الـــــيوم]])</f>
        <v>46189</v>
      </c>
      <c r="U122" s="28">
        <v>46193.827835648146</v>
      </c>
      <c r="V122" s="22"/>
      <c r="W122" s="24">
        <f>YEAR(Tabledaily[[#This Row],[التاريخ]])</f>
        <v>2026</v>
      </c>
      <c r="X122" s="24">
        <f>MONTH(Tabledaily[[#This Row],[التاريخ]])</f>
        <v>6</v>
      </c>
      <c r="Y122" s="24">
        <f>DAY(Tabledaily[[#This Row],[التاريخ]])</f>
        <v>16</v>
      </c>
      <c r="Z12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جمال مسدوس - عبدالله باعمر - الفرقة الثالثة)  - استلام نقدي رقم   سند استلام - صرف مبلغ بيد عبدالله باعمر بامر</v>
      </c>
      <c r="AA122" s="24" t="str">
        <f>IF(COUNTIF(TableDailyJournal[رقم العملية],Tabledaily[[#This Row],[رقم العملية]])&gt;1,"مرحل","غير مرحل")</f>
        <v>مرحل</v>
      </c>
    </row>
    <row r="123" spans="1:27" ht="22.9" customHeight="1" x14ac:dyDescent="0.55000000000000004">
      <c r="A123" s="22">
        <f t="shared" si="2"/>
        <v>121</v>
      </c>
      <c r="B123" s="23" t="s">
        <v>853</v>
      </c>
      <c r="C123" s="213" t="s">
        <v>828</v>
      </c>
      <c r="D123" s="22" t="s">
        <v>290</v>
      </c>
      <c r="E123" s="22">
        <f>IFERROR(INDEX(TableJudje[رقم الحساب],MATCH(Tabledaily[[#This Row],[الحســاب الدئـــن]],TableJudje[اسم الحساب],0)),0)</f>
        <v>11060205</v>
      </c>
      <c r="F123" s="22" t="s">
        <v>513</v>
      </c>
      <c r="G123" s="22" t="s">
        <v>854</v>
      </c>
      <c r="H123" s="24">
        <f>IFERROR(INDEX(TableJudje[رقم الحساب],MATCH(Tabledaily[[#This Row],[الحســاب المديــــن]],TableJudje[اسم الحساب],0)),0)</f>
        <v>31010101</v>
      </c>
      <c r="I123" s="22" t="s">
        <v>111</v>
      </c>
      <c r="J123" s="22" t="s">
        <v>238</v>
      </c>
      <c r="K123" s="117">
        <v>124000</v>
      </c>
      <c r="L123" s="23">
        <v>405</v>
      </c>
      <c r="M123" s="118">
        <f>IFERROR(Tabledaily[[#This Row],[المبلـــــــغ]]/Tabledaily[[#This Row],[سعــــــر
الصـــــرف]],"")</f>
        <v>306.17283950617286</v>
      </c>
      <c r="N123" s="22" t="s">
        <v>311</v>
      </c>
      <c r="O123" s="22"/>
      <c r="P123" s="22"/>
      <c r="Q123" s="22"/>
      <c r="R123" s="22" t="s">
        <v>248</v>
      </c>
      <c r="S123" s="24">
        <f>IFERROR(INDEX(tablecost[رقم المركز],MATCH(Tabledaily[[#This Row],[مركـــــــزالتكلفــــــة]],tablecost[الاسم],0)),0)</f>
        <v>7</v>
      </c>
      <c r="T123" s="27">
        <f>DATE(Tabledaily[[#This Row],[السنــــة]],Tabledaily[[#This Row],[الشهــــر]],Tabledaily[[#This Row],[الـــــيوم]])</f>
        <v>46189</v>
      </c>
      <c r="U123" s="28">
        <v>46193.787916666668</v>
      </c>
      <c r="V123" s="22"/>
      <c r="W123" s="24">
        <f>YEAR(Tabledaily[[#This Row],[التاريخ]])</f>
        <v>2026</v>
      </c>
      <c r="X123" s="24">
        <f>MONTH(Tabledaily[[#This Row],[التاريخ]])</f>
        <v>6</v>
      </c>
      <c r="Y123" s="24">
        <f>DAY(Tabledaily[[#This Row],[التاريخ]])</f>
        <v>16</v>
      </c>
      <c r="Z12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رقم    - مصاريف يومية سرية اللواء السادس عدد 31 بامر</v>
      </c>
      <c r="AA123" s="24" t="str">
        <f>IF(COUNTIF(TableDailyJournal[رقم العملية],Tabledaily[[#This Row],[رقم العملية]])&gt;1,"مرحل","غير مرحل")</f>
        <v>مرحل</v>
      </c>
    </row>
    <row r="124" spans="1:27" ht="22.9" customHeight="1" x14ac:dyDescent="0.55000000000000004">
      <c r="A124" s="22">
        <f t="shared" si="2"/>
        <v>122</v>
      </c>
      <c r="B124" s="23" t="s">
        <v>851</v>
      </c>
      <c r="C124" s="213" t="s">
        <v>828</v>
      </c>
      <c r="D124" s="22" t="s">
        <v>290</v>
      </c>
      <c r="E124" s="22">
        <f>IFERROR(INDEX(TableJudje[رقم الحساب],MATCH(Tabledaily[[#This Row],[الحســاب الدئـــن]],TableJudje[اسم الحساب],0)),0)</f>
        <v>11060205</v>
      </c>
      <c r="F124" s="22" t="s">
        <v>513</v>
      </c>
      <c r="G124" s="22" t="s">
        <v>852</v>
      </c>
      <c r="H124" s="24">
        <f>IFERROR(INDEX(TableJudje[رقم الحساب],MATCH(Tabledaily[[#This Row],[الحســاب المديــــن]],TableJudje[اسم الحساب],0)),0)</f>
        <v>31010101</v>
      </c>
      <c r="I124" s="22" t="s">
        <v>111</v>
      </c>
      <c r="J124" s="22" t="s">
        <v>238</v>
      </c>
      <c r="K124" s="117">
        <v>78000</v>
      </c>
      <c r="L124" s="23">
        <v>405</v>
      </c>
      <c r="M124" s="118">
        <f>IFERROR(Tabledaily[[#This Row],[المبلـــــــغ]]/Tabledaily[[#This Row],[سعــــــر
الصـــــرف]],"")</f>
        <v>192.59259259259258</v>
      </c>
      <c r="N124" s="22" t="s">
        <v>322</v>
      </c>
      <c r="O124" s="22"/>
      <c r="P124" s="22"/>
      <c r="Q124" s="22"/>
      <c r="R124" s="22" t="s">
        <v>237</v>
      </c>
      <c r="S124" s="24">
        <f>IFERROR(INDEX(tablecost[رقم المركز],MATCH(Tabledaily[[#This Row],[مركـــــــزالتكلفــــــة]],tablecost[الاسم],0)),0)</f>
        <v>1</v>
      </c>
      <c r="T124" s="27">
        <f>DATE(Tabledaily[[#This Row],[السنــــة]],Tabledaily[[#This Row],[الشهــــر]],Tabledaily[[#This Row],[الـــــيوم]])</f>
        <v>46189</v>
      </c>
      <c r="U124" s="28">
        <v>46193.781504629631</v>
      </c>
      <c r="V124" s="22"/>
      <c r="W124" s="24">
        <f>YEAR(Tabledaily[[#This Row],[التاريخ]])</f>
        <v>2026</v>
      </c>
      <c r="X124" s="24">
        <f>MONTH(Tabledaily[[#This Row],[التاريخ]])</f>
        <v>6</v>
      </c>
      <c r="Y124" s="24">
        <f>DAY(Tabledaily[[#This Row],[التاريخ]])</f>
        <v>16</v>
      </c>
      <c r="Z12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رقم    - الصرفة اليومية اخرون عدد 9 بامر</v>
      </c>
      <c r="AA124" s="24" t="str">
        <f>IF(COUNTIF(TableDailyJournal[رقم العملية],Tabledaily[[#This Row],[رقم العملية]])&gt;1,"مرحل","غير مرحل")</f>
        <v>مرحل</v>
      </c>
    </row>
    <row r="125" spans="1:27" ht="22.9" customHeight="1" x14ac:dyDescent="0.55000000000000004">
      <c r="A125" s="22">
        <f t="shared" ref="A125:A134" si="3">ROW()-2</f>
        <v>123</v>
      </c>
      <c r="B125" s="23" t="s">
        <v>841</v>
      </c>
      <c r="C125" s="213" t="s">
        <v>828</v>
      </c>
      <c r="D125" s="22" t="s">
        <v>290</v>
      </c>
      <c r="E125" s="22">
        <f>IFERROR(INDEX(TableJudje[رقم الحساب],MATCH(Tabledaily[[#This Row],[الحســاب الدئـــن]],TableJudje[اسم الحساب],0)),0)</f>
        <v>11060205</v>
      </c>
      <c r="F125" s="22" t="s">
        <v>513</v>
      </c>
      <c r="G125" s="22" t="s">
        <v>728</v>
      </c>
      <c r="H125" s="24">
        <f>IFERROR(INDEX(TableJudje[رقم الحساب],MATCH(Tabledaily[[#This Row],[الحســاب المديــــن]],TableJudje[اسم الحساب],0)),0)</f>
        <v>31010101</v>
      </c>
      <c r="I125" s="22" t="s">
        <v>111</v>
      </c>
      <c r="J125" s="22" t="s">
        <v>238</v>
      </c>
      <c r="K125" s="117">
        <v>100000</v>
      </c>
      <c r="L125" s="23">
        <v>405</v>
      </c>
      <c r="M125" s="118">
        <f>IFERROR(Tabledaily[[#This Row],[المبلـــــــغ]]/Tabledaily[[#This Row],[سعــــــر
الصـــــرف]],"")</f>
        <v>246.91358024691357</v>
      </c>
      <c r="N125" s="22" t="s">
        <v>325</v>
      </c>
      <c r="O125" s="22"/>
      <c r="P125" s="22"/>
      <c r="Q125" s="22"/>
      <c r="R125" s="22" t="s">
        <v>237</v>
      </c>
      <c r="S125" s="24">
        <f>IFERROR(INDEX(tablecost[رقم المركز],MATCH(Tabledaily[[#This Row],[مركـــــــزالتكلفــــــة]],tablecost[الاسم],0)),0)</f>
        <v>1</v>
      </c>
      <c r="T125" s="27">
        <f>DATE(Tabledaily[[#This Row],[السنــــة]],Tabledaily[[#This Row],[الشهــــر]],Tabledaily[[#This Row],[الـــــيوم]])</f>
        <v>46189</v>
      </c>
      <c r="U125" s="28">
        <v>46193.768726851849</v>
      </c>
      <c r="V125" s="22"/>
      <c r="W125" s="24">
        <f>YEAR(Tabledaily[[#This Row],[التاريخ]])</f>
        <v>2026</v>
      </c>
      <c r="X125" s="24">
        <f>MONTH(Tabledaily[[#This Row],[التاريخ]])</f>
        <v>6</v>
      </c>
      <c r="Y125" s="24">
        <f>DAY(Tabledaily[[#This Row],[التاريخ]])</f>
        <v>16</v>
      </c>
      <c r="Z12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رقم    - صرف الصرفة اليومية ضباط سابقين لعدد 10 بامر</v>
      </c>
      <c r="AA125" s="24" t="str">
        <f>IF(COUNTIF(TableDailyJournal[رقم العملية],Tabledaily[[#This Row],[رقم العملية]])&gt;1,"مرحل","غير مرحل")</f>
        <v>مرحل</v>
      </c>
    </row>
    <row r="126" spans="1:27" ht="22.9" customHeight="1" x14ac:dyDescent="0.55000000000000004">
      <c r="A126" s="22">
        <f t="shared" si="3"/>
        <v>124</v>
      </c>
      <c r="B126" s="23" t="s">
        <v>840</v>
      </c>
      <c r="C126" s="213" t="s">
        <v>828</v>
      </c>
      <c r="D126" s="22" t="s">
        <v>290</v>
      </c>
      <c r="E126" s="22">
        <f>IFERROR(INDEX(TableJudje[رقم الحساب],MATCH(Tabledaily[[#This Row],[الحســاب الدئـــن]],TableJudje[اسم الحساب],0)),0)</f>
        <v>11060205</v>
      </c>
      <c r="F126" s="22" t="s">
        <v>513</v>
      </c>
      <c r="G126" s="22" t="s">
        <v>709</v>
      </c>
      <c r="H126" s="24">
        <f>IFERROR(INDEX(TableJudje[رقم الحساب],MATCH(Tabledaily[[#This Row],[الحســاب المديــــن]],TableJudje[اسم الحساب],0)),0)</f>
        <v>31010101</v>
      </c>
      <c r="I126" s="22" t="s">
        <v>111</v>
      </c>
      <c r="J126" s="22" t="s">
        <v>238</v>
      </c>
      <c r="K126" s="117">
        <v>18000</v>
      </c>
      <c r="L126" s="23">
        <v>405</v>
      </c>
      <c r="M126" s="118">
        <f>IFERROR(Tabledaily[[#This Row],[المبلـــــــغ]]/Tabledaily[[#This Row],[سعــــــر
الصـــــرف]],"")</f>
        <v>44.444444444444443</v>
      </c>
      <c r="N126" s="22" t="s">
        <v>374</v>
      </c>
      <c r="O126" s="22"/>
      <c r="P126" s="22"/>
      <c r="Q126" s="22"/>
      <c r="R126" s="22" t="s">
        <v>237</v>
      </c>
      <c r="S126" s="24">
        <f>IFERROR(INDEX(tablecost[رقم المركز],MATCH(Tabledaily[[#This Row],[مركـــــــزالتكلفــــــة]],tablecost[الاسم],0)),0)</f>
        <v>1</v>
      </c>
      <c r="T126" s="27">
        <f>DATE(Tabledaily[[#This Row],[السنــــة]],Tabledaily[[#This Row],[الشهــــر]],Tabledaily[[#This Row],[الـــــيوم]])</f>
        <v>46189</v>
      </c>
      <c r="U126" s="28">
        <v>46193.767083333332</v>
      </c>
      <c r="V126" s="22"/>
      <c r="W126" s="24">
        <f>YEAR(Tabledaily[[#This Row],[التاريخ]])</f>
        <v>2026</v>
      </c>
      <c r="X126" s="24">
        <f>MONTH(Tabledaily[[#This Row],[التاريخ]])</f>
        <v>6</v>
      </c>
      <c r="Y126" s="24">
        <f>DAY(Tabledaily[[#This Row],[التاريخ]])</f>
        <v>16</v>
      </c>
      <c r="Z12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v>
      </c>
      <c r="AA126" s="24" t="str">
        <f>IF(COUNTIF(TableDailyJournal[رقم العملية],Tabledaily[[#This Row],[رقم العملية]])&gt;1,"مرحل","غير مرحل")</f>
        <v>مرحل</v>
      </c>
    </row>
    <row r="127" spans="1:27" ht="22.9" customHeight="1" x14ac:dyDescent="0.55000000000000004">
      <c r="A127" s="22">
        <f t="shared" si="3"/>
        <v>125</v>
      </c>
      <c r="B127" s="23" t="s">
        <v>839</v>
      </c>
      <c r="C127" s="213" t="s">
        <v>828</v>
      </c>
      <c r="D127" s="22" t="s">
        <v>290</v>
      </c>
      <c r="E127" s="22">
        <f>IFERROR(INDEX(TableJudje[رقم الحساب],MATCH(Tabledaily[[#This Row],[الحســاب الدئـــن]],TableJudje[اسم الحساب],0)),0)</f>
        <v>11060205</v>
      </c>
      <c r="F127" s="22" t="s">
        <v>513</v>
      </c>
      <c r="G127" s="22" t="s">
        <v>458</v>
      </c>
      <c r="H127" s="24">
        <f>IFERROR(INDEX(TableJudje[رقم الحساب],MATCH(Tabledaily[[#This Row],[الحســاب المديــــن]],TableJudje[اسم الحساب],0)),0)</f>
        <v>31010101</v>
      </c>
      <c r="I127" s="22" t="s">
        <v>111</v>
      </c>
      <c r="J127" s="22" t="s">
        <v>238</v>
      </c>
      <c r="K127" s="117">
        <v>28000</v>
      </c>
      <c r="L127" s="23">
        <v>405</v>
      </c>
      <c r="M127" s="118">
        <f>IFERROR(Tabledaily[[#This Row],[المبلـــــــغ]]/Tabledaily[[#This Row],[سعــــــر
الصـــــرف]],"")</f>
        <v>69.135802469135797</v>
      </c>
      <c r="N127" s="22" t="s">
        <v>459</v>
      </c>
      <c r="O127" s="22"/>
      <c r="P127" s="22"/>
      <c r="Q127" s="22"/>
      <c r="R127" s="22" t="s">
        <v>237</v>
      </c>
      <c r="S127" s="24">
        <f>IFERROR(INDEX(tablecost[رقم المركز],MATCH(Tabledaily[[#This Row],[مركـــــــزالتكلفــــــة]],tablecost[الاسم],0)),0)</f>
        <v>1</v>
      </c>
      <c r="T127" s="27">
        <f>DATE(Tabledaily[[#This Row],[السنــــة]],Tabledaily[[#This Row],[الشهــــر]],Tabledaily[[#This Row],[الـــــيوم]])</f>
        <v>46189</v>
      </c>
      <c r="U127" s="28">
        <v>46193.766215277778</v>
      </c>
      <c r="V127" s="22"/>
      <c r="W127" s="24">
        <f>YEAR(Tabledaily[[#This Row],[التاريخ]])</f>
        <v>2026</v>
      </c>
      <c r="X127" s="24">
        <f>MONTH(Tabledaily[[#This Row],[التاريخ]])</f>
        <v>6</v>
      </c>
      <c r="Y127" s="24">
        <f>DAY(Tabledaily[[#This Row],[التاريخ]])</f>
        <v>16</v>
      </c>
      <c r="Z12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رقم    - صرف الصرفة اليومية للاشغال لعدد 3 بامر</v>
      </c>
      <c r="AA127" s="24" t="str">
        <f>IF(COUNTIF(TableDailyJournal[رقم العملية],Tabledaily[[#This Row],[رقم العملية]])&gt;1,"مرحل","غير مرحل")</f>
        <v>مرحل</v>
      </c>
    </row>
    <row r="128" spans="1:27" ht="22.9" customHeight="1" x14ac:dyDescent="0.55000000000000004">
      <c r="A128" s="22">
        <f t="shared" si="3"/>
        <v>126</v>
      </c>
      <c r="B128" s="23" t="s">
        <v>837</v>
      </c>
      <c r="C128" s="213" t="s">
        <v>828</v>
      </c>
      <c r="D128" s="22" t="s">
        <v>290</v>
      </c>
      <c r="E128" s="22">
        <f>IFERROR(INDEX(TableJudje[رقم الحساب],MATCH(Tabledaily[[#This Row],[الحســاب الدئـــن]],TableJudje[اسم الحساب],0)),0)</f>
        <v>11060205</v>
      </c>
      <c r="F128" s="22" t="s">
        <v>513</v>
      </c>
      <c r="G128" s="22" t="s">
        <v>838</v>
      </c>
      <c r="H128" s="24">
        <f>IFERROR(INDEX(TableJudje[رقم الحساب],MATCH(Tabledaily[[#This Row],[الحســاب المديــــن]],TableJudje[اسم الحساب],0)),0)</f>
        <v>31010101</v>
      </c>
      <c r="I128" s="22" t="s">
        <v>111</v>
      </c>
      <c r="J128" s="22" t="s">
        <v>238</v>
      </c>
      <c r="K128" s="117">
        <v>112000</v>
      </c>
      <c r="L128" s="23">
        <v>405</v>
      </c>
      <c r="M128" s="118">
        <f>IFERROR(Tabledaily[[#This Row],[المبلـــــــغ]]/Tabledaily[[#This Row],[سعــــــر
الصـــــرف]],"")</f>
        <v>276.54320987654319</v>
      </c>
      <c r="N128" s="22" t="s">
        <v>331</v>
      </c>
      <c r="O128" s="22"/>
      <c r="P128" s="22"/>
      <c r="Q128" s="22"/>
      <c r="R128" s="22" t="s">
        <v>237</v>
      </c>
      <c r="S128" s="24">
        <f>IFERROR(INDEX(tablecost[رقم المركز],MATCH(Tabledaily[[#This Row],[مركـــــــزالتكلفــــــة]],tablecost[الاسم],0)),0)</f>
        <v>1</v>
      </c>
      <c r="T128" s="27">
        <f>DATE(Tabledaily[[#This Row],[السنــــة]],Tabledaily[[#This Row],[الشهــــر]],Tabledaily[[#This Row],[الـــــيوم]])</f>
        <v>46189</v>
      </c>
      <c r="U128" s="28">
        <v>46193.764861111114</v>
      </c>
      <c r="V128" s="22"/>
      <c r="W128" s="24">
        <f>YEAR(Tabledaily[[#This Row],[التاريخ]])</f>
        <v>2026</v>
      </c>
      <c r="X128" s="24">
        <f>MONTH(Tabledaily[[#This Row],[التاريخ]])</f>
        <v>6</v>
      </c>
      <c r="Y128" s="24">
        <f>DAY(Tabledaily[[#This Row],[التاريخ]])</f>
        <v>16</v>
      </c>
      <c r="Z12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رقم    - صرف الصرفة اليومية للمستشارين والمساعدين عدد 11 بامر</v>
      </c>
      <c r="AA128" s="24" t="str">
        <f>IF(COUNTIF(TableDailyJournal[رقم العملية],Tabledaily[[#This Row],[رقم العملية]])&gt;1,"مرحل","غير مرحل")</f>
        <v>مرحل</v>
      </c>
    </row>
    <row r="129" spans="1:27" ht="22.9" customHeight="1" x14ac:dyDescent="0.55000000000000004">
      <c r="A129" s="22">
        <f t="shared" si="3"/>
        <v>127</v>
      </c>
      <c r="B129" s="23" t="s">
        <v>836</v>
      </c>
      <c r="C129" s="213" t="s">
        <v>828</v>
      </c>
      <c r="D129" s="22" t="s">
        <v>290</v>
      </c>
      <c r="E129" s="22">
        <f>IFERROR(INDEX(TableJudje[رقم الحساب],MATCH(Tabledaily[[#This Row],[الحســاب الدئـــن]],TableJudje[اسم الحساب],0)),0)</f>
        <v>11060205</v>
      </c>
      <c r="F129" s="22" t="s">
        <v>513</v>
      </c>
      <c r="G129" s="22" t="s">
        <v>595</v>
      </c>
      <c r="H129" s="24">
        <f>IFERROR(INDEX(TableJudje[رقم الحساب],MATCH(Tabledaily[[#This Row],[الحســاب المديــــن]],TableJudje[اسم الحساب],0)),0)</f>
        <v>31010101</v>
      </c>
      <c r="I129" s="22" t="s">
        <v>111</v>
      </c>
      <c r="J129" s="22" t="s">
        <v>238</v>
      </c>
      <c r="K129" s="117">
        <v>25000</v>
      </c>
      <c r="L129" s="23">
        <v>405</v>
      </c>
      <c r="M129" s="118">
        <f>IFERROR(Tabledaily[[#This Row],[المبلـــــــغ]]/Tabledaily[[#This Row],[سعــــــر
الصـــــرف]],"")</f>
        <v>61.728395061728392</v>
      </c>
      <c r="N129" s="22" t="s">
        <v>565</v>
      </c>
      <c r="O129" s="22"/>
      <c r="P129" s="22"/>
      <c r="Q129" s="22"/>
      <c r="R129" s="22" t="s">
        <v>237</v>
      </c>
      <c r="S129" s="24">
        <f>IFERROR(INDEX(tablecost[رقم المركز],MATCH(Tabledaily[[#This Row],[مركـــــــزالتكلفــــــة]],tablecost[الاسم],0)),0)</f>
        <v>1</v>
      </c>
      <c r="T129" s="27">
        <f>DATE(Tabledaily[[#This Row],[السنــــة]],Tabledaily[[#This Row],[الشهــــر]],Tabledaily[[#This Row],[الـــــيوم]])</f>
        <v>46189</v>
      </c>
      <c r="U129" s="28">
        <v>46193.763229166667</v>
      </c>
      <c r="V129" s="22"/>
      <c r="W129" s="24">
        <f>YEAR(Tabledaily[[#This Row],[التاريخ]])</f>
        <v>2026</v>
      </c>
      <c r="X129" s="24">
        <f>MONTH(Tabledaily[[#This Row],[التاريخ]])</f>
        <v>6</v>
      </c>
      <c r="Y129" s="24">
        <f>DAY(Tabledaily[[#This Row],[التاريخ]])</f>
        <v>16</v>
      </c>
      <c r="Z12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رقم    - صرف الصرفة اليومية للمدفعية لعدد 3 بامر</v>
      </c>
      <c r="AA129" s="24" t="str">
        <f>IF(COUNTIF(TableDailyJournal[رقم العملية],Tabledaily[[#This Row],[رقم العملية]])&gt;1,"مرحل","غير مرحل")</f>
        <v>مرحل</v>
      </c>
    </row>
    <row r="130" spans="1:27" ht="22.9" customHeight="1" x14ac:dyDescent="0.55000000000000004">
      <c r="A130" s="22">
        <f t="shared" si="3"/>
        <v>128</v>
      </c>
      <c r="B130" s="23" t="s">
        <v>834</v>
      </c>
      <c r="C130" s="213" t="s">
        <v>828</v>
      </c>
      <c r="D130" s="22" t="s">
        <v>290</v>
      </c>
      <c r="E130" s="22">
        <f>IFERROR(INDEX(TableJudje[رقم الحساب],MATCH(Tabledaily[[#This Row],[الحســاب الدئـــن]],TableJudje[اسم الحساب],0)),0)</f>
        <v>11060205</v>
      </c>
      <c r="F130" s="22" t="s">
        <v>513</v>
      </c>
      <c r="G130" s="22" t="s">
        <v>835</v>
      </c>
      <c r="H130" s="24">
        <f>IFERROR(INDEX(TableJudje[رقم الحساب],MATCH(Tabledaily[[#This Row],[الحســاب المديــــن]],TableJudje[اسم الحساب],0)),0)</f>
        <v>31010101</v>
      </c>
      <c r="I130" s="22" t="s">
        <v>111</v>
      </c>
      <c r="J130" s="22" t="s">
        <v>238</v>
      </c>
      <c r="K130" s="117">
        <v>110000</v>
      </c>
      <c r="L130" s="23">
        <v>405</v>
      </c>
      <c r="M130" s="118">
        <f>IFERROR(Tabledaily[[#This Row],[المبلـــــــغ]]/Tabledaily[[#This Row],[سعــــــر
الصـــــرف]],"")</f>
        <v>271.60493827160496</v>
      </c>
      <c r="N130" s="22" t="s">
        <v>334</v>
      </c>
      <c r="O130" s="22"/>
      <c r="P130" s="22"/>
      <c r="Q130" s="22"/>
      <c r="R130" s="22" t="s">
        <v>237</v>
      </c>
      <c r="S130" s="24">
        <f>IFERROR(INDEX(tablecost[رقم المركز],MATCH(Tabledaily[[#This Row],[مركـــــــزالتكلفــــــة]],tablecost[الاسم],0)),0)</f>
        <v>1</v>
      </c>
      <c r="T130" s="27">
        <f>DATE(Tabledaily[[#This Row],[السنــــة]],Tabledaily[[#This Row],[الشهــــر]],Tabledaily[[#This Row],[الـــــيوم]])</f>
        <v>46189</v>
      </c>
      <c r="U130" s="28">
        <v>46193.759594907409</v>
      </c>
      <c r="V130" s="22"/>
      <c r="W130" s="24">
        <f>YEAR(Tabledaily[[#This Row],[التاريخ]])</f>
        <v>2026</v>
      </c>
      <c r="X130" s="24">
        <f>MONTH(Tabledaily[[#This Row],[التاريخ]])</f>
        <v>6</v>
      </c>
      <c r="Y130" s="24">
        <f>DAY(Tabledaily[[#This Row],[التاريخ]])</f>
        <v>16</v>
      </c>
      <c r="Z13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رقم    - صرف الصرفة اليومية  الاستخبارات لعدد 7 بامر</v>
      </c>
      <c r="AA130" s="24" t="str">
        <f>IF(COUNTIF(TableDailyJournal[رقم العملية],Tabledaily[[#This Row],[رقم العملية]])&gt;1,"مرحل","غير مرحل")</f>
        <v>مرحل</v>
      </c>
    </row>
    <row r="131" spans="1:27" ht="22.9" customHeight="1" x14ac:dyDescent="0.55000000000000004">
      <c r="A131" s="22">
        <f t="shared" si="3"/>
        <v>129</v>
      </c>
      <c r="B131" s="23" t="s">
        <v>832</v>
      </c>
      <c r="C131" s="213" t="s">
        <v>828</v>
      </c>
      <c r="D131" s="22" t="s">
        <v>290</v>
      </c>
      <c r="E131" s="22">
        <f>IFERROR(INDEX(TableJudje[رقم الحساب],MATCH(Tabledaily[[#This Row],[الحســاب الدئـــن]],TableJudje[اسم الحساب],0)),0)</f>
        <v>11060205</v>
      </c>
      <c r="F131" s="22" t="s">
        <v>513</v>
      </c>
      <c r="G131" s="22" t="s">
        <v>833</v>
      </c>
      <c r="H131" s="24">
        <f>IFERROR(INDEX(TableJudje[رقم الحساب],MATCH(Tabledaily[[#This Row],[الحســاب المديــــن]],TableJudje[اسم الحساب],0)),0)</f>
        <v>31010101</v>
      </c>
      <c r="I131" s="22" t="s">
        <v>111</v>
      </c>
      <c r="J131" s="22" t="s">
        <v>238</v>
      </c>
      <c r="K131" s="117">
        <v>15000</v>
      </c>
      <c r="L131" s="23">
        <v>405</v>
      </c>
      <c r="M131" s="118">
        <f>IFERROR(Tabledaily[[#This Row],[المبلـــــــغ]]/Tabledaily[[#This Row],[سعــــــر
الصـــــرف]],"")</f>
        <v>37.037037037037038</v>
      </c>
      <c r="N131" s="22" t="s">
        <v>337</v>
      </c>
      <c r="O131" s="22" t="s">
        <v>312</v>
      </c>
      <c r="P131" s="22" t="s">
        <v>312</v>
      </c>
      <c r="Q131" s="22"/>
      <c r="R131" s="22" t="s">
        <v>237</v>
      </c>
      <c r="S131" s="24">
        <f>IFERROR(INDEX(tablecost[رقم المركز],MATCH(Tabledaily[[#This Row],[مركـــــــزالتكلفــــــة]],tablecost[الاسم],0)),0)</f>
        <v>1</v>
      </c>
      <c r="T131" s="27">
        <f>DATE(Tabledaily[[#This Row],[السنــــة]],Tabledaily[[#This Row],[الشهــــر]],Tabledaily[[#This Row],[الـــــيوم]])</f>
        <v>46189</v>
      </c>
      <c r="U131" s="28">
        <v>46193.757835648146</v>
      </c>
      <c r="V131" s="22"/>
      <c r="W131" s="24">
        <f>YEAR(Tabledaily[[#This Row],[التاريخ]])</f>
        <v>2026</v>
      </c>
      <c r="X131" s="24">
        <f>MONTH(Tabledaily[[#This Row],[التاريخ]])</f>
        <v>6</v>
      </c>
      <c r="Y131" s="24">
        <f>DAY(Tabledaily[[#This Row],[التاريخ]])</f>
        <v>16</v>
      </c>
      <c r="Z13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للبشرية والصراف عدد 1 بامر</v>
      </c>
      <c r="AA131" s="24" t="str">
        <f>IF(COUNTIF(TableDailyJournal[رقم العملية],Tabledaily[[#This Row],[رقم العملية]])&gt;1,"مرحل","غير مرحل")</f>
        <v>مرحل</v>
      </c>
    </row>
    <row r="132" spans="1:27" ht="22.9" customHeight="1" x14ac:dyDescent="0.55000000000000004">
      <c r="A132" s="22">
        <f t="shared" si="3"/>
        <v>130</v>
      </c>
      <c r="B132" s="23" t="s">
        <v>830</v>
      </c>
      <c r="C132" s="213" t="s">
        <v>828</v>
      </c>
      <c r="D132" s="22" t="s">
        <v>290</v>
      </c>
      <c r="E132" s="22">
        <f>IFERROR(INDEX(TableJudje[رقم الحساب],MATCH(Tabledaily[[#This Row],[الحســاب الدئـــن]],TableJudje[اسم الحساب],0)),0)</f>
        <v>11060205</v>
      </c>
      <c r="F132" s="22" t="s">
        <v>513</v>
      </c>
      <c r="G132" s="22" t="s">
        <v>831</v>
      </c>
      <c r="H132" s="24">
        <f>IFERROR(INDEX(TableJudje[رقم الحساب],MATCH(Tabledaily[[#This Row],[الحســاب المديــــن]],TableJudje[اسم الحساب],0)),0)</f>
        <v>31010101</v>
      </c>
      <c r="I132" s="22" t="s">
        <v>111</v>
      </c>
      <c r="J132" s="22" t="s">
        <v>238</v>
      </c>
      <c r="K132" s="117">
        <v>70000</v>
      </c>
      <c r="L132" s="23">
        <v>405</v>
      </c>
      <c r="M132" s="118">
        <f>IFERROR(Tabledaily[[#This Row],[المبلـــــــغ]]/Tabledaily[[#This Row],[سعــــــر
الصـــــرف]],"")</f>
        <v>172.83950617283949</v>
      </c>
      <c r="N132" s="22" t="s">
        <v>340</v>
      </c>
      <c r="O132" s="22" t="s">
        <v>312</v>
      </c>
      <c r="P132" s="22" t="s">
        <v>312</v>
      </c>
      <c r="Q132" s="22"/>
      <c r="R132" s="22" t="s">
        <v>237</v>
      </c>
      <c r="S132" s="24">
        <f>IFERROR(INDEX(tablecost[رقم المركز],MATCH(Tabledaily[[#This Row],[مركـــــــزالتكلفــــــة]],tablecost[الاسم],0)),0)</f>
        <v>1</v>
      </c>
      <c r="T132" s="27">
        <f>DATE(Tabledaily[[#This Row],[السنــــة]],Tabledaily[[#This Row],[الشهــــر]],Tabledaily[[#This Row],[الـــــيوم]])</f>
        <v>46189</v>
      </c>
      <c r="U132" s="28">
        <v>46193.755706018521</v>
      </c>
      <c r="V132" s="22"/>
      <c r="W132" s="24">
        <f>YEAR(Tabledaily[[#This Row],[التاريخ]])</f>
        <v>2026</v>
      </c>
      <c r="X132" s="24">
        <f>MONTH(Tabledaily[[#This Row],[التاريخ]])</f>
        <v>6</v>
      </c>
      <c r="Y132" s="24">
        <f>DAY(Tabledaily[[#This Row],[التاريخ]])</f>
        <v>16</v>
      </c>
      <c r="Z13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فرد بامر</v>
      </c>
      <c r="AA132" s="24" t="str">
        <f>IF(COUNTIF(TableDailyJournal[رقم العملية],Tabledaily[[#This Row],[رقم العملية]])&gt;1,"مرحل","غير مرحل")</f>
        <v>مرحل</v>
      </c>
    </row>
    <row r="133" spans="1:27" ht="22.9" customHeight="1" x14ac:dyDescent="0.55000000000000004">
      <c r="A133" s="22">
        <f t="shared" si="3"/>
        <v>131</v>
      </c>
      <c r="B133" s="23" t="s">
        <v>827</v>
      </c>
      <c r="C133" s="213" t="s">
        <v>828</v>
      </c>
      <c r="D133" s="22" t="s">
        <v>290</v>
      </c>
      <c r="E133" s="22">
        <f>IFERROR(INDEX(TableJudje[رقم الحساب],MATCH(Tabledaily[[#This Row],[الحســاب الدئـــن]],TableJudje[اسم الحساب],0)),0)</f>
        <v>11060205</v>
      </c>
      <c r="F133" s="22" t="s">
        <v>513</v>
      </c>
      <c r="G133" s="22" t="s">
        <v>829</v>
      </c>
      <c r="H133" s="24">
        <f>IFERROR(INDEX(TableJudje[رقم الحساب],MATCH(Tabledaily[[#This Row],[الحســاب المديــــن]],TableJudje[اسم الحساب],0)),0)</f>
        <v>31010101</v>
      </c>
      <c r="I133" s="22" t="s">
        <v>111</v>
      </c>
      <c r="J133" s="22" t="s">
        <v>238</v>
      </c>
      <c r="K133" s="117">
        <v>55000</v>
      </c>
      <c r="L133" s="23">
        <v>405</v>
      </c>
      <c r="M133" s="118">
        <f>IFERROR(Tabledaily[[#This Row],[المبلـــــــغ]]/Tabledaily[[#This Row],[سعــــــر
الصـــــرف]],"")</f>
        <v>135.80246913580248</v>
      </c>
      <c r="N133" s="22" t="s">
        <v>343</v>
      </c>
      <c r="O133" s="22" t="s">
        <v>312</v>
      </c>
      <c r="P133" s="22" t="s">
        <v>312</v>
      </c>
      <c r="Q133" s="22"/>
      <c r="R133" s="22" t="s">
        <v>237</v>
      </c>
      <c r="S133" s="24">
        <f>IFERROR(INDEX(tablecost[رقم المركز],MATCH(Tabledaily[[#This Row],[مركـــــــزالتكلفــــــة]],tablecost[الاسم],0)),0)</f>
        <v>1</v>
      </c>
      <c r="T133" s="27">
        <f>DATE(Tabledaily[[#This Row],[السنــــة]],Tabledaily[[#This Row],[الشهــــر]],Tabledaily[[#This Row],[الـــــيوم]])</f>
        <v>46189</v>
      </c>
      <c r="U133" s="28">
        <v>46193.735439814816</v>
      </c>
      <c r="V133" s="22"/>
      <c r="W133" s="24">
        <f>YEAR(Tabledaily[[#This Row],[التاريخ]])</f>
        <v>2026</v>
      </c>
      <c r="X133" s="24">
        <f>MONTH(Tabledaily[[#This Row],[التاريخ]])</f>
        <v>6</v>
      </c>
      <c r="Y133" s="24">
        <f>DAY(Tabledaily[[#This Row],[التاريخ]])</f>
        <v>16</v>
      </c>
      <c r="Z13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9 بامر</v>
      </c>
      <c r="AA133" s="24" t="str">
        <f>IF(COUNTIF(TableDailyJournal[رقم العملية],Tabledaily[[#This Row],[رقم العملية]])&gt;1,"مرحل","غير مرحل")</f>
        <v>مرحل</v>
      </c>
    </row>
    <row r="134" spans="1:27" ht="22.9" customHeight="1" x14ac:dyDescent="0.55000000000000004">
      <c r="A134" s="22">
        <f t="shared" si="3"/>
        <v>132</v>
      </c>
      <c r="B134" s="23" t="s">
        <v>825</v>
      </c>
      <c r="C134" s="213" t="s">
        <v>557</v>
      </c>
      <c r="D134" s="22" t="s">
        <v>283</v>
      </c>
      <c r="E134" s="22">
        <f>IFERROR(INDEX(TableJudje[رقم الحساب],MATCH(Tabledaily[[#This Row],[الحســاب الدئـــن]],TableJudje[اسم الحساب],0)),0)</f>
        <v>11010101</v>
      </c>
      <c r="F134" s="22" t="s">
        <v>23</v>
      </c>
      <c r="G134" s="22" t="s">
        <v>826</v>
      </c>
      <c r="H134" s="24">
        <f>IFERROR(INDEX(TableJudje[رقم الحساب],MATCH(Tabledaily[[#This Row],[الحســاب المديــــن]],TableJudje[اسم الحساب],0)),0)</f>
        <v>11060205</v>
      </c>
      <c r="I134" s="22" t="s">
        <v>513</v>
      </c>
      <c r="J134" s="22" t="s">
        <v>241</v>
      </c>
      <c r="K134" s="117">
        <v>3000</v>
      </c>
      <c r="L134" s="23">
        <v>1</v>
      </c>
      <c r="M134" s="118">
        <f>IFERROR(Tabledaily[[#This Row],[المبلـــــــغ]]/Tabledaily[[#This Row],[سعــــــر
الصـــــرف]],"")</f>
        <v>3000</v>
      </c>
      <c r="N134" s="22" t="s">
        <v>517</v>
      </c>
      <c r="O134" s="22" t="s">
        <v>286</v>
      </c>
      <c r="P134" s="22" t="s">
        <v>287</v>
      </c>
      <c r="Q134" s="22"/>
      <c r="R134" s="22" t="s">
        <v>237</v>
      </c>
      <c r="S134" s="24">
        <f>IFERROR(INDEX(tablecost[رقم المركز],MATCH(Tabledaily[[#This Row],[مركـــــــزالتكلفــــــة]],tablecost[الاسم],0)),0)</f>
        <v>1</v>
      </c>
      <c r="T134" s="27">
        <f>DATE(Tabledaily[[#This Row],[السنــــة]],Tabledaily[[#This Row],[الشهــــر]],Tabledaily[[#This Row],[الـــــيوم]])</f>
        <v>46181</v>
      </c>
      <c r="U134" s="28">
        <v>46193.731099537035</v>
      </c>
      <c r="V134" s="22"/>
      <c r="W134" s="24">
        <f>YEAR(Tabledaily[[#This Row],[التاريخ]])</f>
        <v>2026</v>
      </c>
      <c r="X134" s="24">
        <f>MONTH(Tabledaily[[#This Row],[التاريخ]])</f>
        <v>6</v>
      </c>
      <c r="Y134" s="24">
        <f>DAY(Tabledaily[[#This Row],[التاريخ]])</f>
        <v>8</v>
      </c>
      <c r="Z13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استلام نقدي رقم   سند استلام - إستلام عهدة من عبدالله باعمر  بامر</v>
      </c>
      <c r="AA134" s="24" t="str">
        <f>IF(COUNTIF(TableDailyJournal[رقم العملية],Tabledaily[[#This Row],[رقم العملية]])&gt;1,"مرحل","غير مرحل")</f>
        <v>مرحل</v>
      </c>
    </row>
    <row r="135" spans="1:27" ht="22.9" customHeight="1" x14ac:dyDescent="0.55000000000000004">
      <c r="A135" s="22">
        <f t="shared" ref="A135:A166" si="4">ROW()-2</f>
        <v>133</v>
      </c>
      <c r="B135" s="23" t="s">
        <v>815</v>
      </c>
      <c r="C135" s="213" t="s">
        <v>791</v>
      </c>
      <c r="D135" s="22" t="s">
        <v>290</v>
      </c>
      <c r="E135" s="22">
        <f>IFERROR(INDEX(TableJudje[رقم الحساب],MATCH(Tabledaily[[#This Row],[الحســاب الدئـــن]],TableJudje[اسم الحساب],0)),0)</f>
        <v>11060205</v>
      </c>
      <c r="F135" s="22" t="s">
        <v>513</v>
      </c>
      <c r="G135" s="22" t="s">
        <v>816</v>
      </c>
      <c r="H135" s="24">
        <f>IFERROR(INDEX(TableJudje[رقم الحساب],MATCH(Tabledaily[[#This Row],[الحســاب المديــــن]],TableJudje[اسم الحساب],0)),0)</f>
        <v>31010101</v>
      </c>
      <c r="I135" s="22" t="s">
        <v>111</v>
      </c>
      <c r="J135" s="22" t="s">
        <v>238</v>
      </c>
      <c r="K135" s="117">
        <v>10000</v>
      </c>
      <c r="L135" s="23">
        <v>405</v>
      </c>
      <c r="M135" s="118">
        <f>IFERROR(Tabledaily[[#This Row],[المبلـــــــغ]]/Tabledaily[[#This Row],[سعــــــر
الصـــــرف]],"")</f>
        <v>24.691358024691358</v>
      </c>
      <c r="N135" s="22" t="s">
        <v>545</v>
      </c>
      <c r="O135" s="22" t="s">
        <v>286</v>
      </c>
      <c r="P135" s="22" t="s">
        <v>287</v>
      </c>
      <c r="Q135" s="22"/>
      <c r="R135" s="22" t="s">
        <v>248</v>
      </c>
      <c r="S135" s="24">
        <f>IFERROR(INDEX(tablecost[رقم المركز],MATCH(Tabledaily[[#This Row],[مركـــــــزالتكلفــــــة]],tablecost[الاسم],0)),0)</f>
        <v>7</v>
      </c>
      <c r="T135" s="27">
        <f>DATE(Tabledaily[[#This Row],[السنــــة]],Tabledaily[[#This Row],[الشهــــر]],Tabledaily[[#This Row],[الـــــيوم]])</f>
        <v>46188</v>
      </c>
      <c r="U135" s="28">
        <v>46193.092395833337</v>
      </c>
      <c r="V135" s="22"/>
      <c r="W135" s="24">
        <f>YEAR(Tabledaily[[#This Row],[التاريخ]])</f>
        <v>2026</v>
      </c>
      <c r="X135" s="24">
        <f>MONTH(Tabledaily[[#This Row],[التاريخ]])</f>
        <v>6</v>
      </c>
      <c r="Y135" s="24">
        <f>DAY(Tabledaily[[#This Row],[التاريخ]])</f>
        <v>15</v>
      </c>
      <c r="Z13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اللواء السادس)  - استلام نقدي رقم   سند استلام - صرف صرفة يومية ليوم 15 بامر</v>
      </c>
      <c r="AA135" s="24" t="str">
        <f>IF(COUNTIF(TableDailyJournal[رقم العملية],Tabledaily[[#This Row],[رقم العملية]])&gt;1,"مرحل","غير مرحل")</f>
        <v>مرحل</v>
      </c>
    </row>
    <row r="136" spans="1:27" ht="22.9" customHeight="1" x14ac:dyDescent="0.55000000000000004">
      <c r="A136" s="22">
        <f t="shared" si="4"/>
        <v>134</v>
      </c>
      <c r="B136" s="23" t="s">
        <v>812</v>
      </c>
      <c r="C136" s="213" t="s">
        <v>791</v>
      </c>
      <c r="D136" s="22" t="s">
        <v>290</v>
      </c>
      <c r="E136" s="22">
        <f>IFERROR(INDEX(TableJudje[رقم الحساب],MATCH(Tabledaily[[#This Row],[الحســاب الدئـــن]],TableJudje[اسم الحساب],0)),0)</f>
        <v>11060205</v>
      </c>
      <c r="F136" s="22" t="s">
        <v>513</v>
      </c>
      <c r="G136" s="22" t="s">
        <v>813</v>
      </c>
      <c r="H136" s="24">
        <f>IFERROR(INDEX(TableJudje[رقم الحساب],MATCH(Tabledaily[[#This Row],[الحســاب المديــــن]],TableJudje[اسم الحساب],0)),0)</f>
        <v>31010126</v>
      </c>
      <c r="I136" s="22" t="s">
        <v>131</v>
      </c>
      <c r="J136" s="22" t="s">
        <v>241</v>
      </c>
      <c r="K136" s="117">
        <v>140</v>
      </c>
      <c r="L136" s="23">
        <v>1</v>
      </c>
      <c r="M136" s="118">
        <f>IFERROR(Tabledaily[[#This Row],[المبلـــــــغ]]/Tabledaily[[#This Row],[سعــــــر
الصـــــرف]],"")</f>
        <v>140</v>
      </c>
      <c r="N136" s="22"/>
      <c r="O136" s="22" t="s">
        <v>351</v>
      </c>
      <c r="P136" s="22" t="s">
        <v>814</v>
      </c>
      <c r="Q136" s="22">
        <v>724</v>
      </c>
      <c r="R136" s="22" t="s">
        <v>237</v>
      </c>
      <c r="S136" s="24">
        <f>IFERROR(INDEX(tablecost[رقم المركز],MATCH(Tabledaily[[#This Row],[مركـــــــزالتكلفــــــة]],tablecost[الاسم],0)),0)</f>
        <v>1</v>
      </c>
      <c r="T136" s="27">
        <f>DATE(Tabledaily[[#This Row],[السنــــة]],Tabledaily[[#This Row],[الشهــــر]],Tabledaily[[#This Row],[الـــــيوم]])</f>
        <v>46188</v>
      </c>
      <c r="U136" s="28">
        <v>46193.091643518521</v>
      </c>
      <c r="V136" s="22" t="s">
        <v>646</v>
      </c>
      <c r="W136" s="24">
        <f>YEAR(Tabledaily[[#This Row],[التاريخ]])</f>
        <v>2026</v>
      </c>
      <c r="X136" s="24">
        <f>MONTH(Tabledaily[[#This Row],[التاريخ]])</f>
        <v>6</v>
      </c>
      <c r="Y136" s="24">
        <f>DAY(Tabledaily[[#This Row],[التاريخ]])</f>
        <v>15</v>
      </c>
      <c r="Z13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v>
      </c>
      <c r="AA136" s="24" t="str">
        <f>IF(COUNTIF(TableDailyJournal[رقم العملية],Tabledaily[[#This Row],[رقم العملية]])&gt;1,"مرحل","غير مرحل")</f>
        <v>مرحل</v>
      </c>
    </row>
    <row r="137" spans="1:27" ht="22.9" customHeight="1" x14ac:dyDescent="0.55000000000000004">
      <c r="A137" s="22">
        <f t="shared" si="4"/>
        <v>135</v>
      </c>
      <c r="B137" s="23" t="s">
        <v>810</v>
      </c>
      <c r="C137" s="213" t="s">
        <v>791</v>
      </c>
      <c r="D137" s="22" t="s">
        <v>290</v>
      </c>
      <c r="E137" s="22">
        <f>IFERROR(INDEX(TableJudje[رقم الحساب],MATCH(Tabledaily[[#This Row],[الحســاب الدئـــن]],TableJudje[اسم الحساب],0)),0)</f>
        <v>11060205</v>
      </c>
      <c r="F137" s="22" t="s">
        <v>513</v>
      </c>
      <c r="G137" s="22" t="s">
        <v>811</v>
      </c>
      <c r="H137" s="24">
        <f>IFERROR(INDEX(TableJudje[رقم الحساب],MATCH(Tabledaily[[#This Row],[الحســاب المديــــن]],TableJudje[اسم الحساب],0)),0)</f>
        <v>31010101</v>
      </c>
      <c r="I137" s="22" t="s">
        <v>111</v>
      </c>
      <c r="J137" s="22" t="s">
        <v>238</v>
      </c>
      <c r="K137" s="117">
        <v>45000</v>
      </c>
      <c r="L137" s="23">
        <v>405</v>
      </c>
      <c r="M137" s="118">
        <f>IFERROR(Tabledaily[[#This Row],[المبلـــــــغ]]/Tabledaily[[#This Row],[سعــــــر
الصـــــرف]],"")</f>
        <v>111.11111111111111</v>
      </c>
      <c r="N137" s="22" t="s">
        <v>638</v>
      </c>
      <c r="O137" s="22" t="s">
        <v>286</v>
      </c>
      <c r="P137" s="22" t="s">
        <v>287</v>
      </c>
      <c r="Q137" s="22"/>
      <c r="R137" s="22" t="s">
        <v>237</v>
      </c>
      <c r="S137" s="24">
        <f>IFERROR(INDEX(tablecost[رقم المركز],MATCH(Tabledaily[[#This Row],[مركـــــــزالتكلفــــــة]],tablecost[الاسم],0)),0)</f>
        <v>1</v>
      </c>
      <c r="T137" s="27">
        <f>DATE(Tabledaily[[#This Row],[السنــــة]],Tabledaily[[#This Row],[الشهــــر]],Tabledaily[[#This Row],[الـــــيوم]])</f>
        <v>46188</v>
      </c>
      <c r="U137" s="28">
        <v>46193.087997685187</v>
      </c>
      <c r="V137" s="22"/>
      <c r="W137" s="24">
        <f>YEAR(Tabledaily[[#This Row],[التاريخ]])</f>
        <v>2026</v>
      </c>
      <c r="X137" s="24">
        <f>MONTH(Tabledaily[[#This Row],[التاريخ]])</f>
        <v>6</v>
      </c>
      <c r="Y137" s="24">
        <f>DAY(Tabledaily[[#This Row],[التاريخ]])</f>
        <v>15</v>
      </c>
      <c r="Z13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v>
      </c>
      <c r="AA137" s="24" t="str">
        <f>IF(COUNTIF(TableDailyJournal[رقم العملية],Tabledaily[[#This Row],[رقم العملية]])&gt;1,"مرحل","غير مرحل")</f>
        <v>مرحل</v>
      </c>
    </row>
    <row r="138" spans="1:27" ht="22.9" customHeight="1" x14ac:dyDescent="0.55000000000000004">
      <c r="A138" s="22">
        <f t="shared" si="4"/>
        <v>136</v>
      </c>
      <c r="B138" s="23" t="s">
        <v>808</v>
      </c>
      <c r="C138" s="213" t="s">
        <v>791</v>
      </c>
      <c r="D138" s="22" t="s">
        <v>290</v>
      </c>
      <c r="E138" s="22">
        <f>IFERROR(INDEX(TableJudje[رقم الحساب],MATCH(Tabledaily[[#This Row],[الحســاب الدئـــن]],TableJudje[اسم الحساب],0)),0)</f>
        <v>11060205</v>
      </c>
      <c r="F138" s="22" t="s">
        <v>513</v>
      </c>
      <c r="G138" s="22" t="s">
        <v>809</v>
      </c>
      <c r="H138" s="24">
        <f>IFERROR(INDEX(TableJudje[رقم الحساب],MATCH(Tabledaily[[#This Row],[الحســاب المديــــن]],TableJudje[اسم الحساب],0)),0)</f>
        <v>31010116</v>
      </c>
      <c r="I138" s="22" t="s">
        <v>122</v>
      </c>
      <c r="J138" s="22" t="s">
        <v>241</v>
      </c>
      <c r="K138" s="117">
        <v>1000</v>
      </c>
      <c r="L138" s="23">
        <v>1</v>
      </c>
      <c r="M138" s="118">
        <f>IFERROR(Tabledaily[[#This Row],[المبلـــــــغ]]/Tabledaily[[#This Row],[سعــــــر
الصـــــرف]],"")</f>
        <v>1000</v>
      </c>
      <c r="N138" s="22" t="s">
        <v>292</v>
      </c>
      <c r="O138" s="22" t="s">
        <v>286</v>
      </c>
      <c r="P138" s="22" t="s">
        <v>287</v>
      </c>
      <c r="Q138" s="22"/>
      <c r="R138" s="22" t="s">
        <v>249</v>
      </c>
      <c r="S138" s="24">
        <f>IFERROR(INDEX(tablecost[رقم المركز],MATCH(Tabledaily[[#This Row],[مركـــــــزالتكلفــــــة]],tablecost[الاسم],0)),0)</f>
        <v>8</v>
      </c>
      <c r="T138" s="27">
        <f>DATE(Tabledaily[[#This Row],[السنــــة]],Tabledaily[[#This Row],[الشهــــر]],Tabledaily[[#This Row],[الـــــيوم]])</f>
        <v>46188</v>
      </c>
      <c r="U138" s="28">
        <v>46193.086759259262</v>
      </c>
      <c r="V138" s="22"/>
      <c r="W138" s="24">
        <f>YEAR(Tabledaily[[#This Row],[التاريخ]])</f>
        <v>2026</v>
      </c>
      <c r="X138" s="24">
        <f>MONTH(Tabledaily[[#This Row],[التاريخ]])</f>
        <v>6</v>
      </c>
      <c r="Y138" s="24">
        <f>DAY(Tabledaily[[#This Row],[التاريخ]])</f>
        <v>15</v>
      </c>
      <c r="Z13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v>
      </c>
      <c r="AA138" s="24" t="str">
        <f>IF(COUNTIF(TableDailyJournal[رقم العملية],Tabledaily[[#This Row],[رقم العملية]])&gt;1,"مرحل","غير مرحل")</f>
        <v>مرحل</v>
      </c>
    </row>
    <row r="139" spans="1:27" ht="22.9" customHeight="1" x14ac:dyDescent="0.55000000000000004">
      <c r="A139" s="22">
        <f t="shared" si="4"/>
        <v>137</v>
      </c>
      <c r="B139" s="23" t="s">
        <v>806</v>
      </c>
      <c r="C139" s="213" t="s">
        <v>791</v>
      </c>
      <c r="D139" s="22" t="s">
        <v>290</v>
      </c>
      <c r="E139" s="22">
        <f>IFERROR(INDEX(TableJudje[رقم الحساب],MATCH(Tabledaily[[#This Row],[الحســاب الدئـــن]],TableJudje[اسم الحساب],0)),0)</f>
        <v>11060205</v>
      </c>
      <c r="F139" s="22" t="s">
        <v>513</v>
      </c>
      <c r="G139" s="22" t="s">
        <v>807</v>
      </c>
      <c r="H139" s="24">
        <f>IFERROR(INDEX(TableJudje[رقم الحساب],MATCH(Tabledaily[[#This Row],[الحســاب المديــــن]],TableJudje[اسم الحساب],0)),0)</f>
        <v>31010101</v>
      </c>
      <c r="I139" s="22" t="s">
        <v>111</v>
      </c>
      <c r="J139" s="22" t="s">
        <v>238</v>
      </c>
      <c r="K139" s="117">
        <v>132000</v>
      </c>
      <c r="L139" s="23">
        <v>405</v>
      </c>
      <c r="M139" s="118">
        <f>IFERROR(Tabledaily[[#This Row],[المبلـــــــغ]]/Tabledaily[[#This Row],[سعــــــر
الصـــــرف]],"")</f>
        <v>325.92592592592592</v>
      </c>
      <c r="N139" s="22" t="s">
        <v>311</v>
      </c>
      <c r="O139" s="22" t="s">
        <v>312</v>
      </c>
      <c r="P139" s="22" t="s">
        <v>312</v>
      </c>
      <c r="Q139" s="22"/>
      <c r="R139" s="22" t="s">
        <v>248</v>
      </c>
      <c r="S139" s="24">
        <f>IFERROR(INDEX(tablecost[رقم المركز],MATCH(Tabledaily[[#This Row],[مركـــــــزالتكلفــــــة]],tablecost[الاسم],0)),0)</f>
        <v>7</v>
      </c>
      <c r="T139" s="27">
        <f>DATE(Tabledaily[[#This Row],[السنــــة]],Tabledaily[[#This Row],[الشهــــر]],Tabledaily[[#This Row],[الـــــيوم]])</f>
        <v>46188</v>
      </c>
      <c r="U139" s="28">
        <v>46193.084074074075</v>
      </c>
      <c r="V139" s="22"/>
      <c r="W139" s="24">
        <f>YEAR(Tabledaily[[#This Row],[التاريخ]])</f>
        <v>2026</v>
      </c>
      <c r="X139" s="24">
        <f>MONTH(Tabledaily[[#This Row],[التاريخ]])</f>
        <v>6</v>
      </c>
      <c r="Y139" s="24">
        <f>DAY(Tabledaily[[#This Row],[التاريخ]])</f>
        <v>15</v>
      </c>
      <c r="Z13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33 بامر</v>
      </c>
      <c r="AA139" s="24" t="str">
        <f>IF(COUNTIF(TableDailyJournal[رقم العملية],Tabledaily[[#This Row],[رقم العملية]])&gt;1,"مرحل","غير مرحل")</f>
        <v>مرحل</v>
      </c>
    </row>
    <row r="140" spans="1:27" ht="22.9" customHeight="1" x14ac:dyDescent="0.55000000000000004">
      <c r="A140" s="22">
        <f t="shared" si="4"/>
        <v>138</v>
      </c>
      <c r="B140" s="23" t="s">
        <v>805</v>
      </c>
      <c r="C140" s="213" t="s">
        <v>791</v>
      </c>
      <c r="D140" s="22" t="s">
        <v>290</v>
      </c>
      <c r="E140" s="22">
        <f>IFERROR(INDEX(TableJudje[رقم الحساب],MATCH(Tabledaily[[#This Row],[الحســاب الدئـــن]],TableJudje[اسم الحساب],0)),0)</f>
        <v>11060205</v>
      </c>
      <c r="F140" s="22" t="s">
        <v>513</v>
      </c>
      <c r="G140" s="22" t="s">
        <v>458</v>
      </c>
      <c r="H140" s="24">
        <f>IFERROR(INDEX(TableJudje[رقم الحساب],MATCH(Tabledaily[[#This Row],[الحســاب المديــــن]],TableJudje[اسم الحساب],0)),0)</f>
        <v>31010101</v>
      </c>
      <c r="I140" s="22" t="s">
        <v>111</v>
      </c>
      <c r="J140" s="22" t="s">
        <v>238</v>
      </c>
      <c r="K140" s="117">
        <v>28000</v>
      </c>
      <c r="L140" s="23">
        <v>405</v>
      </c>
      <c r="M140" s="118">
        <f>IFERROR(Tabledaily[[#This Row],[المبلـــــــغ]]/Tabledaily[[#This Row],[سعــــــر
الصـــــرف]],"")</f>
        <v>69.135802469135797</v>
      </c>
      <c r="N140" s="22" t="s">
        <v>459</v>
      </c>
      <c r="O140" s="22" t="s">
        <v>312</v>
      </c>
      <c r="P140" s="22" t="s">
        <v>312</v>
      </c>
      <c r="Q140" s="22"/>
      <c r="R140" s="22" t="s">
        <v>237</v>
      </c>
      <c r="S140" s="24">
        <f>IFERROR(INDEX(tablecost[رقم المركز],MATCH(Tabledaily[[#This Row],[مركـــــــزالتكلفــــــة]],tablecost[الاسم],0)),0)</f>
        <v>1</v>
      </c>
      <c r="T140" s="27">
        <f>DATE(Tabledaily[[#This Row],[السنــــة]],Tabledaily[[#This Row],[الشهــــر]],Tabledaily[[#This Row],[الـــــيوم]])</f>
        <v>46188</v>
      </c>
      <c r="U140" s="28">
        <v>46193.083055555559</v>
      </c>
      <c r="V140" s="22"/>
      <c r="W140" s="24">
        <f>YEAR(Tabledaily[[#This Row],[التاريخ]])</f>
        <v>2026</v>
      </c>
      <c r="X140" s="24">
        <f>MONTH(Tabledaily[[#This Row],[التاريخ]])</f>
        <v>6</v>
      </c>
      <c r="Y140" s="24">
        <f>DAY(Tabledaily[[#This Row],[التاريخ]])</f>
        <v>15</v>
      </c>
      <c r="Z14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140" s="24" t="str">
        <f>IF(COUNTIF(TableDailyJournal[رقم العملية],Tabledaily[[#This Row],[رقم العملية]])&gt;1,"مرحل","غير مرحل")</f>
        <v>مرحل</v>
      </c>
    </row>
    <row r="141" spans="1:27" ht="22.9" customHeight="1" x14ac:dyDescent="0.55000000000000004">
      <c r="A141" s="22">
        <f t="shared" si="4"/>
        <v>139</v>
      </c>
      <c r="B141" s="23" t="s">
        <v>804</v>
      </c>
      <c r="C141" s="213" t="s">
        <v>791</v>
      </c>
      <c r="D141" s="22" t="s">
        <v>290</v>
      </c>
      <c r="E141" s="22">
        <f>IFERROR(INDEX(TableJudje[رقم الحساب],MATCH(Tabledaily[[#This Row],[الحســاب الدئـــن]],TableJudje[اسم الحساب],0)),0)</f>
        <v>11060205</v>
      </c>
      <c r="F141" s="22" t="s">
        <v>513</v>
      </c>
      <c r="G141" s="22" t="s">
        <v>709</v>
      </c>
      <c r="H141" s="24">
        <f>IFERROR(INDEX(TableJudje[رقم الحساب],MATCH(Tabledaily[[#This Row],[الحســاب المديــــن]],TableJudje[اسم الحساب],0)),0)</f>
        <v>31010101</v>
      </c>
      <c r="I141" s="22" t="s">
        <v>111</v>
      </c>
      <c r="J141" s="22" t="s">
        <v>238</v>
      </c>
      <c r="K141" s="117">
        <v>36000</v>
      </c>
      <c r="L141" s="23">
        <v>405</v>
      </c>
      <c r="M141" s="118">
        <f>IFERROR(Tabledaily[[#This Row],[المبلـــــــغ]]/Tabledaily[[#This Row],[سعــــــر
الصـــــرف]],"")</f>
        <v>88.888888888888886</v>
      </c>
      <c r="N141" s="22" t="s">
        <v>374</v>
      </c>
      <c r="O141" s="22" t="s">
        <v>312</v>
      </c>
      <c r="P141" s="22" t="s">
        <v>312</v>
      </c>
      <c r="Q141" s="22"/>
      <c r="R141" s="22" t="s">
        <v>237</v>
      </c>
      <c r="S141" s="24">
        <f>IFERROR(INDEX(tablecost[رقم المركز],MATCH(Tabledaily[[#This Row],[مركـــــــزالتكلفــــــة]],tablecost[الاسم],0)),0)</f>
        <v>1</v>
      </c>
      <c r="T141" s="27">
        <f>DATE(Tabledaily[[#This Row],[السنــــة]],Tabledaily[[#This Row],[الشهــــر]],Tabledaily[[#This Row],[الـــــيوم]])</f>
        <v>46188</v>
      </c>
      <c r="U141" s="28">
        <v>46193.082511574074</v>
      </c>
      <c r="V141" s="22"/>
      <c r="W141" s="24">
        <f>YEAR(Tabledaily[[#This Row],[التاريخ]])</f>
        <v>2026</v>
      </c>
      <c r="X141" s="24">
        <f>MONTH(Tabledaily[[#This Row],[التاريخ]])</f>
        <v>6</v>
      </c>
      <c r="Y141" s="24">
        <f>DAY(Tabledaily[[#This Row],[التاريخ]])</f>
        <v>15</v>
      </c>
      <c r="Z14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A141" s="24" t="str">
        <f>IF(COUNTIF(TableDailyJournal[رقم العملية],Tabledaily[[#This Row],[رقم العملية]])&gt;1,"مرحل","غير مرحل")</f>
        <v>مرحل</v>
      </c>
    </row>
    <row r="142" spans="1:27" ht="22.9" customHeight="1" x14ac:dyDescent="0.55000000000000004">
      <c r="A142" s="22">
        <f t="shared" si="4"/>
        <v>140</v>
      </c>
      <c r="B142" s="23" t="s">
        <v>803</v>
      </c>
      <c r="C142" s="213" t="s">
        <v>791</v>
      </c>
      <c r="D142" s="22" t="s">
        <v>290</v>
      </c>
      <c r="E142" s="22">
        <f>IFERROR(INDEX(TableJudje[رقم الحساب],MATCH(Tabledaily[[#This Row],[الحســاب الدئـــن]],TableJudje[اسم الحساب],0)),0)</f>
        <v>11060205</v>
      </c>
      <c r="F142" s="22" t="s">
        <v>513</v>
      </c>
      <c r="G142" s="22" t="s">
        <v>707</v>
      </c>
      <c r="H142" s="24">
        <f>IFERROR(INDEX(TableJudje[رقم الحساب],MATCH(Tabledaily[[#This Row],[الحســاب المديــــن]],TableJudje[اسم الحساب],0)),0)</f>
        <v>31010101</v>
      </c>
      <c r="I142" s="22" t="s">
        <v>111</v>
      </c>
      <c r="J142" s="22" t="s">
        <v>238</v>
      </c>
      <c r="K142" s="117">
        <v>25000</v>
      </c>
      <c r="L142" s="23">
        <v>405</v>
      </c>
      <c r="M142" s="118">
        <f>IFERROR(Tabledaily[[#This Row],[المبلـــــــغ]]/Tabledaily[[#This Row],[سعــــــر
الصـــــرف]],"")</f>
        <v>61.728395061728392</v>
      </c>
      <c r="N142" s="22" t="s">
        <v>638</v>
      </c>
      <c r="O142" s="22" t="s">
        <v>312</v>
      </c>
      <c r="P142" s="22" t="s">
        <v>312</v>
      </c>
      <c r="Q142" s="22"/>
      <c r="R142" s="22" t="s">
        <v>237</v>
      </c>
      <c r="S142" s="24">
        <f>IFERROR(INDEX(tablecost[رقم المركز],MATCH(Tabledaily[[#This Row],[مركـــــــزالتكلفــــــة]],tablecost[الاسم],0)),0)</f>
        <v>1</v>
      </c>
      <c r="T142" s="27">
        <f>DATE(Tabledaily[[#This Row],[السنــــة]],Tabledaily[[#This Row],[الشهــــر]],Tabledaily[[#This Row],[الـــــيوم]])</f>
        <v>46188</v>
      </c>
      <c r="U142" s="28">
        <v>46193.081886574073</v>
      </c>
      <c r="V142" s="22"/>
      <c r="W142" s="24">
        <f>YEAR(Tabledaily[[#This Row],[التاريخ]])</f>
        <v>2026</v>
      </c>
      <c r="X142" s="24">
        <f>MONTH(Tabledaily[[#This Row],[التاريخ]])</f>
        <v>6</v>
      </c>
      <c r="Y142" s="24">
        <f>DAY(Tabledaily[[#This Row],[التاريخ]])</f>
        <v>15</v>
      </c>
      <c r="Z14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 الاركان عدد 4 بامر</v>
      </c>
      <c r="AA142" s="24" t="str">
        <f>IF(COUNTIF(TableDailyJournal[رقم العملية],Tabledaily[[#This Row],[رقم العملية]])&gt;1,"مرحل","غير مرحل")</f>
        <v>مرحل</v>
      </c>
    </row>
    <row r="143" spans="1:27" ht="22.9" customHeight="1" x14ac:dyDescent="0.55000000000000004">
      <c r="A143" s="22">
        <f t="shared" si="4"/>
        <v>141</v>
      </c>
      <c r="B143" s="23" t="s">
        <v>801</v>
      </c>
      <c r="C143" s="213" t="s">
        <v>791</v>
      </c>
      <c r="D143" s="22" t="s">
        <v>290</v>
      </c>
      <c r="E143" s="22">
        <f>IFERROR(INDEX(TableJudje[رقم الحساب],MATCH(Tabledaily[[#This Row],[الحســاب الدئـــن]],TableJudje[اسم الحساب],0)),0)</f>
        <v>11060205</v>
      </c>
      <c r="F143" s="22" t="s">
        <v>513</v>
      </c>
      <c r="G143" s="22" t="s">
        <v>802</v>
      </c>
      <c r="H143" s="24">
        <f>IFERROR(INDEX(TableJudje[رقم الحساب],MATCH(Tabledaily[[#This Row],[الحســاب المديــــن]],TableJudje[اسم الحساب],0)),0)</f>
        <v>31010101</v>
      </c>
      <c r="I143" s="22" t="s">
        <v>111</v>
      </c>
      <c r="J143" s="22" t="s">
        <v>238</v>
      </c>
      <c r="K143" s="117">
        <v>126000</v>
      </c>
      <c r="L143" s="23">
        <v>405</v>
      </c>
      <c r="M143" s="118">
        <f>IFERROR(Tabledaily[[#This Row],[المبلـــــــغ]]/Tabledaily[[#This Row],[سعــــــر
الصـــــرف]],"")</f>
        <v>311.11111111111109</v>
      </c>
      <c r="N143" s="22" t="s">
        <v>322</v>
      </c>
      <c r="O143" s="22" t="s">
        <v>312</v>
      </c>
      <c r="P143" s="22" t="s">
        <v>312</v>
      </c>
      <c r="Q143" s="22"/>
      <c r="R143" s="22" t="s">
        <v>237</v>
      </c>
      <c r="S143" s="24">
        <f>IFERROR(INDEX(tablecost[رقم المركز],MATCH(Tabledaily[[#This Row],[مركـــــــزالتكلفــــــة]],tablecost[الاسم],0)),0)</f>
        <v>1</v>
      </c>
      <c r="T143" s="27">
        <f>DATE(Tabledaily[[#This Row],[السنــــة]],Tabledaily[[#This Row],[الشهــــر]],Tabledaily[[#This Row],[الـــــيوم]])</f>
        <v>46188</v>
      </c>
      <c r="U143" s="28">
        <v>46193.081296296295</v>
      </c>
      <c r="V143" s="22"/>
      <c r="W143" s="24">
        <f>YEAR(Tabledaily[[#This Row],[التاريخ]])</f>
        <v>2026</v>
      </c>
      <c r="X143" s="24">
        <f>MONTH(Tabledaily[[#This Row],[التاريخ]])</f>
        <v>6</v>
      </c>
      <c r="Y143" s="24">
        <f>DAY(Tabledaily[[#This Row],[التاريخ]])</f>
        <v>15</v>
      </c>
      <c r="Z14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12 بامر</v>
      </c>
      <c r="AA143" s="24" t="str">
        <f>IF(COUNTIF(TableDailyJournal[رقم العملية],Tabledaily[[#This Row],[رقم العملية]])&gt;1,"مرحل","غير مرحل")</f>
        <v>مرحل</v>
      </c>
    </row>
    <row r="144" spans="1:27" ht="22.9" customHeight="1" x14ac:dyDescent="0.55000000000000004">
      <c r="A144" s="22">
        <f t="shared" si="4"/>
        <v>142</v>
      </c>
      <c r="B144" s="23" t="s">
        <v>800</v>
      </c>
      <c r="C144" s="213" t="s">
        <v>791</v>
      </c>
      <c r="D144" s="22" t="s">
        <v>290</v>
      </c>
      <c r="E144" s="22">
        <f>IFERROR(INDEX(TableJudje[رقم الحساب],MATCH(Tabledaily[[#This Row],[الحســاب الدئـــن]],TableJudje[اسم الحساب],0)),0)</f>
        <v>11060205</v>
      </c>
      <c r="F144" s="22" t="s">
        <v>513</v>
      </c>
      <c r="G144" s="22" t="s">
        <v>728</v>
      </c>
      <c r="H144" s="24">
        <f>IFERROR(INDEX(TableJudje[رقم الحساب],MATCH(Tabledaily[[#This Row],[الحســاب المديــــن]],TableJudje[اسم الحساب],0)),0)</f>
        <v>31010101</v>
      </c>
      <c r="I144" s="22" t="s">
        <v>111</v>
      </c>
      <c r="J144" s="22" t="s">
        <v>238</v>
      </c>
      <c r="K144" s="117">
        <v>100000</v>
      </c>
      <c r="L144" s="23">
        <v>405</v>
      </c>
      <c r="M144" s="118">
        <f>IFERROR(Tabledaily[[#This Row],[المبلـــــــغ]]/Tabledaily[[#This Row],[سعــــــر
الصـــــرف]],"")</f>
        <v>246.91358024691357</v>
      </c>
      <c r="N144" s="22" t="s">
        <v>325</v>
      </c>
      <c r="O144" s="22" t="s">
        <v>312</v>
      </c>
      <c r="P144" s="22" t="s">
        <v>312</v>
      </c>
      <c r="Q144" s="22"/>
      <c r="R144" s="22" t="s">
        <v>237</v>
      </c>
      <c r="S144" s="24">
        <f>IFERROR(INDEX(tablecost[رقم المركز],MATCH(Tabledaily[[#This Row],[مركـــــــزالتكلفــــــة]],tablecost[الاسم],0)),0)</f>
        <v>1</v>
      </c>
      <c r="T144" s="27">
        <f>DATE(Tabledaily[[#This Row],[السنــــة]],Tabledaily[[#This Row],[الشهــــر]],Tabledaily[[#This Row],[الـــــيوم]])</f>
        <v>46188</v>
      </c>
      <c r="U144" s="28">
        <v>46193.08084490741</v>
      </c>
      <c r="V144" s="22"/>
      <c r="W144" s="24">
        <f>YEAR(Tabledaily[[#This Row],[التاريخ]])</f>
        <v>2026</v>
      </c>
      <c r="X144" s="24">
        <f>MONTH(Tabledaily[[#This Row],[التاريخ]])</f>
        <v>6</v>
      </c>
      <c r="Y144" s="24">
        <f>DAY(Tabledaily[[#This Row],[التاريخ]])</f>
        <v>15</v>
      </c>
      <c r="Z14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10 بامر</v>
      </c>
      <c r="AA144" s="24" t="str">
        <f>IF(COUNTIF(TableDailyJournal[رقم العملية],Tabledaily[[#This Row],[رقم العملية]])&gt;1,"مرحل","غير مرحل")</f>
        <v>مرحل</v>
      </c>
    </row>
    <row r="145" spans="1:27" ht="22.9" customHeight="1" x14ac:dyDescent="0.55000000000000004">
      <c r="A145" s="22">
        <f t="shared" si="4"/>
        <v>143</v>
      </c>
      <c r="B145" s="23" t="s">
        <v>799</v>
      </c>
      <c r="C145" s="213" t="s">
        <v>791</v>
      </c>
      <c r="D145" s="22" t="s">
        <v>290</v>
      </c>
      <c r="E145" s="22">
        <f>IFERROR(INDEX(TableJudje[رقم الحساب],MATCH(Tabledaily[[#This Row],[الحســاب الدئـــن]],TableJudje[اسم الحساب],0)),0)</f>
        <v>11060205</v>
      </c>
      <c r="F145" s="22" t="s">
        <v>513</v>
      </c>
      <c r="G145" s="22" t="s">
        <v>672</v>
      </c>
      <c r="H145" s="24">
        <f>IFERROR(INDEX(TableJudje[رقم الحساب],MATCH(Tabledaily[[#This Row],[الحســاب المديــــن]],TableJudje[اسم الحساب],0)),0)</f>
        <v>31010101</v>
      </c>
      <c r="I145" s="22" t="s">
        <v>111</v>
      </c>
      <c r="J145" s="22" t="s">
        <v>238</v>
      </c>
      <c r="K145" s="117">
        <v>14000</v>
      </c>
      <c r="L145" s="23">
        <v>405</v>
      </c>
      <c r="M145" s="118">
        <f>IFERROR(Tabledaily[[#This Row],[المبلـــــــغ]]/Tabledaily[[#This Row],[سعــــــر
الصـــــرف]],"")</f>
        <v>34.567901234567898</v>
      </c>
      <c r="N145" s="22" t="s">
        <v>328</v>
      </c>
      <c r="O145" s="22" t="s">
        <v>312</v>
      </c>
      <c r="P145" s="22" t="s">
        <v>312</v>
      </c>
      <c r="Q145" s="22"/>
      <c r="R145" s="22" t="s">
        <v>237</v>
      </c>
      <c r="S145" s="24">
        <f>IFERROR(INDEX(tablecost[رقم المركز],MATCH(Tabledaily[[#This Row],[مركـــــــزالتكلفــــــة]],tablecost[الاسم],0)),0)</f>
        <v>1</v>
      </c>
      <c r="T145" s="27">
        <f>DATE(Tabledaily[[#This Row],[السنــــة]],Tabledaily[[#This Row],[الشهــــر]],Tabledaily[[#This Row],[الـــــيوم]])</f>
        <v>46188</v>
      </c>
      <c r="U145" s="28">
        <v>46193.080127314817</v>
      </c>
      <c r="V145" s="22"/>
      <c r="W145" s="24">
        <f>YEAR(Tabledaily[[#This Row],[التاريخ]])</f>
        <v>2026</v>
      </c>
      <c r="X145" s="24">
        <f>MONTH(Tabledaily[[#This Row],[التاريخ]])</f>
        <v>6</v>
      </c>
      <c r="Y145" s="24">
        <f>DAY(Tabledaily[[#This Row],[التاريخ]])</f>
        <v>15</v>
      </c>
      <c r="Z14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2 بامر</v>
      </c>
      <c r="AA145" s="24" t="str">
        <f>IF(COUNTIF(TableDailyJournal[رقم العملية],Tabledaily[[#This Row],[رقم العملية]])&gt;1,"مرحل","غير مرحل")</f>
        <v>مرحل</v>
      </c>
    </row>
    <row r="146" spans="1:27" ht="22.9" customHeight="1" x14ac:dyDescent="0.55000000000000004">
      <c r="A146" s="22">
        <f t="shared" si="4"/>
        <v>144</v>
      </c>
      <c r="B146" s="23" t="s">
        <v>798</v>
      </c>
      <c r="C146" s="213" t="s">
        <v>791</v>
      </c>
      <c r="D146" s="22" t="s">
        <v>290</v>
      </c>
      <c r="E146" s="22">
        <f>IFERROR(INDEX(TableJudje[رقم الحساب],MATCH(Tabledaily[[#This Row],[الحســاب الدئـــن]],TableJudje[اسم الحساب],0)),0)</f>
        <v>11060205</v>
      </c>
      <c r="F146" s="22" t="s">
        <v>513</v>
      </c>
      <c r="G146" s="22" t="s">
        <v>630</v>
      </c>
      <c r="H146" s="24">
        <f>IFERROR(INDEX(TableJudje[رقم الحساب],MATCH(Tabledaily[[#This Row],[الحســاب المديــــن]],TableJudje[اسم الحساب],0)),0)</f>
        <v>31010101</v>
      </c>
      <c r="I146" s="22" t="s">
        <v>111</v>
      </c>
      <c r="J146" s="22" t="s">
        <v>238</v>
      </c>
      <c r="K146" s="117">
        <v>95000</v>
      </c>
      <c r="L146" s="23">
        <v>405</v>
      </c>
      <c r="M146" s="118">
        <f>IFERROR(Tabledaily[[#This Row],[المبلـــــــغ]]/Tabledaily[[#This Row],[سعــــــر
الصـــــرف]],"")</f>
        <v>234.5679012345679</v>
      </c>
      <c r="N146" s="22" t="s">
        <v>331</v>
      </c>
      <c r="O146" s="22" t="s">
        <v>312</v>
      </c>
      <c r="P146" s="22" t="s">
        <v>312</v>
      </c>
      <c r="Q146" s="22"/>
      <c r="R146" s="22" t="s">
        <v>237</v>
      </c>
      <c r="S146" s="24">
        <f>IFERROR(INDEX(tablecost[رقم المركز],MATCH(Tabledaily[[#This Row],[مركـــــــزالتكلفــــــة]],tablecost[الاسم],0)),0)</f>
        <v>1</v>
      </c>
      <c r="T146" s="27">
        <f>DATE(Tabledaily[[#This Row],[السنــــة]],Tabledaily[[#This Row],[الشهــــر]],Tabledaily[[#This Row],[الـــــيوم]])</f>
        <v>46188</v>
      </c>
      <c r="U146" s="28">
        <v>46193.079768518517</v>
      </c>
      <c r="V146" s="22"/>
      <c r="W146" s="24">
        <f>YEAR(Tabledaily[[#This Row],[التاريخ]])</f>
        <v>2026</v>
      </c>
      <c r="X146" s="24">
        <f>MONTH(Tabledaily[[#This Row],[التاريخ]])</f>
        <v>6</v>
      </c>
      <c r="Y146" s="24">
        <f>DAY(Tabledaily[[#This Row],[التاريخ]])</f>
        <v>15</v>
      </c>
      <c r="Z14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A146" s="24" t="str">
        <f>IF(COUNTIF(TableDailyJournal[رقم العملية],Tabledaily[[#This Row],[رقم العملية]])&gt;1,"مرحل","غير مرحل")</f>
        <v>مرحل</v>
      </c>
    </row>
    <row r="147" spans="1:27" ht="22.9" customHeight="1" x14ac:dyDescent="0.55000000000000004">
      <c r="A147" s="22">
        <f t="shared" si="4"/>
        <v>145</v>
      </c>
      <c r="B147" s="23" t="s">
        <v>797</v>
      </c>
      <c r="C147" s="213" t="s">
        <v>791</v>
      </c>
      <c r="D147" s="22" t="s">
        <v>290</v>
      </c>
      <c r="E147" s="22">
        <f>IFERROR(INDEX(TableJudje[رقم الحساب],MATCH(Tabledaily[[#This Row],[الحســاب الدئـــن]],TableJudje[اسم الحساب],0)),0)</f>
        <v>11060205</v>
      </c>
      <c r="F147" s="22" t="s">
        <v>513</v>
      </c>
      <c r="G147" s="22" t="s">
        <v>699</v>
      </c>
      <c r="H147" s="24">
        <f>IFERROR(INDEX(TableJudje[رقم الحساب],MATCH(Tabledaily[[#This Row],[الحســاب المديــــن]],TableJudje[اسم الحساب],0)),0)</f>
        <v>31010101</v>
      </c>
      <c r="I147" s="22" t="s">
        <v>111</v>
      </c>
      <c r="J147" s="22" t="s">
        <v>238</v>
      </c>
      <c r="K147" s="117">
        <v>45000</v>
      </c>
      <c r="L147" s="23">
        <v>405</v>
      </c>
      <c r="M147" s="118">
        <f>IFERROR(Tabledaily[[#This Row],[المبلـــــــغ]]/Tabledaily[[#This Row],[سعــــــر
الصـــــرف]],"")</f>
        <v>111.11111111111111</v>
      </c>
      <c r="N147" s="22" t="s">
        <v>565</v>
      </c>
      <c r="O147" s="22" t="s">
        <v>312</v>
      </c>
      <c r="P147" s="22" t="s">
        <v>312</v>
      </c>
      <c r="Q147" s="22"/>
      <c r="R147" s="22" t="s">
        <v>237</v>
      </c>
      <c r="S147" s="24">
        <f>IFERROR(INDEX(tablecost[رقم المركز],MATCH(Tabledaily[[#This Row],[مركـــــــزالتكلفــــــة]],tablecost[الاسم],0)),0)</f>
        <v>1</v>
      </c>
      <c r="T147" s="27">
        <f>DATE(Tabledaily[[#This Row],[السنــــة]],Tabledaily[[#This Row],[الشهــــر]],Tabledaily[[#This Row],[الـــــيوم]])</f>
        <v>46188</v>
      </c>
      <c r="U147" s="28">
        <v>46193.078715277778</v>
      </c>
      <c r="V147" s="22"/>
      <c r="W147" s="24">
        <f>YEAR(Tabledaily[[#This Row],[التاريخ]])</f>
        <v>2026</v>
      </c>
      <c r="X147" s="24">
        <f>MONTH(Tabledaily[[#This Row],[التاريخ]])</f>
        <v>6</v>
      </c>
      <c r="Y147" s="24">
        <f>DAY(Tabledaily[[#This Row],[التاريخ]])</f>
        <v>15</v>
      </c>
      <c r="Z14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5 بامر</v>
      </c>
      <c r="AA147" s="24" t="str">
        <f>IF(COUNTIF(TableDailyJournal[رقم العملية],Tabledaily[[#This Row],[رقم العملية]])&gt;1,"مرحل","غير مرحل")</f>
        <v>مرحل</v>
      </c>
    </row>
    <row r="148" spans="1:27" ht="22.9" customHeight="1" x14ac:dyDescent="0.55000000000000004">
      <c r="A148" s="22">
        <f t="shared" si="4"/>
        <v>146</v>
      </c>
      <c r="B148" s="23" t="s">
        <v>796</v>
      </c>
      <c r="C148" s="213" t="s">
        <v>791</v>
      </c>
      <c r="D148" s="22" t="s">
        <v>290</v>
      </c>
      <c r="E148" s="22">
        <f>IFERROR(INDEX(TableJudje[رقم الحساب],MATCH(Tabledaily[[#This Row],[الحســاب الدئـــن]],TableJudje[اسم الحساب],0)),0)</f>
        <v>11060205</v>
      </c>
      <c r="F148" s="22" t="s">
        <v>513</v>
      </c>
      <c r="G148" s="22" t="s">
        <v>333</v>
      </c>
      <c r="H148" s="24">
        <f>IFERROR(INDEX(TableJudje[رقم الحساب],MATCH(Tabledaily[[#This Row],[الحســاب المديــــن]],TableJudje[اسم الحساب],0)),0)</f>
        <v>31010101</v>
      </c>
      <c r="I148" s="22" t="s">
        <v>111</v>
      </c>
      <c r="J148" s="22" t="s">
        <v>238</v>
      </c>
      <c r="K148" s="117">
        <v>65000</v>
      </c>
      <c r="L148" s="23">
        <v>405</v>
      </c>
      <c r="M148" s="118">
        <f>IFERROR(Tabledaily[[#This Row],[المبلـــــــغ]]/Tabledaily[[#This Row],[سعــــــر
الصـــــرف]],"")</f>
        <v>160.49382716049382</v>
      </c>
      <c r="N148" s="22" t="s">
        <v>334</v>
      </c>
      <c r="O148" s="22" t="s">
        <v>312</v>
      </c>
      <c r="P148" s="22" t="s">
        <v>312</v>
      </c>
      <c r="Q148" s="22"/>
      <c r="R148" s="22" t="s">
        <v>237</v>
      </c>
      <c r="S148" s="24">
        <f>IFERROR(INDEX(tablecost[رقم المركز],MATCH(Tabledaily[[#This Row],[مركـــــــزالتكلفــــــة]],tablecost[الاسم],0)),0)</f>
        <v>1</v>
      </c>
      <c r="T148" s="27">
        <f>DATE(Tabledaily[[#This Row],[السنــــة]],Tabledaily[[#This Row],[الشهــــر]],Tabledaily[[#This Row],[الـــــيوم]])</f>
        <v>46188</v>
      </c>
      <c r="U148" s="28">
        <v>46193.078298611108</v>
      </c>
      <c r="V148" s="22"/>
      <c r="W148" s="24">
        <f>YEAR(Tabledaily[[#This Row],[التاريخ]])</f>
        <v>2026</v>
      </c>
      <c r="X148" s="24">
        <f>MONTH(Tabledaily[[#This Row],[التاريخ]])</f>
        <v>6</v>
      </c>
      <c r="Y148" s="24">
        <f>DAY(Tabledaily[[#This Row],[التاريخ]])</f>
        <v>15</v>
      </c>
      <c r="Z14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148" s="24" t="str">
        <f>IF(COUNTIF(TableDailyJournal[رقم العملية],Tabledaily[[#This Row],[رقم العملية]])&gt;1,"مرحل","غير مرحل")</f>
        <v>مرحل</v>
      </c>
    </row>
    <row r="149" spans="1:27" ht="22.9" customHeight="1" x14ac:dyDescent="0.55000000000000004">
      <c r="A149" s="22">
        <f t="shared" si="4"/>
        <v>147</v>
      </c>
      <c r="B149" s="23" t="s">
        <v>795</v>
      </c>
      <c r="C149" s="213" t="s">
        <v>791</v>
      </c>
      <c r="D149" s="22" t="s">
        <v>290</v>
      </c>
      <c r="E149" s="22">
        <f>IFERROR(INDEX(TableJudje[رقم الحساب],MATCH(Tabledaily[[#This Row],[الحســاب الدئـــن]],TableJudje[اسم الحساب],0)),0)</f>
        <v>11060205</v>
      </c>
      <c r="F149" s="22" t="s">
        <v>513</v>
      </c>
      <c r="G149" s="22" t="s">
        <v>524</v>
      </c>
      <c r="H149" s="24">
        <f>IFERROR(INDEX(TableJudje[رقم الحساب],MATCH(Tabledaily[[#This Row],[الحســاب المديــــن]],TableJudje[اسم الحساب],0)),0)</f>
        <v>31010101</v>
      </c>
      <c r="I149" s="22" t="s">
        <v>111</v>
      </c>
      <c r="J149" s="22" t="s">
        <v>238</v>
      </c>
      <c r="K149" s="117">
        <v>15000</v>
      </c>
      <c r="L149" s="23">
        <v>405</v>
      </c>
      <c r="M149" s="118">
        <f>IFERROR(Tabledaily[[#This Row],[المبلـــــــغ]]/Tabledaily[[#This Row],[سعــــــر
الصـــــرف]],"")</f>
        <v>37.037037037037038</v>
      </c>
      <c r="N149" s="22" t="s">
        <v>337</v>
      </c>
      <c r="O149" s="22" t="s">
        <v>312</v>
      </c>
      <c r="P149" s="22" t="s">
        <v>312</v>
      </c>
      <c r="Q149" s="22"/>
      <c r="R149" s="22" t="s">
        <v>237</v>
      </c>
      <c r="S149" s="24">
        <f>IFERROR(INDEX(tablecost[رقم المركز],MATCH(Tabledaily[[#This Row],[مركـــــــزالتكلفــــــة]],tablecost[الاسم],0)),0)</f>
        <v>1</v>
      </c>
      <c r="T149" s="27">
        <f>DATE(Tabledaily[[#This Row],[السنــــة]],Tabledaily[[#This Row],[الشهــــر]],Tabledaily[[#This Row],[الـــــيوم]])</f>
        <v>46188</v>
      </c>
      <c r="U149" s="28">
        <v>46193.0778125</v>
      </c>
      <c r="V149" s="22"/>
      <c r="W149" s="24">
        <f>YEAR(Tabledaily[[#This Row],[التاريخ]])</f>
        <v>2026</v>
      </c>
      <c r="X149" s="24">
        <f>MONTH(Tabledaily[[#This Row],[التاريخ]])</f>
        <v>6</v>
      </c>
      <c r="Y149" s="24">
        <f>DAY(Tabledaily[[#This Row],[التاريخ]])</f>
        <v>15</v>
      </c>
      <c r="Z14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1 بامر</v>
      </c>
      <c r="AA149" s="24" t="str">
        <f>IF(COUNTIF(TableDailyJournal[رقم العملية],Tabledaily[[#This Row],[رقم العملية]])&gt;1,"مرحل","غير مرحل")</f>
        <v>مرحل</v>
      </c>
    </row>
    <row r="150" spans="1:27" ht="22.9" customHeight="1" x14ac:dyDescent="0.55000000000000004">
      <c r="A150" s="22">
        <f t="shared" si="4"/>
        <v>148</v>
      </c>
      <c r="B150" s="23" t="s">
        <v>793</v>
      </c>
      <c r="C150" s="213" t="s">
        <v>791</v>
      </c>
      <c r="D150" s="22" t="s">
        <v>290</v>
      </c>
      <c r="E150" s="22">
        <f>IFERROR(INDEX(TableJudje[رقم الحساب],MATCH(Tabledaily[[#This Row],[الحســاب الدئـــن]],TableJudje[اسم الحساب],0)),0)</f>
        <v>11060205</v>
      </c>
      <c r="F150" s="22" t="s">
        <v>513</v>
      </c>
      <c r="G150" s="22" t="s">
        <v>794</v>
      </c>
      <c r="H150" s="24">
        <f>IFERROR(INDEX(TableJudje[رقم الحساب],MATCH(Tabledaily[[#This Row],[الحســاب المديــــن]],TableJudje[اسم الحساب],0)),0)</f>
        <v>31010101</v>
      </c>
      <c r="I150" s="22" t="s">
        <v>111</v>
      </c>
      <c r="J150" s="22" t="s">
        <v>238</v>
      </c>
      <c r="K150" s="117">
        <v>70000</v>
      </c>
      <c r="L150" s="23">
        <v>405</v>
      </c>
      <c r="M150" s="118">
        <f>IFERROR(Tabledaily[[#This Row],[المبلـــــــغ]]/Tabledaily[[#This Row],[سعــــــر
الصـــــرف]],"")</f>
        <v>172.83950617283949</v>
      </c>
      <c r="N150" s="22" t="s">
        <v>340</v>
      </c>
      <c r="O150" s="22" t="s">
        <v>312</v>
      </c>
      <c r="P150" s="22" t="s">
        <v>312</v>
      </c>
      <c r="Q150" s="22"/>
      <c r="R150" s="22" t="s">
        <v>237</v>
      </c>
      <c r="S150" s="24">
        <f>IFERROR(INDEX(tablecost[رقم المركز],MATCH(Tabledaily[[#This Row],[مركـــــــزالتكلفــــــة]],tablecost[الاسم],0)),0)</f>
        <v>1</v>
      </c>
      <c r="T150" s="27">
        <f>DATE(Tabledaily[[#This Row],[السنــــة]],Tabledaily[[#This Row],[الشهــــر]],Tabledaily[[#This Row],[الـــــيوم]])</f>
        <v>46188</v>
      </c>
      <c r="U150" s="28">
        <v>46193.077476851853</v>
      </c>
      <c r="V150" s="22"/>
      <c r="W150" s="24">
        <f>YEAR(Tabledaily[[#This Row],[التاريخ]])</f>
        <v>2026</v>
      </c>
      <c r="X150" s="24">
        <f>MONTH(Tabledaily[[#This Row],[التاريخ]])</f>
        <v>6</v>
      </c>
      <c r="Y150" s="24">
        <f>DAY(Tabledaily[[#This Row],[التاريخ]])</f>
        <v>15</v>
      </c>
      <c r="Z15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6 بامر</v>
      </c>
      <c r="AA150" s="24" t="str">
        <f>IF(COUNTIF(TableDailyJournal[رقم العملية],Tabledaily[[#This Row],[رقم العملية]])&gt;1,"مرحل","غير مرحل")</f>
        <v>مرحل</v>
      </c>
    </row>
    <row r="151" spans="1:27" ht="22.9" customHeight="1" x14ac:dyDescent="0.55000000000000004">
      <c r="A151" s="22">
        <f t="shared" si="4"/>
        <v>149</v>
      </c>
      <c r="B151" s="23" t="s">
        <v>792</v>
      </c>
      <c r="C151" s="213" t="s">
        <v>791</v>
      </c>
      <c r="D151" s="22" t="s">
        <v>290</v>
      </c>
      <c r="E151" s="22">
        <f>IFERROR(INDEX(TableJudje[رقم الحساب],MATCH(Tabledaily[[#This Row],[الحســاب الدئـــن]],TableJudje[اسم الحساب],0)),0)</f>
        <v>11060205</v>
      </c>
      <c r="F151" s="22" t="s">
        <v>513</v>
      </c>
      <c r="G151" s="22" t="s">
        <v>559</v>
      </c>
      <c r="H151" s="24">
        <f>IFERROR(INDEX(TableJudje[رقم الحساب],MATCH(Tabledaily[[#This Row],[الحســاب المديــــن]],TableJudje[اسم الحساب],0)),0)</f>
        <v>31010101</v>
      </c>
      <c r="I151" s="22" t="s">
        <v>111</v>
      </c>
      <c r="J151" s="22" t="s">
        <v>238</v>
      </c>
      <c r="K151" s="117">
        <v>30000</v>
      </c>
      <c r="L151" s="23">
        <v>405</v>
      </c>
      <c r="M151" s="118">
        <f>IFERROR(Tabledaily[[#This Row],[المبلـــــــغ]]/Tabledaily[[#This Row],[سعــــــر
الصـــــرف]],"")</f>
        <v>74.074074074074076</v>
      </c>
      <c r="N151" s="22" t="s">
        <v>521</v>
      </c>
      <c r="O151" s="22" t="s">
        <v>312</v>
      </c>
      <c r="P151" s="22" t="s">
        <v>312</v>
      </c>
      <c r="Q151" s="22"/>
      <c r="R151" s="22" t="s">
        <v>237</v>
      </c>
      <c r="S151" s="24">
        <f>IFERROR(INDEX(tablecost[رقم المركز],MATCH(Tabledaily[[#This Row],[مركـــــــزالتكلفــــــة]],tablecost[الاسم],0)),0)</f>
        <v>1</v>
      </c>
      <c r="T151" s="27">
        <f>DATE(Tabledaily[[#This Row],[السنــــة]],Tabledaily[[#This Row],[الشهــــر]],Tabledaily[[#This Row],[الـــــيوم]])</f>
        <v>46188</v>
      </c>
      <c r="U151" s="28">
        <v>46193.07576388889</v>
      </c>
      <c r="V151" s="22"/>
      <c r="W151" s="24">
        <f>YEAR(Tabledaily[[#This Row],[التاريخ]])</f>
        <v>2026</v>
      </c>
      <c r="X151" s="24">
        <f>MONTH(Tabledaily[[#This Row],[التاريخ]])</f>
        <v>6</v>
      </c>
      <c r="Y151" s="24">
        <f>DAY(Tabledaily[[#This Row],[التاريخ]])</f>
        <v>15</v>
      </c>
      <c r="Z15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151" s="24" t="str">
        <f>IF(COUNTIF(TableDailyJournal[رقم العملية],Tabledaily[[#This Row],[رقم العملية]])&gt;1,"مرحل","غير مرحل")</f>
        <v>مرحل</v>
      </c>
    </row>
    <row r="152" spans="1:27" ht="22.9" customHeight="1" x14ac:dyDescent="0.55000000000000004">
      <c r="A152" s="22">
        <f t="shared" si="4"/>
        <v>150</v>
      </c>
      <c r="B152" s="23" t="s">
        <v>790</v>
      </c>
      <c r="C152" s="213" t="s">
        <v>791</v>
      </c>
      <c r="D152" s="22" t="s">
        <v>290</v>
      </c>
      <c r="E152" s="22">
        <f>IFERROR(INDEX(TableJudje[رقم الحساب],MATCH(Tabledaily[[#This Row],[الحســاب الدئـــن]],TableJudje[اسم الحساب],0)),0)</f>
        <v>11060205</v>
      </c>
      <c r="F152" s="22" t="s">
        <v>513</v>
      </c>
      <c r="G152" s="22" t="s">
        <v>693</v>
      </c>
      <c r="H152" s="24">
        <f>IFERROR(INDEX(TableJudje[رقم الحساب],MATCH(Tabledaily[[#This Row],[الحســاب المديــــن]],TableJudje[اسم الحساب],0)),0)</f>
        <v>31010101</v>
      </c>
      <c r="I152" s="22" t="s">
        <v>111</v>
      </c>
      <c r="J152" s="22" t="s">
        <v>238</v>
      </c>
      <c r="K152" s="117">
        <v>52000</v>
      </c>
      <c r="L152" s="23">
        <v>405</v>
      </c>
      <c r="M152" s="118">
        <f>IFERROR(Tabledaily[[#This Row],[المبلـــــــغ]]/Tabledaily[[#This Row],[سعــــــر
الصـــــرف]],"")</f>
        <v>128.39506172839506</v>
      </c>
      <c r="N152" s="22" t="s">
        <v>343</v>
      </c>
      <c r="O152" s="22" t="s">
        <v>312</v>
      </c>
      <c r="P152" s="22" t="s">
        <v>312</v>
      </c>
      <c r="Q152" s="22"/>
      <c r="R152" s="22" t="s">
        <v>237</v>
      </c>
      <c r="S152" s="24">
        <f>IFERROR(INDEX(tablecost[رقم المركز],MATCH(Tabledaily[[#This Row],[مركـــــــزالتكلفــــــة]],tablecost[الاسم],0)),0)</f>
        <v>1</v>
      </c>
      <c r="T152" s="27">
        <f>DATE(Tabledaily[[#This Row],[السنــــة]],Tabledaily[[#This Row],[الشهــــر]],Tabledaily[[#This Row],[الـــــيوم]])</f>
        <v>46188</v>
      </c>
      <c r="U152" s="28">
        <v>46193.075381944444</v>
      </c>
      <c r="V152" s="22"/>
      <c r="W152" s="24">
        <f>YEAR(Tabledaily[[#This Row],[التاريخ]])</f>
        <v>2026</v>
      </c>
      <c r="X152" s="24">
        <f>MONTH(Tabledaily[[#This Row],[التاريخ]])</f>
        <v>6</v>
      </c>
      <c r="Y152" s="24">
        <f>DAY(Tabledaily[[#This Row],[التاريخ]])</f>
        <v>15</v>
      </c>
      <c r="Z15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8 بامر</v>
      </c>
      <c r="AA152" s="24" t="str">
        <f>IF(COUNTIF(TableDailyJournal[رقم العملية],Tabledaily[[#This Row],[رقم العملية]])&gt;1,"مرحل","غير مرحل")</f>
        <v>مرحل</v>
      </c>
    </row>
    <row r="153" spans="1:27" ht="22.9" customHeight="1" x14ac:dyDescent="0.55000000000000004">
      <c r="A153" s="22">
        <f t="shared" si="4"/>
        <v>151</v>
      </c>
      <c r="B153" s="23" t="s">
        <v>774</v>
      </c>
      <c r="C153" s="213" t="s">
        <v>746</v>
      </c>
      <c r="D153" s="22" t="s">
        <v>290</v>
      </c>
      <c r="E153" s="22">
        <f>IFERROR(INDEX(TableJudje[رقم الحساب],MATCH(Tabledaily[[#This Row],[الحســاب الدئـــن]],TableJudje[اسم الحساب],0)),0)</f>
        <v>11060205</v>
      </c>
      <c r="F153" s="22" t="s">
        <v>513</v>
      </c>
      <c r="G153" s="22" t="s">
        <v>775</v>
      </c>
      <c r="H153" s="24">
        <f>IFERROR(INDEX(TableJudje[رقم الحساب],MATCH(Tabledaily[[#This Row],[الحســاب المديــــن]],TableJudje[اسم الحساب],0)),0)</f>
        <v>31010103</v>
      </c>
      <c r="I153" s="22" t="s">
        <v>112</v>
      </c>
      <c r="J153" s="22" t="s">
        <v>238</v>
      </c>
      <c r="K153" s="117">
        <v>449000</v>
      </c>
      <c r="L153" s="23">
        <v>405</v>
      </c>
      <c r="M153" s="118">
        <f>IFERROR(Tabledaily[[#This Row],[المبلـــــــغ]]/Tabledaily[[#This Row],[سعــــــر
الصـــــرف]],"")</f>
        <v>1108.641975308642</v>
      </c>
      <c r="N153" s="22" t="s">
        <v>776</v>
      </c>
      <c r="O153" s="22" t="s">
        <v>286</v>
      </c>
      <c r="P153" s="22" t="s">
        <v>287</v>
      </c>
      <c r="Q153" s="22"/>
      <c r="R153" s="22" t="s">
        <v>237</v>
      </c>
      <c r="S153" s="24">
        <f>IFERROR(INDEX(tablecost[رقم المركز],MATCH(Tabledaily[[#This Row],[مركـــــــزالتكلفــــــة]],tablecost[الاسم],0)),0)</f>
        <v>1</v>
      </c>
      <c r="T153" s="27">
        <f>DATE(Tabledaily[[#This Row],[السنــــة]],Tabledaily[[#This Row],[الشهــــر]],Tabledaily[[#This Row],[الـــــيوم]])</f>
        <v>46187</v>
      </c>
      <c r="U153" s="28">
        <v>46193.068958333337</v>
      </c>
      <c r="V153" s="22"/>
      <c r="W153" s="24">
        <f>YEAR(Tabledaily[[#This Row],[التاريخ]])</f>
        <v>2026</v>
      </c>
      <c r="X153" s="24">
        <f>MONTH(Tabledaily[[#This Row],[التاريخ]])</f>
        <v>6</v>
      </c>
      <c r="Y153" s="24">
        <f>DAY(Tabledaily[[#This Row],[التاريخ]])</f>
        <v>14</v>
      </c>
      <c r="Z15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v>
      </c>
      <c r="AA153" s="24" t="str">
        <f>IF(COUNTIF(TableDailyJournal[رقم العملية],Tabledaily[[#This Row],[رقم العملية]])&gt;1,"مرحل","غير مرحل")</f>
        <v>مرحل</v>
      </c>
    </row>
    <row r="154" spans="1:27" ht="22.9" customHeight="1" x14ac:dyDescent="0.55000000000000004">
      <c r="A154" s="22">
        <f t="shared" si="4"/>
        <v>152</v>
      </c>
      <c r="B154" s="23" t="s">
        <v>771</v>
      </c>
      <c r="C154" s="213" t="s">
        <v>746</v>
      </c>
      <c r="D154" s="22" t="s">
        <v>290</v>
      </c>
      <c r="E154" s="22">
        <f>IFERROR(INDEX(TableJudje[رقم الحساب],MATCH(Tabledaily[[#This Row],[الحســاب الدئـــن]],TableJudje[اسم الحساب],0)),0)</f>
        <v>11060205</v>
      </c>
      <c r="F154" s="22" t="s">
        <v>513</v>
      </c>
      <c r="G154" s="22" t="s">
        <v>772</v>
      </c>
      <c r="H154" s="24">
        <f>IFERROR(INDEX(TableJudje[رقم الحساب],MATCH(Tabledaily[[#This Row],[الحســاب المديــــن]],TableJudje[اسم الحساب],0)),0)</f>
        <v>11060208</v>
      </c>
      <c r="I154" s="22" t="s">
        <v>770</v>
      </c>
      <c r="J154" s="22" t="s">
        <v>241</v>
      </c>
      <c r="K154" s="117">
        <v>2000</v>
      </c>
      <c r="L154" s="23">
        <v>1</v>
      </c>
      <c r="M154" s="118">
        <f>IFERROR(Tabledaily[[#This Row],[المبلـــــــغ]]/Tabledaily[[#This Row],[سعــــــر
الصـــــرف]],"")</f>
        <v>2000</v>
      </c>
      <c r="N154" s="22" t="s">
        <v>773</v>
      </c>
      <c r="O154" s="22" t="s">
        <v>286</v>
      </c>
      <c r="P154" s="22" t="s">
        <v>287</v>
      </c>
      <c r="Q154" s="22"/>
      <c r="R154" s="22" t="s">
        <v>237</v>
      </c>
      <c r="S154" s="24">
        <f>IFERROR(INDEX(tablecost[رقم المركز],MATCH(Tabledaily[[#This Row],[مركـــــــزالتكلفــــــة]],tablecost[الاسم],0)),0)</f>
        <v>1</v>
      </c>
      <c r="T154" s="27">
        <f>DATE(Tabledaily[[#This Row],[السنــــة]],Tabledaily[[#This Row],[الشهــــر]],Tabledaily[[#This Row],[الـــــيوم]])</f>
        <v>46187</v>
      </c>
      <c r="U154" s="28">
        <v>46193.068101851852</v>
      </c>
      <c r="V154" s="22" t="s">
        <v>646</v>
      </c>
      <c r="W154" s="24">
        <f>YEAR(Tabledaily[[#This Row],[التاريخ]])</f>
        <v>2026</v>
      </c>
      <c r="X154" s="24">
        <f>MONTH(Tabledaily[[#This Row],[التاريخ]])</f>
        <v>6</v>
      </c>
      <c r="Y154" s="24">
        <f>DAY(Tabledaily[[#This Row],[التاريخ]])</f>
        <v>14</v>
      </c>
      <c r="Z15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الفنية - الفنية - الفرقة الثالثة)  - استلام نقدي رقم   سند استلام - عهدة للفنية بامرالمستشار المالي</v>
      </c>
      <c r="AA154" s="24" t="str">
        <f>IF(COUNTIF(TableDailyJournal[رقم العملية],Tabledaily[[#This Row],[رقم العملية]])&gt;1,"مرحل","غير مرحل")</f>
        <v>مرحل</v>
      </c>
    </row>
    <row r="155" spans="1:27" ht="22.9" customHeight="1" x14ac:dyDescent="0.55000000000000004">
      <c r="A155" s="22">
        <f t="shared" si="4"/>
        <v>153</v>
      </c>
      <c r="B155" s="23" t="s">
        <v>768</v>
      </c>
      <c r="C155" s="213" t="s">
        <v>746</v>
      </c>
      <c r="D155" s="22" t="s">
        <v>290</v>
      </c>
      <c r="E155" s="22">
        <f>IFERROR(INDEX(TableJudje[رقم الحساب],MATCH(Tabledaily[[#This Row],[الحســاب الدئـــن]],TableJudje[اسم الحساب],0)),0)</f>
        <v>11060205</v>
      </c>
      <c r="F155" s="22" t="s">
        <v>513</v>
      </c>
      <c r="G155" s="22" t="s">
        <v>769</v>
      </c>
      <c r="H155" s="24">
        <f>IFERROR(INDEX(TableJudje[رقم الحساب],MATCH(Tabledaily[[#This Row],[الحســاب المديــــن]],TableJudje[اسم الحساب],0)),0)</f>
        <v>31010101</v>
      </c>
      <c r="I155" s="22" t="s">
        <v>111</v>
      </c>
      <c r="J155" s="22" t="s">
        <v>238</v>
      </c>
      <c r="K155" s="117">
        <v>10000</v>
      </c>
      <c r="L155" s="23">
        <v>405</v>
      </c>
      <c r="M155" s="118">
        <f>IFERROR(Tabledaily[[#This Row],[المبلـــــــغ]]/Tabledaily[[#This Row],[سعــــــر
الصـــــرف]],"")</f>
        <v>24.691358024691358</v>
      </c>
      <c r="N155" s="22" t="s">
        <v>545</v>
      </c>
      <c r="O155" s="22" t="s">
        <v>286</v>
      </c>
      <c r="P155" s="22" t="s">
        <v>287</v>
      </c>
      <c r="Q155" s="22"/>
      <c r="R155" s="22" t="s">
        <v>248</v>
      </c>
      <c r="S155" s="24">
        <f>IFERROR(INDEX(tablecost[رقم المركز],MATCH(Tabledaily[[#This Row],[مركـــــــزالتكلفــــــة]],tablecost[الاسم],0)),0)</f>
        <v>7</v>
      </c>
      <c r="T155" s="27">
        <f>DATE(Tabledaily[[#This Row],[السنــــة]],Tabledaily[[#This Row],[الشهــــر]],Tabledaily[[#This Row],[الـــــيوم]])</f>
        <v>46187</v>
      </c>
      <c r="U155" s="28">
        <v>46193.06658564815</v>
      </c>
      <c r="V155" s="22"/>
      <c r="W155" s="24">
        <f>YEAR(Tabledaily[[#This Row],[التاريخ]])</f>
        <v>2026</v>
      </c>
      <c r="X155" s="24">
        <f>MONTH(Tabledaily[[#This Row],[التاريخ]])</f>
        <v>6</v>
      </c>
      <c r="Y155" s="24">
        <f>DAY(Tabledaily[[#This Row],[التاريخ]])</f>
        <v>14</v>
      </c>
      <c r="Z15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اللواء السادس)  - استلام نقدي رقم   سند استلام - صرف صرفة يومية ليوم 14 بامر</v>
      </c>
      <c r="AA155" s="24" t="str">
        <f>IF(COUNTIF(TableDailyJournal[رقم العملية],Tabledaily[[#This Row],[رقم العملية]])&gt;1,"مرحل","غير مرحل")</f>
        <v>مرحل</v>
      </c>
    </row>
    <row r="156" spans="1:27" ht="22.9" customHeight="1" x14ac:dyDescent="0.55000000000000004">
      <c r="A156" s="22">
        <f t="shared" si="4"/>
        <v>154</v>
      </c>
      <c r="B156" s="23" t="s">
        <v>764</v>
      </c>
      <c r="C156" s="213" t="s">
        <v>746</v>
      </c>
      <c r="D156" s="22" t="s">
        <v>290</v>
      </c>
      <c r="E156" s="22">
        <f>IFERROR(INDEX(TableJudje[رقم الحساب],MATCH(Tabledaily[[#This Row],[الحســاب الدئـــن]],TableJudje[اسم الحساب],0)),0)</f>
        <v>11060205</v>
      </c>
      <c r="F156" s="22" t="s">
        <v>513</v>
      </c>
      <c r="G156" s="22" t="s">
        <v>765</v>
      </c>
      <c r="H156" s="24">
        <f>IFERROR(INDEX(TableJudje[رقم الحساب],MATCH(Tabledaily[[#This Row],[الحســاب المديــــن]],TableJudje[اسم الحساب],0)),0)</f>
        <v>31010104</v>
      </c>
      <c r="I156" s="22" t="s">
        <v>113</v>
      </c>
      <c r="J156" s="22" t="s">
        <v>238</v>
      </c>
      <c r="K156" s="117">
        <v>8000</v>
      </c>
      <c r="L156" s="23">
        <v>405</v>
      </c>
      <c r="M156" s="118">
        <f>IFERROR(Tabledaily[[#This Row],[المبلـــــــغ]]/Tabledaily[[#This Row],[سعــــــر
الصـــــرف]],"")</f>
        <v>19.753086419753085</v>
      </c>
      <c r="N156" s="22" t="s">
        <v>766</v>
      </c>
      <c r="O156" s="22" t="s">
        <v>351</v>
      </c>
      <c r="P156" s="22" t="s">
        <v>767</v>
      </c>
      <c r="Q156" s="22">
        <v>5414</v>
      </c>
      <c r="R156" s="22" t="s">
        <v>237</v>
      </c>
      <c r="S156" s="24">
        <f>IFERROR(INDEX(tablecost[رقم المركز],MATCH(Tabledaily[[#This Row],[مركـــــــزالتكلفــــــة]],tablecost[الاسم],0)),0)</f>
        <v>1</v>
      </c>
      <c r="T156" s="27">
        <f>DATE(Tabledaily[[#This Row],[السنــــة]],Tabledaily[[#This Row],[الشهــــر]],Tabledaily[[#This Row],[الـــــيوم]])</f>
        <v>46187</v>
      </c>
      <c r="U156" s="28">
        <v>46193.066087962965</v>
      </c>
      <c r="V156" s="22" t="s">
        <v>302</v>
      </c>
      <c r="W156" s="24">
        <f>YEAR(Tabledaily[[#This Row],[التاريخ]])</f>
        <v>2026</v>
      </c>
      <c r="X156" s="24">
        <f>MONTH(Tabledaily[[#This Row],[التاريخ]])</f>
        <v>6</v>
      </c>
      <c r="Y156" s="24">
        <f>DAY(Tabledaily[[#This Row],[التاريخ]])</f>
        <v>14</v>
      </c>
      <c r="Z15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v>
      </c>
      <c r="AA156" s="24" t="str">
        <f>IF(COUNTIF(TableDailyJournal[رقم العملية],Tabledaily[[#This Row],[رقم العملية]])&gt;1,"مرحل","غير مرحل")</f>
        <v>مرحل</v>
      </c>
    </row>
    <row r="157" spans="1:27" ht="22.9" customHeight="1" x14ac:dyDescent="0.55000000000000004">
      <c r="A157" s="22">
        <f t="shared" si="4"/>
        <v>155</v>
      </c>
      <c r="B157" s="23" t="s">
        <v>761</v>
      </c>
      <c r="C157" s="213" t="s">
        <v>746</v>
      </c>
      <c r="D157" s="22" t="s">
        <v>290</v>
      </c>
      <c r="E157" s="22">
        <f>IFERROR(INDEX(TableJudje[رقم الحساب],MATCH(Tabledaily[[#This Row],[الحســاب الدئـــن]],TableJudje[اسم الحساب],0)),0)</f>
        <v>11060205</v>
      </c>
      <c r="F157" s="22" t="s">
        <v>513</v>
      </c>
      <c r="G157" s="22" t="s">
        <v>762</v>
      </c>
      <c r="H157" s="24">
        <f>IFERROR(INDEX(TableJudje[رقم الحساب],MATCH(Tabledaily[[#This Row],[الحســاب المديــــن]],TableJudje[اسم الحساب],0)),0)</f>
        <v>11060207</v>
      </c>
      <c r="I157" s="22" t="s">
        <v>760</v>
      </c>
      <c r="J157" s="22" t="s">
        <v>241</v>
      </c>
      <c r="K157" s="117">
        <v>1500</v>
      </c>
      <c r="L157" s="23">
        <v>1</v>
      </c>
      <c r="M157" s="118">
        <f>IFERROR(Tabledaily[[#This Row],[المبلـــــــغ]]/Tabledaily[[#This Row],[سعــــــر
الصـــــرف]],"")</f>
        <v>1500</v>
      </c>
      <c r="N157" s="22" t="s">
        <v>763</v>
      </c>
      <c r="O157" s="22" t="s">
        <v>286</v>
      </c>
      <c r="P157" s="22" t="s">
        <v>287</v>
      </c>
      <c r="Q157" s="22">
        <v>470</v>
      </c>
      <c r="R157" s="22" t="s">
        <v>237</v>
      </c>
      <c r="S157" s="24">
        <f>IFERROR(INDEX(tablecost[رقم المركز],MATCH(Tabledaily[[#This Row],[مركـــــــزالتكلفــــــة]],tablecost[الاسم],0)),0)</f>
        <v>1</v>
      </c>
      <c r="T157" s="27">
        <f>DATE(Tabledaily[[#This Row],[السنــــة]],Tabledaily[[#This Row],[الشهــــر]],Tabledaily[[#This Row],[الـــــيوم]])</f>
        <v>46187</v>
      </c>
      <c r="U157" s="28">
        <v>46193.064710648148</v>
      </c>
      <c r="V157" s="22" t="s">
        <v>646</v>
      </c>
      <c r="W157" s="24">
        <f>YEAR(Tabledaily[[#This Row],[التاريخ]])</f>
        <v>2026</v>
      </c>
      <c r="X157" s="24">
        <f>MONTH(Tabledaily[[#This Row],[التاريخ]])</f>
        <v>6</v>
      </c>
      <c r="Y157" s="24">
        <f>DAY(Tabledaily[[#This Row],[التاريخ]])</f>
        <v>14</v>
      </c>
      <c r="Z15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v>
      </c>
      <c r="AA157" s="24" t="str">
        <f>IF(COUNTIF(TableDailyJournal[رقم العملية],Tabledaily[[#This Row],[رقم العملية]])&gt;1,"مرحل","غير مرحل")</f>
        <v>مرحل</v>
      </c>
    </row>
    <row r="158" spans="1:27" ht="22.9" customHeight="1" x14ac:dyDescent="0.55000000000000004">
      <c r="A158" s="22">
        <f t="shared" si="4"/>
        <v>156</v>
      </c>
      <c r="B158" s="23" t="s">
        <v>759</v>
      </c>
      <c r="C158" s="213" t="s">
        <v>746</v>
      </c>
      <c r="D158" s="22" t="s">
        <v>290</v>
      </c>
      <c r="E158" s="22">
        <f>IFERROR(INDEX(TableJudje[رقم الحساب],MATCH(Tabledaily[[#This Row],[الحســاب الدئـــن]],TableJudje[اسم الحساب],0)),0)</f>
        <v>11060205</v>
      </c>
      <c r="F158" s="22" t="s">
        <v>513</v>
      </c>
      <c r="G158" s="22" t="s">
        <v>606</v>
      </c>
      <c r="H158" s="24">
        <f>IFERROR(INDEX(TableJudje[رقم الحساب],MATCH(Tabledaily[[#This Row],[الحســاب المديــــن]],TableJudje[اسم الحساب],0)),0)</f>
        <v>31010101</v>
      </c>
      <c r="I158" s="22" t="s">
        <v>111</v>
      </c>
      <c r="J158" s="22" t="s">
        <v>238</v>
      </c>
      <c r="K158" s="117">
        <v>156000</v>
      </c>
      <c r="L158" s="23">
        <v>405</v>
      </c>
      <c r="M158" s="118">
        <f>IFERROR(Tabledaily[[#This Row],[المبلـــــــغ]]/Tabledaily[[#This Row],[سعــــــر
الصـــــرف]],"")</f>
        <v>385.18518518518516</v>
      </c>
      <c r="N158" s="22" t="s">
        <v>311</v>
      </c>
      <c r="O158" s="22" t="s">
        <v>312</v>
      </c>
      <c r="P158" s="22" t="s">
        <v>312</v>
      </c>
      <c r="Q158" s="22"/>
      <c r="R158" s="22" t="s">
        <v>248</v>
      </c>
      <c r="S158" s="24">
        <f>IFERROR(INDEX(tablecost[رقم المركز],MATCH(Tabledaily[[#This Row],[مركـــــــزالتكلفــــــة]],tablecost[الاسم],0)),0)</f>
        <v>7</v>
      </c>
      <c r="T158" s="27">
        <f>DATE(Tabledaily[[#This Row],[السنــــة]],Tabledaily[[#This Row],[الشهــــر]],Tabledaily[[#This Row],[الـــــيوم]])</f>
        <v>46187</v>
      </c>
      <c r="U158" s="28">
        <v>46193.061956018515</v>
      </c>
      <c r="V158" s="22"/>
      <c r="W158" s="24">
        <f>YEAR(Tabledaily[[#This Row],[التاريخ]])</f>
        <v>2026</v>
      </c>
      <c r="X158" s="24">
        <f>MONTH(Tabledaily[[#This Row],[التاريخ]])</f>
        <v>6</v>
      </c>
      <c r="Y158" s="24">
        <f>DAY(Tabledaily[[#This Row],[التاريخ]])</f>
        <v>14</v>
      </c>
      <c r="Z15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39 بامر</v>
      </c>
      <c r="AA158" s="24" t="str">
        <f>IF(COUNTIF(TableDailyJournal[رقم العملية],Tabledaily[[#This Row],[رقم العملية]])&gt;1,"مرحل","غير مرحل")</f>
        <v>مرحل</v>
      </c>
    </row>
    <row r="159" spans="1:27" ht="22.9" customHeight="1" x14ac:dyDescent="0.55000000000000004">
      <c r="A159" s="22">
        <f t="shared" si="4"/>
        <v>157</v>
      </c>
      <c r="B159" s="23" t="s">
        <v>758</v>
      </c>
      <c r="C159" s="213" t="s">
        <v>746</v>
      </c>
      <c r="D159" s="22" t="s">
        <v>290</v>
      </c>
      <c r="E159" s="22">
        <f>IFERROR(INDEX(TableJudje[رقم الحساب],MATCH(Tabledaily[[#This Row],[الحســاب الدئـــن]],TableJudje[اسم الحساب],0)),0)</f>
        <v>11060205</v>
      </c>
      <c r="F159" s="22" t="s">
        <v>513</v>
      </c>
      <c r="G159" s="22" t="s">
        <v>458</v>
      </c>
      <c r="H159" s="24">
        <f>IFERROR(INDEX(TableJudje[رقم الحساب],MATCH(Tabledaily[[#This Row],[الحســاب المديــــن]],TableJudje[اسم الحساب],0)),0)</f>
        <v>31010101</v>
      </c>
      <c r="I159" s="22" t="s">
        <v>111</v>
      </c>
      <c r="J159" s="22" t="s">
        <v>238</v>
      </c>
      <c r="K159" s="117">
        <v>28000</v>
      </c>
      <c r="L159" s="23">
        <v>405</v>
      </c>
      <c r="M159" s="118">
        <f>IFERROR(Tabledaily[[#This Row],[المبلـــــــغ]]/Tabledaily[[#This Row],[سعــــــر
الصـــــرف]],"")</f>
        <v>69.135802469135797</v>
      </c>
      <c r="N159" s="22" t="s">
        <v>459</v>
      </c>
      <c r="O159" s="22" t="s">
        <v>312</v>
      </c>
      <c r="P159" s="22" t="s">
        <v>312</v>
      </c>
      <c r="Q159" s="22"/>
      <c r="R159" s="22" t="s">
        <v>237</v>
      </c>
      <c r="S159" s="24">
        <f>IFERROR(INDEX(tablecost[رقم المركز],MATCH(Tabledaily[[#This Row],[مركـــــــزالتكلفــــــة]],tablecost[الاسم],0)),0)</f>
        <v>1</v>
      </c>
      <c r="T159" s="27">
        <f>DATE(Tabledaily[[#This Row],[السنــــة]],Tabledaily[[#This Row],[الشهــــر]],Tabledaily[[#This Row],[الـــــيوم]])</f>
        <v>46187</v>
      </c>
      <c r="U159" s="28">
        <v>46193.061481481483</v>
      </c>
      <c r="V159" s="22"/>
      <c r="W159" s="24">
        <f>YEAR(Tabledaily[[#This Row],[التاريخ]])</f>
        <v>2026</v>
      </c>
      <c r="X159" s="24">
        <f>MONTH(Tabledaily[[#This Row],[التاريخ]])</f>
        <v>6</v>
      </c>
      <c r="Y159" s="24">
        <f>DAY(Tabledaily[[#This Row],[التاريخ]])</f>
        <v>14</v>
      </c>
      <c r="Z15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159" s="24" t="str">
        <f>IF(COUNTIF(TableDailyJournal[رقم العملية],Tabledaily[[#This Row],[رقم العملية]])&gt;1,"مرحل","غير مرحل")</f>
        <v>مرحل</v>
      </c>
    </row>
    <row r="160" spans="1:27" ht="22.9" customHeight="1" x14ac:dyDescent="0.55000000000000004">
      <c r="A160" s="22">
        <f t="shared" si="4"/>
        <v>158</v>
      </c>
      <c r="B160" s="23" t="s">
        <v>757</v>
      </c>
      <c r="C160" s="213" t="s">
        <v>746</v>
      </c>
      <c r="D160" s="22" t="s">
        <v>290</v>
      </c>
      <c r="E160" s="22">
        <f>IFERROR(INDEX(TableJudje[رقم الحساب],MATCH(Tabledaily[[#This Row],[الحســاب الدئـــن]],TableJudje[اسم الحساب],0)),0)</f>
        <v>11060205</v>
      </c>
      <c r="F160" s="22" t="s">
        <v>513</v>
      </c>
      <c r="G160" s="22" t="s">
        <v>709</v>
      </c>
      <c r="H160" s="24">
        <f>IFERROR(INDEX(TableJudje[رقم الحساب],MATCH(Tabledaily[[#This Row],[الحســاب المديــــن]],TableJudje[اسم الحساب],0)),0)</f>
        <v>31010101</v>
      </c>
      <c r="I160" s="22" t="s">
        <v>111</v>
      </c>
      <c r="J160" s="22" t="s">
        <v>238</v>
      </c>
      <c r="K160" s="117">
        <v>18000</v>
      </c>
      <c r="L160" s="23">
        <v>405</v>
      </c>
      <c r="M160" s="118">
        <f>IFERROR(Tabledaily[[#This Row],[المبلـــــــغ]]/Tabledaily[[#This Row],[سعــــــر
الصـــــرف]],"")</f>
        <v>44.444444444444443</v>
      </c>
      <c r="N160" s="22" t="s">
        <v>374</v>
      </c>
      <c r="O160" s="22" t="s">
        <v>312</v>
      </c>
      <c r="P160" s="22" t="s">
        <v>312</v>
      </c>
      <c r="Q160" s="22"/>
      <c r="R160" s="22" t="s">
        <v>237</v>
      </c>
      <c r="S160" s="24">
        <f>IFERROR(INDEX(tablecost[رقم المركز],MATCH(Tabledaily[[#This Row],[مركـــــــزالتكلفــــــة]],tablecost[الاسم],0)),0)</f>
        <v>1</v>
      </c>
      <c r="T160" s="27">
        <f>DATE(Tabledaily[[#This Row],[السنــــة]],Tabledaily[[#This Row],[الشهــــر]],Tabledaily[[#This Row],[الـــــيوم]])</f>
        <v>46187</v>
      </c>
      <c r="U160" s="28">
        <v>46193.061099537037</v>
      </c>
      <c r="V160" s="22"/>
      <c r="W160" s="24">
        <f>YEAR(Tabledaily[[#This Row],[التاريخ]])</f>
        <v>2026</v>
      </c>
      <c r="X160" s="24">
        <f>MONTH(Tabledaily[[#This Row],[التاريخ]])</f>
        <v>6</v>
      </c>
      <c r="Y160" s="24">
        <f>DAY(Tabledaily[[#This Row],[التاريخ]])</f>
        <v>14</v>
      </c>
      <c r="Z16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A160" s="24" t="str">
        <f>IF(COUNTIF(TableDailyJournal[رقم العملية],Tabledaily[[#This Row],[رقم العملية]])&gt;1,"مرحل","غير مرحل")</f>
        <v>مرحل</v>
      </c>
    </row>
    <row r="161" spans="1:27" ht="22.9" customHeight="1" x14ac:dyDescent="0.55000000000000004">
      <c r="A161" s="22">
        <f t="shared" si="4"/>
        <v>159</v>
      </c>
      <c r="B161" s="23" t="s">
        <v>756</v>
      </c>
      <c r="C161" s="213" t="s">
        <v>746</v>
      </c>
      <c r="D161" s="22" t="s">
        <v>290</v>
      </c>
      <c r="E161" s="22">
        <f>IFERROR(INDEX(TableJudje[رقم الحساب],MATCH(Tabledaily[[#This Row],[الحســاب الدئـــن]],TableJudje[اسم الحساب],0)),0)</f>
        <v>11060205</v>
      </c>
      <c r="F161" s="22" t="s">
        <v>513</v>
      </c>
      <c r="G161" s="22" t="s">
        <v>707</v>
      </c>
      <c r="H161" s="24">
        <f>IFERROR(INDEX(TableJudje[رقم الحساب],MATCH(Tabledaily[[#This Row],[الحســاب المديــــن]],TableJudje[اسم الحساب],0)),0)</f>
        <v>31010101</v>
      </c>
      <c r="I161" s="22" t="s">
        <v>111</v>
      </c>
      <c r="J161" s="22" t="s">
        <v>238</v>
      </c>
      <c r="K161" s="117">
        <v>25000</v>
      </c>
      <c r="L161" s="23">
        <v>405</v>
      </c>
      <c r="M161" s="118">
        <f>IFERROR(Tabledaily[[#This Row],[المبلـــــــغ]]/Tabledaily[[#This Row],[سعــــــر
الصـــــرف]],"")</f>
        <v>61.728395061728392</v>
      </c>
      <c r="N161" s="22" t="s">
        <v>638</v>
      </c>
      <c r="O161" s="22" t="s">
        <v>312</v>
      </c>
      <c r="P161" s="22" t="s">
        <v>312</v>
      </c>
      <c r="Q161" s="22"/>
      <c r="R161" s="22" t="s">
        <v>237</v>
      </c>
      <c r="S161" s="24">
        <f>IFERROR(INDEX(tablecost[رقم المركز],MATCH(Tabledaily[[#This Row],[مركـــــــزالتكلفــــــة]],tablecost[الاسم],0)),0)</f>
        <v>1</v>
      </c>
      <c r="T161" s="27">
        <f>DATE(Tabledaily[[#This Row],[السنــــة]],Tabledaily[[#This Row],[الشهــــر]],Tabledaily[[#This Row],[الـــــيوم]])</f>
        <v>46187</v>
      </c>
      <c r="U161" s="28">
        <v>46193.060682870368</v>
      </c>
      <c r="V161" s="22"/>
      <c r="W161" s="24">
        <f>YEAR(Tabledaily[[#This Row],[التاريخ]])</f>
        <v>2026</v>
      </c>
      <c r="X161" s="24">
        <f>MONTH(Tabledaily[[#This Row],[التاريخ]])</f>
        <v>6</v>
      </c>
      <c r="Y161" s="24">
        <f>DAY(Tabledaily[[#This Row],[التاريخ]])</f>
        <v>14</v>
      </c>
      <c r="Z16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 الاركان عدد 4 بامر</v>
      </c>
      <c r="AA161" s="24" t="str">
        <f>IF(COUNTIF(TableDailyJournal[رقم العملية],Tabledaily[[#This Row],[رقم العملية]])&gt;1,"مرحل","غير مرحل")</f>
        <v>مرحل</v>
      </c>
    </row>
    <row r="162" spans="1:27" ht="22.9" customHeight="1" x14ac:dyDescent="0.55000000000000004">
      <c r="A162" s="22">
        <f t="shared" si="4"/>
        <v>160</v>
      </c>
      <c r="B162" s="23" t="s">
        <v>755</v>
      </c>
      <c r="C162" s="213" t="s">
        <v>746</v>
      </c>
      <c r="D162" s="22" t="s">
        <v>290</v>
      </c>
      <c r="E162" s="22">
        <f>IFERROR(INDEX(TableJudje[رقم الحساب],MATCH(Tabledaily[[#This Row],[الحســاب الدئـــن]],TableJudje[اسم الحساب],0)),0)</f>
        <v>11060205</v>
      </c>
      <c r="F162" s="22" t="s">
        <v>513</v>
      </c>
      <c r="G162" s="22" t="s">
        <v>705</v>
      </c>
      <c r="H162" s="24">
        <f>IFERROR(INDEX(TableJudje[رقم الحساب],MATCH(Tabledaily[[#This Row],[الحســاب المديــــن]],TableJudje[اسم الحساب],0)),0)</f>
        <v>31010101</v>
      </c>
      <c r="I162" s="22" t="s">
        <v>111</v>
      </c>
      <c r="J162" s="22" t="s">
        <v>238</v>
      </c>
      <c r="K162" s="117">
        <v>70000</v>
      </c>
      <c r="L162" s="23">
        <v>405</v>
      </c>
      <c r="M162" s="118">
        <f>IFERROR(Tabledaily[[#This Row],[المبلـــــــغ]]/Tabledaily[[#This Row],[سعــــــر
الصـــــرف]],"")</f>
        <v>172.83950617283949</v>
      </c>
      <c r="N162" s="22" t="s">
        <v>322</v>
      </c>
      <c r="O162" s="22" t="s">
        <v>312</v>
      </c>
      <c r="P162" s="22" t="s">
        <v>312</v>
      </c>
      <c r="Q162" s="22"/>
      <c r="R162" s="22" t="s">
        <v>237</v>
      </c>
      <c r="S162" s="24">
        <f>IFERROR(INDEX(tablecost[رقم المركز],MATCH(Tabledaily[[#This Row],[مركـــــــزالتكلفــــــة]],tablecost[الاسم],0)),0)</f>
        <v>1</v>
      </c>
      <c r="T162" s="27">
        <f>DATE(Tabledaily[[#This Row],[السنــــة]],Tabledaily[[#This Row],[الشهــــر]],Tabledaily[[#This Row],[الـــــيوم]])</f>
        <v>46187</v>
      </c>
      <c r="U162" s="28">
        <v>46193.06013888889</v>
      </c>
      <c r="V162" s="22"/>
      <c r="W162" s="24">
        <f>YEAR(Tabledaily[[#This Row],[التاريخ]])</f>
        <v>2026</v>
      </c>
      <c r="X162" s="24">
        <f>MONTH(Tabledaily[[#This Row],[التاريخ]])</f>
        <v>6</v>
      </c>
      <c r="Y162" s="24">
        <f>DAY(Tabledaily[[#This Row],[التاريخ]])</f>
        <v>14</v>
      </c>
      <c r="Z16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7 بامر</v>
      </c>
      <c r="AA162" s="24" t="str">
        <f>IF(COUNTIF(TableDailyJournal[رقم العملية],Tabledaily[[#This Row],[رقم العملية]])&gt;1,"مرحل","غير مرحل")</f>
        <v>مرحل</v>
      </c>
    </row>
    <row r="163" spans="1:27" ht="22.9" customHeight="1" x14ac:dyDescent="0.55000000000000004">
      <c r="A163" s="22">
        <f t="shared" si="4"/>
        <v>161</v>
      </c>
      <c r="B163" s="23" t="s">
        <v>754</v>
      </c>
      <c r="C163" s="213" t="s">
        <v>746</v>
      </c>
      <c r="D163" s="22" t="s">
        <v>290</v>
      </c>
      <c r="E163" s="22">
        <f>IFERROR(INDEX(TableJudje[رقم الحساب],MATCH(Tabledaily[[#This Row],[الحســاب الدئـــن]],TableJudje[اسم الحساب],0)),0)</f>
        <v>11060205</v>
      </c>
      <c r="F163" s="22" t="s">
        <v>513</v>
      </c>
      <c r="G163" s="22" t="s">
        <v>728</v>
      </c>
      <c r="H163" s="24">
        <f>IFERROR(INDEX(TableJudje[رقم الحساب],MATCH(Tabledaily[[#This Row],[الحســاب المديــــن]],TableJudje[اسم الحساب],0)),0)</f>
        <v>31010101</v>
      </c>
      <c r="I163" s="22" t="s">
        <v>111</v>
      </c>
      <c r="J163" s="22" t="s">
        <v>238</v>
      </c>
      <c r="K163" s="117">
        <v>100000</v>
      </c>
      <c r="L163" s="23">
        <v>405</v>
      </c>
      <c r="M163" s="118">
        <f>IFERROR(Tabledaily[[#This Row],[المبلـــــــغ]]/Tabledaily[[#This Row],[سعــــــر
الصـــــرف]],"")</f>
        <v>246.91358024691357</v>
      </c>
      <c r="N163" s="22" t="s">
        <v>325</v>
      </c>
      <c r="O163" s="22" t="s">
        <v>312</v>
      </c>
      <c r="P163" s="22" t="s">
        <v>312</v>
      </c>
      <c r="Q163" s="22"/>
      <c r="R163" s="22" t="s">
        <v>237</v>
      </c>
      <c r="S163" s="24">
        <f>IFERROR(INDEX(tablecost[رقم المركز],MATCH(Tabledaily[[#This Row],[مركـــــــزالتكلفــــــة]],tablecost[الاسم],0)),0)</f>
        <v>1</v>
      </c>
      <c r="T163" s="27">
        <f>DATE(Tabledaily[[#This Row],[السنــــة]],Tabledaily[[#This Row],[الشهــــر]],Tabledaily[[#This Row],[الـــــيوم]])</f>
        <v>46187</v>
      </c>
      <c r="U163" s="28">
        <v>46193.059675925928</v>
      </c>
      <c r="V163" s="22"/>
      <c r="W163" s="24">
        <f>YEAR(Tabledaily[[#This Row],[التاريخ]])</f>
        <v>2026</v>
      </c>
      <c r="X163" s="24">
        <f>MONTH(Tabledaily[[#This Row],[التاريخ]])</f>
        <v>6</v>
      </c>
      <c r="Y163" s="24">
        <f>DAY(Tabledaily[[#This Row],[التاريخ]])</f>
        <v>14</v>
      </c>
      <c r="Z16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10 بامر</v>
      </c>
      <c r="AA163" s="24" t="str">
        <f>IF(COUNTIF(TableDailyJournal[رقم العملية],Tabledaily[[#This Row],[رقم العملية]])&gt;1,"مرحل","غير مرحل")</f>
        <v>مرحل</v>
      </c>
    </row>
    <row r="164" spans="1:27" ht="22.9" customHeight="1" x14ac:dyDescent="0.55000000000000004">
      <c r="A164" s="22">
        <f t="shared" si="4"/>
        <v>162</v>
      </c>
      <c r="B164" s="23" t="s">
        <v>753</v>
      </c>
      <c r="C164" s="213" t="s">
        <v>746</v>
      </c>
      <c r="D164" s="22" t="s">
        <v>290</v>
      </c>
      <c r="E164" s="22">
        <f>IFERROR(INDEX(TableJudje[رقم الحساب],MATCH(Tabledaily[[#This Row],[الحســاب الدئـــن]],TableJudje[اسم الحساب],0)),0)</f>
        <v>11060205</v>
      </c>
      <c r="F164" s="22" t="s">
        <v>513</v>
      </c>
      <c r="G164" s="22" t="s">
        <v>672</v>
      </c>
      <c r="H164" s="24">
        <f>IFERROR(INDEX(TableJudje[رقم الحساب],MATCH(Tabledaily[[#This Row],[الحســاب المديــــن]],TableJudje[اسم الحساب],0)),0)</f>
        <v>31010101</v>
      </c>
      <c r="I164" s="22" t="s">
        <v>111</v>
      </c>
      <c r="J164" s="22" t="s">
        <v>238</v>
      </c>
      <c r="K164" s="117">
        <v>14000</v>
      </c>
      <c r="L164" s="23">
        <v>405</v>
      </c>
      <c r="M164" s="118">
        <f>IFERROR(Tabledaily[[#This Row],[المبلـــــــغ]]/Tabledaily[[#This Row],[سعــــــر
الصـــــرف]],"")</f>
        <v>34.567901234567898</v>
      </c>
      <c r="N164" s="22" t="s">
        <v>328</v>
      </c>
      <c r="O164" s="22" t="s">
        <v>312</v>
      </c>
      <c r="P164" s="22" t="s">
        <v>312</v>
      </c>
      <c r="Q164" s="22"/>
      <c r="R164" s="22" t="s">
        <v>237</v>
      </c>
      <c r="S164" s="24">
        <f>IFERROR(INDEX(tablecost[رقم المركز],MATCH(Tabledaily[[#This Row],[مركـــــــزالتكلفــــــة]],tablecost[الاسم],0)),0)</f>
        <v>1</v>
      </c>
      <c r="T164" s="27">
        <f>DATE(Tabledaily[[#This Row],[السنــــة]],Tabledaily[[#This Row],[الشهــــر]],Tabledaily[[#This Row],[الـــــيوم]])</f>
        <v>46187</v>
      </c>
      <c r="U164" s="28">
        <v>46193.059317129628</v>
      </c>
      <c r="V164" s="22"/>
      <c r="W164" s="24">
        <f>YEAR(Tabledaily[[#This Row],[التاريخ]])</f>
        <v>2026</v>
      </c>
      <c r="X164" s="24">
        <f>MONTH(Tabledaily[[#This Row],[التاريخ]])</f>
        <v>6</v>
      </c>
      <c r="Y164" s="24">
        <f>DAY(Tabledaily[[#This Row],[التاريخ]])</f>
        <v>14</v>
      </c>
      <c r="Z16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2 بامر</v>
      </c>
      <c r="AA164" s="24" t="str">
        <f>IF(COUNTIF(TableDailyJournal[رقم العملية],Tabledaily[[#This Row],[رقم العملية]])&gt;1,"مرحل","غير مرحل")</f>
        <v>مرحل</v>
      </c>
    </row>
    <row r="165" spans="1:27" ht="22.9" customHeight="1" x14ac:dyDescent="0.55000000000000004">
      <c r="A165" s="22">
        <f t="shared" si="4"/>
        <v>163</v>
      </c>
      <c r="B165" s="23" t="s">
        <v>752</v>
      </c>
      <c r="C165" s="213" t="s">
        <v>746</v>
      </c>
      <c r="D165" s="22" t="s">
        <v>290</v>
      </c>
      <c r="E165" s="22">
        <f>IFERROR(INDEX(TableJudje[رقم الحساب],MATCH(Tabledaily[[#This Row],[الحســاب الدئـــن]],TableJudje[اسم الحساب],0)),0)</f>
        <v>11060205</v>
      </c>
      <c r="F165" s="22" t="s">
        <v>513</v>
      </c>
      <c r="G165" s="22" t="s">
        <v>630</v>
      </c>
      <c r="H165" s="24">
        <f>IFERROR(INDEX(TableJudje[رقم الحساب],MATCH(Tabledaily[[#This Row],[الحســاب المديــــن]],TableJudje[اسم الحساب],0)),0)</f>
        <v>31010101</v>
      </c>
      <c r="I165" s="22" t="s">
        <v>111</v>
      </c>
      <c r="J165" s="22" t="s">
        <v>238</v>
      </c>
      <c r="K165" s="117">
        <v>115000</v>
      </c>
      <c r="L165" s="23">
        <v>405</v>
      </c>
      <c r="M165" s="118">
        <f>IFERROR(Tabledaily[[#This Row],[المبلـــــــغ]]/Tabledaily[[#This Row],[سعــــــر
الصـــــرف]],"")</f>
        <v>283.95061728395063</v>
      </c>
      <c r="N165" s="22" t="s">
        <v>331</v>
      </c>
      <c r="O165" s="22" t="s">
        <v>312</v>
      </c>
      <c r="P165" s="22" t="s">
        <v>312</v>
      </c>
      <c r="Q165" s="22"/>
      <c r="R165" s="22" t="s">
        <v>237</v>
      </c>
      <c r="S165" s="24">
        <f>IFERROR(INDEX(tablecost[رقم المركز],MATCH(Tabledaily[[#This Row],[مركـــــــزالتكلفــــــة]],tablecost[الاسم],0)),0)</f>
        <v>1</v>
      </c>
      <c r="T165" s="27">
        <f>DATE(Tabledaily[[#This Row],[السنــــة]],Tabledaily[[#This Row],[الشهــــر]],Tabledaily[[#This Row],[الـــــيوم]])</f>
        <v>46187</v>
      </c>
      <c r="U165" s="28">
        <v>46193.057719907411</v>
      </c>
      <c r="V165" s="22"/>
      <c r="W165" s="24">
        <f>YEAR(Tabledaily[[#This Row],[التاريخ]])</f>
        <v>2026</v>
      </c>
      <c r="X165" s="24">
        <f>MONTH(Tabledaily[[#This Row],[التاريخ]])</f>
        <v>6</v>
      </c>
      <c r="Y165" s="24">
        <f>DAY(Tabledaily[[#This Row],[التاريخ]])</f>
        <v>14</v>
      </c>
      <c r="Z16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A165" s="24" t="str">
        <f>IF(COUNTIF(TableDailyJournal[رقم العملية],Tabledaily[[#This Row],[رقم العملية]])&gt;1,"مرحل","غير مرحل")</f>
        <v>مرحل</v>
      </c>
    </row>
    <row r="166" spans="1:27" ht="22.9" customHeight="1" x14ac:dyDescent="0.55000000000000004">
      <c r="A166" s="22">
        <f t="shared" si="4"/>
        <v>164</v>
      </c>
      <c r="B166" s="23" t="s">
        <v>751</v>
      </c>
      <c r="C166" s="213" t="s">
        <v>746</v>
      </c>
      <c r="D166" s="22" t="s">
        <v>290</v>
      </c>
      <c r="E166" s="22">
        <f>IFERROR(INDEX(TableJudje[رقم الحساب],MATCH(Tabledaily[[#This Row],[الحســاب الدئـــن]],TableJudje[اسم الحساب],0)),0)</f>
        <v>11060205</v>
      </c>
      <c r="F166" s="22" t="s">
        <v>513</v>
      </c>
      <c r="G166" s="22" t="s">
        <v>699</v>
      </c>
      <c r="H166" s="24">
        <f>IFERROR(INDEX(TableJudje[رقم الحساب],MATCH(Tabledaily[[#This Row],[الحســاب المديــــن]],TableJudje[اسم الحساب],0)),0)</f>
        <v>31010101</v>
      </c>
      <c r="I166" s="22" t="s">
        <v>111</v>
      </c>
      <c r="J166" s="22" t="s">
        <v>238</v>
      </c>
      <c r="K166" s="117">
        <v>45000</v>
      </c>
      <c r="L166" s="23">
        <v>405</v>
      </c>
      <c r="M166" s="118">
        <f>IFERROR(Tabledaily[[#This Row],[المبلـــــــغ]]/Tabledaily[[#This Row],[سعــــــر
الصـــــرف]],"")</f>
        <v>111.11111111111111</v>
      </c>
      <c r="N166" s="22" t="s">
        <v>565</v>
      </c>
      <c r="O166" s="22" t="s">
        <v>312</v>
      </c>
      <c r="P166" s="22" t="s">
        <v>312</v>
      </c>
      <c r="Q166" s="22"/>
      <c r="R166" s="22" t="s">
        <v>237</v>
      </c>
      <c r="S166" s="24">
        <f>IFERROR(INDEX(tablecost[رقم المركز],MATCH(Tabledaily[[#This Row],[مركـــــــزالتكلفــــــة]],tablecost[الاسم],0)),0)</f>
        <v>1</v>
      </c>
      <c r="T166" s="27">
        <f>DATE(Tabledaily[[#This Row],[السنــــة]],Tabledaily[[#This Row],[الشهــــر]],Tabledaily[[#This Row],[الـــــيوم]])</f>
        <v>46187</v>
      </c>
      <c r="U166" s="28">
        <v>46193.057233796295</v>
      </c>
      <c r="V166" s="22"/>
      <c r="W166" s="24">
        <f>YEAR(Tabledaily[[#This Row],[التاريخ]])</f>
        <v>2026</v>
      </c>
      <c r="X166" s="24">
        <f>MONTH(Tabledaily[[#This Row],[التاريخ]])</f>
        <v>6</v>
      </c>
      <c r="Y166" s="24">
        <f>DAY(Tabledaily[[#This Row],[التاريخ]])</f>
        <v>14</v>
      </c>
      <c r="Z16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5 بامر</v>
      </c>
      <c r="AA166" s="24" t="str">
        <f>IF(COUNTIF(TableDailyJournal[رقم العملية],Tabledaily[[#This Row],[رقم العملية]])&gt;1,"مرحل","غير مرحل")</f>
        <v>مرحل</v>
      </c>
    </row>
    <row r="167" spans="1:27" ht="22.9" customHeight="1" x14ac:dyDescent="0.55000000000000004">
      <c r="A167" s="22">
        <f t="shared" ref="A167:A198" si="5">ROW()-2</f>
        <v>165</v>
      </c>
      <c r="B167" s="23" t="s">
        <v>750</v>
      </c>
      <c r="C167" s="213" t="s">
        <v>746</v>
      </c>
      <c r="D167" s="22" t="s">
        <v>290</v>
      </c>
      <c r="E167" s="22">
        <f>IFERROR(INDEX(TableJudje[رقم الحساب],MATCH(Tabledaily[[#This Row],[الحســاب الدئـــن]],TableJudje[اسم الحساب],0)),0)</f>
        <v>11060205</v>
      </c>
      <c r="F167" s="22" t="s">
        <v>513</v>
      </c>
      <c r="G167" s="22" t="s">
        <v>333</v>
      </c>
      <c r="H167" s="24">
        <f>IFERROR(INDEX(TableJudje[رقم الحساب],MATCH(Tabledaily[[#This Row],[الحســاب المديــــن]],TableJudje[اسم الحساب],0)),0)</f>
        <v>31010101</v>
      </c>
      <c r="I167" s="22" t="s">
        <v>111</v>
      </c>
      <c r="J167" s="22" t="s">
        <v>238</v>
      </c>
      <c r="K167" s="117">
        <v>65000</v>
      </c>
      <c r="L167" s="23">
        <v>405</v>
      </c>
      <c r="M167" s="118">
        <f>IFERROR(Tabledaily[[#This Row],[المبلـــــــغ]]/Tabledaily[[#This Row],[سعــــــر
الصـــــرف]],"")</f>
        <v>160.49382716049382</v>
      </c>
      <c r="N167" s="22" t="s">
        <v>334</v>
      </c>
      <c r="O167" s="22" t="s">
        <v>312</v>
      </c>
      <c r="P167" s="22" t="s">
        <v>312</v>
      </c>
      <c r="Q167" s="22"/>
      <c r="R167" s="22" t="s">
        <v>237</v>
      </c>
      <c r="S167" s="24">
        <f>IFERROR(INDEX(tablecost[رقم المركز],MATCH(Tabledaily[[#This Row],[مركـــــــزالتكلفــــــة]],tablecost[الاسم],0)),0)</f>
        <v>1</v>
      </c>
      <c r="T167" s="27">
        <f>DATE(Tabledaily[[#This Row],[السنــــة]],Tabledaily[[#This Row],[الشهــــر]],Tabledaily[[#This Row],[الـــــيوم]])</f>
        <v>46187</v>
      </c>
      <c r="U167" s="28">
        <v>46193.056817129633</v>
      </c>
      <c r="V167" s="22"/>
      <c r="W167" s="24">
        <f>YEAR(Tabledaily[[#This Row],[التاريخ]])</f>
        <v>2026</v>
      </c>
      <c r="X167" s="24">
        <f>MONTH(Tabledaily[[#This Row],[التاريخ]])</f>
        <v>6</v>
      </c>
      <c r="Y167" s="24">
        <f>DAY(Tabledaily[[#This Row],[التاريخ]])</f>
        <v>14</v>
      </c>
      <c r="Z16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167" s="24" t="str">
        <f>IF(COUNTIF(TableDailyJournal[رقم العملية],Tabledaily[[#This Row],[رقم العملية]])&gt;1,"مرحل","غير مرحل")</f>
        <v>مرحل</v>
      </c>
    </row>
    <row r="168" spans="1:27" ht="22.9" customHeight="1" x14ac:dyDescent="0.55000000000000004">
      <c r="A168" s="22">
        <f t="shared" si="5"/>
        <v>166</v>
      </c>
      <c r="B168" s="23" t="s">
        <v>749</v>
      </c>
      <c r="C168" s="213" t="s">
        <v>746</v>
      </c>
      <c r="D168" s="22" t="s">
        <v>290</v>
      </c>
      <c r="E168" s="22">
        <f>IFERROR(INDEX(TableJudje[رقم الحساب],MATCH(Tabledaily[[#This Row],[الحســاب الدئـــن]],TableJudje[اسم الحساب],0)),0)</f>
        <v>11060205</v>
      </c>
      <c r="F168" s="22" t="s">
        <v>513</v>
      </c>
      <c r="G168" s="22" t="s">
        <v>448</v>
      </c>
      <c r="H168" s="24">
        <f>IFERROR(INDEX(TableJudje[رقم الحساب],MATCH(Tabledaily[[#This Row],[الحســاب المديــــن]],TableJudje[اسم الحساب],0)),0)</f>
        <v>31010101</v>
      </c>
      <c r="I168" s="22" t="s">
        <v>111</v>
      </c>
      <c r="J168" s="22" t="s">
        <v>238</v>
      </c>
      <c r="K168" s="117">
        <v>30000</v>
      </c>
      <c r="L168" s="23">
        <v>405</v>
      </c>
      <c r="M168" s="118">
        <f>IFERROR(Tabledaily[[#This Row],[المبلـــــــغ]]/Tabledaily[[#This Row],[سعــــــر
الصـــــرف]],"")</f>
        <v>74.074074074074076</v>
      </c>
      <c r="N168" s="22" t="s">
        <v>337</v>
      </c>
      <c r="O168" s="22" t="s">
        <v>312</v>
      </c>
      <c r="P168" s="22" t="s">
        <v>312</v>
      </c>
      <c r="Q168" s="22"/>
      <c r="R168" s="22" t="s">
        <v>237</v>
      </c>
      <c r="S168" s="24">
        <f>IFERROR(INDEX(tablecost[رقم المركز],MATCH(Tabledaily[[#This Row],[مركـــــــزالتكلفــــــة]],tablecost[الاسم],0)),0)</f>
        <v>1</v>
      </c>
      <c r="T168" s="27">
        <f>DATE(Tabledaily[[#This Row],[السنــــة]],Tabledaily[[#This Row],[الشهــــر]],Tabledaily[[#This Row],[الـــــيوم]])</f>
        <v>46187</v>
      </c>
      <c r="U168" s="28">
        <v>46193.056446759256</v>
      </c>
      <c r="V168" s="22"/>
      <c r="W168" s="24">
        <f>YEAR(Tabledaily[[#This Row],[التاريخ]])</f>
        <v>2026</v>
      </c>
      <c r="X168" s="24">
        <f>MONTH(Tabledaily[[#This Row],[التاريخ]])</f>
        <v>6</v>
      </c>
      <c r="Y168" s="24">
        <f>DAY(Tabledaily[[#This Row],[التاريخ]])</f>
        <v>14</v>
      </c>
      <c r="Z16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2 بامر</v>
      </c>
      <c r="AA168" s="24" t="str">
        <f>IF(COUNTIF(TableDailyJournal[رقم العملية],Tabledaily[[#This Row],[رقم العملية]])&gt;1,"مرحل","غير مرحل")</f>
        <v>مرحل</v>
      </c>
    </row>
    <row r="169" spans="1:27" ht="22.9" customHeight="1" x14ac:dyDescent="0.55000000000000004">
      <c r="A169" s="22">
        <f t="shared" si="5"/>
        <v>167</v>
      </c>
      <c r="B169" s="23" t="s">
        <v>748</v>
      </c>
      <c r="C169" s="213" t="s">
        <v>746</v>
      </c>
      <c r="D169" s="22" t="s">
        <v>290</v>
      </c>
      <c r="E169" s="22">
        <f>IFERROR(INDEX(TableJudje[رقم الحساب],MATCH(Tabledaily[[#This Row],[الحســاب الدئـــن]],TableJudje[اسم الحساب],0)),0)</f>
        <v>11060205</v>
      </c>
      <c r="F169" s="22" t="s">
        <v>513</v>
      </c>
      <c r="G169" s="22" t="s">
        <v>663</v>
      </c>
      <c r="H169" s="24">
        <f>IFERROR(INDEX(TableJudje[رقم الحساب],MATCH(Tabledaily[[#This Row],[الحســاب المديــــن]],TableJudje[اسم الحساب],0)),0)</f>
        <v>31010101</v>
      </c>
      <c r="I169" s="22" t="s">
        <v>111</v>
      </c>
      <c r="J169" s="22" t="s">
        <v>238</v>
      </c>
      <c r="K169" s="117">
        <v>116000</v>
      </c>
      <c r="L169" s="23">
        <v>405</v>
      </c>
      <c r="M169" s="118">
        <f>IFERROR(Tabledaily[[#This Row],[المبلـــــــغ]]/Tabledaily[[#This Row],[سعــــــر
الصـــــرف]],"")</f>
        <v>286.41975308641975</v>
      </c>
      <c r="N169" s="22" t="s">
        <v>340</v>
      </c>
      <c r="O169" s="22" t="s">
        <v>312</v>
      </c>
      <c r="P169" s="22" t="s">
        <v>312</v>
      </c>
      <c r="Q169" s="22"/>
      <c r="R169" s="22" t="s">
        <v>237</v>
      </c>
      <c r="S169" s="24">
        <f>IFERROR(INDEX(tablecost[رقم المركز],MATCH(Tabledaily[[#This Row],[مركـــــــزالتكلفــــــة]],tablecost[الاسم],0)),0)</f>
        <v>1</v>
      </c>
      <c r="T169" s="27">
        <f>DATE(Tabledaily[[#This Row],[السنــــة]],Tabledaily[[#This Row],[الشهــــر]],Tabledaily[[#This Row],[الـــــيوم]])</f>
        <v>46187</v>
      </c>
      <c r="U169" s="28">
        <v>46193.056018518517</v>
      </c>
      <c r="V169" s="22"/>
      <c r="W169" s="24">
        <f>YEAR(Tabledaily[[#This Row],[التاريخ]])</f>
        <v>2026</v>
      </c>
      <c r="X169" s="24">
        <f>MONTH(Tabledaily[[#This Row],[التاريخ]])</f>
        <v>6</v>
      </c>
      <c r="Y169" s="24">
        <f>DAY(Tabledaily[[#This Row],[التاريخ]])</f>
        <v>14</v>
      </c>
      <c r="Z16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11 بامر</v>
      </c>
      <c r="AA169" s="24" t="str">
        <f>IF(COUNTIF(TableDailyJournal[رقم العملية],Tabledaily[[#This Row],[رقم العملية]])&gt;1,"مرحل","غير مرحل")</f>
        <v>مرحل</v>
      </c>
    </row>
    <row r="170" spans="1:27" ht="22.9" customHeight="1" x14ac:dyDescent="0.55000000000000004">
      <c r="A170" s="22">
        <f t="shared" si="5"/>
        <v>168</v>
      </c>
      <c r="B170" s="23" t="s">
        <v>747</v>
      </c>
      <c r="C170" s="213" t="s">
        <v>746</v>
      </c>
      <c r="D170" s="22" t="s">
        <v>290</v>
      </c>
      <c r="E170" s="22">
        <f>IFERROR(INDEX(TableJudje[رقم الحساب],MATCH(Tabledaily[[#This Row],[الحســاب الدئـــن]],TableJudje[اسم الحساب],0)),0)</f>
        <v>11060205</v>
      </c>
      <c r="F170" s="22" t="s">
        <v>513</v>
      </c>
      <c r="G170" s="22" t="s">
        <v>559</v>
      </c>
      <c r="H170" s="24">
        <f>IFERROR(INDEX(TableJudje[رقم الحساب],MATCH(Tabledaily[[#This Row],[الحســاب المديــــن]],TableJudje[اسم الحساب],0)),0)</f>
        <v>31010101</v>
      </c>
      <c r="I170" s="22" t="s">
        <v>111</v>
      </c>
      <c r="J170" s="22" t="s">
        <v>238</v>
      </c>
      <c r="K170" s="117">
        <v>30000</v>
      </c>
      <c r="L170" s="23">
        <v>405</v>
      </c>
      <c r="M170" s="118">
        <f>IFERROR(Tabledaily[[#This Row],[المبلـــــــغ]]/Tabledaily[[#This Row],[سعــــــر
الصـــــرف]],"")</f>
        <v>74.074074074074076</v>
      </c>
      <c r="N170" s="22" t="s">
        <v>521</v>
      </c>
      <c r="O170" s="22" t="s">
        <v>312</v>
      </c>
      <c r="P170" s="22" t="s">
        <v>312</v>
      </c>
      <c r="Q170" s="22"/>
      <c r="R170" s="22" t="s">
        <v>237</v>
      </c>
      <c r="S170" s="24">
        <f>IFERROR(INDEX(tablecost[رقم المركز],MATCH(Tabledaily[[#This Row],[مركـــــــزالتكلفــــــة]],tablecost[الاسم],0)),0)</f>
        <v>1</v>
      </c>
      <c r="T170" s="27">
        <f>DATE(Tabledaily[[#This Row],[السنــــة]],Tabledaily[[#This Row],[الشهــــر]],Tabledaily[[#This Row],[الـــــيوم]])</f>
        <v>46187</v>
      </c>
      <c r="U170" s="28">
        <v>46193.055636574078</v>
      </c>
      <c r="V170" s="22"/>
      <c r="W170" s="24">
        <f>YEAR(Tabledaily[[#This Row],[التاريخ]])</f>
        <v>2026</v>
      </c>
      <c r="X170" s="24">
        <f>MONTH(Tabledaily[[#This Row],[التاريخ]])</f>
        <v>6</v>
      </c>
      <c r="Y170" s="24">
        <f>DAY(Tabledaily[[#This Row],[التاريخ]])</f>
        <v>14</v>
      </c>
      <c r="Z17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170" s="24" t="str">
        <f>IF(COUNTIF(TableDailyJournal[رقم العملية],Tabledaily[[#This Row],[رقم العملية]])&gt;1,"مرحل","غير مرحل")</f>
        <v>مرحل</v>
      </c>
    </row>
    <row r="171" spans="1:27" ht="22.9" customHeight="1" x14ac:dyDescent="0.55000000000000004">
      <c r="A171" s="22">
        <f t="shared" si="5"/>
        <v>169</v>
      </c>
      <c r="B171" s="23" t="s">
        <v>745</v>
      </c>
      <c r="C171" s="213" t="s">
        <v>746</v>
      </c>
      <c r="D171" s="22" t="s">
        <v>290</v>
      </c>
      <c r="E171" s="22">
        <f>IFERROR(INDEX(TableJudje[رقم الحساب],MATCH(Tabledaily[[#This Row],[الحســاب الدئـــن]],TableJudje[اسم الحساب],0)),0)</f>
        <v>11060205</v>
      </c>
      <c r="F171" s="22" t="s">
        <v>513</v>
      </c>
      <c r="G171" s="22" t="s">
        <v>693</v>
      </c>
      <c r="H171" s="24">
        <f>IFERROR(INDEX(TableJudje[رقم الحساب],MATCH(Tabledaily[[#This Row],[الحســاب المديــــن]],TableJudje[اسم الحساب],0)),0)</f>
        <v>31010101</v>
      </c>
      <c r="I171" s="22" t="s">
        <v>111</v>
      </c>
      <c r="J171" s="22" t="s">
        <v>238</v>
      </c>
      <c r="K171" s="117">
        <v>52000</v>
      </c>
      <c r="L171" s="23">
        <v>405</v>
      </c>
      <c r="M171" s="118">
        <f>IFERROR(Tabledaily[[#This Row],[المبلـــــــغ]]/Tabledaily[[#This Row],[سعــــــر
الصـــــرف]],"")</f>
        <v>128.39506172839506</v>
      </c>
      <c r="N171" s="22" t="s">
        <v>343</v>
      </c>
      <c r="O171" s="22" t="s">
        <v>312</v>
      </c>
      <c r="P171" s="22" t="s">
        <v>312</v>
      </c>
      <c r="Q171" s="22"/>
      <c r="R171" s="22" t="s">
        <v>237</v>
      </c>
      <c r="S171" s="24">
        <f>IFERROR(INDEX(tablecost[رقم المركز],MATCH(Tabledaily[[#This Row],[مركـــــــزالتكلفــــــة]],tablecost[الاسم],0)),0)</f>
        <v>1</v>
      </c>
      <c r="T171" s="27">
        <f>DATE(Tabledaily[[#This Row],[السنــــة]],Tabledaily[[#This Row],[الشهــــر]],Tabledaily[[#This Row],[الـــــيوم]])</f>
        <v>46187</v>
      </c>
      <c r="U171" s="28">
        <v>46193.055277777778</v>
      </c>
      <c r="V171" s="22"/>
      <c r="W171" s="24">
        <f>YEAR(Tabledaily[[#This Row],[التاريخ]])</f>
        <v>2026</v>
      </c>
      <c r="X171" s="24">
        <f>MONTH(Tabledaily[[#This Row],[التاريخ]])</f>
        <v>6</v>
      </c>
      <c r="Y171" s="24">
        <f>DAY(Tabledaily[[#This Row],[التاريخ]])</f>
        <v>14</v>
      </c>
      <c r="Z17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8 بامر</v>
      </c>
      <c r="AA171" s="24" t="str">
        <f>IF(COUNTIF(TableDailyJournal[رقم العملية],Tabledaily[[#This Row],[رقم العملية]])&gt;1,"مرحل","غير مرحل")</f>
        <v>مرحل</v>
      </c>
    </row>
    <row r="172" spans="1:27" ht="22.9" customHeight="1" x14ac:dyDescent="0.55000000000000004">
      <c r="A172" s="22">
        <f t="shared" si="5"/>
        <v>170</v>
      </c>
      <c r="B172" s="23" t="s">
        <v>743</v>
      </c>
      <c r="C172" s="213" t="s">
        <v>718</v>
      </c>
      <c r="D172" s="22" t="s">
        <v>290</v>
      </c>
      <c r="E172" s="22">
        <f>IFERROR(INDEX(TableJudje[رقم الحساب],MATCH(Tabledaily[[#This Row],[الحســاب الدئـــن]],TableJudje[اسم الحساب],0)),0)</f>
        <v>11060205</v>
      </c>
      <c r="F172" s="22" t="s">
        <v>513</v>
      </c>
      <c r="G172" s="22" t="s">
        <v>744</v>
      </c>
      <c r="H172" s="24">
        <f>IFERROR(INDEX(TableJudje[رقم الحساب],MATCH(Tabledaily[[#This Row],[الحســاب المديــــن]],TableJudje[اسم الحساب],0)),0)</f>
        <v>31010101</v>
      </c>
      <c r="I172" s="22" t="s">
        <v>111</v>
      </c>
      <c r="J172" s="22" t="s">
        <v>238</v>
      </c>
      <c r="K172" s="117">
        <v>10000</v>
      </c>
      <c r="L172" s="23">
        <v>405</v>
      </c>
      <c r="M172" s="118">
        <f>IFERROR(Tabledaily[[#This Row],[المبلـــــــغ]]/Tabledaily[[#This Row],[سعــــــر
الصـــــرف]],"")</f>
        <v>24.691358024691358</v>
      </c>
      <c r="N172" s="22" t="s">
        <v>545</v>
      </c>
      <c r="O172" s="22" t="s">
        <v>286</v>
      </c>
      <c r="P172" s="22" t="s">
        <v>287</v>
      </c>
      <c r="Q172" s="22"/>
      <c r="R172" s="22" t="s">
        <v>248</v>
      </c>
      <c r="S172" s="24">
        <f>IFERROR(INDEX(tablecost[رقم المركز],MATCH(Tabledaily[[#This Row],[مركـــــــزالتكلفــــــة]],tablecost[الاسم],0)),0)</f>
        <v>7</v>
      </c>
      <c r="T172" s="27">
        <f>DATE(Tabledaily[[#This Row],[السنــــة]],Tabledaily[[#This Row],[الشهــــر]],Tabledaily[[#This Row],[الـــــيوم]])</f>
        <v>46186</v>
      </c>
      <c r="U172" s="28">
        <v>46193.054432870369</v>
      </c>
      <c r="V172" s="22"/>
      <c r="W172" s="24">
        <f>YEAR(Tabledaily[[#This Row],[التاريخ]])</f>
        <v>2026</v>
      </c>
      <c r="X172" s="24">
        <f>MONTH(Tabledaily[[#This Row],[التاريخ]])</f>
        <v>6</v>
      </c>
      <c r="Y172" s="24">
        <f>DAY(Tabledaily[[#This Row],[التاريخ]])</f>
        <v>13</v>
      </c>
      <c r="Z17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اللواء السادس)  - استلام نقدي رقم   سند استلام - صرف صرفة يومية ليوم 13 بامر</v>
      </c>
      <c r="AA172" s="24" t="str">
        <f>IF(COUNTIF(TableDailyJournal[رقم العملية],Tabledaily[[#This Row],[رقم العملية]])&gt;1,"مرحل","غير مرحل")</f>
        <v>مرحل</v>
      </c>
    </row>
    <row r="173" spans="1:27" ht="22.9" customHeight="1" x14ac:dyDescent="0.55000000000000004">
      <c r="A173" s="22">
        <f t="shared" si="5"/>
        <v>171</v>
      </c>
      <c r="B173" s="23" t="s">
        <v>741</v>
      </c>
      <c r="C173" s="213" t="s">
        <v>718</v>
      </c>
      <c r="D173" s="22" t="s">
        <v>290</v>
      </c>
      <c r="E173" s="22">
        <f>IFERROR(INDEX(TableJudje[رقم الحساب],MATCH(Tabledaily[[#This Row],[الحســاب الدئـــن]],TableJudje[اسم الحساب],0)),0)</f>
        <v>11060205</v>
      </c>
      <c r="F173" s="22" t="s">
        <v>513</v>
      </c>
      <c r="G173" s="22" t="s">
        <v>742</v>
      </c>
      <c r="H173" s="24">
        <f>IFERROR(INDEX(TableJudje[رقم الحساب],MATCH(Tabledaily[[#This Row],[الحســاب المديــــن]],TableJudje[اسم الحساب],0)),0)</f>
        <v>31010101</v>
      </c>
      <c r="I173" s="22" t="s">
        <v>111</v>
      </c>
      <c r="J173" s="22" t="s">
        <v>238</v>
      </c>
      <c r="K173" s="117">
        <v>45000</v>
      </c>
      <c r="L173" s="23">
        <v>405</v>
      </c>
      <c r="M173" s="118">
        <f>IFERROR(Tabledaily[[#This Row],[المبلـــــــغ]]/Tabledaily[[#This Row],[سعــــــر
الصـــــرف]],"")</f>
        <v>111.11111111111111</v>
      </c>
      <c r="N173" s="22" t="s">
        <v>615</v>
      </c>
      <c r="O173" s="22" t="s">
        <v>286</v>
      </c>
      <c r="P173" s="22" t="s">
        <v>287</v>
      </c>
      <c r="Q173" s="22">
        <v>477</v>
      </c>
      <c r="R173" s="22" t="s">
        <v>237</v>
      </c>
      <c r="S173" s="24">
        <f>IFERROR(INDEX(tablecost[رقم المركز],MATCH(Tabledaily[[#This Row],[مركـــــــزالتكلفــــــة]],tablecost[الاسم],0)),0)</f>
        <v>1</v>
      </c>
      <c r="T173" s="27">
        <f>DATE(Tabledaily[[#This Row],[السنــــة]],Tabledaily[[#This Row],[الشهــــر]],Tabledaily[[#This Row],[الـــــيوم]])</f>
        <v>46186</v>
      </c>
      <c r="U173" s="28">
        <v>46193.053900462961</v>
      </c>
      <c r="V173" s="22"/>
      <c r="W173" s="24">
        <f>YEAR(Tabledaily[[#This Row],[التاريخ]])</f>
        <v>2026</v>
      </c>
      <c r="X173" s="24">
        <f>MONTH(Tabledaily[[#This Row],[التاريخ]])</f>
        <v>6</v>
      </c>
      <c r="Y173" s="24">
        <f>DAY(Tabledaily[[#This Row],[التاريخ]])</f>
        <v>13</v>
      </c>
      <c r="Z17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v>
      </c>
      <c r="AA173" s="24" t="str">
        <f>IF(COUNTIF(TableDailyJournal[رقم العملية],Tabledaily[[#This Row],[رقم العملية]])&gt;1,"مرحل","غير مرحل")</f>
        <v>مرحل</v>
      </c>
    </row>
    <row r="174" spans="1:27" ht="22.9" customHeight="1" x14ac:dyDescent="0.55000000000000004">
      <c r="A174" s="22">
        <f t="shared" si="5"/>
        <v>172</v>
      </c>
      <c r="B174" s="23" t="s">
        <v>739</v>
      </c>
      <c r="C174" s="213" t="s">
        <v>718</v>
      </c>
      <c r="D174" s="22" t="s">
        <v>290</v>
      </c>
      <c r="E174" s="22">
        <f>IFERROR(INDEX(TableJudje[رقم الحساب],MATCH(Tabledaily[[#This Row],[الحســاب الدئـــن]],TableJudje[اسم الحساب],0)),0)</f>
        <v>11060205</v>
      </c>
      <c r="F174" s="22" t="s">
        <v>513</v>
      </c>
      <c r="G174" s="22" t="s">
        <v>740</v>
      </c>
      <c r="H174" s="24">
        <f>IFERROR(INDEX(TableJudje[رقم الحساب],MATCH(Tabledaily[[#This Row],[الحســاب المديــــن]],TableJudje[اسم الحساب],0)),0)</f>
        <v>31010135</v>
      </c>
      <c r="I174" s="22" t="s">
        <v>473</v>
      </c>
      <c r="J174" s="22" t="s">
        <v>238</v>
      </c>
      <c r="K174" s="117">
        <v>25000</v>
      </c>
      <c r="L174" s="23">
        <v>405</v>
      </c>
      <c r="M174" s="118">
        <f>IFERROR(Tabledaily[[#This Row],[المبلـــــــغ]]/Tabledaily[[#This Row],[سعــــــر
الصـــــرف]],"")</f>
        <v>61.728395061728392</v>
      </c>
      <c r="N174" s="22" t="s">
        <v>683</v>
      </c>
      <c r="O174" s="22" t="s">
        <v>286</v>
      </c>
      <c r="P174" s="22" t="s">
        <v>287</v>
      </c>
      <c r="Q174" s="22"/>
      <c r="R174" s="22" t="s">
        <v>237</v>
      </c>
      <c r="S174" s="24">
        <f>IFERROR(INDEX(tablecost[رقم المركز],MATCH(Tabledaily[[#This Row],[مركـــــــزالتكلفــــــة]],tablecost[الاسم],0)),0)</f>
        <v>1</v>
      </c>
      <c r="T174" s="27">
        <f>DATE(Tabledaily[[#This Row],[السنــــة]],Tabledaily[[#This Row],[الشهــــر]],Tabledaily[[#This Row],[الـــــيوم]])</f>
        <v>46186</v>
      </c>
      <c r="U174" s="28">
        <v>46193.052928240744</v>
      </c>
      <c r="V174" s="22"/>
      <c r="W174" s="24">
        <f>YEAR(Tabledaily[[#This Row],[التاريخ]])</f>
        <v>2026</v>
      </c>
      <c r="X174" s="24">
        <f>MONTH(Tabledaily[[#This Row],[التاريخ]])</f>
        <v>6</v>
      </c>
      <c r="Y174" s="24">
        <f>DAY(Tabledaily[[#This Row],[التاريخ]])</f>
        <v>13</v>
      </c>
      <c r="Z17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(اجور يومية - عمال - الفرقة الثالثة)  - استلام نقدي رقم   سند استلام - اجور  عمال لانزال الخيم الى مستودعات الامداد بامر</v>
      </c>
      <c r="AA174" s="24" t="str">
        <f>IF(COUNTIF(TableDailyJournal[رقم العملية],Tabledaily[[#This Row],[رقم العملية]])&gt;1,"مرحل","غير مرحل")</f>
        <v>مرحل</v>
      </c>
    </row>
    <row r="175" spans="1:27" ht="22.9" customHeight="1" x14ac:dyDescent="0.55000000000000004">
      <c r="A175" s="22">
        <f t="shared" si="5"/>
        <v>173</v>
      </c>
      <c r="B175" s="23" t="s">
        <v>736</v>
      </c>
      <c r="C175" s="213" t="s">
        <v>718</v>
      </c>
      <c r="D175" s="22" t="s">
        <v>290</v>
      </c>
      <c r="E175" s="22">
        <f>IFERROR(INDEX(TableJudje[رقم الحساب],MATCH(Tabledaily[[#This Row],[الحســاب الدئـــن]],TableJudje[اسم الحساب],0)),0)</f>
        <v>11060205</v>
      </c>
      <c r="F175" s="22" t="s">
        <v>513</v>
      </c>
      <c r="G175" s="22" t="s">
        <v>737</v>
      </c>
      <c r="H175" s="24">
        <f>IFERROR(INDEX(TableJudje[رقم الحساب],MATCH(Tabledaily[[#This Row],[الحســاب المديــــن]],TableJudje[اسم الحساب],0)),0)</f>
        <v>31010115</v>
      </c>
      <c r="I175" s="22" t="s">
        <v>486</v>
      </c>
      <c r="J175" s="22" t="s">
        <v>238</v>
      </c>
      <c r="K175" s="117">
        <v>100000</v>
      </c>
      <c r="L175" s="23">
        <v>405</v>
      </c>
      <c r="M175" s="118">
        <f>IFERROR(Tabledaily[[#This Row],[المبلـــــــغ]]/Tabledaily[[#This Row],[سعــــــر
الصـــــرف]],"")</f>
        <v>246.91358024691357</v>
      </c>
      <c r="N175" s="22" t="s">
        <v>738</v>
      </c>
      <c r="O175" s="22" t="s">
        <v>286</v>
      </c>
      <c r="P175" s="22" t="s">
        <v>287</v>
      </c>
      <c r="Q175" s="22"/>
      <c r="R175" s="22" t="s">
        <v>237</v>
      </c>
      <c r="S175" s="24">
        <f>IFERROR(INDEX(tablecost[رقم المركز],MATCH(Tabledaily[[#This Row],[مركـــــــزالتكلفــــــة]],tablecost[الاسم],0)),0)</f>
        <v>1</v>
      </c>
      <c r="T175" s="27">
        <f>DATE(Tabledaily[[#This Row],[السنــــة]],Tabledaily[[#This Row],[الشهــــر]],Tabledaily[[#This Row],[الـــــيوم]])</f>
        <v>46186</v>
      </c>
      <c r="U175" s="28">
        <v>46193.051342592589</v>
      </c>
      <c r="V175" s="22" t="s">
        <v>646</v>
      </c>
      <c r="W175" s="24">
        <f>YEAR(Tabledaily[[#This Row],[التاريخ]])</f>
        <v>2026</v>
      </c>
      <c r="X175" s="24">
        <f>MONTH(Tabledaily[[#This Row],[التاريخ]])</f>
        <v>6</v>
      </c>
      <c r="Y175" s="24">
        <f>DAY(Tabledaily[[#This Row],[التاريخ]])</f>
        <v>13</v>
      </c>
      <c r="Z17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مياة - الفرقة - الفرقة الثالثة)  - استلام نقدي رقم   سند استلام - شراء قاطرة ماء ومصاريف لسائق القاطرة والمرافق بامرالمستشار المالي</v>
      </c>
      <c r="AA175" s="24" t="str">
        <f>IF(COUNTIF(TableDailyJournal[رقم العملية],Tabledaily[[#This Row],[رقم العملية]])&gt;1,"مرحل","غير مرحل")</f>
        <v>مرحل</v>
      </c>
    </row>
    <row r="176" spans="1:27" ht="22.9" customHeight="1" x14ac:dyDescent="0.55000000000000004">
      <c r="A176" s="22">
        <f t="shared" si="5"/>
        <v>174</v>
      </c>
      <c r="B176" s="23" t="s">
        <v>734</v>
      </c>
      <c r="C176" s="213" t="s">
        <v>718</v>
      </c>
      <c r="D176" s="22" t="s">
        <v>290</v>
      </c>
      <c r="E176" s="22">
        <f>IFERROR(INDEX(TableJudje[رقم الحساب],MATCH(Tabledaily[[#This Row],[الحســاب الدئـــن]],TableJudje[اسم الحساب],0)),0)</f>
        <v>11060205</v>
      </c>
      <c r="F176" s="22" t="s">
        <v>513</v>
      </c>
      <c r="G176" s="22" t="s">
        <v>735</v>
      </c>
      <c r="H176" s="24">
        <f>IFERROR(INDEX(TableJudje[رقم الحساب],MATCH(Tabledaily[[#This Row],[الحســاب المديــــن]],TableJudje[اسم الحساب],0)),0)</f>
        <v>31010116</v>
      </c>
      <c r="I176" s="22" t="s">
        <v>122</v>
      </c>
      <c r="J176" s="22" t="s">
        <v>238</v>
      </c>
      <c r="K176" s="117">
        <v>200000</v>
      </c>
      <c r="L176" s="23">
        <v>405</v>
      </c>
      <c r="M176" s="118">
        <f>IFERROR(Tabledaily[[#This Row],[المبلـــــــغ]]/Tabledaily[[#This Row],[سعــــــر
الصـــــرف]],"")</f>
        <v>493.82716049382714</v>
      </c>
      <c r="N176" s="22"/>
      <c r="O176" s="22" t="s">
        <v>286</v>
      </c>
      <c r="P176" s="22" t="s">
        <v>287</v>
      </c>
      <c r="Q176" s="22"/>
      <c r="R176" s="22" t="s">
        <v>237</v>
      </c>
      <c r="S176" s="24">
        <f>IFERROR(INDEX(tablecost[رقم المركز],MATCH(Tabledaily[[#This Row],[مركـــــــزالتكلفــــــة]],tablecost[الاسم],0)),0)</f>
        <v>1</v>
      </c>
      <c r="T176" s="27">
        <f>DATE(Tabledaily[[#This Row],[السنــــة]],Tabledaily[[#This Row],[الشهــــر]],Tabledaily[[#This Row],[الـــــيوم]])</f>
        <v>46186</v>
      </c>
      <c r="U176" s="28">
        <v>46193.050104166665</v>
      </c>
      <c r="V176" s="22" t="s">
        <v>313</v>
      </c>
      <c r="W176" s="24">
        <f>YEAR(Tabledaily[[#This Row],[التاريخ]])</f>
        <v>2026</v>
      </c>
      <c r="X176" s="24">
        <f>MONTH(Tabledaily[[#This Row],[التاريخ]])</f>
        <v>6</v>
      </c>
      <c r="Y176" s="24">
        <f>DAY(Tabledaily[[#This Row],[التاريخ]])</f>
        <v>13</v>
      </c>
      <c r="Z17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v>
      </c>
      <c r="AA176" s="24" t="str">
        <f>IF(COUNTIF(TableDailyJournal[رقم العملية],Tabledaily[[#This Row],[رقم العملية]])&gt;1,"مرحل","غير مرحل")</f>
        <v>مرحل</v>
      </c>
    </row>
    <row r="177" spans="1:27" ht="22.9" customHeight="1" x14ac:dyDescent="0.55000000000000004">
      <c r="A177" s="22">
        <f t="shared" si="5"/>
        <v>175</v>
      </c>
      <c r="B177" s="23" t="s">
        <v>733</v>
      </c>
      <c r="C177" s="213" t="s">
        <v>718</v>
      </c>
      <c r="D177" s="22" t="s">
        <v>290</v>
      </c>
      <c r="E177" s="22">
        <f>IFERROR(INDEX(TableJudje[رقم الحساب],MATCH(Tabledaily[[#This Row],[الحســاب الدئـــن]],TableJudje[اسم الحساب],0)),0)</f>
        <v>11060205</v>
      </c>
      <c r="F177" s="22" t="s">
        <v>513</v>
      </c>
      <c r="G177" s="22" t="s">
        <v>606</v>
      </c>
      <c r="H177" s="24">
        <f>IFERROR(INDEX(TableJudje[رقم الحساب],MATCH(Tabledaily[[#This Row],[الحســاب المديــــن]],TableJudje[اسم الحساب],0)),0)</f>
        <v>31010101</v>
      </c>
      <c r="I177" s="22" t="s">
        <v>111</v>
      </c>
      <c r="J177" s="22" t="s">
        <v>238</v>
      </c>
      <c r="K177" s="117">
        <v>156000</v>
      </c>
      <c r="L177" s="23">
        <v>405</v>
      </c>
      <c r="M177" s="118">
        <f>IFERROR(Tabledaily[[#This Row],[المبلـــــــغ]]/Tabledaily[[#This Row],[سعــــــر
الصـــــرف]],"")</f>
        <v>385.18518518518516</v>
      </c>
      <c r="N177" s="22" t="s">
        <v>311</v>
      </c>
      <c r="O177" s="22" t="s">
        <v>312</v>
      </c>
      <c r="P177" s="22" t="s">
        <v>312</v>
      </c>
      <c r="Q177" s="22"/>
      <c r="R177" s="22" t="s">
        <v>237</v>
      </c>
      <c r="S177" s="24">
        <f>IFERROR(INDEX(tablecost[رقم المركز],MATCH(Tabledaily[[#This Row],[مركـــــــزالتكلفــــــة]],tablecost[الاسم],0)),0)</f>
        <v>1</v>
      </c>
      <c r="T177" s="27">
        <f>DATE(Tabledaily[[#This Row],[السنــــة]],Tabledaily[[#This Row],[الشهــــر]],Tabledaily[[#This Row],[الـــــيوم]])</f>
        <v>46186</v>
      </c>
      <c r="U177" s="28">
        <v>46193.048344907409</v>
      </c>
      <c r="V177" s="22"/>
      <c r="W177" s="24">
        <f>YEAR(Tabledaily[[#This Row],[التاريخ]])</f>
        <v>2026</v>
      </c>
      <c r="X177" s="24">
        <f>MONTH(Tabledaily[[#This Row],[التاريخ]])</f>
        <v>6</v>
      </c>
      <c r="Y177" s="24">
        <f>DAY(Tabledaily[[#This Row],[التاريخ]])</f>
        <v>13</v>
      </c>
      <c r="Z17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الفرقة الثالثة)  - كشف صرف رقم   كشف صرف - مصاريف يومية سرية اللواء السادس عدد 39 بامر</v>
      </c>
      <c r="AA177" s="24" t="str">
        <f>IF(COUNTIF(TableDailyJournal[رقم العملية],Tabledaily[[#This Row],[رقم العملية]])&gt;1,"مرحل","غير مرحل")</f>
        <v>مرحل</v>
      </c>
    </row>
    <row r="178" spans="1:27" ht="22.9" customHeight="1" x14ac:dyDescent="0.55000000000000004">
      <c r="A178" s="22">
        <f t="shared" si="5"/>
        <v>176</v>
      </c>
      <c r="B178" s="23" t="s">
        <v>732</v>
      </c>
      <c r="C178" s="213" t="s">
        <v>718</v>
      </c>
      <c r="D178" s="22" t="s">
        <v>290</v>
      </c>
      <c r="E178" s="22">
        <f>IFERROR(INDEX(TableJudje[رقم الحساب],MATCH(Tabledaily[[#This Row],[الحســاب الدئـــن]],TableJudje[اسم الحساب],0)),0)</f>
        <v>11060205</v>
      </c>
      <c r="F178" s="22" t="s">
        <v>513</v>
      </c>
      <c r="G178" s="22" t="s">
        <v>458</v>
      </c>
      <c r="H178" s="24">
        <f>IFERROR(INDEX(TableJudje[رقم الحساب],MATCH(Tabledaily[[#This Row],[الحســاب المديــــن]],TableJudje[اسم الحساب],0)),0)</f>
        <v>31010101</v>
      </c>
      <c r="I178" s="22" t="s">
        <v>111</v>
      </c>
      <c r="J178" s="22" t="s">
        <v>238</v>
      </c>
      <c r="K178" s="117">
        <v>28000</v>
      </c>
      <c r="L178" s="23">
        <v>405</v>
      </c>
      <c r="M178" s="118">
        <f>IFERROR(Tabledaily[[#This Row],[المبلـــــــغ]]/Tabledaily[[#This Row],[سعــــــر
الصـــــرف]],"")</f>
        <v>69.135802469135797</v>
      </c>
      <c r="N178" s="22" t="s">
        <v>459</v>
      </c>
      <c r="O178" s="22" t="s">
        <v>312</v>
      </c>
      <c r="P178" s="22" t="s">
        <v>312</v>
      </c>
      <c r="Q178" s="22"/>
      <c r="R178" s="22" t="s">
        <v>237</v>
      </c>
      <c r="S178" s="24">
        <f>IFERROR(INDEX(tablecost[رقم المركز],MATCH(Tabledaily[[#This Row],[مركـــــــزالتكلفــــــة]],tablecost[الاسم],0)),0)</f>
        <v>1</v>
      </c>
      <c r="T178" s="27">
        <f>DATE(Tabledaily[[#This Row],[السنــــة]],Tabledaily[[#This Row],[الشهــــر]],Tabledaily[[#This Row],[الـــــيوم]])</f>
        <v>46186</v>
      </c>
      <c r="U178" s="28">
        <v>46193.047847222224</v>
      </c>
      <c r="V178" s="22"/>
      <c r="W178" s="24">
        <f>YEAR(Tabledaily[[#This Row],[التاريخ]])</f>
        <v>2026</v>
      </c>
      <c r="X178" s="24">
        <f>MONTH(Tabledaily[[#This Row],[التاريخ]])</f>
        <v>6</v>
      </c>
      <c r="Y178" s="24">
        <f>DAY(Tabledaily[[#This Row],[التاريخ]])</f>
        <v>13</v>
      </c>
      <c r="Z17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178" s="24" t="str">
        <f>IF(COUNTIF(TableDailyJournal[رقم العملية],Tabledaily[[#This Row],[رقم العملية]])&gt;1,"مرحل","غير مرحل")</f>
        <v>مرحل</v>
      </c>
    </row>
    <row r="179" spans="1:27" ht="22.9" customHeight="1" x14ac:dyDescent="0.55000000000000004">
      <c r="A179" s="22">
        <f t="shared" si="5"/>
        <v>177</v>
      </c>
      <c r="B179" s="23" t="s">
        <v>731</v>
      </c>
      <c r="C179" s="213" t="s">
        <v>718</v>
      </c>
      <c r="D179" s="22" t="s">
        <v>290</v>
      </c>
      <c r="E179" s="22">
        <f>IFERROR(INDEX(TableJudje[رقم الحساب],MATCH(Tabledaily[[#This Row],[الحســاب الدئـــن]],TableJudje[اسم الحساب],0)),0)</f>
        <v>11060205</v>
      </c>
      <c r="F179" s="22" t="s">
        <v>513</v>
      </c>
      <c r="G179" s="22" t="s">
        <v>709</v>
      </c>
      <c r="H179" s="24">
        <f>IFERROR(INDEX(TableJudje[رقم الحساب],MATCH(Tabledaily[[#This Row],[الحســاب المديــــن]],TableJudje[اسم الحساب],0)),0)</f>
        <v>31010101</v>
      </c>
      <c r="I179" s="22" t="s">
        <v>111</v>
      </c>
      <c r="J179" s="22" t="s">
        <v>238</v>
      </c>
      <c r="K179" s="117">
        <v>18000</v>
      </c>
      <c r="L179" s="23">
        <v>405</v>
      </c>
      <c r="M179" s="118">
        <f>IFERROR(Tabledaily[[#This Row],[المبلـــــــغ]]/Tabledaily[[#This Row],[سعــــــر
الصـــــرف]],"")</f>
        <v>44.444444444444443</v>
      </c>
      <c r="N179" s="22" t="s">
        <v>374</v>
      </c>
      <c r="O179" s="22" t="s">
        <v>312</v>
      </c>
      <c r="P179" s="22" t="s">
        <v>312</v>
      </c>
      <c r="Q179" s="22"/>
      <c r="R179" s="22" t="s">
        <v>237</v>
      </c>
      <c r="S179" s="24">
        <f>IFERROR(INDEX(tablecost[رقم المركز],MATCH(Tabledaily[[#This Row],[مركـــــــزالتكلفــــــة]],tablecost[الاسم],0)),0)</f>
        <v>1</v>
      </c>
      <c r="T179" s="27">
        <f>DATE(Tabledaily[[#This Row],[السنــــة]],Tabledaily[[#This Row],[الشهــــر]],Tabledaily[[#This Row],[الـــــيوم]])</f>
        <v>46186</v>
      </c>
      <c r="U179" s="28">
        <v>46193.047384259262</v>
      </c>
      <c r="V179" s="22"/>
      <c r="W179" s="24">
        <f>YEAR(Tabledaily[[#This Row],[التاريخ]])</f>
        <v>2026</v>
      </c>
      <c r="X179" s="24">
        <f>MONTH(Tabledaily[[#This Row],[التاريخ]])</f>
        <v>6</v>
      </c>
      <c r="Y179" s="24">
        <f>DAY(Tabledaily[[#This Row],[التاريخ]])</f>
        <v>13</v>
      </c>
      <c r="Z17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A179" s="24" t="str">
        <f>IF(COUNTIF(TableDailyJournal[رقم العملية],Tabledaily[[#This Row],[رقم العملية]])&gt;1,"مرحل","غير مرحل")</f>
        <v>مرحل</v>
      </c>
    </row>
    <row r="180" spans="1:27" ht="22.9" customHeight="1" x14ac:dyDescent="0.55000000000000004">
      <c r="A180" s="22">
        <f t="shared" si="5"/>
        <v>178</v>
      </c>
      <c r="B180" s="23" t="s">
        <v>730</v>
      </c>
      <c r="C180" s="213" t="s">
        <v>718</v>
      </c>
      <c r="D180" s="22" t="s">
        <v>290</v>
      </c>
      <c r="E180" s="22">
        <f>IFERROR(INDEX(TableJudje[رقم الحساب],MATCH(Tabledaily[[#This Row],[الحســاب الدئـــن]],TableJudje[اسم الحساب],0)),0)</f>
        <v>11060205</v>
      </c>
      <c r="F180" s="22" t="s">
        <v>513</v>
      </c>
      <c r="G180" s="22" t="s">
        <v>707</v>
      </c>
      <c r="H180" s="24">
        <f>IFERROR(INDEX(TableJudje[رقم الحساب],MATCH(Tabledaily[[#This Row],[الحســاب المديــــن]],TableJudje[اسم الحساب],0)),0)</f>
        <v>31010101</v>
      </c>
      <c r="I180" s="22" t="s">
        <v>111</v>
      </c>
      <c r="J180" s="22" t="s">
        <v>238</v>
      </c>
      <c r="K180" s="117">
        <v>25000</v>
      </c>
      <c r="L180" s="23">
        <v>405</v>
      </c>
      <c r="M180" s="118">
        <f>IFERROR(Tabledaily[[#This Row],[المبلـــــــغ]]/Tabledaily[[#This Row],[سعــــــر
الصـــــرف]],"")</f>
        <v>61.728395061728392</v>
      </c>
      <c r="N180" s="22" t="s">
        <v>638</v>
      </c>
      <c r="O180" s="22" t="s">
        <v>312</v>
      </c>
      <c r="P180" s="22" t="s">
        <v>312</v>
      </c>
      <c r="Q180" s="22"/>
      <c r="R180" s="22" t="s">
        <v>237</v>
      </c>
      <c r="S180" s="24">
        <f>IFERROR(INDEX(tablecost[رقم المركز],MATCH(Tabledaily[[#This Row],[مركـــــــزالتكلفــــــة]],tablecost[الاسم],0)),0)</f>
        <v>1</v>
      </c>
      <c r="T180" s="27">
        <f>DATE(Tabledaily[[#This Row],[السنــــة]],Tabledaily[[#This Row],[الشهــــر]],Tabledaily[[#This Row],[الـــــيوم]])</f>
        <v>46186</v>
      </c>
      <c r="U180" s="28">
        <v>46193.046863425923</v>
      </c>
      <c r="V180" s="22"/>
      <c r="W180" s="24">
        <f>YEAR(Tabledaily[[#This Row],[التاريخ]])</f>
        <v>2026</v>
      </c>
      <c r="X180" s="24">
        <f>MONTH(Tabledaily[[#This Row],[التاريخ]])</f>
        <v>6</v>
      </c>
      <c r="Y180" s="24">
        <f>DAY(Tabledaily[[#This Row],[التاريخ]])</f>
        <v>13</v>
      </c>
      <c r="Z18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 الاركان عدد 4 بامر</v>
      </c>
      <c r="AA180" s="24" t="str">
        <f>IF(COUNTIF(TableDailyJournal[رقم العملية],Tabledaily[[#This Row],[رقم العملية]])&gt;1,"مرحل","غير مرحل")</f>
        <v>مرحل</v>
      </c>
    </row>
    <row r="181" spans="1:27" ht="22.9" customHeight="1" x14ac:dyDescent="0.55000000000000004">
      <c r="A181" s="22">
        <f t="shared" si="5"/>
        <v>179</v>
      </c>
      <c r="B181" s="23" t="s">
        <v>729</v>
      </c>
      <c r="C181" s="213" t="s">
        <v>718</v>
      </c>
      <c r="D181" s="22" t="s">
        <v>290</v>
      </c>
      <c r="E181" s="22">
        <f>IFERROR(INDEX(TableJudje[رقم الحساب],MATCH(Tabledaily[[#This Row],[الحســاب الدئـــن]],TableJudje[اسم الحساب],0)),0)</f>
        <v>11060205</v>
      </c>
      <c r="F181" s="22" t="s">
        <v>513</v>
      </c>
      <c r="G181" s="22" t="s">
        <v>635</v>
      </c>
      <c r="H181" s="24">
        <f>IFERROR(INDEX(TableJudje[رقم الحساب],MATCH(Tabledaily[[#This Row],[الحســاب المديــــن]],TableJudje[اسم الحساب],0)),0)</f>
        <v>31010101</v>
      </c>
      <c r="I181" s="22" t="s">
        <v>111</v>
      </c>
      <c r="J181" s="22" t="s">
        <v>238</v>
      </c>
      <c r="K181" s="117">
        <v>74000</v>
      </c>
      <c r="L181" s="23">
        <v>405</v>
      </c>
      <c r="M181" s="118">
        <f>IFERROR(Tabledaily[[#This Row],[المبلـــــــغ]]/Tabledaily[[#This Row],[سعــــــر
الصـــــرف]],"")</f>
        <v>182.71604938271605</v>
      </c>
      <c r="N181" s="22" t="s">
        <v>322</v>
      </c>
      <c r="O181" s="22" t="s">
        <v>312</v>
      </c>
      <c r="P181" s="22" t="s">
        <v>312</v>
      </c>
      <c r="Q181" s="22"/>
      <c r="R181" s="22" t="s">
        <v>237</v>
      </c>
      <c r="S181" s="24">
        <f>IFERROR(INDEX(tablecost[رقم المركز],MATCH(Tabledaily[[#This Row],[مركـــــــزالتكلفــــــة]],tablecost[الاسم],0)),0)</f>
        <v>1</v>
      </c>
      <c r="T181" s="27">
        <f>DATE(Tabledaily[[#This Row],[السنــــة]],Tabledaily[[#This Row],[الشهــــر]],Tabledaily[[#This Row],[الـــــيوم]])</f>
        <v>46186</v>
      </c>
      <c r="U181" s="28">
        <v>46193.046365740738</v>
      </c>
      <c r="V181" s="22"/>
      <c r="W181" s="24">
        <f>YEAR(Tabledaily[[#This Row],[التاريخ]])</f>
        <v>2026</v>
      </c>
      <c r="X181" s="24">
        <f>MONTH(Tabledaily[[#This Row],[التاريخ]])</f>
        <v>6</v>
      </c>
      <c r="Y181" s="24">
        <f>DAY(Tabledaily[[#This Row],[التاريخ]])</f>
        <v>13</v>
      </c>
      <c r="Z18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8 بامر</v>
      </c>
      <c r="AA181" s="24" t="str">
        <f>IF(COUNTIF(TableDailyJournal[رقم العملية],Tabledaily[[#This Row],[رقم العملية]])&gt;1,"مرحل","غير مرحل")</f>
        <v>مرحل</v>
      </c>
    </row>
    <row r="182" spans="1:27" ht="22.9" customHeight="1" x14ac:dyDescent="0.55000000000000004">
      <c r="A182" s="22">
        <f t="shared" si="5"/>
        <v>180</v>
      </c>
      <c r="B182" s="23" t="s">
        <v>727</v>
      </c>
      <c r="C182" s="213" t="s">
        <v>718</v>
      </c>
      <c r="D182" s="22" t="s">
        <v>290</v>
      </c>
      <c r="E182" s="22">
        <f>IFERROR(INDEX(TableJudje[رقم الحساب],MATCH(Tabledaily[[#This Row],[الحســاب الدئـــن]],TableJudje[اسم الحساب],0)),0)</f>
        <v>11060205</v>
      </c>
      <c r="F182" s="22" t="s">
        <v>513</v>
      </c>
      <c r="G182" s="22" t="s">
        <v>728</v>
      </c>
      <c r="H182" s="24">
        <f>IFERROR(INDEX(TableJudje[رقم الحساب],MATCH(Tabledaily[[#This Row],[الحســاب المديــــن]],TableJudje[اسم الحساب],0)),0)</f>
        <v>31010101</v>
      </c>
      <c r="I182" s="22" t="s">
        <v>111</v>
      </c>
      <c r="J182" s="22" t="s">
        <v>238</v>
      </c>
      <c r="K182" s="117">
        <v>100000</v>
      </c>
      <c r="L182" s="23">
        <v>405</v>
      </c>
      <c r="M182" s="118">
        <f>IFERROR(Tabledaily[[#This Row],[المبلـــــــغ]]/Tabledaily[[#This Row],[سعــــــر
الصـــــرف]],"")</f>
        <v>246.91358024691357</v>
      </c>
      <c r="N182" s="22" t="s">
        <v>325</v>
      </c>
      <c r="O182" s="22" t="s">
        <v>312</v>
      </c>
      <c r="P182" s="22" t="s">
        <v>312</v>
      </c>
      <c r="Q182" s="22"/>
      <c r="R182" s="22" t="s">
        <v>237</v>
      </c>
      <c r="S182" s="24">
        <f>IFERROR(INDEX(tablecost[رقم المركز],MATCH(Tabledaily[[#This Row],[مركـــــــزالتكلفــــــة]],tablecost[الاسم],0)),0)</f>
        <v>1</v>
      </c>
      <c r="T182" s="27">
        <f>DATE(Tabledaily[[#This Row],[السنــــة]],Tabledaily[[#This Row],[الشهــــر]],Tabledaily[[#This Row],[الـــــيوم]])</f>
        <v>46186</v>
      </c>
      <c r="U182" s="28">
        <v>46193.045798611114</v>
      </c>
      <c r="V182" s="22"/>
      <c r="W182" s="24">
        <f>YEAR(Tabledaily[[#This Row],[التاريخ]])</f>
        <v>2026</v>
      </c>
      <c r="X182" s="24">
        <f>MONTH(Tabledaily[[#This Row],[التاريخ]])</f>
        <v>6</v>
      </c>
      <c r="Y182" s="24">
        <f>DAY(Tabledaily[[#This Row],[التاريخ]])</f>
        <v>13</v>
      </c>
      <c r="Z18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10 بامر</v>
      </c>
      <c r="AA182" s="24" t="str">
        <f>IF(COUNTIF(TableDailyJournal[رقم العملية],Tabledaily[[#This Row],[رقم العملية]])&gt;1,"مرحل","غير مرحل")</f>
        <v>مرحل</v>
      </c>
    </row>
    <row r="183" spans="1:27" ht="22.9" customHeight="1" x14ac:dyDescent="0.55000000000000004">
      <c r="A183" s="22">
        <f t="shared" si="5"/>
        <v>181</v>
      </c>
      <c r="B183" s="23" t="s">
        <v>726</v>
      </c>
      <c r="C183" s="213" t="s">
        <v>718</v>
      </c>
      <c r="D183" s="22" t="s">
        <v>290</v>
      </c>
      <c r="E183" s="22">
        <f>IFERROR(INDEX(TableJudje[رقم الحساب],MATCH(Tabledaily[[#This Row],[الحســاب الدئـــن]],TableJudje[اسم الحساب],0)),0)</f>
        <v>11060205</v>
      </c>
      <c r="F183" s="22" t="s">
        <v>513</v>
      </c>
      <c r="G183" s="22" t="s">
        <v>672</v>
      </c>
      <c r="H183" s="24">
        <f>IFERROR(INDEX(TableJudje[رقم الحساب],MATCH(Tabledaily[[#This Row],[الحســاب المديــــن]],TableJudje[اسم الحساب],0)),0)</f>
        <v>31010101</v>
      </c>
      <c r="I183" s="22" t="s">
        <v>111</v>
      </c>
      <c r="J183" s="22" t="s">
        <v>238</v>
      </c>
      <c r="K183" s="117">
        <v>14000</v>
      </c>
      <c r="L183" s="23">
        <v>405</v>
      </c>
      <c r="M183" s="118">
        <f>IFERROR(Tabledaily[[#This Row],[المبلـــــــغ]]/Tabledaily[[#This Row],[سعــــــر
الصـــــرف]],"")</f>
        <v>34.567901234567898</v>
      </c>
      <c r="N183" s="22" t="s">
        <v>328</v>
      </c>
      <c r="O183" s="22" t="s">
        <v>312</v>
      </c>
      <c r="P183" s="22" t="s">
        <v>312</v>
      </c>
      <c r="Q183" s="22"/>
      <c r="R183" s="22" t="s">
        <v>237</v>
      </c>
      <c r="S183" s="24">
        <f>IFERROR(INDEX(tablecost[رقم المركز],MATCH(Tabledaily[[#This Row],[مركـــــــزالتكلفــــــة]],tablecost[الاسم],0)),0)</f>
        <v>1</v>
      </c>
      <c r="T183" s="27">
        <f>DATE(Tabledaily[[#This Row],[السنــــة]],Tabledaily[[#This Row],[الشهــــر]],Tabledaily[[#This Row],[الـــــيوم]])</f>
        <v>46186</v>
      </c>
      <c r="U183" s="28">
        <v>46193.045243055552</v>
      </c>
      <c r="V183" s="22"/>
      <c r="W183" s="24">
        <f>YEAR(Tabledaily[[#This Row],[التاريخ]])</f>
        <v>2026</v>
      </c>
      <c r="X183" s="24">
        <f>MONTH(Tabledaily[[#This Row],[التاريخ]])</f>
        <v>6</v>
      </c>
      <c r="Y183" s="24">
        <f>DAY(Tabledaily[[#This Row],[التاريخ]])</f>
        <v>13</v>
      </c>
      <c r="Z18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2 بامر</v>
      </c>
      <c r="AA183" s="24" t="str">
        <f>IF(COUNTIF(TableDailyJournal[رقم العملية],Tabledaily[[#This Row],[رقم العملية]])&gt;1,"مرحل","غير مرحل")</f>
        <v>مرحل</v>
      </c>
    </row>
    <row r="184" spans="1:27" ht="22.9" customHeight="1" x14ac:dyDescent="0.55000000000000004">
      <c r="A184" s="22">
        <f t="shared" si="5"/>
        <v>182</v>
      </c>
      <c r="B184" s="23" t="s">
        <v>725</v>
      </c>
      <c r="C184" s="213" t="s">
        <v>718</v>
      </c>
      <c r="D184" s="22" t="s">
        <v>290</v>
      </c>
      <c r="E184" s="22">
        <f>IFERROR(INDEX(TableJudje[رقم الحساب],MATCH(Tabledaily[[#This Row],[الحســاب الدئـــن]],TableJudje[اسم الحساب],0)),0)</f>
        <v>11060205</v>
      </c>
      <c r="F184" s="22" t="s">
        <v>513</v>
      </c>
      <c r="G184" s="22" t="s">
        <v>597</v>
      </c>
      <c r="H184" s="24">
        <f>IFERROR(INDEX(TableJudje[رقم الحساب],MATCH(Tabledaily[[#This Row],[الحســاب المديــــن]],TableJudje[اسم الحساب],0)),0)</f>
        <v>31010101</v>
      </c>
      <c r="I184" s="22" t="s">
        <v>111</v>
      </c>
      <c r="J184" s="22" t="s">
        <v>238</v>
      </c>
      <c r="K184" s="117">
        <v>75000</v>
      </c>
      <c r="L184" s="23">
        <v>405</v>
      </c>
      <c r="M184" s="118">
        <f>IFERROR(Tabledaily[[#This Row],[المبلـــــــغ]]/Tabledaily[[#This Row],[سعــــــر
الصـــــرف]],"")</f>
        <v>185.18518518518519</v>
      </c>
      <c r="N184" s="22" t="s">
        <v>331</v>
      </c>
      <c r="O184" s="22" t="s">
        <v>312</v>
      </c>
      <c r="P184" s="22" t="s">
        <v>312</v>
      </c>
      <c r="Q184" s="22"/>
      <c r="R184" s="22" t="s">
        <v>237</v>
      </c>
      <c r="S184" s="24">
        <f>IFERROR(INDEX(tablecost[رقم المركز],MATCH(Tabledaily[[#This Row],[مركـــــــزالتكلفــــــة]],tablecost[الاسم],0)),0)</f>
        <v>1</v>
      </c>
      <c r="T184" s="27">
        <f>DATE(Tabledaily[[#This Row],[السنــــة]],Tabledaily[[#This Row],[الشهــــر]],Tabledaily[[#This Row],[الـــــيوم]])</f>
        <v>46186</v>
      </c>
      <c r="U184" s="28">
        <v>46193.044675925928</v>
      </c>
      <c r="V184" s="22"/>
      <c r="W184" s="24">
        <f>YEAR(Tabledaily[[#This Row],[التاريخ]])</f>
        <v>2026</v>
      </c>
      <c r="X184" s="24">
        <f>MONTH(Tabledaily[[#This Row],[التاريخ]])</f>
        <v>6</v>
      </c>
      <c r="Y184" s="24">
        <f>DAY(Tabledaily[[#This Row],[التاريخ]])</f>
        <v>13</v>
      </c>
      <c r="Z18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AA184" s="24" t="str">
        <f>IF(COUNTIF(TableDailyJournal[رقم العملية],Tabledaily[[#This Row],[رقم العملية]])&gt;1,"مرحل","غير مرحل")</f>
        <v>مرحل</v>
      </c>
    </row>
    <row r="185" spans="1:27" ht="22.9" customHeight="1" x14ac:dyDescent="0.55000000000000004">
      <c r="A185" s="22">
        <f t="shared" si="5"/>
        <v>183</v>
      </c>
      <c r="B185" s="23" t="s">
        <v>724</v>
      </c>
      <c r="C185" s="213" t="s">
        <v>718</v>
      </c>
      <c r="D185" s="22" t="s">
        <v>290</v>
      </c>
      <c r="E185" s="22">
        <f>IFERROR(INDEX(TableJudje[رقم الحساب],MATCH(Tabledaily[[#This Row],[الحســاب الدئـــن]],TableJudje[اسم الحساب],0)),0)</f>
        <v>11060205</v>
      </c>
      <c r="F185" s="22" t="s">
        <v>513</v>
      </c>
      <c r="G185" s="22" t="s">
        <v>699</v>
      </c>
      <c r="H185" s="24">
        <f>IFERROR(INDEX(TableJudje[رقم الحساب],MATCH(Tabledaily[[#This Row],[الحســاب المديــــن]],TableJudje[اسم الحساب],0)),0)</f>
        <v>31010101</v>
      </c>
      <c r="I185" s="22" t="s">
        <v>111</v>
      </c>
      <c r="J185" s="22" t="s">
        <v>238</v>
      </c>
      <c r="K185" s="117">
        <v>45000</v>
      </c>
      <c r="L185" s="23">
        <v>405</v>
      </c>
      <c r="M185" s="118">
        <f>IFERROR(Tabledaily[[#This Row],[المبلـــــــغ]]/Tabledaily[[#This Row],[سعــــــر
الصـــــرف]],"")</f>
        <v>111.11111111111111</v>
      </c>
      <c r="N185" s="22" t="s">
        <v>565</v>
      </c>
      <c r="O185" s="22" t="s">
        <v>312</v>
      </c>
      <c r="P185" s="22" t="s">
        <v>312</v>
      </c>
      <c r="Q185" s="22"/>
      <c r="R185" s="22" t="s">
        <v>237</v>
      </c>
      <c r="S185" s="24">
        <f>IFERROR(INDEX(tablecost[رقم المركز],MATCH(Tabledaily[[#This Row],[مركـــــــزالتكلفــــــة]],tablecost[الاسم],0)),0)</f>
        <v>1</v>
      </c>
      <c r="T185" s="27">
        <f>DATE(Tabledaily[[#This Row],[السنــــة]],Tabledaily[[#This Row],[الشهــــر]],Tabledaily[[#This Row],[الـــــيوم]])</f>
        <v>46186</v>
      </c>
      <c r="U185" s="28">
        <v>46193.044189814813</v>
      </c>
      <c r="V185" s="22"/>
      <c r="W185" s="24">
        <f>YEAR(Tabledaily[[#This Row],[التاريخ]])</f>
        <v>2026</v>
      </c>
      <c r="X185" s="24">
        <f>MONTH(Tabledaily[[#This Row],[التاريخ]])</f>
        <v>6</v>
      </c>
      <c r="Y185" s="24">
        <f>DAY(Tabledaily[[#This Row],[التاريخ]])</f>
        <v>13</v>
      </c>
      <c r="Z18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5 بامر</v>
      </c>
      <c r="AA185" s="24" t="str">
        <f>IF(COUNTIF(TableDailyJournal[رقم العملية],Tabledaily[[#This Row],[رقم العملية]])&gt;1,"مرحل","غير مرحل")</f>
        <v>مرحل</v>
      </c>
    </row>
    <row r="186" spans="1:27" ht="22.9" customHeight="1" x14ac:dyDescent="0.55000000000000004">
      <c r="A186" s="22">
        <f t="shared" si="5"/>
        <v>184</v>
      </c>
      <c r="B186" s="23" t="s">
        <v>723</v>
      </c>
      <c r="C186" s="213" t="s">
        <v>718</v>
      </c>
      <c r="D186" s="22" t="s">
        <v>290</v>
      </c>
      <c r="E186" s="22">
        <f>IFERROR(INDEX(TableJudje[رقم الحساب],MATCH(Tabledaily[[#This Row],[الحســاب الدئـــن]],TableJudje[اسم الحساب],0)),0)</f>
        <v>11060205</v>
      </c>
      <c r="F186" s="22" t="s">
        <v>513</v>
      </c>
      <c r="G186" s="22" t="s">
        <v>333</v>
      </c>
      <c r="H186" s="24">
        <f>IFERROR(INDEX(TableJudje[رقم الحساب],MATCH(Tabledaily[[#This Row],[الحســاب المديــــن]],TableJudje[اسم الحساب],0)),0)</f>
        <v>31010101</v>
      </c>
      <c r="I186" s="22" t="s">
        <v>111</v>
      </c>
      <c r="J186" s="22" t="s">
        <v>238</v>
      </c>
      <c r="K186" s="117">
        <v>65000</v>
      </c>
      <c r="L186" s="23">
        <v>405</v>
      </c>
      <c r="M186" s="118">
        <f>IFERROR(Tabledaily[[#This Row],[المبلـــــــغ]]/Tabledaily[[#This Row],[سعــــــر
الصـــــرف]],"")</f>
        <v>160.49382716049382</v>
      </c>
      <c r="N186" s="22" t="s">
        <v>334</v>
      </c>
      <c r="O186" s="22" t="s">
        <v>312</v>
      </c>
      <c r="P186" s="22" t="s">
        <v>312</v>
      </c>
      <c r="Q186" s="22"/>
      <c r="R186" s="22" t="s">
        <v>237</v>
      </c>
      <c r="S186" s="24">
        <f>IFERROR(INDEX(tablecost[رقم المركز],MATCH(Tabledaily[[#This Row],[مركـــــــزالتكلفــــــة]],tablecost[الاسم],0)),0)</f>
        <v>1</v>
      </c>
      <c r="T186" s="27">
        <f>DATE(Tabledaily[[#This Row],[السنــــة]],Tabledaily[[#This Row],[الشهــــر]],Tabledaily[[#This Row],[الـــــيوم]])</f>
        <v>46186</v>
      </c>
      <c r="U186" s="28">
        <v>46193.043425925927</v>
      </c>
      <c r="V186" s="22"/>
      <c r="W186" s="24">
        <f>YEAR(Tabledaily[[#This Row],[التاريخ]])</f>
        <v>2026</v>
      </c>
      <c r="X186" s="24">
        <f>MONTH(Tabledaily[[#This Row],[التاريخ]])</f>
        <v>6</v>
      </c>
      <c r="Y186" s="24">
        <f>DAY(Tabledaily[[#This Row],[التاريخ]])</f>
        <v>13</v>
      </c>
      <c r="Z18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186" s="24" t="str">
        <f>IF(COUNTIF(TableDailyJournal[رقم العملية],Tabledaily[[#This Row],[رقم العملية]])&gt;1,"مرحل","غير مرحل")</f>
        <v>مرحل</v>
      </c>
    </row>
    <row r="187" spans="1:27" ht="22.9" customHeight="1" x14ac:dyDescent="0.55000000000000004">
      <c r="A187" s="22">
        <f t="shared" si="5"/>
        <v>185</v>
      </c>
      <c r="B187" s="23" t="s">
        <v>722</v>
      </c>
      <c r="C187" s="213" t="s">
        <v>718</v>
      </c>
      <c r="D187" s="22" t="s">
        <v>290</v>
      </c>
      <c r="E187" s="22">
        <f>IFERROR(INDEX(TableJudje[رقم الحساب],MATCH(Tabledaily[[#This Row],[الحســاب الدئـــن]],TableJudje[اسم الحساب],0)),0)</f>
        <v>11060205</v>
      </c>
      <c r="F187" s="22" t="s">
        <v>513</v>
      </c>
      <c r="G187" s="22" t="s">
        <v>524</v>
      </c>
      <c r="H187" s="24">
        <f>IFERROR(INDEX(TableJudje[رقم الحساب],MATCH(Tabledaily[[#This Row],[الحســاب المديــــن]],TableJudje[اسم الحساب],0)),0)</f>
        <v>31010101</v>
      </c>
      <c r="I187" s="22" t="s">
        <v>111</v>
      </c>
      <c r="J187" s="22" t="s">
        <v>238</v>
      </c>
      <c r="K187" s="117">
        <v>15000</v>
      </c>
      <c r="L187" s="23">
        <v>405</v>
      </c>
      <c r="M187" s="118">
        <f>IFERROR(Tabledaily[[#This Row],[المبلـــــــغ]]/Tabledaily[[#This Row],[سعــــــر
الصـــــرف]],"")</f>
        <v>37.037037037037038</v>
      </c>
      <c r="N187" s="22" t="s">
        <v>337</v>
      </c>
      <c r="O187" s="22" t="s">
        <v>312</v>
      </c>
      <c r="P187" s="22" t="s">
        <v>312</v>
      </c>
      <c r="Q187" s="22"/>
      <c r="R187" s="22" t="s">
        <v>237</v>
      </c>
      <c r="S187" s="24">
        <f>IFERROR(INDEX(tablecost[رقم المركز],MATCH(Tabledaily[[#This Row],[مركـــــــزالتكلفــــــة]],tablecost[الاسم],0)),0)</f>
        <v>1</v>
      </c>
      <c r="T187" s="27">
        <f>DATE(Tabledaily[[#This Row],[السنــــة]],Tabledaily[[#This Row],[الشهــــر]],Tabledaily[[#This Row],[الـــــيوم]])</f>
        <v>46186</v>
      </c>
      <c r="U187" s="28">
        <v>46193.042997685188</v>
      </c>
      <c r="V187" s="22"/>
      <c r="W187" s="24">
        <f>YEAR(Tabledaily[[#This Row],[التاريخ]])</f>
        <v>2026</v>
      </c>
      <c r="X187" s="24">
        <f>MONTH(Tabledaily[[#This Row],[التاريخ]])</f>
        <v>6</v>
      </c>
      <c r="Y187" s="24">
        <f>DAY(Tabledaily[[#This Row],[التاريخ]])</f>
        <v>13</v>
      </c>
      <c r="Z18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1 بامر</v>
      </c>
      <c r="AA187" s="24" t="str">
        <f>IF(COUNTIF(TableDailyJournal[رقم العملية],Tabledaily[[#This Row],[رقم العملية]])&gt;1,"مرحل","غير مرحل")</f>
        <v>مرحل</v>
      </c>
    </row>
    <row r="188" spans="1:27" ht="22.9" customHeight="1" x14ac:dyDescent="0.55000000000000004">
      <c r="A188" s="22">
        <f t="shared" si="5"/>
        <v>186</v>
      </c>
      <c r="B188" s="23" t="s">
        <v>721</v>
      </c>
      <c r="C188" s="213" t="s">
        <v>718</v>
      </c>
      <c r="D188" s="22" t="s">
        <v>290</v>
      </c>
      <c r="E188" s="22">
        <f>IFERROR(INDEX(TableJudje[رقم الحساب],MATCH(Tabledaily[[#This Row],[الحســاب الدئـــن]],TableJudje[اسم الحساب],0)),0)</f>
        <v>11060205</v>
      </c>
      <c r="F188" s="22" t="s">
        <v>513</v>
      </c>
      <c r="G188" s="22" t="s">
        <v>663</v>
      </c>
      <c r="H188" s="24">
        <f>IFERROR(INDEX(TableJudje[رقم الحساب],MATCH(Tabledaily[[#This Row],[الحســاب المديــــن]],TableJudje[اسم الحساب],0)),0)</f>
        <v>31010101</v>
      </c>
      <c r="I188" s="22" t="s">
        <v>111</v>
      </c>
      <c r="J188" s="22" t="s">
        <v>238</v>
      </c>
      <c r="K188" s="117">
        <v>116000</v>
      </c>
      <c r="L188" s="23">
        <v>405</v>
      </c>
      <c r="M188" s="118">
        <f>IFERROR(Tabledaily[[#This Row],[المبلـــــــغ]]/Tabledaily[[#This Row],[سعــــــر
الصـــــرف]],"")</f>
        <v>286.41975308641975</v>
      </c>
      <c r="N188" s="22" t="s">
        <v>340</v>
      </c>
      <c r="O188" s="22" t="s">
        <v>312</v>
      </c>
      <c r="P188" s="22" t="s">
        <v>312</v>
      </c>
      <c r="Q188" s="22"/>
      <c r="R188" s="22" t="s">
        <v>237</v>
      </c>
      <c r="S188" s="24">
        <f>IFERROR(INDEX(tablecost[رقم المركز],MATCH(Tabledaily[[#This Row],[مركـــــــزالتكلفــــــة]],tablecost[الاسم],0)),0)</f>
        <v>1</v>
      </c>
      <c r="T188" s="27">
        <f>DATE(Tabledaily[[#This Row],[السنــــة]],Tabledaily[[#This Row],[الشهــــر]],Tabledaily[[#This Row],[الـــــيوم]])</f>
        <v>46186</v>
      </c>
      <c r="U188" s="28">
        <v>46193.042638888888</v>
      </c>
      <c r="V188" s="22"/>
      <c r="W188" s="24">
        <f>YEAR(Tabledaily[[#This Row],[التاريخ]])</f>
        <v>2026</v>
      </c>
      <c r="X188" s="24">
        <f>MONTH(Tabledaily[[#This Row],[التاريخ]])</f>
        <v>6</v>
      </c>
      <c r="Y188" s="24">
        <f>DAY(Tabledaily[[#This Row],[التاريخ]])</f>
        <v>13</v>
      </c>
      <c r="Z18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11 بامر</v>
      </c>
      <c r="AA188" s="24" t="str">
        <f>IF(COUNTIF(TableDailyJournal[رقم العملية],Tabledaily[[#This Row],[رقم العملية]])&gt;1,"مرحل","غير مرحل")</f>
        <v>مرحل</v>
      </c>
    </row>
    <row r="189" spans="1:27" ht="22.9" customHeight="1" x14ac:dyDescent="0.55000000000000004">
      <c r="A189" s="22">
        <f t="shared" si="5"/>
        <v>187</v>
      </c>
      <c r="B189" s="23" t="s">
        <v>720</v>
      </c>
      <c r="C189" s="213" t="s">
        <v>718</v>
      </c>
      <c r="D189" s="22" t="s">
        <v>290</v>
      </c>
      <c r="E189" s="22">
        <f>IFERROR(INDEX(TableJudje[رقم الحساب],MATCH(Tabledaily[[#This Row],[الحســاب الدئـــن]],TableJudje[اسم الحساب],0)),0)</f>
        <v>11060205</v>
      </c>
      <c r="F189" s="22" t="s">
        <v>513</v>
      </c>
      <c r="G189" s="22" t="s">
        <v>559</v>
      </c>
      <c r="H189" s="24">
        <f>IFERROR(INDEX(TableJudje[رقم الحساب],MATCH(Tabledaily[[#This Row],[الحســاب المديــــن]],TableJudje[اسم الحساب],0)),0)</f>
        <v>31010101</v>
      </c>
      <c r="I189" s="22" t="s">
        <v>111</v>
      </c>
      <c r="J189" s="22" t="s">
        <v>238</v>
      </c>
      <c r="K189" s="117">
        <v>30000</v>
      </c>
      <c r="L189" s="23">
        <v>405</v>
      </c>
      <c r="M189" s="118">
        <f>IFERROR(Tabledaily[[#This Row],[المبلـــــــغ]]/Tabledaily[[#This Row],[سعــــــر
الصـــــرف]],"")</f>
        <v>74.074074074074076</v>
      </c>
      <c r="N189" s="22" t="s">
        <v>521</v>
      </c>
      <c r="O189" s="22" t="s">
        <v>312</v>
      </c>
      <c r="P189" s="22" t="s">
        <v>312</v>
      </c>
      <c r="Q189" s="22"/>
      <c r="R189" s="22" t="s">
        <v>237</v>
      </c>
      <c r="S189" s="24">
        <f>IFERROR(INDEX(tablecost[رقم المركز],MATCH(Tabledaily[[#This Row],[مركـــــــزالتكلفــــــة]],tablecost[الاسم],0)),0)</f>
        <v>1</v>
      </c>
      <c r="T189" s="27">
        <f>DATE(Tabledaily[[#This Row],[السنــــة]],Tabledaily[[#This Row],[الشهــــر]],Tabledaily[[#This Row],[الـــــيوم]])</f>
        <v>46186</v>
      </c>
      <c r="U189" s="28">
        <v>46193.042199074072</v>
      </c>
      <c r="V189" s="22"/>
      <c r="W189" s="24">
        <f>YEAR(Tabledaily[[#This Row],[التاريخ]])</f>
        <v>2026</v>
      </c>
      <c r="X189" s="24">
        <f>MONTH(Tabledaily[[#This Row],[التاريخ]])</f>
        <v>6</v>
      </c>
      <c r="Y189" s="24">
        <f>DAY(Tabledaily[[#This Row],[التاريخ]])</f>
        <v>13</v>
      </c>
      <c r="Z18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189" s="24" t="str">
        <f>IF(COUNTIF(TableDailyJournal[رقم العملية],Tabledaily[[#This Row],[رقم العملية]])&gt;1,"مرحل","غير مرحل")</f>
        <v>مرحل</v>
      </c>
    </row>
    <row r="190" spans="1:27" ht="22.9" customHeight="1" x14ac:dyDescent="0.55000000000000004">
      <c r="A190" s="22">
        <f t="shared" si="5"/>
        <v>188</v>
      </c>
      <c r="B190" s="23" t="s">
        <v>719</v>
      </c>
      <c r="C190" s="213" t="s">
        <v>718</v>
      </c>
      <c r="D190" s="22" t="s">
        <v>290</v>
      </c>
      <c r="E190" s="22">
        <f>IFERROR(INDEX(TableJudje[رقم الحساب],MATCH(Tabledaily[[#This Row],[الحســاب الدئـــن]],TableJudje[اسم الحساب],0)),0)</f>
        <v>11060205</v>
      </c>
      <c r="F190" s="22" t="s">
        <v>513</v>
      </c>
      <c r="G190" s="22" t="s">
        <v>693</v>
      </c>
      <c r="H190" s="24">
        <f>IFERROR(INDEX(TableJudje[رقم الحساب],MATCH(Tabledaily[[#This Row],[الحســاب المديــــن]],TableJudje[اسم الحساب],0)),0)</f>
        <v>31010101</v>
      </c>
      <c r="I190" s="22" t="s">
        <v>111</v>
      </c>
      <c r="J190" s="22" t="s">
        <v>238</v>
      </c>
      <c r="K190" s="117">
        <v>52000</v>
      </c>
      <c r="L190" s="23">
        <v>405</v>
      </c>
      <c r="M190" s="118">
        <f>IFERROR(Tabledaily[[#This Row],[المبلـــــــغ]]/Tabledaily[[#This Row],[سعــــــر
الصـــــرف]],"")</f>
        <v>128.39506172839506</v>
      </c>
      <c r="N190" s="22" t="s">
        <v>343</v>
      </c>
      <c r="O190" s="22" t="s">
        <v>312</v>
      </c>
      <c r="P190" s="22" t="s">
        <v>312</v>
      </c>
      <c r="Q190" s="22"/>
      <c r="R190" s="22" t="s">
        <v>237</v>
      </c>
      <c r="S190" s="24">
        <f>IFERROR(INDEX(tablecost[رقم المركز],MATCH(Tabledaily[[#This Row],[مركـــــــزالتكلفــــــة]],tablecost[الاسم],0)),0)</f>
        <v>1</v>
      </c>
      <c r="T190" s="27">
        <f>DATE(Tabledaily[[#This Row],[السنــــة]],Tabledaily[[#This Row],[الشهــــر]],Tabledaily[[#This Row],[الـــــيوم]])</f>
        <v>46186</v>
      </c>
      <c r="U190" s="28">
        <v>46193.041747685187</v>
      </c>
      <c r="V190" s="22"/>
      <c r="W190" s="24">
        <f>YEAR(Tabledaily[[#This Row],[التاريخ]])</f>
        <v>2026</v>
      </c>
      <c r="X190" s="24">
        <f>MONTH(Tabledaily[[#This Row],[التاريخ]])</f>
        <v>6</v>
      </c>
      <c r="Y190" s="24">
        <f>DAY(Tabledaily[[#This Row],[التاريخ]])</f>
        <v>13</v>
      </c>
      <c r="Z19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8 بامر</v>
      </c>
      <c r="AA190" s="24" t="str">
        <f>IF(COUNTIF(TableDailyJournal[رقم العملية],Tabledaily[[#This Row],[رقم العملية]])&gt;1,"مرحل","غير مرحل")</f>
        <v>مرحل</v>
      </c>
    </row>
    <row r="191" spans="1:27" ht="22.9" customHeight="1" x14ac:dyDescent="0.55000000000000004">
      <c r="A191" s="22">
        <f t="shared" si="5"/>
        <v>189</v>
      </c>
      <c r="B191" s="23" t="s">
        <v>717</v>
      </c>
      <c r="C191" s="213" t="s">
        <v>718</v>
      </c>
      <c r="D191" s="22" t="s">
        <v>283</v>
      </c>
      <c r="E191" s="22">
        <f>IFERROR(INDEX(TableJudje[رقم الحساب],MATCH(Tabledaily[[#This Row],[الحســاب الدئـــن]],TableJudje[اسم الحساب],0)),0)</f>
        <v>11010101</v>
      </c>
      <c r="F191" s="22" t="s">
        <v>23</v>
      </c>
      <c r="G191" s="22" t="s">
        <v>284</v>
      </c>
      <c r="H191" s="24">
        <f>IFERROR(INDEX(TableJudje[رقم الحساب],MATCH(Tabledaily[[#This Row],[الحســاب المديــــن]],TableJudje[اسم الحساب],0)),0)</f>
        <v>11060205</v>
      </c>
      <c r="I191" s="22" t="s">
        <v>513</v>
      </c>
      <c r="J191" s="22" t="s">
        <v>241</v>
      </c>
      <c r="K191" s="117">
        <v>14970</v>
      </c>
      <c r="L191" s="23">
        <v>1</v>
      </c>
      <c r="M191" s="118">
        <f>IFERROR(Tabledaily[[#This Row],[المبلـــــــغ]]/Tabledaily[[#This Row],[سعــــــر
الصـــــرف]],"")</f>
        <v>14970</v>
      </c>
      <c r="N191" s="22" t="s">
        <v>517</v>
      </c>
      <c r="O191" s="22" t="s">
        <v>300</v>
      </c>
      <c r="P191" s="22" t="s">
        <v>301</v>
      </c>
      <c r="Q191" s="22">
        <v>26718</v>
      </c>
      <c r="R191" s="22" t="s">
        <v>237</v>
      </c>
      <c r="S191" s="24">
        <f>IFERROR(INDEX(tablecost[رقم المركز],MATCH(Tabledaily[[#This Row],[مركـــــــزالتكلفــــــة]],tablecost[الاسم],0)),0)</f>
        <v>1</v>
      </c>
      <c r="T191" s="27">
        <f>DATE(Tabledaily[[#This Row],[السنــــة]],Tabledaily[[#This Row],[الشهــــر]],Tabledaily[[#This Row],[الـــــيوم]])</f>
        <v>46186</v>
      </c>
      <c r="U191" s="28">
        <v>46193.041076388887</v>
      </c>
      <c r="V191" s="22"/>
      <c r="W191" s="24">
        <f>YEAR(Tabledaily[[#This Row],[التاريخ]])</f>
        <v>2026</v>
      </c>
      <c r="X191" s="24">
        <f>MONTH(Tabledaily[[#This Row],[التاريخ]])</f>
        <v>6</v>
      </c>
      <c r="Y191" s="24">
        <f>DAY(Tabledaily[[#This Row],[التاريخ]])</f>
        <v>13</v>
      </c>
      <c r="Z19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حواله رقم 26718  شركة المقبولي للصرافة والتحويلات - استلام عهدة بامر</v>
      </c>
      <c r="AA191" s="24" t="str">
        <f>IF(COUNTIF(TableDailyJournal[رقم العملية],Tabledaily[[#This Row],[رقم العملية]])&gt;1,"مرحل","غير مرحل")</f>
        <v>مرحل</v>
      </c>
    </row>
    <row r="192" spans="1:27" ht="22.9" customHeight="1" x14ac:dyDescent="0.55000000000000004">
      <c r="A192" s="22">
        <f t="shared" si="5"/>
        <v>190</v>
      </c>
      <c r="B192" s="23" t="s">
        <v>715</v>
      </c>
      <c r="C192" s="213" t="s">
        <v>692</v>
      </c>
      <c r="D192" s="22" t="s">
        <v>290</v>
      </c>
      <c r="E192" s="22">
        <f>IFERROR(INDEX(TableJudje[رقم الحساب],MATCH(Tabledaily[[#This Row],[الحســاب الدئـــن]],TableJudje[اسم الحساب],0)),0)</f>
        <v>11060205</v>
      </c>
      <c r="F192" s="22" t="s">
        <v>513</v>
      </c>
      <c r="G192" s="22" t="s">
        <v>716</v>
      </c>
      <c r="H192" s="24">
        <f>IFERROR(INDEX(TableJudje[رقم الحساب],MATCH(Tabledaily[[#This Row],[الحســاب المديــــن]],TableJudje[اسم الحساب],0)),0)</f>
        <v>31010101</v>
      </c>
      <c r="I192" s="22" t="s">
        <v>111</v>
      </c>
      <c r="J192" s="22" t="s">
        <v>238</v>
      </c>
      <c r="K192" s="117">
        <v>10000</v>
      </c>
      <c r="L192" s="23">
        <v>405</v>
      </c>
      <c r="M192" s="118">
        <f>IFERROR(Tabledaily[[#This Row],[المبلـــــــغ]]/Tabledaily[[#This Row],[سعــــــر
الصـــــرف]],"")</f>
        <v>24.691358024691358</v>
      </c>
      <c r="N192" s="22" t="s">
        <v>545</v>
      </c>
      <c r="O192" s="22" t="s">
        <v>286</v>
      </c>
      <c r="P192" s="22" t="s">
        <v>287</v>
      </c>
      <c r="Q192" s="22"/>
      <c r="R192" s="22" t="s">
        <v>248</v>
      </c>
      <c r="S192" s="24">
        <f>IFERROR(INDEX(tablecost[رقم المركز],MATCH(Tabledaily[[#This Row],[مركـــــــزالتكلفــــــة]],tablecost[الاسم],0)),0)</f>
        <v>7</v>
      </c>
      <c r="T192" s="27">
        <f>DATE(Tabledaily[[#This Row],[السنــــة]],Tabledaily[[#This Row],[الشهــــر]],Tabledaily[[#This Row],[الـــــيوم]])</f>
        <v>46185</v>
      </c>
      <c r="U192" s="28">
        <v>46193.039629629631</v>
      </c>
      <c r="V192" s="22"/>
      <c r="W192" s="24">
        <f>YEAR(Tabledaily[[#This Row],[التاريخ]])</f>
        <v>2026</v>
      </c>
      <c r="X192" s="24">
        <f>MONTH(Tabledaily[[#This Row],[التاريخ]])</f>
        <v>6</v>
      </c>
      <c r="Y192" s="24">
        <f>DAY(Tabledaily[[#This Row],[التاريخ]])</f>
        <v>12</v>
      </c>
      <c r="Z19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اللواء السادس)  - استلام نقدي رقم   سند استلام - صرف صرفة يومية ليوم 12 بامر</v>
      </c>
      <c r="AA192" s="24" t="str">
        <f>IF(COUNTIF(TableDailyJournal[رقم العملية],Tabledaily[[#This Row],[رقم العملية]])&gt;1,"مرحل","غير مرحل")</f>
        <v>مرحل</v>
      </c>
    </row>
    <row r="193" spans="1:27" ht="22.9" customHeight="1" x14ac:dyDescent="0.55000000000000004">
      <c r="A193" s="22">
        <f t="shared" si="5"/>
        <v>191</v>
      </c>
      <c r="B193" s="23" t="s">
        <v>713</v>
      </c>
      <c r="C193" s="213" t="s">
        <v>692</v>
      </c>
      <c r="D193" s="22" t="s">
        <v>290</v>
      </c>
      <c r="E193" s="22">
        <f>IFERROR(INDEX(TableJudje[رقم الحساب],MATCH(Tabledaily[[#This Row],[الحســاب الدئـــن]],TableJudje[اسم الحساب],0)),0)</f>
        <v>11060205</v>
      </c>
      <c r="F193" s="22" t="s">
        <v>513</v>
      </c>
      <c r="G193" s="22" t="s">
        <v>714</v>
      </c>
      <c r="H193" s="24">
        <f>IFERROR(INDEX(TableJudje[رقم الحساب],MATCH(Tabledaily[[#This Row],[الحســاب المديــــن]],TableJudje[اسم الحساب],0)),0)</f>
        <v>31010135</v>
      </c>
      <c r="I193" s="22" t="s">
        <v>473</v>
      </c>
      <c r="J193" s="22" t="s">
        <v>238</v>
      </c>
      <c r="K193" s="117">
        <v>25000</v>
      </c>
      <c r="L193" s="23">
        <v>405</v>
      </c>
      <c r="M193" s="118">
        <f>IFERROR(Tabledaily[[#This Row],[المبلـــــــغ]]/Tabledaily[[#This Row],[سعــــــر
الصـــــرف]],"")</f>
        <v>61.728395061728392</v>
      </c>
      <c r="N193" s="22" t="s">
        <v>683</v>
      </c>
      <c r="O193" s="22" t="s">
        <v>286</v>
      </c>
      <c r="P193" s="22" t="s">
        <v>287</v>
      </c>
      <c r="Q193" s="22"/>
      <c r="R193" s="22" t="s">
        <v>237</v>
      </c>
      <c r="S193" s="24">
        <f>IFERROR(INDEX(tablecost[رقم المركز],MATCH(Tabledaily[[#This Row],[مركـــــــزالتكلفــــــة]],tablecost[الاسم],0)),0)</f>
        <v>1</v>
      </c>
      <c r="T193" s="27">
        <f>DATE(Tabledaily[[#This Row],[السنــــة]],Tabledaily[[#This Row],[الشهــــر]],Tabledaily[[#This Row],[الـــــيوم]])</f>
        <v>46185</v>
      </c>
      <c r="U193" s="28">
        <v>46193.039120370369</v>
      </c>
      <c r="V193" s="22" t="s">
        <v>302</v>
      </c>
      <c r="W193" s="24">
        <f>YEAR(Tabledaily[[#This Row],[التاريخ]])</f>
        <v>2026</v>
      </c>
      <c r="X193" s="24">
        <f>MONTH(Tabledaily[[#This Row],[التاريخ]])</f>
        <v>6</v>
      </c>
      <c r="Y193" s="24">
        <f>DAY(Tabledaily[[#This Row],[التاريخ]])</f>
        <v>12</v>
      </c>
      <c r="Z19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(اجور يومية - عمال - الفرقة الثالثة)  - استلام نقدي رقم   سند استلام - صرف اجور 5 عمال انزال الخيم الى مستودعات الامداد بامرمدير  مكتب القائد</v>
      </c>
      <c r="AA193" s="24" t="str">
        <f>IF(COUNTIF(TableDailyJournal[رقم العملية],Tabledaily[[#This Row],[رقم العملية]])&gt;1,"مرحل","غير مرحل")</f>
        <v>مرحل</v>
      </c>
    </row>
    <row r="194" spans="1:27" ht="22.9" customHeight="1" x14ac:dyDescent="0.55000000000000004">
      <c r="A194" s="22">
        <f t="shared" si="5"/>
        <v>192</v>
      </c>
      <c r="B194" s="23" t="s">
        <v>711</v>
      </c>
      <c r="C194" s="213" t="s">
        <v>692</v>
      </c>
      <c r="D194" s="22" t="s">
        <v>290</v>
      </c>
      <c r="E194" s="22">
        <f>IFERROR(INDEX(TableJudje[رقم الحساب],MATCH(Tabledaily[[#This Row],[الحســاب الدئـــن]],TableJudje[اسم الحساب],0)),0)</f>
        <v>11060205</v>
      </c>
      <c r="F194" s="22" t="s">
        <v>513</v>
      </c>
      <c r="G194" s="22" t="s">
        <v>712</v>
      </c>
      <c r="H194" s="24">
        <f>IFERROR(INDEX(TableJudje[رقم الحساب],MATCH(Tabledaily[[#This Row],[الحســاب المديــــن]],TableJudje[اسم الحساب],0)),0)</f>
        <v>31010101</v>
      </c>
      <c r="I194" s="22" t="s">
        <v>111</v>
      </c>
      <c r="J194" s="22" t="s">
        <v>238</v>
      </c>
      <c r="K194" s="117">
        <v>148000</v>
      </c>
      <c r="L194" s="23">
        <v>405</v>
      </c>
      <c r="M194" s="118">
        <f>IFERROR(Tabledaily[[#This Row],[المبلـــــــغ]]/Tabledaily[[#This Row],[سعــــــر
الصـــــرف]],"")</f>
        <v>365.4320987654321</v>
      </c>
      <c r="N194" s="22" t="s">
        <v>311</v>
      </c>
      <c r="O194" s="22" t="s">
        <v>312</v>
      </c>
      <c r="P194" s="22" t="s">
        <v>312</v>
      </c>
      <c r="Q194" s="22"/>
      <c r="R194" s="22" t="s">
        <v>248</v>
      </c>
      <c r="S194" s="24">
        <f>IFERROR(INDEX(tablecost[رقم المركز],MATCH(Tabledaily[[#This Row],[مركـــــــزالتكلفــــــة]],tablecost[الاسم],0)),0)</f>
        <v>7</v>
      </c>
      <c r="T194" s="27">
        <f>DATE(Tabledaily[[#This Row],[السنــــة]],Tabledaily[[#This Row],[الشهــــر]],Tabledaily[[#This Row],[الـــــيوم]])</f>
        <v>46185</v>
      </c>
      <c r="U194" s="28">
        <v>46193.037662037037</v>
      </c>
      <c r="V194" s="22"/>
      <c r="W194" s="24">
        <f>YEAR(Tabledaily[[#This Row],[التاريخ]])</f>
        <v>2026</v>
      </c>
      <c r="X194" s="24">
        <f>MONTH(Tabledaily[[#This Row],[التاريخ]])</f>
        <v>6</v>
      </c>
      <c r="Y194" s="24">
        <f>DAY(Tabledaily[[#This Row],[التاريخ]])</f>
        <v>12</v>
      </c>
      <c r="Z19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37 بامر</v>
      </c>
      <c r="AA194" s="24" t="str">
        <f>IF(COUNTIF(TableDailyJournal[رقم العملية],Tabledaily[[#This Row],[رقم العملية]])&gt;1,"مرحل","غير مرحل")</f>
        <v>مرحل</v>
      </c>
    </row>
    <row r="195" spans="1:27" ht="22.9" customHeight="1" x14ac:dyDescent="0.55000000000000004">
      <c r="A195" s="22">
        <f t="shared" si="5"/>
        <v>193</v>
      </c>
      <c r="B195" s="23" t="s">
        <v>710</v>
      </c>
      <c r="C195" s="213" t="s">
        <v>692</v>
      </c>
      <c r="D195" s="22" t="s">
        <v>290</v>
      </c>
      <c r="E195" s="22">
        <f>IFERROR(INDEX(TableJudje[رقم الحساب],MATCH(Tabledaily[[#This Row],[الحســاب الدئـــن]],TableJudje[اسم الحساب],0)),0)</f>
        <v>11060205</v>
      </c>
      <c r="F195" s="22" t="s">
        <v>513</v>
      </c>
      <c r="G195" s="22" t="s">
        <v>458</v>
      </c>
      <c r="H195" s="24">
        <f>IFERROR(INDEX(TableJudje[رقم الحساب],MATCH(Tabledaily[[#This Row],[الحســاب المديــــن]],TableJudje[اسم الحساب],0)),0)</f>
        <v>31010101</v>
      </c>
      <c r="I195" s="22" t="s">
        <v>111</v>
      </c>
      <c r="J195" s="22" t="s">
        <v>238</v>
      </c>
      <c r="K195" s="117">
        <v>28000</v>
      </c>
      <c r="L195" s="23">
        <v>405</v>
      </c>
      <c r="M195" s="118">
        <f>IFERROR(Tabledaily[[#This Row],[المبلـــــــغ]]/Tabledaily[[#This Row],[سعــــــر
الصـــــرف]],"")</f>
        <v>69.135802469135797</v>
      </c>
      <c r="N195" s="22" t="s">
        <v>459</v>
      </c>
      <c r="O195" s="22" t="s">
        <v>312</v>
      </c>
      <c r="P195" s="22" t="s">
        <v>312</v>
      </c>
      <c r="Q195" s="22"/>
      <c r="R195" s="22" t="s">
        <v>237</v>
      </c>
      <c r="S195" s="24">
        <f>IFERROR(INDEX(tablecost[رقم المركز],MATCH(Tabledaily[[#This Row],[مركـــــــزالتكلفــــــة]],tablecost[الاسم],0)),0)</f>
        <v>1</v>
      </c>
      <c r="T195" s="27">
        <f>DATE(Tabledaily[[#This Row],[السنــــة]],Tabledaily[[#This Row],[الشهــــر]],Tabledaily[[#This Row],[الـــــيوم]])</f>
        <v>46185</v>
      </c>
      <c r="U195" s="28">
        <v>46193.03701388889</v>
      </c>
      <c r="V195" s="22"/>
      <c r="W195" s="24">
        <f>YEAR(Tabledaily[[#This Row],[التاريخ]])</f>
        <v>2026</v>
      </c>
      <c r="X195" s="24">
        <f>MONTH(Tabledaily[[#This Row],[التاريخ]])</f>
        <v>6</v>
      </c>
      <c r="Y195" s="24">
        <f>DAY(Tabledaily[[#This Row],[التاريخ]])</f>
        <v>12</v>
      </c>
      <c r="Z19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195" s="24" t="str">
        <f>IF(COUNTIF(TableDailyJournal[رقم العملية],Tabledaily[[#This Row],[رقم العملية]])&gt;1,"مرحل","غير مرحل")</f>
        <v>مرحل</v>
      </c>
    </row>
    <row r="196" spans="1:27" ht="22.9" customHeight="1" x14ac:dyDescent="0.55000000000000004">
      <c r="A196" s="22">
        <f t="shared" si="5"/>
        <v>194</v>
      </c>
      <c r="B196" s="23" t="s">
        <v>708</v>
      </c>
      <c r="C196" s="213" t="s">
        <v>692</v>
      </c>
      <c r="D196" s="22" t="s">
        <v>290</v>
      </c>
      <c r="E196" s="22">
        <f>IFERROR(INDEX(TableJudje[رقم الحساب],MATCH(Tabledaily[[#This Row],[الحســاب الدئـــن]],TableJudje[اسم الحساب],0)),0)</f>
        <v>11060205</v>
      </c>
      <c r="F196" s="22" t="s">
        <v>513</v>
      </c>
      <c r="G196" s="22" t="s">
        <v>709</v>
      </c>
      <c r="H196" s="24">
        <f>IFERROR(INDEX(TableJudje[رقم الحساب],MATCH(Tabledaily[[#This Row],[الحســاب المديــــن]],TableJudje[اسم الحساب],0)),0)</f>
        <v>31010101</v>
      </c>
      <c r="I196" s="22" t="s">
        <v>111</v>
      </c>
      <c r="J196" s="22" t="s">
        <v>238</v>
      </c>
      <c r="K196" s="117">
        <v>18000</v>
      </c>
      <c r="L196" s="23">
        <v>405</v>
      </c>
      <c r="M196" s="118">
        <f>IFERROR(Tabledaily[[#This Row],[المبلـــــــغ]]/Tabledaily[[#This Row],[سعــــــر
الصـــــرف]],"")</f>
        <v>44.444444444444443</v>
      </c>
      <c r="N196" s="22" t="s">
        <v>374</v>
      </c>
      <c r="O196" s="22" t="s">
        <v>312</v>
      </c>
      <c r="P196" s="22" t="s">
        <v>312</v>
      </c>
      <c r="Q196" s="22"/>
      <c r="R196" s="22" t="s">
        <v>237</v>
      </c>
      <c r="S196" s="24">
        <f>IFERROR(INDEX(tablecost[رقم المركز],MATCH(Tabledaily[[#This Row],[مركـــــــزالتكلفــــــة]],tablecost[الاسم],0)),0)</f>
        <v>1</v>
      </c>
      <c r="T196" s="27">
        <f>DATE(Tabledaily[[#This Row],[السنــــة]],Tabledaily[[#This Row],[الشهــــر]],Tabledaily[[#This Row],[الـــــيوم]])</f>
        <v>46185</v>
      </c>
      <c r="U196" s="28">
        <v>46193.036597222221</v>
      </c>
      <c r="V196" s="22"/>
      <c r="W196" s="24">
        <f>YEAR(Tabledaily[[#This Row],[التاريخ]])</f>
        <v>2026</v>
      </c>
      <c r="X196" s="24">
        <f>MONTH(Tabledaily[[#This Row],[التاريخ]])</f>
        <v>6</v>
      </c>
      <c r="Y196" s="24">
        <f>DAY(Tabledaily[[#This Row],[التاريخ]])</f>
        <v>12</v>
      </c>
      <c r="Z19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A196" s="24" t="str">
        <f>IF(COUNTIF(TableDailyJournal[رقم العملية],Tabledaily[[#This Row],[رقم العملية]])&gt;1,"مرحل","غير مرحل")</f>
        <v>مرحل</v>
      </c>
    </row>
    <row r="197" spans="1:27" ht="22.9" customHeight="1" x14ac:dyDescent="0.55000000000000004">
      <c r="A197" s="22">
        <f t="shared" si="5"/>
        <v>195</v>
      </c>
      <c r="B197" s="23" t="s">
        <v>706</v>
      </c>
      <c r="C197" s="213" t="s">
        <v>692</v>
      </c>
      <c r="D197" s="22" t="s">
        <v>290</v>
      </c>
      <c r="E197" s="22">
        <f>IFERROR(INDEX(TableJudje[رقم الحساب],MATCH(Tabledaily[[#This Row],[الحســاب الدئـــن]],TableJudje[اسم الحساب],0)),0)</f>
        <v>11060205</v>
      </c>
      <c r="F197" s="22" t="s">
        <v>513</v>
      </c>
      <c r="G197" s="22" t="s">
        <v>707</v>
      </c>
      <c r="H197" s="24">
        <f>IFERROR(INDEX(TableJudje[رقم الحساب],MATCH(Tabledaily[[#This Row],[الحســاب المديــــن]],TableJudje[اسم الحساب],0)),0)</f>
        <v>31010101</v>
      </c>
      <c r="I197" s="22" t="s">
        <v>111</v>
      </c>
      <c r="J197" s="22" t="s">
        <v>238</v>
      </c>
      <c r="K197" s="117">
        <v>25000</v>
      </c>
      <c r="L197" s="23">
        <v>405</v>
      </c>
      <c r="M197" s="118">
        <f>IFERROR(Tabledaily[[#This Row],[المبلـــــــغ]]/Tabledaily[[#This Row],[سعــــــر
الصـــــرف]],"")</f>
        <v>61.728395061728392</v>
      </c>
      <c r="N197" s="22" t="s">
        <v>638</v>
      </c>
      <c r="O197" s="22" t="s">
        <v>312</v>
      </c>
      <c r="P197" s="22" t="s">
        <v>312</v>
      </c>
      <c r="Q197" s="22"/>
      <c r="R197" s="22" t="s">
        <v>237</v>
      </c>
      <c r="S197" s="24">
        <f>IFERROR(INDEX(tablecost[رقم المركز],MATCH(Tabledaily[[#This Row],[مركـــــــزالتكلفــــــة]],tablecost[الاسم],0)),0)</f>
        <v>1</v>
      </c>
      <c r="T197" s="27">
        <f>DATE(Tabledaily[[#This Row],[السنــــة]],Tabledaily[[#This Row],[الشهــــر]],Tabledaily[[#This Row],[الـــــيوم]])</f>
        <v>46185</v>
      </c>
      <c r="U197" s="28">
        <v>46193.036087962966</v>
      </c>
      <c r="V197" s="22"/>
      <c r="W197" s="24">
        <f>YEAR(Tabledaily[[#This Row],[التاريخ]])</f>
        <v>2026</v>
      </c>
      <c r="X197" s="24">
        <f>MONTH(Tabledaily[[#This Row],[التاريخ]])</f>
        <v>6</v>
      </c>
      <c r="Y197" s="24">
        <f>DAY(Tabledaily[[#This Row],[التاريخ]])</f>
        <v>12</v>
      </c>
      <c r="Z19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 الاركان عدد 4 بامر</v>
      </c>
      <c r="AA197" s="24" t="str">
        <f>IF(COUNTIF(TableDailyJournal[رقم العملية],Tabledaily[[#This Row],[رقم العملية]])&gt;1,"مرحل","غير مرحل")</f>
        <v>مرحل</v>
      </c>
    </row>
    <row r="198" spans="1:27" ht="22.9" customHeight="1" x14ac:dyDescent="0.55000000000000004">
      <c r="A198" s="22">
        <f t="shared" si="5"/>
        <v>196</v>
      </c>
      <c r="B198" s="23" t="s">
        <v>704</v>
      </c>
      <c r="C198" s="213" t="s">
        <v>692</v>
      </c>
      <c r="D198" s="22" t="s">
        <v>290</v>
      </c>
      <c r="E198" s="22">
        <f>IFERROR(INDEX(TableJudje[رقم الحساب],MATCH(Tabledaily[[#This Row],[الحســاب الدئـــن]],TableJudje[اسم الحساب],0)),0)</f>
        <v>11060205</v>
      </c>
      <c r="F198" s="22" t="s">
        <v>513</v>
      </c>
      <c r="G198" s="22" t="s">
        <v>705</v>
      </c>
      <c r="H198" s="24">
        <f>IFERROR(INDEX(TableJudje[رقم الحساب],MATCH(Tabledaily[[#This Row],[الحســاب المديــــن]],TableJudje[اسم الحساب],0)),0)</f>
        <v>31010101</v>
      </c>
      <c r="I198" s="22" t="s">
        <v>111</v>
      </c>
      <c r="J198" s="22" t="s">
        <v>238</v>
      </c>
      <c r="K198" s="117">
        <v>70000</v>
      </c>
      <c r="L198" s="23">
        <v>405</v>
      </c>
      <c r="M198" s="118">
        <f>IFERROR(Tabledaily[[#This Row],[المبلـــــــغ]]/Tabledaily[[#This Row],[سعــــــر
الصـــــرف]],"")</f>
        <v>172.83950617283949</v>
      </c>
      <c r="N198" s="22" t="s">
        <v>322</v>
      </c>
      <c r="O198" s="22" t="s">
        <v>312</v>
      </c>
      <c r="P198" s="22" t="s">
        <v>312</v>
      </c>
      <c r="Q198" s="22"/>
      <c r="R198" s="22" t="s">
        <v>237</v>
      </c>
      <c r="S198" s="24">
        <f>IFERROR(INDEX(tablecost[رقم المركز],MATCH(Tabledaily[[#This Row],[مركـــــــزالتكلفــــــة]],tablecost[الاسم],0)),0)</f>
        <v>1</v>
      </c>
      <c r="T198" s="27">
        <f>DATE(Tabledaily[[#This Row],[السنــــة]],Tabledaily[[#This Row],[الشهــــر]],Tabledaily[[#This Row],[الـــــيوم]])</f>
        <v>46185</v>
      </c>
      <c r="U198" s="28">
        <v>46193.035578703704</v>
      </c>
      <c r="V198" s="22"/>
      <c r="W198" s="24">
        <f>YEAR(Tabledaily[[#This Row],[التاريخ]])</f>
        <v>2026</v>
      </c>
      <c r="X198" s="24">
        <f>MONTH(Tabledaily[[#This Row],[التاريخ]])</f>
        <v>6</v>
      </c>
      <c r="Y198" s="24">
        <f>DAY(Tabledaily[[#This Row],[التاريخ]])</f>
        <v>12</v>
      </c>
      <c r="Z19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7 بامر</v>
      </c>
      <c r="AA198" s="24" t="str">
        <f>IF(COUNTIF(TableDailyJournal[رقم العملية],Tabledaily[[#This Row],[رقم العملية]])&gt;1,"مرحل","غير مرحل")</f>
        <v>مرحل</v>
      </c>
    </row>
    <row r="199" spans="1:27" ht="22.9" customHeight="1" x14ac:dyDescent="0.55000000000000004">
      <c r="A199" s="22">
        <f t="shared" ref="A199:A223" si="6">ROW()-2</f>
        <v>197</v>
      </c>
      <c r="B199" s="23" t="s">
        <v>702</v>
      </c>
      <c r="C199" s="213" t="s">
        <v>692</v>
      </c>
      <c r="D199" s="22" t="s">
        <v>290</v>
      </c>
      <c r="E199" s="22">
        <f>IFERROR(INDEX(TableJudje[رقم الحساب],MATCH(Tabledaily[[#This Row],[الحســاب الدئـــن]],TableJudje[اسم الحساب],0)),0)</f>
        <v>11060205</v>
      </c>
      <c r="F199" s="22" t="s">
        <v>513</v>
      </c>
      <c r="G199" s="22" t="s">
        <v>703</v>
      </c>
      <c r="H199" s="24">
        <f>IFERROR(INDEX(TableJudje[رقم الحساب],MATCH(Tabledaily[[#This Row],[الحســاب المديــــن]],TableJudje[اسم الحساب],0)),0)</f>
        <v>31010101</v>
      </c>
      <c r="I199" s="22" t="s">
        <v>111</v>
      </c>
      <c r="J199" s="22" t="s">
        <v>238</v>
      </c>
      <c r="K199" s="117">
        <v>90000</v>
      </c>
      <c r="L199" s="23">
        <v>405</v>
      </c>
      <c r="M199" s="118">
        <f>IFERROR(Tabledaily[[#This Row],[المبلـــــــغ]]/Tabledaily[[#This Row],[سعــــــر
الصـــــرف]],"")</f>
        <v>222.22222222222223</v>
      </c>
      <c r="N199" s="22" t="s">
        <v>325</v>
      </c>
      <c r="O199" s="22" t="s">
        <v>312</v>
      </c>
      <c r="P199" s="22" t="s">
        <v>312</v>
      </c>
      <c r="Q199" s="22"/>
      <c r="R199" s="22" t="s">
        <v>237</v>
      </c>
      <c r="S199" s="24">
        <f>IFERROR(INDEX(tablecost[رقم المركز],MATCH(Tabledaily[[#This Row],[مركـــــــزالتكلفــــــة]],tablecost[الاسم],0)),0)</f>
        <v>1</v>
      </c>
      <c r="T199" s="27">
        <f>DATE(Tabledaily[[#This Row],[السنــــة]],Tabledaily[[#This Row],[الشهــــر]],Tabledaily[[#This Row],[الـــــيوم]])</f>
        <v>46185</v>
      </c>
      <c r="U199" s="28">
        <v>46193.035173611112</v>
      </c>
      <c r="V199" s="22"/>
      <c r="W199" s="24">
        <f>YEAR(Tabledaily[[#This Row],[التاريخ]])</f>
        <v>2026</v>
      </c>
      <c r="X199" s="24">
        <f>MONTH(Tabledaily[[#This Row],[التاريخ]])</f>
        <v>6</v>
      </c>
      <c r="Y199" s="24">
        <f>DAY(Tabledaily[[#This Row],[التاريخ]])</f>
        <v>12</v>
      </c>
      <c r="Z19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9 بامر</v>
      </c>
      <c r="AA199" s="24" t="str">
        <f>IF(COUNTIF(TableDailyJournal[رقم العملية],Tabledaily[[#This Row],[رقم العملية]])&gt;1,"مرحل","غير مرحل")</f>
        <v>مرحل</v>
      </c>
    </row>
    <row r="200" spans="1:27" ht="22.9" customHeight="1" x14ac:dyDescent="0.55000000000000004">
      <c r="A200" s="22">
        <f t="shared" si="6"/>
        <v>198</v>
      </c>
      <c r="B200" s="23" t="s">
        <v>701</v>
      </c>
      <c r="C200" s="213" t="s">
        <v>692</v>
      </c>
      <c r="D200" s="22" t="s">
        <v>290</v>
      </c>
      <c r="E200" s="22">
        <f>IFERROR(INDEX(TableJudje[رقم الحساب],MATCH(Tabledaily[[#This Row],[الحســاب الدئـــن]],TableJudje[اسم الحساب],0)),0)</f>
        <v>11060205</v>
      </c>
      <c r="F200" s="22" t="s">
        <v>513</v>
      </c>
      <c r="G200" s="22" t="s">
        <v>672</v>
      </c>
      <c r="H200" s="24">
        <f>IFERROR(INDEX(TableJudje[رقم الحساب],MATCH(Tabledaily[[#This Row],[الحســاب المديــــن]],TableJudje[اسم الحساب],0)),0)</f>
        <v>31010101</v>
      </c>
      <c r="I200" s="22" t="s">
        <v>111</v>
      </c>
      <c r="J200" s="22" t="s">
        <v>238</v>
      </c>
      <c r="K200" s="117">
        <v>14000</v>
      </c>
      <c r="L200" s="23">
        <v>405</v>
      </c>
      <c r="M200" s="118">
        <f>IFERROR(Tabledaily[[#This Row],[المبلـــــــغ]]/Tabledaily[[#This Row],[سعــــــر
الصـــــرف]],"")</f>
        <v>34.567901234567898</v>
      </c>
      <c r="N200" s="22" t="s">
        <v>328</v>
      </c>
      <c r="O200" s="22" t="s">
        <v>312</v>
      </c>
      <c r="P200" s="22" t="s">
        <v>312</v>
      </c>
      <c r="Q200" s="22"/>
      <c r="R200" s="22" t="s">
        <v>237</v>
      </c>
      <c r="S200" s="24">
        <f>IFERROR(INDEX(tablecost[رقم المركز],MATCH(Tabledaily[[#This Row],[مركـــــــزالتكلفــــــة]],tablecost[الاسم],0)),0)</f>
        <v>1</v>
      </c>
      <c r="T200" s="27">
        <f>DATE(Tabledaily[[#This Row],[السنــــة]],Tabledaily[[#This Row],[الشهــــر]],Tabledaily[[#This Row],[الـــــيوم]])</f>
        <v>46185</v>
      </c>
      <c r="U200" s="28">
        <v>46193.03465277778</v>
      </c>
      <c r="V200" s="22"/>
      <c r="W200" s="24">
        <f>YEAR(Tabledaily[[#This Row],[التاريخ]])</f>
        <v>2026</v>
      </c>
      <c r="X200" s="24">
        <f>MONTH(Tabledaily[[#This Row],[التاريخ]])</f>
        <v>6</v>
      </c>
      <c r="Y200" s="24">
        <f>DAY(Tabledaily[[#This Row],[التاريخ]])</f>
        <v>12</v>
      </c>
      <c r="Z20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2 بامر</v>
      </c>
      <c r="AA200" s="24" t="str">
        <f>IF(COUNTIF(TableDailyJournal[رقم العملية],Tabledaily[[#This Row],[رقم العملية]])&gt;1,"مرحل","غير مرحل")</f>
        <v>مرحل</v>
      </c>
    </row>
    <row r="201" spans="1:27" ht="22.9" customHeight="1" x14ac:dyDescent="0.55000000000000004">
      <c r="A201" s="22">
        <f t="shared" si="6"/>
        <v>199</v>
      </c>
      <c r="B201" s="23" t="s">
        <v>700</v>
      </c>
      <c r="C201" s="213" t="s">
        <v>692</v>
      </c>
      <c r="D201" s="22" t="s">
        <v>290</v>
      </c>
      <c r="E201" s="22">
        <f>IFERROR(INDEX(TableJudje[رقم الحساب],MATCH(Tabledaily[[#This Row],[الحســاب الدئـــن]],TableJudje[اسم الحساب],0)),0)</f>
        <v>11060205</v>
      </c>
      <c r="F201" s="22" t="s">
        <v>513</v>
      </c>
      <c r="G201" s="22" t="s">
        <v>630</v>
      </c>
      <c r="H201" s="24">
        <f>IFERROR(INDEX(TableJudje[رقم الحساب],MATCH(Tabledaily[[#This Row],[الحســاب المديــــن]],TableJudje[اسم الحساب],0)),0)</f>
        <v>31010101</v>
      </c>
      <c r="I201" s="22" t="s">
        <v>111</v>
      </c>
      <c r="J201" s="22" t="s">
        <v>238</v>
      </c>
      <c r="K201" s="117">
        <v>95000</v>
      </c>
      <c r="L201" s="23">
        <v>405</v>
      </c>
      <c r="M201" s="118">
        <f>IFERROR(Tabledaily[[#This Row],[المبلـــــــغ]]/Tabledaily[[#This Row],[سعــــــر
الصـــــرف]],"")</f>
        <v>234.5679012345679</v>
      </c>
      <c r="N201" s="22" t="s">
        <v>331</v>
      </c>
      <c r="O201" s="22" t="s">
        <v>312</v>
      </c>
      <c r="P201" s="22" t="s">
        <v>312</v>
      </c>
      <c r="Q201" s="22"/>
      <c r="R201" s="22" t="s">
        <v>237</v>
      </c>
      <c r="S201" s="24">
        <f>IFERROR(INDEX(tablecost[رقم المركز],MATCH(Tabledaily[[#This Row],[مركـــــــزالتكلفــــــة]],tablecost[الاسم],0)),0)</f>
        <v>1</v>
      </c>
      <c r="T201" s="27">
        <f>DATE(Tabledaily[[#This Row],[السنــــة]],Tabledaily[[#This Row],[الشهــــر]],Tabledaily[[#This Row],[الـــــيوم]])</f>
        <v>46185</v>
      </c>
      <c r="U201" s="28">
        <v>46193.034259259257</v>
      </c>
      <c r="V201" s="22"/>
      <c r="W201" s="24">
        <f>YEAR(Tabledaily[[#This Row],[التاريخ]])</f>
        <v>2026</v>
      </c>
      <c r="X201" s="24">
        <f>MONTH(Tabledaily[[#This Row],[التاريخ]])</f>
        <v>6</v>
      </c>
      <c r="Y201" s="24">
        <f>DAY(Tabledaily[[#This Row],[التاريخ]])</f>
        <v>12</v>
      </c>
      <c r="Z20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A201" s="24" t="str">
        <f>IF(COUNTIF(TableDailyJournal[رقم العملية],Tabledaily[[#This Row],[رقم العملية]])&gt;1,"مرحل","غير مرحل")</f>
        <v>مرحل</v>
      </c>
    </row>
    <row r="202" spans="1:27" ht="22.9" customHeight="1" x14ac:dyDescent="0.55000000000000004">
      <c r="A202" s="22">
        <f t="shared" si="6"/>
        <v>200</v>
      </c>
      <c r="B202" s="23" t="s">
        <v>698</v>
      </c>
      <c r="C202" s="213" t="s">
        <v>692</v>
      </c>
      <c r="D202" s="22" t="s">
        <v>290</v>
      </c>
      <c r="E202" s="22">
        <f>IFERROR(INDEX(TableJudje[رقم الحساب],MATCH(Tabledaily[[#This Row],[الحســاب الدئـــن]],TableJudje[اسم الحساب],0)),0)</f>
        <v>11060205</v>
      </c>
      <c r="F202" s="22" t="s">
        <v>513</v>
      </c>
      <c r="G202" s="22" t="s">
        <v>699</v>
      </c>
      <c r="H202" s="24">
        <f>IFERROR(INDEX(TableJudje[رقم الحساب],MATCH(Tabledaily[[#This Row],[الحســاب المديــــن]],TableJudje[اسم الحساب],0)),0)</f>
        <v>31010101</v>
      </c>
      <c r="I202" s="22" t="s">
        <v>111</v>
      </c>
      <c r="J202" s="22" t="s">
        <v>238</v>
      </c>
      <c r="K202" s="117">
        <v>45000</v>
      </c>
      <c r="L202" s="23">
        <v>405</v>
      </c>
      <c r="M202" s="118">
        <f>IFERROR(Tabledaily[[#This Row],[المبلـــــــغ]]/Tabledaily[[#This Row],[سعــــــر
الصـــــرف]],"")</f>
        <v>111.11111111111111</v>
      </c>
      <c r="N202" s="22" t="s">
        <v>565</v>
      </c>
      <c r="O202" s="22" t="s">
        <v>312</v>
      </c>
      <c r="P202" s="22" t="s">
        <v>312</v>
      </c>
      <c r="Q202" s="22"/>
      <c r="R202" s="22" t="s">
        <v>237</v>
      </c>
      <c r="S202" s="24">
        <f>IFERROR(INDEX(tablecost[رقم المركز],MATCH(Tabledaily[[#This Row],[مركـــــــزالتكلفــــــة]],tablecost[الاسم],0)),0)</f>
        <v>1</v>
      </c>
      <c r="T202" s="27">
        <f>DATE(Tabledaily[[#This Row],[السنــــة]],Tabledaily[[#This Row],[الشهــــر]],Tabledaily[[#This Row],[الـــــيوم]])</f>
        <v>46185</v>
      </c>
      <c r="U202" s="28">
        <v>46193.033888888887</v>
      </c>
      <c r="V202" s="22"/>
      <c r="W202" s="24">
        <f>YEAR(Tabledaily[[#This Row],[التاريخ]])</f>
        <v>2026</v>
      </c>
      <c r="X202" s="24">
        <f>MONTH(Tabledaily[[#This Row],[التاريخ]])</f>
        <v>6</v>
      </c>
      <c r="Y202" s="24">
        <f>DAY(Tabledaily[[#This Row],[التاريخ]])</f>
        <v>12</v>
      </c>
      <c r="Z20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5 بامر</v>
      </c>
      <c r="AA202" s="24" t="str">
        <f>IF(COUNTIF(TableDailyJournal[رقم العملية],Tabledaily[[#This Row],[رقم العملية]])&gt;1,"مرحل","غير مرحل")</f>
        <v>مرحل</v>
      </c>
    </row>
    <row r="203" spans="1:27" ht="22.9" customHeight="1" x14ac:dyDescent="0.55000000000000004">
      <c r="A203" s="22">
        <f t="shared" si="6"/>
        <v>201</v>
      </c>
      <c r="B203" s="23" t="s">
        <v>697</v>
      </c>
      <c r="C203" s="213" t="s">
        <v>692</v>
      </c>
      <c r="D203" s="22" t="s">
        <v>290</v>
      </c>
      <c r="E203" s="22">
        <f>IFERROR(INDEX(TableJudje[رقم الحساب],MATCH(Tabledaily[[#This Row],[الحســاب الدئـــن]],TableJudje[اسم الحساب],0)),0)</f>
        <v>11060205</v>
      </c>
      <c r="F203" s="22" t="s">
        <v>513</v>
      </c>
      <c r="G203" s="22" t="s">
        <v>333</v>
      </c>
      <c r="H203" s="24">
        <f>IFERROR(INDEX(TableJudje[رقم الحساب],MATCH(Tabledaily[[#This Row],[الحســاب المديــــن]],TableJudje[اسم الحساب],0)),0)</f>
        <v>31010101</v>
      </c>
      <c r="I203" s="22" t="s">
        <v>111</v>
      </c>
      <c r="J203" s="22" t="s">
        <v>238</v>
      </c>
      <c r="K203" s="117">
        <v>65000</v>
      </c>
      <c r="L203" s="23">
        <v>405</v>
      </c>
      <c r="M203" s="118">
        <f>IFERROR(Tabledaily[[#This Row],[المبلـــــــغ]]/Tabledaily[[#This Row],[سعــــــر
الصـــــرف]],"")</f>
        <v>160.49382716049382</v>
      </c>
      <c r="N203" s="22" t="s">
        <v>334</v>
      </c>
      <c r="O203" s="22" t="s">
        <v>312</v>
      </c>
      <c r="P203" s="22" t="s">
        <v>312</v>
      </c>
      <c r="Q203" s="22"/>
      <c r="R203" s="22" t="s">
        <v>237</v>
      </c>
      <c r="S203" s="24">
        <f>IFERROR(INDEX(tablecost[رقم المركز],MATCH(Tabledaily[[#This Row],[مركـــــــزالتكلفــــــة]],tablecost[الاسم],0)),0)</f>
        <v>1</v>
      </c>
      <c r="T203" s="27">
        <f>DATE(Tabledaily[[#This Row],[السنــــة]],Tabledaily[[#This Row],[الشهــــر]],Tabledaily[[#This Row],[الـــــيوم]])</f>
        <v>46185</v>
      </c>
      <c r="U203" s="28">
        <v>46193.033368055556</v>
      </c>
      <c r="V203" s="22"/>
      <c r="W203" s="24">
        <f>YEAR(Tabledaily[[#This Row],[التاريخ]])</f>
        <v>2026</v>
      </c>
      <c r="X203" s="24">
        <f>MONTH(Tabledaily[[#This Row],[التاريخ]])</f>
        <v>6</v>
      </c>
      <c r="Y203" s="24">
        <f>DAY(Tabledaily[[#This Row],[التاريخ]])</f>
        <v>12</v>
      </c>
      <c r="Z20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203" s="24" t="str">
        <f>IF(COUNTIF(TableDailyJournal[رقم العملية],Tabledaily[[#This Row],[رقم العملية]])&gt;1,"مرحل","غير مرحل")</f>
        <v>مرحل</v>
      </c>
    </row>
    <row r="204" spans="1:27" ht="22.9" customHeight="1" x14ac:dyDescent="0.55000000000000004">
      <c r="A204" s="22">
        <f t="shared" si="6"/>
        <v>202</v>
      </c>
      <c r="B204" s="23" t="s">
        <v>696</v>
      </c>
      <c r="C204" s="213" t="s">
        <v>692</v>
      </c>
      <c r="D204" s="22" t="s">
        <v>290</v>
      </c>
      <c r="E204" s="22">
        <f>IFERROR(INDEX(TableJudje[رقم الحساب],MATCH(Tabledaily[[#This Row],[الحســاب الدئـــن]],TableJudje[اسم الحساب],0)),0)</f>
        <v>11060205</v>
      </c>
      <c r="F204" s="22" t="s">
        <v>513</v>
      </c>
      <c r="G204" s="22" t="s">
        <v>448</v>
      </c>
      <c r="H204" s="24">
        <f>IFERROR(INDEX(TableJudje[رقم الحساب],MATCH(Tabledaily[[#This Row],[الحســاب المديــــن]],TableJudje[اسم الحساب],0)),0)</f>
        <v>31010101</v>
      </c>
      <c r="I204" s="22" t="s">
        <v>111</v>
      </c>
      <c r="J204" s="22" t="s">
        <v>238</v>
      </c>
      <c r="K204" s="117">
        <v>30000</v>
      </c>
      <c r="L204" s="23">
        <v>405</v>
      </c>
      <c r="M204" s="118">
        <f>IFERROR(Tabledaily[[#This Row],[المبلـــــــغ]]/Tabledaily[[#This Row],[سعــــــر
الصـــــرف]],"")</f>
        <v>74.074074074074076</v>
      </c>
      <c r="N204" s="22" t="s">
        <v>337</v>
      </c>
      <c r="O204" s="22" t="s">
        <v>312</v>
      </c>
      <c r="P204" s="22" t="s">
        <v>312</v>
      </c>
      <c r="Q204" s="22"/>
      <c r="R204" s="22" t="s">
        <v>237</v>
      </c>
      <c r="S204" s="24">
        <f>IFERROR(INDEX(tablecost[رقم المركز],MATCH(Tabledaily[[#This Row],[مركـــــــزالتكلفــــــة]],tablecost[الاسم],0)),0)</f>
        <v>1</v>
      </c>
      <c r="T204" s="27">
        <f>DATE(Tabledaily[[#This Row],[السنــــة]],Tabledaily[[#This Row],[الشهــــر]],Tabledaily[[#This Row],[الـــــيوم]])</f>
        <v>46185</v>
      </c>
      <c r="U204" s="28">
        <v>46193.033009259256</v>
      </c>
      <c r="V204" s="22"/>
      <c r="W204" s="24">
        <f>YEAR(Tabledaily[[#This Row],[التاريخ]])</f>
        <v>2026</v>
      </c>
      <c r="X204" s="24">
        <f>MONTH(Tabledaily[[#This Row],[التاريخ]])</f>
        <v>6</v>
      </c>
      <c r="Y204" s="24">
        <f>DAY(Tabledaily[[#This Row],[التاريخ]])</f>
        <v>12</v>
      </c>
      <c r="Z20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2 بامر</v>
      </c>
      <c r="AA204" s="24" t="str">
        <f>IF(COUNTIF(TableDailyJournal[رقم العملية],Tabledaily[[#This Row],[رقم العملية]])&gt;1,"مرحل","غير مرحل")</f>
        <v>مرحل</v>
      </c>
    </row>
    <row r="205" spans="1:27" ht="22.9" customHeight="1" x14ac:dyDescent="0.55000000000000004">
      <c r="A205" s="22">
        <f t="shared" si="6"/>
        <v>203</v>
      </c>
      <c r="B205" s="23" t="s">
        <v>695</v>
      </c>
      <c r="C205" s="213" t="s">
        <v>692</v>
      </c>
      <c r="D205" s="22" t="s">
        <v>290</v>
      </c>
      <c r="E205" s="22">
        <f>IFERROR(INDEX(TableJudje[رقم الحساب],MATCH(Tabledaily[[#This Row],[الحســاب الدئـــن]],TableJudje[اسم الحساب],0)),0)</f>
        <v>11060205</v>
      </c>
      <c r="F205" s="22" t="s">
        <v>513</v>
      </c>
      <c r="G205" s="22" t="s">
        <v>559</v>
      </c>
      <c r="H205" s="24">
        <f>IFERROR(INDEX(TableJudje[رقم الحساب],MATCH(Tabledaily[[#This Row],[الحســاب المديــــن]],TableJudje[اسم الحساب],0)),0)</f>
        <v>31010101</v>
      </c>
      <c r="I205" s="22" t="s">
        <v>111</v>
      </c>
      <c r="J205" s="22" t="s">
        <v>238</v>
      </c>
      <c r="K205" s="117">
        <v>30000</v>
      </c>
      <c r="L205" s="23">
        <v>405</v>
      </c>
      <c r="M205" s="118">
        <f>IFERROR(Tabledaily[[#This Row],[المبلـــــــغ]]/Tabledaily[[#This Row],[سعــــــر
الصـــــرف]],"")</f>
        <v>74.074074074074076</v>
      </c>
      <c r="N205" s="22" t="s">
        <v>521</v>
      </c>
      <c r="O205" s="22" t="s">
        <v>312</v>
      </c>
      <c r="P205" s="22" t="s">
        <v>312</v>
      </c>
      <c r="Q205" s="22"/>
      <c r="R205" s="22" t="s">
        <v>237</v>
      </c>
      <c r="S205" s="24">
        <f>IFERROR(INDEX(tablecost[رقم المركز],MATCH(Tabledaily[[#This Row],[مركـــــــزالتكلفــــــة]],tablecost[الاسم],0)),0)</f>
        <v>1</v>
      </c>
      <c r="T205" s="27">
        <f>DATE(Tabledaily[[#This Row],[السنــــة]],Tabledaily[[#This Row],[الشهــــر]],Tabledaily[[#This Row],[الـــــيوم]])</f>
        <v>46185</v>
      </c>
      <c r="U205" s="28">
        <v>46193.032592592594</v>
      </c>
      <c r="V205" s="22"/>
      <c r="W205" s="24">
        <f>YEAR(Tabledaily[[#This Row],[التاريخ]])</f>
        <v>2026</v>
      </c>
      <c r="X205" s="24">
        <f>MONTH(Tabledaily[[#This Row],[التاريخ]])</f>
        <v>6</v>
      </c>
      <c r="Y205" s="24">
        <f>DAY(Tabledaily[[#This Row],[التاريخ]])</f>
        <v>12</v>
      </c>
      <c r="Z20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205" s="24" t="str">
        <f>IF(COUNTIF(TableDailyJournal[رقم العملية],Tabledaily[[#This Row],[رقم العملية]])&gt;1,"مرحل","غير مرحل")</f>
        <v>مرحل</v>
      </c>
    </row>
    <row r="206" spans="1:27" ht="22.9" customHeight="1" x14ac:dyDescent="0.55000000000000004">
      <c r="A206" s="22">
        <f t="shared" si="6"/>
        <v>204</v>
      </c>
      <c r="B206" s="23" t="s">
        <v>694</v>
      </c>
      <c r="C206" s="213" t="s">
        <v>692</v>
      </c>
      <c r="D206" s="22" t="s">
        <v>290</v>
      </c>
      <c r="E206" s="22">
        <f>IFERROR(INDEX(TableJudje[رقم الحساب],MATCH(Tabledaily[[#This Row],[الحســاب الدئـــن]],TableJudje[اسم الحساب],0)),0)</f>
        <v>11060205</v>
      </c>
      <c r="F206" s="22" t="s">
        <v>513</v>
      </c>
      <c r="G206" s="22" t="s">
        <v>663</v>
      </c>
      <c r="H206" s="24">
        <f>IFERROR(INDEX(TableJudje[رقم الحساب],MATCH(Tabledaily[[#This Row],[الحســاب المديــــن]],TableJudje[اسم الحساب],0)),0)</f>
        <v>31010101</v>
      </c>
      <c r="I206" s="22" t="s">
        <v>111</v>
      </c>
      <c r="J206" s="22" t="s">
        <v>238</v>
      </c>
      <c r="K206" s="117">
        <v>116000</v>
      </c>
      <c r="L206" s="23">
        <v>405</v>
      </c>
      <c r="M206" s="118">
        <f>IFERROR(Tabledaily[[#This Row],[المبلـــــــغ]]/Tabledaily[[#This Row],[سعــــــر
الصـــــرف]],"")</f>
        <v>286.41975308641975</v>
      </c>
      <c r="N206" s="22" t="s">
        <v>340</v>
      </c>
      <c r="O206" s="22" t="s">
        <v>312</v>
      </c>
      <c r="P206" s="22" t="s">
        <v>312</v>
      </c>
      <c r="Q206" s="22"/>
      <c r="R206" s="22" t="s">
        <v>237</v>
      </c>
      <c r="S206" s="24">
        <f>IFERROR(INDEX(tablecost[رقم المركز],MATCH(Tabledaily[[#This Row],[مركـــــــزالتكلفــــــة]],tablecost[الاسم],0)),0)</f>
        <v>1</v>
      </c>
      <c r="T206" s="27">
        <f>DATE(Tabledaily[[#This Row],[السنــــة]],Tabledaily[[#This Row],[الشهــــر]],Tabledaily[[#This Row],[الـــــيوم]])</f>
        <v>46185</v>
      </c>
      <c r="U206" s="28">
        <v>46193.032222222224</v>
      </c>
      <c r="V206" s="22"/>
      <c r="W206" s="24">
        <f>YEAR(Tabledaily[[#This Row],[التاريخ]])</f>
        <v>2026</v>
      </c>
      <c r="X206" s="24">
        <f>MONTH(Tabledaily[[#This Row],[التاريخ]])</f>
        <v>6</v>
      </c>
      <c r="Y206" s="24">
        <f>DAY(Tabledaily[[#This Row],[التاريخ]])</f>
        <v>12</v>
      </c>
      <c r="Z20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11 بامر</v>
      </c>
      <c r="AA206" s="24" t="str">
        <f>IF(COUNTIF(TableDailyJournal[رقم العملية],Tabledaily[[#This Row],[رقم العملية]])&gt;1,"مرحل","غير مرحل")</f>
        <v>مرحل</v>
      </c>
    </row>
    <row r="207" spans="1:27" ht="22.9" customHeight="1" x14ac:dyDescent="0.55000000000000004">
      <c r="A207" s="22">
        <f t="shared" si="6"/>
        <v>205</v>
      </c>
      <c r="B207" s="23" t="s">
        <v>691</v>
      </c>
      <c r="C207" s="213" t="s">
        <v>692</v>
      </c>
      <c r="D207" s="22" t="s">
        <v>290</v>
      </c>
      <c r="E207" s="22">
        <f>IFERROR(INDEX(TableJudje[رقم الحساب],MATCH(Tabledaily[[#This Row],[الحســاب الدئـــن]],TableJudje[اسم الحساب],0)),0)</f>
        <v>11060205</v>
      </c>
      <c r="F207" s="22" t="s">
        <v>513</v>
      </c>
      <c r="G207" s="22" t="s">
        <v>693</v>
      </c>
      <c r="H207" s="24">
        <f>IFERROR(INDEX(TableJudje[رقم الحساب],MATCH(Tabledaily[[#This Row],[الحســاب المديــــن]],TableJudje[اسم الحساب],0)),0)</f>
        <v>31010101</v>
      </c>
      <c r="I207" s="22" t="s">
        <v>111</v>
      </c>
      <c r="J207" s="22" t="s">
        <v>238</v>
      </c>
      <c r="K207" s="117">
        <v>52000</v>
      </c>
      <c r="L207" s="23">
        <v>405</v>
      </c>
      <c r="M207" s="118">
        <f>IFERROR(Tabledaily[[#This Row],[المبلـــــــغ]]/Tabledaily[[#This Row],[سعــــــر
الصـــــرف]],"")</f>
        <v>128.39506172839506</v>
      </c>
      <c r="N207" s="22" t="s">
        <v>343</v>
      </c>
      <c r="O207" s="22" t="s">
        <v>312</v>
      </c>
      <c r="P207" s="22" t="s">
        <v>312</v>
      </c>
      <c r="Q207" s="22"/>
      <c r="R207" s="22" t="s">
        <v>237</v>
      </c>
      <c r="S207" s="24">
        <f>IFERROR(INDEX(tablecost[رقم المركز],MATCH(Tabledaily[[#This Row],[مركـــــــزالتكلفــــــة]],tablecost[الاسم],0)),0)</f>
        <v>1</v>
      </c>
      <c r="T207" s="27">
        <f>DATE(Tabledaily[[#This Row],[السنــــة]],Tabledaily[[#This Row],[الشهــــر]],Tabledaily[[#This Row],[الـــــيوم]])</f>
        <v>46185</v>
      </c>
      <c r="U207" s="28">
        <v>46193.031678240739</v>
      </c>
      <c r="V207" s="22"/>
      <c r="W207" s="24">
        <f>YEAR(Tabledaily[[#This Row],[التاريخ]])</f>
        <v>2026</v>
      </c>
      <c r="X207" s="24">
        <f>MONTH(Tabledaily[[#This Row],[التاريخ]])</f>
        <v>6</v>
      </c>
      <c r="Y207" s="24">
        <f>DAY(Tabledaily[[#This Row],[التاريخ]])</f>
        <v>12</v>
      </c>
      <c r="Z20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8 بامر</v>
      </c>
      <c r="AA207" s="24" t="str">
        <f>IF(COUNTIF(TableDailyJournal[رقم العملية],Tabledaily[[#This Row],[رقم العملية]])&gt;1,"مرحل","غير مرحل")</f>
        <v>مرحل</v>
      </c>
    </row>
    <row r="208" spans="1:27" ht="22.9" customHeight="1" x14ac:dyDescent="0.55000000000000004">
      <c r="A208" s="22">
        <f t="shared" si="6"/>
        <v>206</v>
      </c>
      <c r="B208" s="23" t="s">
        <v>689</v>
      </c>
      <c r="C208" s="213" t="s">
        <v>661</v>
      </c>
      <c r="D208" s="22" t="s">
        <v>290</v>
      </c>
      <c r="E208" s="22">
        <f>IFERROR(INDEX(TableJudje[رقم الحساب],MATCH(Tabledaily[[#This Row],[الحســاب الدئـــن]],TableJudje[اسم الحساب],0)),0)</f>
        <v>11060205</v>
      </c>
      <c r="F208" s="22" t="s">
        <v>513</v>
      </c>
      <c r="G208" s="22" t="s">
        <v>690</v>
      </c>
      <c r="H208" s="24">
        <f>IFERROR(INDEX(TableJudje[رقم الحساب],MATCH(Tabledaily[[#This Row],[الحســاب المديــــن]],TableJudje[اسم الحساب],0)),0)</f>
        <v>31010103</v>
      </c>
      <c r="I208" s="22" t="s">
        <v>112</v>
      </c>
      <c r="J208" s="22" t="s">
        <v>238</v>
      </c>
      <c r="K208" s="117">
        <v>70000</v>
      </c>
      <c r="L208" s="23">
        <v>405</v>
      </c>
      <c r="M208" s="118">
        <f>IFERROR(Tabledaily[[#This Row],[المبلـــــــغ]]/Tabledaily[[#This Row],[سعــــــر
الصـــــرف]],"")</f>
        <v>172.83950617283949</v>
      </c>
      <c r="N208" s="22" t="s">
        <v>615</v>
      </c>
      <c r="O208" s="22" t="s">
        <v>286</v>
      </c>
      <c r="P208" s="22" t="s">
        <v>287</v>
      </c>
      <c r="Q208" s="22"/>
      <c r="R208" s="22" t="s">
        <v>237</v>
      </c>
      <c r="S208" s="24">
        <f>IFERROR(INDEX(tablecost[رقم المركز],MATCH(Tabledaily[[#This Row],[مركـــــــزالتكلفــــــة]],tablecost[الاسم],0)),0)</f>
        <v>1</v>
      </c>
      <c r="T208" s="27">
        <f>DATE(Tabledaily[[#This Row],[السنــــة]],Tabledaily[[#This Row],[الشهــــر]],Tabledaily[[#This Row],[الـــــيوم]])</f>
        <v>46184</v>
      </c>
      <c r="U208" s="28">
        <v>46193.027453703704</v>
      </c>
      <c r="V208" s="22" t="s">
        <v>646</v>
      </c>
      <c r="W208" s="24">
        <f>YEAR(Tabledaily[[#This Row],[التاريخ]])</f>
        <v>2026</v>
      </c>
      <c r="X208" s="24">
        <f>MONTH(Tabledaily[[#This Row],[التاريخ]])</f>
        <v>6</v>
      </c>
      <c r="Y208" s="24">
        <f>DAY(Tabledaily[[#This Row],[التاريخ]])</f>
        <v>11</v>
      </c>
      <c r="Z20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v>
      </c>
      <c r="AA208" s="24" t="str">
        <f>IF(COUNTIF(TableDailyJournal[رقم العملية],Tabledaily[[#This Row],[رقم العملية]])&gt;1,"مرحل","غير مرحل")</f>
        <v>مرحل</v>
      </c>
    </row>
    <row r="209" spans="1:27" ht="22.9" customHeight="1" x14ac:dyDescent="0.55000000000000004">
      <c r="A209" s="22">
        <f t="shared" si="6"/>
        <v>207</v>
      </c>
      <c r="B209" s="23" t="s">
        <v>687</v>
      </c>
      <c r="C209" s="213" t="s">
        <v>661</v>
      </c>
      <c r="D209" s="22" t="s">
        <v>290</v>
      </c>
      <c r="E209" s="22">
        <f>IFERROR(INDEX(TableJudje[رقم الحساب],MATCH(Tabledaily[[#This Row],[الحســاب الدئـــن]],TableJudje[اسم الحساب],0)),0)</f>
        <v>11060205</v>
      </c>
      <c r="F209" s="22" t="s">
        <v>513</v>
      </c>
      <c r="G209" s="22" t="s">
        <v>688</v>
      </c>
      <c r="H209" s="24">
        <f>IFERROR(INDEX(TableJudje[رقم الحساب],MATCH(Tabledaily[[#This Row],[الحســاب المديــــن]],TableJudje[اسم الحساب],0)),0)</f>
        <v>31010101</v>
      </c>
      <c r="I209" s="22" t="s">
        <v>111</v>
      </c>
      <c r="J209" s="22" t="s">
        <v>238</v>
      </c>
      <c r="K209" s="117">
        <v>10000</v>
      </c>
      <c r="L209" s="23">
        <v>405</v>
      </c>
      <c r="M209" s="118">
        <f>IFERROR(Tabledaily[[#This Row],[المبلـــــــغ]]/Tabledaily[[#This Row],[سعــــــر
الصـــــرف]],"")</f>
        <v>24.691358024691358</v>
      </c>
      <c r="N209" s="22" t="s">
        <v>545</v>
      </c>
      <c r="O209" s="22" t="s">
        <v>286</v>
      </c>
      <c r="P209" s="22" t="s">
        <v>287</v>
      </c>
      <c r="Q209" s="22"/>
      <c r="R209" s="22" t="s">
        <v>248</v>
      </c>
      <c r="S209" s="24">
        <f>IFERROR(INDEX(tablecost[رقم المركز],MATCH(Tabledaily[[#This Row],[مركـــــــزالتكلفــــــة]],tablecost[الاسم],0)),0)</f>
        <v>7</v>
      </c>
      <c r="T209" s="27">
        <f>DATE(Tabledaily[[#This Row],[السنــــة]],Tabledaily[[#This Row],[الشهــــر]],Tabledaily[[#This Row],[الـــــيوم]])</f>
        <v>46184</v>
      </c>
      <c r="U209" s="28">
        <v>46193.021736111114</v>
      </c>
      <c r="V209" s="22"/>
      <c r="W209" s="24">
        <f>YEAR(Tabledaily[[#This Row],[التاريخ]])</f>
        <v>2026</v>
      </c>
      <c r="X209" s="24">
        <f>MONTH(Tabledaily[[#This Row],[التاريخ]])</f>
        <v>6</v>
      </c>
      <c r="Y209" s="24">
        <f>DAY(Tabledaily[[#This Row],[التاريخ]])</f>
        <v>11</v>
      </c>
      <c r="Z20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اللواء السادس)  - استلام نقدي رقم   سند استلام - صرفة يومية ليوم 11 بامر</v>
      </c>
      <c r="AA209" s="24" t="str">
        <f>IF(COUNTIF(TableDailyJournal[رقم العملية],Tabledaily[[#This Row],[رقم العملية]])&gt;1,"مرحل","غير مرحل")</f>
        <v>مرحل</v>
      </c>
    </row>
    <row r="210" spans="1:27" ht="22.9" customHeight="1" x14ac:dyDescent="0.55000000000000004">
      <c r="A210" s="22">
        <f t="shared" si="6"/>
        <v>208</v>
      </c>
      <c r="B210" s="23" t="s">
        <v>684</v>
      </c>
      <c r="C210" s="213" t="s">
        <v>661</v>
      </c>
      <c r="D210" s="22" t="s">
        <v>290</v>
      </c>
      <c r="E210" s="22">
        <f>IFERROR(INDEX(TableJudje[رقم الحساب],MATCH(Tabledaily[[#This Row],[الحســاب الدئـــن]],TableJudje[اسم الحساب],0)),0)</f>
        <v>11060205</v>
      </c>
      <c r="F210" s="22" t="s">
        <v>513</v>
      </c>
      <c r="G210" s="22" t="s">
        <v>685</v>
      </c>
      <c r="H210" s="24">
        <f>IFERROR(INDEX(TableJudje[رقم الحساب],MATCH(Tabledaily[[#This Row],[الحســاب المديــــن]],TableJudje[اسم الحساب],0)),0)</f>
        <v>31010114</v>
      </c>
      <c r="I210" s="22" t="s">
        <v>121</v>
      </c>
      <c r="J210" s="22" t="s">
        <v>238</v>
      </c>
      <c r="K210" s="117">
        <v>200000</v>
      </c>
      <c r="L210" s="23">
        <v>405</v>
      </c>
      <c r="M210" s="118">
        <f>IFERROR(Tabledaily[[#This Row],[المبلـــــــغ]]/Tabledaily[[#This Row],[سعــــــر
الصـــــرف]],"")</f>
        <v>493.82716049382714</v>
      </c>
      <c r="N210" s="22" t="s">
        <v>686</v>
      </c>
      <c r="O210" s="22" t="s">
        <v>286</v>
      </c>
      <c r="P210" s="22" t="s">
        <v>287</v>
      </c>
      <c r="Q210" s="22"/>
      <c r="R210" s="22" t="s">
        <v>237</v>
      </c>
      <c r="S210" s="24">
        <f>IFERROR(INDEX(tablecost[رقم المركز],MATCH(Tabledaily[[#This Row],[مركـــــــزالتكلفــــــة]],tablecost[الاسم],0)),0)</f>
        <v>1</v>
      </c>
      <c r="T210" s="27">
        <f>DATE(Tabledaily[[#This Row],[السنــــة]],Tabledaily[[#This Row],[الشهــــر]],Tabledaily[[#This Row],[الـــــيوم]])</f>
        <v>46184</v>
      </c>
      <c r="U210" s="28">
        <v>46193.020949074074</v>
      </c>
      <c r="V210" s="22" t="s">
        <v>313</v>
      </c>
      <c r="W210" s="24">
        <f>YEAR(Tabledaily[[#This Row],[التاريخ]])</f>
        <v>2026</v>
      </c>
      <c r="X210" s="24">
        <f>MONTH(Tabledaily[[#This Row],[التاريخ]])</f>
        <v>6</v>
      </c>
      <c r="Y210" s="24">
        <f>DAY(Tabledaily[[#This Row],[التاريخ]])</f>
        <v>11</v>
      </c>
      <c r="Z21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v>
      </c>
      <c r="AA210" s="24" t="str">
        <f>IF(COUNTIF(TableDailyJournal[رقم العملية],Tabledaily[[#This Row],[رقم العملية]])&gt;1,"مرحل","غير مرحل")</f>
        <v>مرحل</v>
      </c>
    </row>
    <row r="211" spans="1:27" ht="22.9" customHeight="1" x14ac:dyDescent="0.55000000000000004">
      <c r="A211" s="22">
        <f t="shared" si="6"/>
        <v>209</v>
      </c>
      <c r="B211" s="23" t="s">
        <v>681</v>
      </c>
      <c r="C211" s="213" t="s">
        <v>661</v>
      </c>
      <c r="D211" s="22" t="s">
        <v>290</v>
      </c>
      <c r="E211" s="22">
        <f>IFERROR(INDEX(TableJudje[رقم الحساب],MATCH(Tabledaily[[#This Row],[الحســاب الدئـــن]],TableJudje[اسم الحساب],0)),0)</f>
        <v>11060205</v>
      </c>
      <c r="F211" s="22" t="s">
        <v>513</v>
      </c>
      <c r="G211" s="22" t="s">
        <v>682</v>
      </c>
      <c r="H211" s="24">
        <f>IFERROR(INDEX(TableJudje[رقم الحساب],MATCH(Tabledaily[[#This Row],[الحســاب المديــــن]],TableJudje[اسم الحساب],0)),0)</f>
        <v>31010135</v>
      </c>
      <c r="I211" s="22" t="s">
        <v>473</v>
      </c>
      <c r="J211" s="22" t="s">
        <v>238</v>
      </c>
      <c r="K211" s="117">
        <v>100000</v>
      </c>
      <c r="L211" s="23">
        <v>405</v>
      </c>
      <c r="M211" s="118">
        <f>IFERROR(Tabledaily[[#This Row],[المبلـــــــغ]]/Tabledaily[[#This Row],[سعــــــر
الصـــــرف]],"")</f>
        <v>246.91358024691357</v>
      </c>
      <c r="N211" s="22" t="s">
        <v>683</v>
      </c>
      <c r="O211" s="22" t="s">
        <v>286</v>
      </c>
      <c r="P211" s="22" t="s">
        <v>287</v>
      </c>
      <c r="Q211" s="22"/>
      <c r="R211" s="22" t="s">
        <v>237</v>
      </c>
      <c r="S211" s="24">
        <f>IFERROR(INDEX(tablecost[رقم المركز],MATCH(Tabledaily[[#This Row],[مركـــــــزالتكلفــــــة]],tablecost[الاسم],0)),0)</f>
        <v>1</v>
      </c>
      <c r="T211" s="27">
        <f>DATE(Tabledaily[[#This Row],[السنــــة]],Tabledaily[[#This Row],[الشهــــر]],Tabledaily[[#This Row],[الـــــيوم]])</f>
        <v>46184</v>
      </c>
      <c r="U211" s="28">
        <v>46193.019479166665</v>
      </c>
      <c r="V211" s="22" t="s">
        <v>293</v>
      </c>
      <c r="W211" s="24">
        <f>YEAR(Tabledaily[[#This Row],[التاريخ]])</f>
        <v>2026</v>
      </c>
      <c r="X211" s="24">
        <f>MONTH(Tabledaily[[#This Row],[التاريخ]])</f>
        <v>6</v>
      </c>
      <c r="Y211" s="24">
        <f>DAY(Tabledaily[[#This Row],[التاريخ]])</f>
        <v>11</v>
      </c>
      <c r="Z21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(اجور يومية - عمال - الفرقة الثالثة)  - استلام نقدي رقم   سند استلام - اجور عمال تركيب الخيم في الفرقة  بامرالأركان جمال مسدوس</v>
      </c>
      <c r="AA211" s="24" t="str">
        <f>IF(COUNTIF(TableDailyJournal[رقم العملية],Tabledaily[[#This Row],[رقم العملية]])&gt;1,"مرحل","غير مرحل")</f>
        <v>مرحل</v>
      </c>
    </row>
    <row r="212" spans="1:27" ht="22.9" customHeight="1" x14ac:dyDescent="0.55000000000000004">
      <c r="A212" s="22">
        <f t="shared" si="6"/>
        <v>210</v>
      </c>
      <c r="B212" s="23" t="s">
        <v>679</v>
      </c>
      <c r="C212" s="213" t="s">
        <v>661</v>
      </c>
      <c r="D212" s="22" t="s">
        <v>290</v>
      </c>
      <c r="E212" s="22">
        <f>IFERROR(INDEX(TableJudje[رقم الحساب],MATCH(Tabledaily[[#This Row],[الحســاب الدئـــن]],TableJudje[اسم الحساب],0)),0)</f>
        <v>11060205</v>
      </c>
      <c r="F212" s="22" t="s">
        <v>513</v>
      </c>
      <c r="G212" s="22" t="s">
        <v>680</v>
      </c>
      <c r="H212" s="24">
        <f>IFERROR(INDEX(TableJudje[رقم الحساب],MATCH(Tabledaily[[#This Row],[الحســاب المديــــن]],TableJudje[اسم الحساب],0)),0)</f>
        <v>31010135</v>
      </c>
      <c r="I212" s="22" t="s">
        <v>473</v>
      </c>
      <c r="J212" s="22" t="s">
        <v>238</v>
      </c>
      <c r="K212" s="117">
        <v>200000</v>
      </c>
      <c r="L212" s="23">
        <v>405</v>
      </c>
      <c r="M212" s="118">
        <f>IFERROR(Tabledaily[[#This Row],[المبلـــــــغ]]/Tabledaily[[#This Row],[سعــــــر
الصـــــرف]],"")</f>
        <v>493.82716049382714</v>
      </c>
      <c r="N212" s="22" t="s">
        <v>645</v>
      </c>
      <c r="O212" s="22" t="s">
        <v>286</v>
      </c>
      <c r="P212" s="22" t="s">
        <v>287</v>
      </c>
      <c r="Q212" s="22"/>
      <c r="R212" s="22" t="s">
        <v>237</v>
      </c>
      <c r="S212" s="24">
        <f>IFERROR(INDEX(tablecost[رقم المركز],MATCH(Tabledaily[[#This Row],[مركـــــــزالتكلفــــــة]],tablecost[الاسم],0)),0)</f>
        <v>1</v>
      </c>
      <c r="T212" s="27">
        <f>DATE(Tabledaily[[#This Row],[السنــــة]],Tabledaily[[#This Row],[الشهــــر]],Tabledaily[[#This Row],[الـــــيوم]])</f>
        <v>46184</v>
      </c>
      <c r="U212" s="28">
        <v>46193.018148148149</v>
      </c>
      <c r="V212" s="22" t="s">
        <v>646</v>
      </c>
      <c r="W212" s="24">
        <f>YEAR(Tabledaily[[#This Row],[التاريخ]])</f>
        <v>2026</v>
      </c>
      <c r="X212" s="24">
        <f>MONTH(Tabledaily[[#This Row],[التاريخ]])</f>
        <v>6</v>
      </c>
      <c r="Y212" s="24">
        <f>DAY(Tabledaily[[#This Row],[التاريخ]])</f>
        <v>11</v>
      </c>
      <c r="Z21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(اجور يومية - صالح عبدالله لدحل - الفرقة الثالثة)  - استلام نقدي رقم   سند استلام - صرف اجور سائق قاطرة الماء للفترة السابقة بامرالمستشار المالي</v>
      </c>
      <c r="AA212" s="24" t="str">
        <f>IF(COUNTIF(TableDailyJournal[رقم العملية],Tabledaily[[#This Row],[رقم العملية]])&gt;1,"مرحل","غير مرحل")</f>
        <v>مرحل</v>
      </c>
    </row>
    <row r="213" spans="1:27" ht="22.9" customHeight="1" x14ac:dyDescent="0.55000000000000004">
      <c r="A213" s="22">
        <f t="shared" si="6"/>
        <v>211</v>
      </c>
      <c r="B213" s="23" t="s">
        <v>678</v>
      </c>
      <c r="C213" s="213" t="s">
        <v>661</v>
      </c>
      <c r="D213" s="22" t="s">
        <v>283</v>
      </c>
      <c r="E213" s="22">
        <f>IFERROR(INDEX(TableJudje[رقم الحساب],MATCH(Tabledaily[[#This Row],[الحســاب الدئـــن]],TableJudje[اسم الحساب],0)),0)</f>
        <v>11010101</v>
      </c>
      <c r="F213" s="22" t="s">
        <v>23</v>
      </c>
      <c r="G213" s="22" t="s">
        <v>284</v>
      </c>
      <c r="H213" s="24">
        <f>IFERROR(INDEX(TableJudje[رقم الحساب],MATCH(Tabledaily[[#This Row],[الحســاب المديــــن]],TableJudje[اسم الحساب],0)),0)</f>
        <v>11060205</v>
      </c>
      <c r="I213" s="22" t="s">
        <v>513</v>
      </c>
      <c r="J213" s="22" t="s">
        <v>241</v>
      </c>
      <c r="K213" s="117">
        <v>9980</v>
      </c>
      <c r="L213" s="23">
        <v>1</v>
      </c>
      <c r="M213" s="118">
        <f>IFERROR(Tabledaily[[#This Row],[المبلـــــــغ]]/Tabledaily[[#This Row],[سعــــــر
الصـــــرف]],"")</f>
        <v>9980</v>
      </c>
      <c r="N213" s="22" t="s">
        <v>517</v>
      </c>
      <c r="O213" s="22" t="s">
        <v>300</v>
      </c>
      <c r="P213" s="22" t="s">
        <v>301</v>
      </c>
      <c r="Q213" s="22">
        <v>26371</v>
      </c>
      <c r="R213" s="22" t="s">
        <v>237</v>
      </c>
      <c r="S213" s="24">
        <f>IFERROR(INDEX(tablecost[رقم المركز],MATCH(Tabledaily[[#This Row],[مركـــــــزالتكلفــــــة]],tablecost[الاسم],0)),0)</f>
        <v>1</v>
      </c>
      <c r="T213" s="27">
        <f>DATE(Tabledaily[[#This Row],[السنــــة]],Tabledaily[[#This Row],[الشهــــر]],Tabledaily[[#This Row],[الـــــيوم]])</f>
        <v>46184</v>
      </c>
      <c r="U213" s="28">
        <v>46193.016388888886</v>
      </c>
      <c r="V213" s="22"/>
      <c r="W213" s="24">
        <f>YEAR(Tabledaily[[#This Row],[التاريخ]])</f>
        <v>2026</v>
      </c>
      <c r="X213" s="24">
        <f>MONTH(Tabledaily[[#This Row],[التاريخ]])</f>
        <v>6</v>
      </c>
      <c r="Y213" s="24">
        <f>DAY(Tabledaily[[#This Row],[التاريخ]])</f>
        <v>11</v>
      </c>
      <c r="Z21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حواله رقم 26371  شركة المقبولي للصرافة والتحويلات - استلام عهدة بامر</v>
      </c>
      <c r="AA213" s="24" t="str">
        <f>IF(COUNTIF(TableDailyJournal[رقم العملية],Tabledaily[[#This Row],[رقم العملية]])&gt;1,"مرحل","غير مرحل")</f>
        <v>مرحل</v>
      </c>
    </row>
    <row r="214" spans="1:27" ht="22.9" customHeight="1" x14ac:dyDescent="0.55000000000000004">
      <c r="A214" s="22">
        <f t="shared" si="6"/>
        <v>212</v>
      </c>
      <c r="B214" s="23" t="s">
        <v>677</v>
      </c>
      <c r="C214" s="213" t="s">
        <v>661</v>
      </c>
      <c r="D214" s="22" t="s">
        <v>290</v>
      </c>
      <c r="E214" s="22">
        <f>IFERROR(INDEX(TableJudje[رقم الحساب],MATCH(Tabledaily[[#This Row],[الحســاب الدئـــن]],TableJudje[اسم الحساب],0)),0)</f>
        <v>11060205</v>
      </c>
      <c r="F214" s="22" t="s">
        <v>513</v>
      </c>
      <c r="G214" s="22" t="s">
        <v>606</v>
      </c>
      <c r="H214" s="24">
        <f>IFERROR(INDEX(TableJudje[رقم الحساب],MATCH(Tabledaily[[#This Row],[الحســاب المديــــن]],TableJudje[اسم الحساب],0)),0)</f>
        <v>31010101</v>
      </c>
      <c r="I214" s="22" t="s">
        <v>111</v>
      </c>
      <c r="J214" s="22" t="s">
        <v>238</v>
      </c>
      <c r="K214" s="117">
        <v>156000</v>
      </c>
      <c r="L214" s="23">
        <v>405</v>
      </c>
      <c r="M214" s="118">
        <f>IFERROR(Tabledaily[[#This Row],[المبلـــــــغ]]/Tabledaily[[#This Row],[سعــــــر
الصـــــرف]],"")</f>
        <v>385.18518518518516</v>
      </c>
      <c r="N214" s="22" t="s">
        <v>311</v>
      </c>
      <c r="O214" s="22" t="s">
        <v>312</v>
      </c>
      <c r="P214" s="22" t="s">
        <v>312</v>
      </c>
      <c r="Q214" s="22"/>
      <c r="R214" s="22" t="s">
        <v>237</v>
      </c>
      <c r="S214" s="24">
        <f>IFERROR(INDEX(tablecost[رقم المركز],MATCH(Tabledaily[[#This Row],[مركـــــــزالتكلفــــــة]],tablecost[الاسم],0)),0)</f>
        <v>1</v>
      </c>
      <c r="T214" s="27">
        <f>DATE(Tabledaily[[#This Row],[السنــــة]],Tabledaily[[#This Row],[الشهــــر]],Tabledaily[[#This Row],[الـــــيوم]])</f>
        <v>46184</v>
      </c>
      <c r="U214" s="28">
        <v>46193.01253472222</v>
      </c>
      <c r="V214" s="22"/>
      <c r="W214" s="24">
        <f>YEAR(Tabledaily[[#This Row],[التاريخ]])</f>
        <v>2026</v>
      </c>
      <c r="X214" s="24">
        <f>MONTH(Tabledaily[[#This Row],[التاريخ]])</f>
        <v>6</v>
      </c>
      <c r="Y214" s="24">
        <f>DAY(Tabledaily[[#This Row],[التاريخ]])</f>
        <v>11</v>
      </c>
      <c r="Z21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الفرقة الثالثة)  - كشف صرف رقم   كشف صرف - مصاريف يومية سرية اللواء السادس عدد 39 بامر</v>
      </c>
      <c r="AA214" s="24" t="str">
        <f>IF(COUNTIF(TableDailyJournal[رقم العملية],Tabledaily[[#This Row],[رقم العملية]])&gt;1,"مرحل","غير مرحل")</f>
        <v>مرحل</v>
      </c>
    </row>
    <row r="215" spans="1:27" ht="22.9" customHeight="1" x14ac:dyDescent="0.55000000000000004">
      <c r="A215" s="22">
        <f t="shared" si="6"/>
        <v>213</v>
      </c>
      <c r="B215" s="23" t="s">
        <v>676</v>
      </c>
      <c r="C215" s="213" t="s">
        <v>661</v>
      </c>
      <c r="D215" s="22" t="s">
        <v>290</v>
      </c>
      <c r="E215" s="22">
        <f>IFERROR(INDEX(TableJudje[رقم الحساب],MATCH(Tabledaily[[#This Row],[الحســاب الدئـــن]],TableJudje[اسم الحساب],0)),0)</f>
        <v>11060205</v>
      </c>
      <c r="F215" s="22" t="s">
        <v>513</v>
      </c>
      <c r="G215" s="22" t="s">
        <v>458</v>
      </c>
      <c r="H215" s="24">
        <f>IFERROR(INDEX(TableJudje[رقم الحساب],MATCH(Tabledaily[[#This Row],[الحســاب المديــــن]],TableJudje[اسم الحساب],0)),0)</f>
        <v>31010101</v>
      </c>
      <c r="I215" s="22" t="s">
        <v>111</v>
      </c>
      <c r="J215" s="22" t="s">
        <v>238</v>
      </c>
      <c r="K215" s="117">
        <v>28000</v>
      </c>
      <c r="L215" s="23">
        <v>405</v>
      </c>
      <c r="M215" s="118">
        <f>IFERROR(Tabledaily[[#This Row],[المبلـــــــغ]]/Tabledaily[[#This Row],[سعــــــر
الصـــــرف]],"")</f>
        <v>69.135802469135797</v>
      </c>
      <c r="N215" s="22" t="s">
        <v>459</v>
      </c>
      <c r="O215" s="22" t="s">
        <v>312</v>
      </c>
      <c r="P215" s="22" t="s">
        <v>312</v>
      </c>
      <c r="Q215" s="22"/>
      <c r="R215" s="22" t="s">
        <v>237</v>
      </c>
      <c r="S215" s="24">
        <f>IFERROR(INDEX(tablecost[رقم المركز],MATCH(Tabledaily[[#This Row],[مركـــــــزالتكلفــــــة]],tablecost[الاسم],0)),0)</f>
        <v>1</v>
      </c>
      <c r="T215" s="27">
        <f>DATE(Tabledaily[[#This Row],[السنــــة]],Tabledaily[[#This Row],[الشهــــر]],Tabledaily[[#This Row],[الـــــيوم]])</f>
        <v>46184</v>
      </c>
      <c r="U215" s="28">
        <v>46193.011956018519</v>
      </c>
      <c r="V215" s="22"/>
      <c r="W215" s="24">
        <f>YEAR(Tabledaily[[#This Row],[التاريخ]])</f>
        <v>2026</v>
      </c>
      <c r="X215" s="24">
        <f>MONTH(Tabledaily[[#This Row],[التاريخ]])</f>
        <v>6</v>
      </c>
      <c r="Y215" s="24">
        <f>DAY(Tabledaily[[#This Row],[التاريخ]])</f>
        <v>11</v>
      </c>
      <c r="Z21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215" s="24" t="str">
        <f>IF(COUNTIF(TableDailyJournal[رقم العملية],Tabledaily[[#This Row],[رقم العملية]])&gt;1,"مرحل","غير مرحل")</f>
        <v>مرحل</v>
      </c>
    </row>
    <row r="216" spans="1:27" ht="22.9" customHeight="1" x14ac:dyDescent="0.55000000000000004">
      <c r="A216" s="22">
        <f t="shared" si="6"/>
        <v>214</v>
      </c>
      <c r="B216" s="23" t="s">
        <v>675</v>
      </c>
      <c r="C216" s="213" t="s">
        <v>661</v>
      </c>
      <c r="D216" s="22" t="s">
        <v>290</v>
      </c>
      <c r="E216" s="22">
        <f>IFERROR(INDEX(TableJudje[رقم الحساب],MATCH(Tabledaily[[#This Row],[الحســاب الدئـــن]],TableJudje[اسم الحساب],0)),0)</f>
        <v>11060205</v>
      </c>
      <c r="F216" s="22" t="s">
        <v>513</v>
      </c>
      <c r="G216" s="22" t="s">
        <v>637</v>
      </c>
      <c r="H216" s="24">
        <f>IFERROR(INDEX(TableJudje[رقم الحساب],MATCH(Tabledaily[[#This Row],[الحســاب المديــــن]],TableJudje[اسم الحساب],0)),0)</f>
        <v>31010101</v>
      </c>
      <c r="I216" s="22" t="s">
        <v>111</v>
      </c>
      <c r="J216" s="22" t="s">
        <v>238</v>
      </c>
      <c r="K216" s="117">
        <v>25000</v>
      </c>
      <c r="L216" s="23">
        <v>405</v>
      </c>
      <c r="M216" s="118">
        <f>IFERROR(Tabledaily[[#This Row],[المبلـــــــغ]]/Tabledaily[[#This Row],[سعــــــر
الصـــــرف]],"")</f>
        <v>61.728395061728392</v>
      </c>
      <c r="N216" s="22" t="s">
        <v>638</v>
      </c>
      <c r="O216" s="22" t="s">
        <v>312</v>
      </c>
      <c r="P216" s="22" t="s">
        <v>312</v>
      </c>
      <c r="Q216" s="22"/>
      <c r="R216" s="22" t="s">
        <v>237</v>
      </c>
      <c r="S216" s="24">
        <f>IFERROR(INDEX(tablecost[رقم المركز],MATCH(Tabledaily[[#This Row],[مركـــــــزالتكلفــــــة]],tablecost[الاسم],0)),0)</f>
        <v>1</v>
      </c>
      <c r="T216" s="27">
        <f>DATE(Tabledaily[[#This Row],[السنــــة]],Tabledaily[[#This Row],[الشهــــر]],Tabledaily[[#This Row],[الـــــيوم]])</f>
        <v>46184</v>
      </c>
      <c r="U216" s="28">
        <v>46193.011030092595</v>
      </c>
      <c r="V216" s="22"/>
      <c r="W216" s="24">
        <f>YEAR(Tabledaily[[#This Row],[التاريخ]])</f>
        <v>2026</v>
      </c>
      <c r="X216" s="24">
        <f>MONTH(Tabledaily[[#This Row],[التاريخ]])</f>
        <v>6</v>
      </c>
      <c r="Y216" s="24">
        <f>DAY(Tabledaily[[#This Row],[التاريخ]])</f>
        <v>11</v>
      </c>
      <c r="Z21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 الاركان عدد 3 بامر</v>
      </c>
      <c r="AA216" s="24" t="str">
        <f>IF(COUNTIF(TableDailyJournal[رقم العملية],Tabledaily[[#This Row],[رقم العملية]])&gt;1,"مرحل","غير مرحل")</f>
        <v>مرحل</v>
      </c>
    </row>
    <row r="217" spans="1:27" ht="22.9" customHeight="1" x14ac:dyDescent="0.55000000000000004">
      <c r="A217" s="22">
        <f t="shared" si="6"/>
        <v>215</v>
      </c>
      <c r="B217" s="23" t="s">
        <v>674</v>
      </c>
      <c r="C217" s="213" t="s">
        <v>661</v>
      </c>
      <c r="D217" s="22" t="s">
        <v>290</v>
      </c>
      <c r="E217" s="22">
        <f>IFERROR(INDEX(TableJudje[رقم الحساب],MATCH(Tabledaily[[#This Row],[الحســاب الدئـــن]],TableJudje[اسم الحساب],0)),0)</f>
        <v>11060205</v>
      </c>
      <c r="F217" s="22" t="s">
        <v>513</v>
      </c>
      <c r="G217" s="22" t="s">
        <v>635</v>
      </c>
      <c r="H217" s="24">
        <f>IFERROR(INDEX(TableJudje[رقم الحساب],MATCH(Tabledaily[[#This Row],[الحســاب المديــــن]],TableJudje[اسم الحساب],0)),0)</f>
        <v>31010101</v>
      </c>
      <c r="I217" s="22" t="s">
        <v>111</v>
      </c>
      <c r="J217" s="22" t="s">
        <v>238</v>
      </c>
      <c r="K217" s="117">
        <v>74000</v>
      </c>
      <c r="L217" s="23">
        <v>405</v>
      </c>
      <c r="M217" s="118">
        <f>IFERROR(Tabledaily[[#This Row],[المبلـــــــغ]]/Tabledaily[[#This Row],[سعــــــر
الصـــــرف]],"")</f>
        <v>182.71604938271605</v>
      </c>
      <c r="N217" s="22" t="s">
        <v>322</v>
      </c>
      <c r="O217" s="22" t="s">
        <v>312</v>
      </c>
      <c r="P217" s="22" t="s">
        <v>312</v>
      </c>
      <c r="Q217" s="22"/>
      <c r="R217" s="22" t="s">
        <v>237</v>
      </c>
      <c r="S217" s="24">
        <f>IFERROR(INDEX(tablecost[رقم المركز],MATCH(Tabledaily[[#This Row],[مركـــــــزالتكلفــــــة]],tablecost[الاسم],0)),0)</f>
        <v>1</v>
      </c>
      <c r="T217" s="27">
        <f>DATE(Tabledaily[[#This Row],[السنــــة]],Tabledaily[[#This Row],[الشهــــر]],Tabledaily[[#This Row],[الـــــيوم]])</f>
        <v>46184</v>
      </c>
      <c r="U217" s="28">
        <v>46193.010555555556</v>
      </c>
      <c r="V217" s="22"/>
      <c r="W217" s="24">
        <f>YEAR(Tabledaily[[#This Row],[التاريخ]])</f>
        <v>2026</v>
      </c>
      <c r="X217" s="24">
        <f>MONTH(Tabledaily[[#This Row],[التاريخ]])</f>
        <v>6</v>
      </c>
      <c r="Y217" s="24">
        <f>DAY(Tabledaily[[#This Row],[التاريخ]])</f>
        <v>11</v>
      </c>
      <c r="Z21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8 بامر</v>
      </c>
      <c r="AA217" s="24" t="str">
        <f>IF(COUNTIF(TableDailyJournal[رقم العملية],Tabledaily[[#This Row],[رقم العملية]])&gt;1,"مرحل","غير مرحل")</f>
        <v>مرحل</v>
      </c>
    </row>
    <row r="218" spans="1:27" ht="22.9" customHeight="1" x14ac:dyDescent="0.55000000000000004">
      <c r="A218" s="22">
        <f t="shared" si="6"/>
        <v>216</v>
      </c>
      <c r="B218" s="23" t="s">
        <v>673</v>
      </c>
      <c r="C218" s="213" t="s">
        <v>661</v>
      </c>
      <c r="D218" s="22" t="s">
        <v>290</v>
      </c>
      <c r="E218" s="22">
        <f>IFERROR(INDEX(TableJudje[رقم الحساب],MATCH(Tabledaily[[#This Row],[الحســاب الدئـــن]],TableJudje[اسم الحساب],0)),0)</f>
        <v>11060205</v>
      </c>
      <c r="F218" s="22" t="s">
        <v>513</v>
      </c>
      <c r="G218" s="22" t="s">
        <v>405</v>
      </c>
      <c r="H218" s="24">
        <f>IFERROR(INDEX(TableJudje[رقم الحساب],MATCH(Tabledaily[[#This Row],[الحســاب المديــــن]],TableJudje[اسم الحساب],0)),0)</f>
        <v>31010101</v>
      </c>
      <c r="I218" s="22" t="s">
        <v>111</v>
      </c>
      <c r="J218" s="22" t="s">
        <v>238</v>
      </c>
      <c r="K218" s="117">
        <v>70000</v>
      </c>
      <c r="L218" s="23">
        <v>405</v>
      </c>
      <c r="M218" s="118">
        <f>IFERROR(Tabledaily[[#This Row],[المبلـــــــغ]]/Tabledaily[[#This Row],[سعــــــر
الصـــــرف]],"")</f>
        <v>172.83950617283949</v>
      </c>
      <c r="N218" s="22" t="s">
        <v>325</v>
      </c>
      <c r="O218" s="22" t="s">
        <v>312</v>
      </c>
      <c r="P218" s="22" t="s">
        <v>312</v>
      </c>
      <c r="Q218" s="22"/>
      <c r="R218" s="22" t="s">
        <v>237</v>
      </c>
      <c r="S218" s="24">
        <f>IFERROR(INDEX(tablecost[رقم المركز],MATCH(Tabledaily[[#This Row],[مركـــــــزالتكلفــــــة]],tablecost[الاسم],0)),0)</f>
        <v>1</v>
      </c>
      <c r="T218" s="27">
        <f>DATE(Tabledaily[[#This Row],[السنــــة]],Tabledaily[[#This Row],[الشهــــر]],Tabledaily[[#This Row],[الـــــيوم]])</f>
        <v>46184</v>
      </c>
      <c r="U218" s="28">
        <v>46193.010138888887</v>
      </c>
      <c r="V218" s="22"/>
      <c r="W218" s="24">
        <f>YEAR(Tabledaily[[#This Row],[التاريخ]])</f>
        <v>2026</v>
      </c>
      <c r="X218" s="24">
        <f>MONTH(Tabledaily[[#This Row],[التاريخ]])</f>
        <v>6</v>
      </c>
      <c r="Y218" s="24">
        <f>DAY(Tabledaily[[#This Row],[التاريخ]])</f>
        <v>11</v>
      </c>
      <c r="Z21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7 بامر</v>
      </c>
      <c r="AA218" s="24" t="str">
        <f>IF(COUNTIF(TableDailyJournal[رقم العملية],Tabledaily[[#This Row],[رقم العملية]])&gt;1,"مرحل","غير مرحل")</f>
        <v>مرحل</v>
      </c>
    </row>
    <row r="219" spans="1:27" ht="22.9" customHeight="1" x14ac:dyDescent="0.55000000000000004">
      <c r="A219" s="22">
        <f t="shared" si="6"/>
        <v>217</v>
      </c>
      <c r="B219" s="23" t="s">
        <v>671</v>
      </c>
      <c r="C219" s="213" t="s">
        <v>661</v>
      </c>
      <c r="D219" s="22" t="s">
        <v>290</v>
      </c>
      <c r="E219" s="22">
        <f>IFERROR(INDEX(TableJudje[رقم الحساب],MATCH(Tabledaily[[#This Row],[الحســاب الدئـــن]],TableJudje[اسم الحساب],0)),0)</f>
        <v>11060205</v>
      </c>
      <c r="F219" s="22" t="s">
        <v>513</v>
      </c>
      <c r="G219" s="22" t="s">
        <v>672</v>
      </c>
      <c r="H219" s="24">
        <f>IFERROR(INDEX(TableJudje[رقم الحساب],MATCH(Tabledaily[[#This Row],[الحســاب المديــــن]],TableJudje[اسم الحساب],0)),0)</f>
        <v>31010101</v>
      </c>
      <c r="I219" s="22" t="s">
        <v>111</v>
      </c>
      <c r="J219" s="22" t="s">
        <v>238</v>
      </c>
      <c r="K219" s="117">
        <v>14000</v>
      </c>
      <c r="L219" s="23">
        <v>405</v>
      </c>
      <c r="M219" s="118">
        <f>IFERROR(Tabledaily[[#This Row],[المبلـــــــغ]]/Tabledaily[[#This Row],[سعــــــر
الصـــــرف]],"")</f>
        <v>34.567901234567898</v>
      </c>
      <c r="N219" s="22" t="s">
        <v>328</v>
      </c>
      <c r="O219" s="22" t="s">
        <v>312</v>
      </c>
      <c r="P219" s="22" t="s">
        <v>312</v>
      </c>
      <c r="Q219" s="22"/>
      <c r="R219" s="22" t="s">
        <v>237</v>
      </c>
      <c r="S219" s="24">
        <f>IFERROR(INDEX(tablecost[رقم المركز],MATCH(Tabledaily[[#This Row],[مركـــــــزالتكلفــــــة]],tablecost[الاسم],0)),0)</f>
        <v>1</v>
      </c>
      <c r="T219" s="27">
        <f>DATE(Tabledaily[[#This Row],[السنــــة]],Tabledaily[[#This Row],[الشهــــر]],Tabledaily[[#This Row],[الـــــيوم]])</f>
        <v>46184</v>
      </c>
      <c r="U219" s="28">
        <v>46193.009710648148</v>
      </c>
      <c r="V219" s="22"/>
      <c r="W219" s="24">
        <f>YEAR(Tabledaily[[#This Row],[التاريخ]])</f>
        <v>2026</v>
      </c>
      <c r="X219" s="24">
        <f>MONTH(Tabledaily[[#This Row],[التاريخ]])</f>
        <v>6</v>
      </c>
      <c r="Y219" s="24">
        <f>DAY(Tabledaily[[#This Row],[التاريخ]])</f>
        <v>11</v>
      </c>
      <c r="Z21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2 بامر</v>
      </c>
      <c r="AA219" s="24" t="str">
        <f>IF(COUNTIF(TableDailyJournal[رقم العملية],Tabledaily[[#This Row],[رقم العملية]])&gt;1,"مرحل","غير مرحل")</f>
        <v>مرحل</v>
      </c>
    </row>
    <row r="220" spans="1:27" ht="22.9" customHeight="1" x14ac:dyDescent="0.55000000000000004">
      <c r="A220" s="22">
        <f t="shared" si="6"/>
        <v>218</v>
      </c>
      <c r="B220" s="23" t="s">
        <v>669</v>
      </c>
      <c r="C220" s="213" t="s">
        <v>661</v>
      </c>
      <c r="D220" s="22" t="s">
        <v>290</v>
      </c>
      <c r="E220" s="22">
        <f>IFERROR(INDEX(TableJudje[رقم الحساب],MATCH(Tabledaily[[#This Row],[الحســاب الدئـــن]],TableJudje[اسم الحساب],0)),0)</f>
        <v>11060205</v>
      </c>
      <c r="F220" s="22" t="s">
        <v>513</v>
      </c>
      <c r="G220" s="22" t="s">
        <v>630</v>
      </c>
      <c r="H220" s="24">
        <f>IFERROR(INDEX(TableJudje[رقم الحساب],MATCH(Tabledaily[[#This Row],[الحســاب المديــــن]],TableJudje[اسم الحساب],0)),0)</f>
        <v>31010101</v>
      </c>
      <c r="I220" s="22" t="s">
        <v>111</v>
      </c>
      <c r="J220" s="22" t="s">
        <v>238</v>
      </c>
      <c r="K220" s="117">
        <v>95000</v>
      </c>
      <c r="L220" s="23">
        <v>405</v>
      </c>
      <c r="M220" s="118">
        <f>IFERROR(Tabledaily[[#This Row],[المبلـــــــغ]]/Tabledaily[[#This Row],[سعــــــر
الصـــــرف]],"")</f>
        <v>234.5679012345679</v>
      </c>
      <c r="N220" s="22" t="s">
        <v>331</v>
      </c>
      <c r="O220" s="22" t="s">
        <v>312</v>
      </c>
      <c r="P220" s="22" t="s">
        <v>312</v>
      </c>
      <c r="Q220" s="22"/>
      <c r="R220" s="22" t="s">
        <v>237</v>
      </c>
      <c r="S220" s="24">
        <f>IFERROR(INDEX(tablecost[رقم المركز],MATCH(Tabledaily[[#This Row],[مركـــــــزالتكلفــــــة]],tablecost[الاسم],0)),0)</f>
        <v>1</v>
      </c>
      <c r="T220" s="27">
        <f>DATE(Tabledaily[[#This Row],[السنــــة]],Tabledaily[[#This Row],[الشهــــر]],Tabledaily[[#This Row],[الـــــيوم]])</f>
        <v>46184</v>
      </c>
      <c r="U220" s="28">
        <v>46193.008171296293</v>
      </c>
      <c r="V220" s="22"/>
      <c r="W220" s="24">
        <f>YEAR(Tabledaily[[#This Row],[التاريخ]])</f>
        <v>2026</v>
      </c>
      <c r="X220" s="24">
        <f>MONTH(Tabledaily[[#This Row],[التاريخ]])</f>
        <v>6</v>
      </c>
      <c r="Y220" s="24">
        <f>DAY(Tabledaily[[#This Row],[التاريخ]])</f>
        <v>11</v>
      </c>
      <c r="Z22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A220" s="24" t="str">
        <f>IF(COUNTIF(TableDailyJournal[رقم العملية],Tabledaily[[#This Row],[رقم العملية]])&gt;1,"مرحل","غير مرحل")</f>
        <v>مرحل</v>
      </c>
    </row>
    <row r="221" spans="1:27" ht="22.9" customHeight="1" x14ac:dyDescent="0.55000000000000004">
      <c r="A221" s="22">
        <f t="shared" si="6"/>
        <v>219</v>
      </c>
      <c r="B221" s="23" t="s">
        <v>668</v>
      </c>
      <c r="C221" s="213" t="s">
        <v>661</v>
      </c>
      <c r="D221" s="22" t="s">
        <v>290</v>
      </c>
      <c r="E221" s="22">
        <f>IFERROR(INDEX(TableJudje[رقم الحساب],MATCH(Tabledaily[[#This Row],[الحســاب الدئـــن]],TableJudje[اسم الحساب],0)),0)</f>
        <v>11060205</v>
      </c>
      <c r="F221" s="22" t="s">
        <v>513</v>
      </c>
      <c r="G221" s="22" t="s">
        <v>595</v>
      </c>
      <c r="H221" s="24">
        <f>IFERROR(INDEX(TableJudje[رقم الحساب],MATCH(Tabledaily[[#This Row],[الحســاب المديــــن]],TableJudje[اسم الحساب],0)),0)</f>
        <v>31010101</v>
      </c>
      <c r="I221" s="22" t="s">
        <v>111</v>
      </c>
      <c r="J221" s="22" t="s">
        <v>238</v>
      </c>
      <c r="K221" s="117">
        <v>30000</v>
      </c>
      <c r="L221" s="23">
        <v>405</v>
      </c>
      <c r="M221" s="118">
        <f>IFERROR(Tabledaily[[#This Row],[المبلـــــــغ]]/Tabledaily[[#This Row],[سعــــــر
الصـــــرف]],"")</f>
        <v>74.074074074074076</v>
      </c>
      <c r="N221" s="22" t="s">
        <v>565</v>
      </c>
      <c r="O221" s="22" t="s">
        <v>312</v>
      </c>
      <c r="P221" s="22" t="s">
        <v>312</v>
      </c>
      <c r="Q221" s="22"/>
      <c r="R221" s="22" t="s">
        <v>237</v>
      </c>
      <c r="S221" s="24">
        <f>IFERROR(INDEX(tablecost[رقم المركز],MATCH(Tabledaily[[#This Row],[مركـــــــزالتكلفــــــة]],tablecost[الاسم],0)),0)</f>
        <v>1</v>
      </c>
      <c r="T221" s="27">
        <f>DATE(Tabledaily[[#This Row],[السنــــة]],Tabledaily[[#This Row],[الشهــــر]],Tabledaily[[#This Row],[الـــــيوم]])</f>
        <v>46184</v>
      </c>
      <c r="U221" s="28">
        <v>46193.007581018515</v>
      </c>
      <c r="V221" s="22"/>
      <c r="W221" s="24">
        <f>YEAR(Tabledaily[[#This Row],[التاريخ]])</f>
        <v>2026</v>
      </c>
      <c r="X221" s="24">
        <f>MONTH(Tabledaily[[#This Row],[التاريخ]])</f>
        <v>6</v>
      </c>
      <c r="Y221" s="24">
        <f>DAY(Tabledaily[[#This Row],[التاريخ]])</f>
        <v>11</v>
      </c>
      <c r="Z22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3 بامر</v>
      </c>
      <c r="AA221" s="24" t="str">
        <f>IF(COUNTIF(TableDailyJournal[رقم العملية],Tabledaily[[#This Row],[رقم العملية]])&gt;1,"مرحل","غير مرحل")</f>
        <v>مرحل</v>
      </c>
    </row>
    <row r="222" spans="1:27" ht="22.9" customHeight="1" x14ac:dyDescent="0.55000000000000004">
      <c r="A222" s="22">
        <f t="shared" si="6"/>
        <v>220</v>
      </c>
      <c r="B222" s="23" t="s">
        <v>667</v>
      </c>
      <c r="C222" s="213" t="s">
        <v>661</v>
      </c>
      <c r="D222" s="22" t="s">
        <v>290</v>
      </c>
      <c r="E222" s="22">
        <f>IFERROR(INDEX(TableJudje[رقم الحساب],MATCH(Tabledaily[[#This Row],[الحســاب الدئـــن]],TableJudje[اسم الحساب],0)),0)</f>
        <v>11060205</v>
      </c>
      <c r="F222" s="22" t="s">
        <v>513</v>
      </c>
      <c r="G222" s="22" t="s">
        <v>333</v>
      </c>
      <c r="H222" s="24">
        <f>IFERROR(INDEX(TableJudje[رقم الحساب],MATCH(Tabledaily[[#This Row],[الحســاب المديــــن]],TableJudje[اسم الحساب],0)),0)</f>
        <v>31010101</v>
      </c>
      <c r="I222" s="22" t="s">
        <v>111</v>
      </c>
      <c r="J222" s="22" t="s">
        <v>238</v>
      </c>
      <c r="K222" s="117">
        <v>65000</v>
      </c>
      <c r="L222" s="23">
        <v>405</v>
      </c>
      <c r="M222" s="118">
        <f>IFERROR(Tabledaily[[#This Row],[المبلـــــــغ]]/Tabledaily[[#This Row],[سعــــــر
الصـــــرف]],"")</f>
        <v>160.49382716049382</v>
      </c>
      <c r="N222" s="22" t="s">
        <v>334</v>
      </c>
      <c r="O222" s="22" t="s">
        <v>312</v>
      </c>
      <c r="P222" s="22" t="s">
        <v>312</v>
      </c>
      <c r="Q222" s="22"/>
      <c r="R222" s="22" t="s">
        <v>237</v>
      </c>
      <c r="S222" s="24">
        <f>IFERROR(INDEX(tablecost[رقم المركز],MATCH(Tabledaily[[#This Row],[مركـــــــزالتكلفــــــة]],tablecost[الاسم],0)),0)</f>
        <v>1</v>
      </c>
      <c r="T222" s="27">
        <f>DATE(Tabledaily[[#This Row],[السنــــة]],Tabledaily[[#This Row],[الشهــــر]],Tabledaily[[#This Row],[الـــــيوم]])</f>
        <v>46184</v>
      </c>
      <c r="U222" s="28">
        <v>46193.007118055553</v>
      </c>
      <c r="V222" s="22"/>
      <c r="W222" s="24">
        <f>YEAR(Tabledaily[[#This Row],[التاريخ]])</f>
        <v>2026</v>
      </c>
      <c r="X222" s="24">
        <f>MONTH(Tabledaily[[#This Row],[التاريخ]])</f>
        <v>6</v>
      </c>
      <c r="Y222" s="24">
        <f>DAY(Tabledaily[[#This Row],[التاريخ]])</f>
        <v>11</v>
      </c>
      <c r="Z22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222" s="24" t="str">
        <f>IF(COUNTIF(TableDailyJournal[رقم العملية],Tabledaily[[#This Row],[رقم العملية]])&gt;1,"مرحل","غير مرحل")</f>
        <v>مرحل</v>
      </c>
    </row>
    <row r="223" spans="1:27" ht="22.9" customHeight="1" x14ac:dyDescent="0.55000000000000004">
      <c r="A223" s="22">
        <f t="shared" si="6"/>
        <v>221</v>
      </c>
      <c r="B223" s="23" t="s">
        <v>666</v>
      </c>
      <c r="C223" s="213" t="s">
        <v>661</v>
      </c>
      <c r="D223" s="22" t="s">
        <v>290</v>
      </c>
      <c r="E223" s="22">
        <f>IFERROR(INDEX(TableJudje[رقم الحساب],MATCH(Tabledaily[[#This Row],[الحســاب الدئـــن]],TableJudje[اسم الحساب],0)),0)</f>
        <v>11060205</v>
      </c>
      <c r="F223" s="22" t="s">
        <v>513</v>
      </c>
      <c r="G223" s="22" t="s">
        <v>448</v>
      </c>
      <c r="H223" s="24">
        <f>IFERROR(INDEX(TableJudje[رقم الحساب],MATCH(Tabledaily[[#This Row],[الحســاب المديــــن]],TableJudje[اسم الحساب],0)),0)</f>
        <v>31010101</v>
      </c>
      <c r="I223" s="22" t="s">
        <v>111</v>
      </c>
      <c r="J223" s="22" t="s">
        <v>238</v>
      </c>
      <c r="K223" s="117">
        <v>30000</v>
      </c>
      <c r="L223" s="23">
        <v>405</v>
      </c>
      <c r="M223" s="118">
        <f>IFERROR(Tabledaily[[#This Row],[المبلـــــــغ]]/Tabledaily[[#This Row],[سعــــــر
الصـــــرف]],"")</f>
        <v>74.074074074074076</v>
      </c>
      <c r="N223" s="22" t="s">
        <v>337</v>
      </c>
      <c r="O223" s="22" t="s">
        <v>312</v>
      </c>
      <c r="P223" s="22" t="s">
        <v>312</v>
      </c>
      <c r="Q223" s="22"/>
      <c r="R223" s="22" t="s">
        <v>237</v>
      </c>
      <c r="S223" s="24">
        <f>IFERROR(INDEX(tablecost[رقم المركز],MATCH(Tabledaily[[#This Row],[مركـــــــزالتكلفــــــة]],tablecost[الاسم],0)),0)</f>
        <v>1</v>
      </c>
      <c r="T223" s="27">
        <f>DATE(Tabledaily[[#This Row],[السنــــة]],Tabledaily[[#This Row],[الشهــــر]],Tabledaily[[#This Row],[الـــــيوم]])</f>
        <v>46184</v>
      </c>
      <c r="U223" s="28">
        <v>46193.005648148152</v>
      </c>
      <c r="V223" s="22"/>
      <c r="W223" s="24">
        <f>YEAR(Tabledaily[[#This Row],[التاريخ]])</f>
        <v>2026</v>
      </c>
      <c r="X223" s="24">
        <f>MONTH(Tabledaily[[#This Row],[التاريخ]])</f>
        <v>6</v>
      </c>
      <c r="Y223" s="24">
        <f>DAY(Tabledaily[[#This Row],[التاريخ]])</f>
        <v>11</v>
      </c>
      <c r="Z22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2 بامر</v>
      </c>
      <c r="AA223" s="24" t="str">
        <f>IF(COUNTIF(TableDailyJournal[رقم العملية],Tabledaily[[#This Row],[رقم العملية]])&gt;1,"مرحل","غير مرحل")</f>
        <v>مرحل</v>
      </c>
    </row>
    <row r="224" spans="1:27" ht="22.9" customHeight="1" x14ac:dyDescent="0.55000000000000004">
      <c r="A224" s="22">
        <f t="shared" ref="A224:A255" si="7">ROW()-2</f>
        <v>222</v>
      </c>
      <c r="B224" s="23" t="s">
        <v>664</v>
      </c>
      <c r="C224" s="213" t="s">
        <v>661</v>
      </c>
      <c r="D224" s="22" t="s">
        <v>290</v>
      </c>
      <c r="E224" s="22">
        <f>IFERROR(INDEX(TableJudje[رقم الحساب],MATCH(Tabledaily[[#This Row],[الحســاب الدئـــن]],TableJudje[اسم الحساب],0)),0)</f>
        <v>11060205</v>
      </c>
      <c r="F224" s="22" t="s">
        <v>513</v>
      </c>
      <c r="G224" s="22" t="s">
        <v>665</v>
      </c>
      <c r="H224" s="24">
        <f>IFERROR(INDEX(TableJudje[رقم الحساب],MATCH(Tabledaily[[#This Row],[الحســاب المديــــن]],TableJudje[اسم الحساب],0)),0)</f>
        <v>31010101</v>
      </c>
      <c r="I224" s="22" t="s">
        <v>111</v>
      </c>
      <c r="J224" s="22" t="s">
        <v>238</v>
      </c>
      <c r="K224" s="117">
        <v>690000</v>
      </c>
      <c r="L224" s="23">
        <v>405</v>
      </c>
      <c r="M224" s="118">
        <f>IFERROR(Tabledaily[[#This Row],[المبلـــــــغ]]/Tabledaily[[#This Row],[سعــــــر
الصـــــرف]],"")</f>
        <v>1703.7037037037037</v>
      </c>
      <c r="N224" s="22" t="s">
        <v>446</v>
      </c>
      <c r="O224" s="22" t="s">
        <v>312</v>
      </c>
      <c r="P224" s="22" t="s">
        <v>312</v>
      </c>
      <c r="Q224" s="22"/>
      <c r="R224" s="22" t="s">
        <v>237</v>
      </c>
      <c r="S224" s="24">
        <f>IFERROR(INDEX(tablecost[رقم المركز],MATCH(Tabledaily[[#This Row],[مركـــــــزالتكلفــــــة]],tablecost[الاسم],0)),0)</f>
        <v>1</v>
      </c>
      <c r="T224" s="27">
        <f>DATE(Tabledaily[[#This Row],[السنــــة]],Tabledaily[[#This Row],[الشهــــر]],Tabledaily[[#This Row],[الـــــيوم]])</f>
        <v>46184</v>
      </c>
      <c r="U224" s="28">
        <v>46193.004583333335</v>
      </c>
      <c r="V224" s="22"/>
      <c r="W224" s="24">
        <f>YEAR(Tabledaily[[#This Row],[التاريخ]])</f>
        <v>2026</v>
      </c>
      <c r="X224" s="24">
        <f>MONTH(Tabledaily[[#This Row],[التاريخ]])</f>
        <v>6</v>
      </c>
      <c r="Y224" s="24">
        <f>DAY(Tabledaily[[#This Row],[التاريخ]])</f>
        <v>11</v>
      </c>
      <c r="Z22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الشرطة - الفرقة الثالثة)  - كشف صرف رقم   كشف صرف - صرف الصرفة الاسبوعية سرية الشرطة عدد 56 بامر</v>
      </c>
      <c r="AA224" s="24" t="str">
        <f>IF(COUNTIF(TableDailyJournal[رقم العملية],Tabledaily[[#This Row],[رقم العملية]])&gt;1,"مرحل","غير مرحل")</f>
        <v>مرحل</v>
      </c>
    </row>
    <row r="225" spans="1:27" ht="22.9" customHeight="1" x14ac:dyDescent="0.55000000000000004">
      <c r="A225" s="22">
        <f t="shared" si="7"/>
        <v>223</v>
      </c>
      <c r="B225" s="23" t="s">
        <v>662</v>
      </c>
      <c r="C225" s="213" t="s">
        <v>661</v>
      </c>
      <c r="D225" s="22" t="s">
        <v>290</v>
      </c>
      <c r="E225" s="22">
        <f>IFERROR(INDEX(TableJudje[رقم الحساب],MATCH(Tabledaily[[#This Row],[الحســاب الدئـــن]],TableJudje[اسم الحساب],0)),0)</f>
        <v>11060205</v>
      </c>
      <c r="F225" s="22" t="s">
        <v>513</v>
      </c>
      <c r="G225" s="22" t="s">
        <v>663</v>
      </c>
      <c r="H225" s="24">
        <f>IFERROR(INDEX(TableJudje[رقم الحساب],MATCH(Tabledaily[[#This Row],[الحســاب المديــــن]],TableJudje[اسم الحساب],0)),0)</f>
        <v>31010101</v>
      </c>
      <c r="I225" s="22" t="s">
        <v>111</v>
      </c>
      <c r="J225" s="22" t="s">
        <v>238</v>
      </c>
      <c r="K225" s="117">
        <v>116000</v>
      </c>
      <c r="L225" s="23">
        <v>405</v>
      </c>
      <c r="M225" s="118">
        <f>IFERROR(Tabledaily[[#This Row],[المبلـــــــغ]]/Tabledaily[[#This Row],[سعــــــر
الصـــــرف]],"")</f>
        <v>286.41975308641975</v>
      </c>
      <c r="N225" s="22" t="s">
        <v>340</v>
      </c>
      <c r="O225" s="22" t="s">
        <v>312</v>
      </c>
      <c r="P225" s="22" t="s">
        <v>312</v>
      </c>
      <c r="Q225" s="22"/>
      <c r="R225" s="22" t="s">
        <v>237</v>
      </c>
      <c r="S225" s="24">
        <f>IFERROR(INDEX(tablecost[رقم المركز],MATCH(Tabledaily[[#This Row],[مركـــــــزالتكلفــــــة]],tablecost[الاسم],0)),0)</f>
        <v>1</v>
      </c>
      <c r="T225" s="27">
        <f>DATE(Tabledaily[[#This Row],[السنــــة]],Tabledaily[[#This Row],[الشهــــر]],Tabledaily[[#This Row],[الـــــيوم]])</f>
        <v>46184</v>
      </c>
      <c r="U225" s="28">
        <v>46193.003310185188</v>
      </c>
      <c r="V225" s="22"/>
      <c r="W225" s="24">
        <f>YEAR(Tabledaily[[#This Row],[التاريخ]])</f>
        <v>2026</v>
      </c>
      <c r="X225" s="24">
        <f>MONTH(Tabledaily[[#This Row],[التاريخ]])</f>
        <v>6</v>
      </c>
      <c r="Y225" s="24">
        <f>DAY(Tabledaily[[#This Row],[التاريخ]])</f>
        <v>11</v>
      </c>
      <c r="Z22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11 بامر</v>
      </c>
      <c r="AA225" s="24" t="str">
        <f>IF(COUNTIF(TableDailyJournal[رقم العملية],Tabledaily[[#This Row],[رقم العملية]])&gt;1,"مرحل","غير مرحل")</f>
        <v>مرحل</v>
      </c>
    </row>
    <row r="226" spans="1:27" ht="22.9" customHeight="1" x14ac:dyDescent="0.55000000000000004">
      <c r="A226" s="22">
        <f t="shared" si="7"/>
        <v>224</v>
      </c>
      <c r="B226" s="23" t="s">
        <v>660</v>
      </c>
      <c r="C226" s="213" t="s">
        <v>661</v>
      </c>
      <c r="D226" s="22" t="s">
        <v>290</v>
      </c>
      <c r="E226" s="22">
        <f>IFERROR(INDEX(TableJudje[رقم الحساب],MATCH(Tabledaily[[#This Row],[الحســاب الدئـــن]],TableJudje[اسم الحساب],0)),0)</f>
        <v>11060205</v>
      </c>
      <c r="F226" s="22" t="s">
        <v>513</v>
      </c>
      <c r="G226" s="22" t="s">
        <v>559</v>
      </c>
      <c r="H226" s="24">
        <f>IFERROR(INDEX(TableJudje[رقم الحساب],MATCH(Tabledaily[[#This Row],[الحســاب المديــــن]],TableJudje[اسم الحساب],0)),0)</f>
        <v>31010101</v>
      </c>
      <c r="I226" s="22" t="s">
        <v>111</v>
      </c>
      <c r="J226" s="22" t="s">
        <v>238</v>
      </c>
      <c r="K226" s="117">
        <v>30000</v>
      </c>
      <c r="L226" s="23">
        <v>405</v>
      </c>
      <c r="M226" s="118">
        <f>IFERROR(Tabledaily[[#This Row],[المبلـــــــغ]]/Tabledaily[[#This Row],[سعــــــر
الصـــــرف]],"")</f>
        <v>74.074074074074076</v>
      </c>
      <c r="N226" s="22" t="s">
        <v>521</v>
      </c>
      <c r="O226" s="22" t="s">
        <v>312</v>
      </c>
      <c r="P226" s="22" t="s">
        <v>312</v>
      </c>
      <c r="Q226" s="22"/>
      <c r="R226" s="22" t="s">
        <v>237</v>
      </c>
      <c r="S226" s="24">
        <f>IFERROR(INDEX(tablecost[رقم المركز],MATCH(Tabledaily[[#This Row],[مركـــــــزالتكلفــــــة]],tablecost[الاسم],0)),0)</f>
        <v>1</v>
      </c>
      <c r="T226" s="27">
        <f>DATE(Tabledaily[[#This Row],[السنــــة]],Tabledaily[[#This Row],[الشهــــر]],Tabledaily[[#This Row],[الـــــيوم]])</f>
        <v>46184</v>
      </c>
      <c r="U226" s="28">
        <v>46193.002824074072</v>
      </c>
      <c r="V226" s="22"/>
      <c r="W226" s="24">
        <f>YEAR(Tabledaily[[#This Row],[التاريخ]])</f>
        <v>2026</v>
      </c>
      <c r="X226" s="24">
        <f>MONTH(Tabledaily[[#This Row],[التاريخ]])</f>
        <v>6</v>
      </c>
      <c r="Y226" s="24">
        <f>DAY(Tabledaily[[#This Row],[التاريخ]])</f>
        <v>11</v>
      </c>
      <c r="Z22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226" s="24" t="str">
        <f>IF(COUNTIF(TableDailyJournal[رقم العملية],Tabledaily[[#This Row],[رقم العملية]])&gt;1,"مرحل","غير مرحل")</f>
        <v>مرحل</v>
      </c>
    </row>
    <row r="227" spans="1:27" ht="22.9" customHeight="1" x14ac:dyDescent="0.55000000000000004">
      <c r="A227" s="22">
        <f t="shared" si="7"/>
        <v>225</v>
      </c>
      <c r="B227" s="23" t="s">
        <v>658</v>
      </c>
      <c r="C227" s="213">
        <v>46184</v>
      </c>
      <c r="D227" s="22" t="s">
        <v>290</v>
      </c>
      <c r="E227" s="22">
        <f>IFERROR(INDEX(TableJudje[رقم الحساب],MATCH(Tabledaily[[#This Row],[الحســاب الدئـــن]],TableJudje[اسم الحساب],0)),0)</f>
        <v>11060205</v>
      </c>
      <c r="F227" s="22" t="s">
        <v>513</v>
      </c>
      <c r="G227" s="22" t="s">
        <v>659</v>
      </c>
      <c r="H227" s="24">
        <f>IFERROR(INDEX(TableJudje[رقم الحساب],MATCH(Tabledaily[[#This Row],[الحســاب المديــــن]],TableJudje[اسم الحساب],0)),0)</f>
        <v>31010101</v>
      </c>
      <c r="I227" s="22" t="s">
        <v>111</v>
      </c>
      <c r="J227" s="22" t="s">
        <v>238</v>
      </c>
      <c r="K227" s="117">
        <v>40000</v>
      </c>
      <c r="L227" s="23">
        <v>405</v>
      </c>
      <c r="M227" s="118">
        <f>IFERROR(Tabledaily[[#This Row],[المبلـــــــغ]]/Tabledaily[[#This Row],[سعــــــر
الصـــــرف]],"")</f>
        <v>98.76543209876543</v>
      </c>
      <c r="N227" s="22" t="s">
        <v>343</v>
      </c>
      <c r="O227" s="22" t="s">
        <v>312</v>
      </c>
      <c r="P227" s="22" t="s">
        <v>312</v>
      </c>
      <c r="Q227" s="22"/>
      <c r="R227" s="22" t="s">
        <v>237</v>
      </c>
      <c r="S227" s="24">
        <f>IFERROR(INDEX(tablecost[رقم المركز],MATCH(Tabledaily[[#This Row],[مركـــــــزالتكلفــــــة]],tablecost[الاسم],0)),0)</f>
        <v>1</v>
      </c>
      <c r="T227" s="27">
        <f>DATE(Tabledaily[[#This Row],[السنــــة]],Tabledaily[[#This Row],[الشهــــر]],Tabledaily[[#This Row],[الـــــيوم]])</f>
        <v>46184</v>
      </c>
      <c r="U227" s="28">
        <v>46193.001712962963</v>
      </c>
      <c r="V227" s="22"/>
      <c r="W227" s="24">
        <f>YEAR(Tabledaily[[#This Row],[التاريخ]])</f>
        <v>2026</v>
      </c>
      <c r="X227" s="24">
        <f>MONTH(Tabledaily[[#This Row],[التاريخ]])</f>
        <v>6</v>
      </c>
      <c r="Y227" s="24">
        <f>DAY(Tabledaily[[#This Row],[التاريخ]])</f>
        <v>11</v>
      </c>
      <c r="Z22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7 بامر</v>
      </c>
      <c r="AA227" s="24" t="str">
        <f>IF(COUNTIF(TableDailyJournal[رقم العملية],Tabledaily[[#This Row],[رقم العملية]])&gt;1,"مرحل","غير مرحل")</f>
        <v>مرحل</v>
      </c>
    </row>
    <row r="228" spans="1:27" ht="22.9" customHeight="1" x14ac:dyDescent="0.55000000000000004">
      <c r="A228" s="22">
        <f t="shared" si="7"/>
        <v>226</v>
      </c>
      <c r="B228" s="23" t="s">
        <v>653</v>
      </c>
      <c r="C228" s="213" t="s">
        <v>624</v>
      </c>
      <c r="D228" s="22" t="s">
        <v>290</v>
      </c>
      <c r="E228" s="22">
        <f>IFERROR(INDEX(TableJudje[رقم الحساب],MATCH(Tabledaily[[#This Row],[الحســاب الدئـــن]],TableJudje[اسم الحساب],0)),0)</f>
        <v>11060205</v>
      </c>
      <c r="F228" s="22" t="s">
        <v>513</v>
      </c>
      <c r="G228" s="22" t="s">
        <v>654</v>
      </c>
      <c r="H228" s="24">
        <f>IFERROR(INDEX(TableJudje[رقم الحساب],MATCH(Tabledaily[[#This Row],[الحســاب المديــــن]],TableJudje[اسم الحساب],0)),0)</f>
        <v>31010101</v>
      </c>
      <c r="I228" s="22" t="s">
        <v>111</v>
      </c>
      <c r="J228" s="22" t="s">
        <v>238</v>
      </c>
      <c r="K228" s="117">
        <v>20000</v>
      </c>
      <c r="L228" s="23">
        <v>405</v>
      </c>
      <c r="M228" s="118">
        <f>IFERROR(Tabledaily[[#This Row],[المبلـــــــغ]]/Tabledaily[[#This Row],[سعــــــر
الصـــــرف]],"")</f>
        <v>49.382716049382715</v>
      </c>
      <c r="N228" s="22" t="s">
        <v>545</v>
      </c>
      <c r="O228" s="22" t="s">
        <v>286</v>
      </c>
      <c r="P228" s="22" t="s">
        <v>287</v>
      </c>
      <c r="Q228" s="22"/>
      <c r="R228" s="22" t="s">
        <v>248</v>
      </c>
      <c r="S228" s="24">
        <f>IFERROR(INDEX(tablecost[رقم المركز],MATCH(Tabledaily[[#This Row],[مركـــــــزالتكلفــــــة]],tablecost[الاسم],0)),0)</f>
        <v>7</v>
      </c>
      <c r="T228" s="27">
        <f>DATE(Tabledaily[[#This Row],[السنــــة]],Tabledaily[[#This Row],[الشهــــر]],Tabledaily[[#This Row],[الـــــيوم]])</f>
        <v>46183</v>
      </c>
      <c r="U228" s="28">
        <v>46192.996064814812</v>
      </c>
      <c r="V228" s="22"/>
      <c r="W228" s="24">
        <f>YEAR(Tabledaily[[#This Row],[التاريخ]])</f>
        <v>2026</v>
      </c>
      <c r="X228" s="24">
        <f>MONTH(Tabledaily[[#This Row],[التاريخ]])</f>
        <v>6</v>
      </c>
      <c r="Y228" s="24">
        <f>DAY(Tabledaily[[#This Row],[التاريخ]])</f>
        <v>10</v>
      </c>
      <c r="Z22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اللواء السادس)  - استلام نقدي رقم   سند استلام - صرف الصرفة اليومية ليومي 9 و 10 بامر</v>
      </c>
      <c r="AA228" s="24" t="str">
        <f>IF(COUNTIF(TableDailyJournal[رقم العملية],Tabledaily[[#This Row],[رقم العملية]])&gt;1,"مرحل","غير مرحل")</f>
        <v>مرحل</v>
      </c>
    </row>
    <row r="229" spans="1:27" ht="22.9" customHeight="1" x14ac:dyDescent="0.55000000000000004">
      <c r="A229" s="22">
        <f t="shared" si="7"/>
        <v>227</v>
      </c>
      <c r="B229" s="23" t="s">
        <v>650</v>
      </c>
      <c r="C229" s="213" t="s">
        <v>624</v>
      </c>
      <c r="D229" s="22" t="s">
        <v>290</v>
      </c>
      <c r="E229" s="22">
        <f>IFERROR(INDEX(TableJudje[رقم الحساب],MATCH(Tabledaily[[#This Row],[الحســاب الدئـــن]],TableJudje[اسم الحساب],0)),0)</f>
        <v>11060205</v>
      </c>
      <c r="F229" s="22" t="s">
        <v>513</v>
      </c>
      <c r="G229" s="22" t="s">
        <v>651</v>
      </c>
      <c r="H229" s="24">
        <f>IFERROR(INDEX(TableJudje[رقم الحساب],MATCH(Tabledaily[[#This Row],[الحســاب المديــــن]],TableJudje[اسم الحساب],0)),0)</f>
        <v>31010114</v>
      </c>
      <c r="I229" s="22" t="s">
        <v>121</v>
      </c>
      <c r="J229" s="22" t="s">
        <v>238</v>
      </c>
      <c r="K229" s="117">
        <v>21000</v>
      </c>
      <c r="L229" s="23">
        <v>405</v>
      </c>
      <c r="M229" s="118">
        <f>IFERROR(Tabledaily[[#This Row],[المبلـــــــغ]]/Tabledaily[[#This Row],[سعــــــر
الصـــــرف]],"")</f>
        <v>51.851851851851855</v>
      </c>
      <c r="N229" s="22" t="s">
        <v>652</v>
      </c>
      <c r="O229" s="22" t="s">
        <v>286</v>
      </c>
      <c r="P229" s="22" t="s">
        <v>287</v>
      </c>
      <c r="Q229" s="22"/>
      <c r="R229" s="22" t="s">
        <v>237</v>
      </c>
      <c r="S229" s="24">
        <f>IFERROR(INDEX(tablecost[رقم المركز],MATCH(Tabledaily[[#This Row],[مركـــــــزالتكلفــــــة]],tablecost[الاسم],0)),0)</f>
        <v>1</v>
      </c>
      <c r="T229" s="27">
        <f>DATE(Tabledaily[[#This Row],[السنــــة]],Tabledaily[[#This Row],[الشهــــر]],Tabledaily[[#This Row],[الـــــيوم]])</f>
        <v>46183</v>
      </c>
      <c r="U229" s="28">
        <v>46192.994710648149</v>
      </c>
      <c r="V229" s="22" t="s">
        <v>441</v>
      </c>
      <c r="W229" s="24">
        <f>YEAR(Tabledaily[[#This Row],[التاريخ]])</f>
        <v>2026</v>
      </c>
      <c r="X229" s="24">
        <f>MONTH(Tabledaily[[#This Row],[التاريخ]])</f>
        <v>6</v>
      </c>
      <c r="Y229" s="24">
        <f>DAY(Tabledaily[[#This Row],[التاريخ]])</f>
        <v>10</v>
      </c>
      <c r="Z22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افراد السيطرة - الفرقة الثالثة)  - استلام نقدي رقم   سند استلام - صرف حافز افراد علي عارف علي راجح بامرالمالية</v>
      </c>
      <c r="AA229" s="24" t="str">
        <f>IF(COUNTIF(TableDailyJournal[رقم العملية],Tabledaily[[#This Row],[رقم العملية]])&gt;1,"مرحل","غير مرحل")</f>
        <v>مرحل</v>
      </c>
    </row>
    <row r="230" spans="1:27" ht="22.9" customHeight="1" x14ac:dyDescent="0.55000000000000004">
      <c r="A230" s="22">
        <f t="shared" si="7"/>
        <v>228</v>
      </c>
      <c r="B230" s="23" t="s">
        <v>647</v>
      </c>
      <c r="C230" s="213" t="s">
        <v>624</v>
      </c>
      <c r="D230" s="22" t="s">
        <v>290</v>
      </c>
      <c r="E230" s="22">
        <f>IFERROR(INDEX(TableJudje[رقم الحساب],MATCH(Tabledaily[[#This Row],[الحســاب الدئـــن]],TableJudje[اسم الحساب],0)),0)</f>
        <v>11060205</v>
      </c>
      <c r="F230" s="22" t="s">
        <v>513</v>
      </c>
      <c r="G230" s="22" t="s">
        <v>648</v>
      </c>
      <c r="H230" s="24">
        <f>IFERROR(INDEX(TableJudje[رقم الحساب],MATCH(Tabledaily[[#This Row],[الحســاب المديــــن]],TableJudje[اسم الحساب],0)),0)</f>
        <v>31010101</v>
      </c>
      <c r="I230" s="22" t="s">
        <v>111</v>
      </c>
      <c r="J230" s="22" t="s">
        <v>238</v>
      </c>
      <c r="K230" s="117">
        <v>12000</v>
      </c>
      <c r="L230" s="23">
        <v>405</v>
      </c>
      <c r="M230" s="118">
        <f>IFERROR(Tabledaily[[#This Row],[المبلـــــــغ]]/Tabledaily[[#This Row],[سعــــــر
الصـــــرف]],"")</f>
        <v>29.62962962962963</v>
      </c>
      <c r="N230" s="22" t="s">
        <v>649</v>
      </c>
      <c r="O230" s="22" t="s">
        <v>286</v>
      </c>
      <c r="P230" s="22" t="s">
        <v>287</v>
      </c>
      <c r="Q230" s="22"/>
      <c r="R230" s="22" t="s">
        <v>237</v>
      </c>
      <c r="S230" s="24">
        <f>IFERROR(INDEX(tablecost[رقم المركز],MATCH(Tabledaily[[#This Row],[مركـــــــزالتكلفــــــة]],tablecost[الاسم],0)),0)</f>
        <v>1</v>
      </c>
      <c r="T230" s="27">
        <f>DATE(Tabledaily[[#This Row],[السنــــة]],Tabledaily[[#This Row],[الشهــــر]],Tabledaily[[#This Row],[الـــــيوم]])</f>
        <v>46183</v>
      </c>
      <c r="U230" s="28">
        <v>46192.993263888886</v>
      </c>
      <c r="V230" s="22" t="s">
        <v>441</v>
      </c>
      <c r="W230" s="24">
        <f>YEAR(Tabledaily[[#This Row],[التاريخ]])</f>
        <v>2026</v>
      </c>
      <c r="X230" s="24">
        <f>MONTH(Tabledaily[[#This Row],[التاريخ]])</f>
        <v>6</v>
      </c>
      <c r="Y230" s="24">
        <f>DAY(Tabledaily[[#This Row],[التاريخ]])</f>
        <v>10</v>
      </c>
      <c r="Z23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v>
      </c>
      <c r="AA230" s="24" t="str">
        <f>IF(COUNTIF(TableDailyJournal[رقم العملية],Tabledaily[[#This Row],[رقم العملية]])&gt;1,"مرحل","غير مرحل")</f>
        <v>مرحل</v>
      </c>
    </row>
    <row r="231" spans="1:27" ht="22.9" customHeight="1" x14ac:dyDescent="0.55000000000000004">
      <c r="A231" s="22">
        <f t="shared" si="7"/>
        <v>229</v>
      </c>
      <c r="B231" s="23" t="s">
        <v>643</v>
      </c>
      <c r="C231" s="213" t="s">
        <v>624</v>
      </c>
      <c r="D231" s="22" t="s">
        <v>290</v>
      </c>
      <c r="E231" s="22">
        <f>IFERROR(INDEX(TableJudje[رقم الحساب],MATCH(Tabledaily[[#This Row],[الحســاب الدئـــن]],TableJudje[اسم الحساب],0)),0)</f>
        <v>11060205</v>
      </c>
      <c r="F231" s="22" t="s">
        <v>513</v>
      </c>
      <c r="G231" s="22" t="s">
        <v>644</v>
      </c>
      <c r="H231" s="24">
        <f>IFERROR(INDEX(TableJudje[رقم الحساب],MATCH(Tabledaily[[#This Row],[الحســاب المديــــن]],TableJudje[اسم الحساب],0)),0)</f>
        <v>31010135</v>
      </c>
      <c r="I231" s="22" t="s">
        <v>473</v>
      </c>
      <c r="J231" s="22" t="s">
        <v>238</v>
      </c>
      <c r="K231" s="117">
        <v>30000</v>
      </c>
      <c r="L231" s="23">
        <v>405</v>
      </c>
      <c r="M231" s="118">
        <f>IFERROR(Tabledaily[[#This Row],[المبلـــــــغ]]/Tabledaily[[#This Row],[سعــــــر
الصـــــرف]],"")</f>
        <v>74.074074074074076</v>
      </c>
      <c r="N231" s="22" t="s">
        <v>645</v>
      </c>
      <c r="O231" s="22" t="s">
        <v>286</v>
      </c>
      <c r="P231" s="22" t="s">
        <v>287</v>
      </c>
      <c r="Q231" s="22"/>
      <c r="R231" s="22" t="s">
        <v>237</v>
      </c>
      <c r="S231" s="24">
        <f>IFERROR(INDEX(tablecost[رقم المركز],MATCH(Tabledaily[[#This Row],[مركـــــــزالتكلفــــــة]],tablecost[الاسم],0)),0)</f>
        <v>1</v>
      </c>
      <c r="T231" s="27">
        <f>DATE(Tabledaily[[#This Row],[السنــــة]],Tabledaily[[#This Row],[الشهــــر]],Tabledaily[[#This Row],[الـــــيوم]])</f>
        <v>46183</v>
      </c>
      <c r="U231" s="28">
        <v>46192.991446759261</v>
      </c>
      <c r="V231" s="22" t="s">
        <v>646</v>
      </c>
      <c r="W231" s="24">
        <f>YEAR(Tabledaily[[#This Row],[التاريخ]])</f>
        <v>2026</v>
      </c>
      <c r="X231" s="24">
        <f>MONTH(Tabledaily[[#This Row],[التاريخ]])</f>
        <v>6</v>
      </c>
      <c r="Y231" s="24">
        <f>DAY(Tabledaily[[#This Row],[التاريخ]])</f>
        <v>10</v>
      </c>
      <c r="Z23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(اجور يومية - صالح عبدالله لدحل - الفرقة الثالثة)  - استلام نقدي رقم   سند استلام - صرف اجور سائق قاطرة الماء بامرالمستشار المالي</v>
      </c>
      <c r="AA231" s="24" t="str">
        <f>IF(COUNTIF(TableDailyJournal[رقم العملية],Tabledaily[[#This Row],[رقم العملية]])&gt;1,"مرحل","غير مرحل")</f>
        <v>مرحل</v>
      </c>
    </row>
    <row r="232" spans="1:27" ht="22.9" customHeight="1" x14ac:dyDescent="0.55000000000000004">
      <c r="A232" s="22">
        <f t="shared" si="7"/>
        <v>230</v>
      </c>
      <c r="B232" s="23" t="s">
        <v>642</v>
      </c>
      <c r="C232" s="213" t="s">
        <v>624</v>
      </c>
      <c r="D232" s="22" t="s">
        <v>290</v>
      </c>
      <c r="E232" s="22">
        <f>IFERROR(INDEX(TableJudje[رقم الحساب],MATCH(Tabledaily[[#This Row],[الحســاب الدئـــن]],TableJudje[اسم الحساب],0)),0)</f>
        <v>11060205</v>
      </c>
      <c r="F232" s="22" t="s">
        <v>513</v>
      </c>
      <c r="G232" s="22" t="s">
        <v>443</v>
      </c>
      <c r="H232" s="24">
        <f>IFERROR(INDEX(TableJudje[رقم الحساب],MATCH(Tabledaily[[#This Row],[الحســاب المديــــن]],TableJudje[اسم الحساب],0)),0)</f>
        <v>31010101</v>
      </c>
      <c r="I232" s="22" t="s">
        <v>111</v>
      </c>
      <c r="J232" s="22" t="s">
        <v>238</v>
      </c>
      <c r="K232" s="117">
        <v>128000</v>
      </c>
      <c r="L232" s="23">
        <v>405</v>
      </c>
      <c r="M232" s="118">
        <f>IFERROR(Tabledaily[[#This Row],[المبلـــــــغ]]/Tabledaily[[#This Row],[سعــــــر
الصـــــرف]],"")</f>
        <v>316.04938271604937</v>
      </c>
      <c r="N232" s="22" t="s">
        <v>340</v>
      </c>
      <c r="O232" s="22" t="s">
        <v>312</v>
      </c>
      <c r="P232" s="22" t="s">
        <v>312</v>
      </c>
      <c r="Q232" s="22"/>
      <c r="R232" s="22" t="s">
        <v>237</v>
      </c>
      <c r="S232" s="24">
        <f>IFERROR(INDEX(tablecost[رقم المركز],MATCH(Tabledaily[[#This Row],[مركـــــــزالتكلفــــــة]],tablecost[الاسم],0)),0)</f>
        <v>1</v>
      </c>
      <c r="T232" s="27">
        <f>DATE(Tabledaily[[#This Row],[السنــــة]],Tabledaily[[#This Row],[الشهــــر]],Tabledaily[[#This Row],[الـــــيوم]])</f>
        <v>46183</v>
      </c>
      <c r="U232" s="28">
        <v>46192.988159722219</v>
      </c>
      <c r="V232" s="22"/>
      <c r="W232" s="24">
        <f>YEAR(Tabledaily[[#This Row],[التاريخ]])</f>
        <v>2026</v>
      </c>
      <c r="X232" s="24">
        <f>MONTH(Tabledaily[[#This Row],[التاريخ]])</f>
        <v>6</v>
      </c>
      <c r="Y232" s="24">
        <f>DAY(Tabledaily[[#This Row],[التاريخ]])</f>
        <v>10</v>
      </c>
      <c r="Z23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12 بامر</v>
      </c>
      <c r="AA232" s="24" t="str">
        <f>IF(COUNTIF(TableDailyJournal[رقم العملية],Tabledaily[[#This Row],[رقم العملية]])&gt;1,"مرحل","غير مرحل")</f>
        <v>مرحل</v>
      </c>
    </row>
    <row r="233" spans="1:27" ht="22.9" customHeight="1" x14ac:dyDescent="0.55000000000000004">
      <c r="A233" s="22">
        <f t="shared" si="7"/>
        <v>231</v>
      </c>
      <c r="B233" s="23" t="s">
        <v>640</v>
      </c>
      <c r="C233" s="213" t="s">
        <v>624</v>
      </c>
      <c r="D233" s="22" t="s">
        <v>290</v>
      </c>
      <c r="E233" s="22">
        <f>IFERROR(INDEX(TableJudje[رقم الحساب],MATCH(Tabledaily[[#This Row],[الحســاب الدئـــن]],TableJudje[اسم الحساب],0)),0)</f>
        <v>11060205</v>
      </c>
      <c r="F233" s="22" t="s">
        <v>513</v>
      </c>
      <c r="G233" s="22" t="s">
        <v>641</v>
      </c>
      <c r="H233" s="24">
        <f>IFERROR(INDEX(TableJudje[رقم الحساب],MATCH(Tabledaily[[#This Row],[الحســاب المديــــن]],TableJudje[اسم الحساب],0)),0)</f>
        <v>31010101</v>
      </c>
      <c r="I233" s="22" t="s">
        <v>111</v>
      </c>
      <c r="J233" s="22" t="s">
        <v>238</v>
      </c>
      <c r="K233" s="117">
        <v>152000</v>
      </c>
      <c r="L233" s="23">
        <v>405</v>
      </c>
      <c r="M233" s="118">
        <f>IFERROR(Tabledaily[[#This Row],[المبلـــــــغ]]/Tabledaily[[#This Row],[سعــــــر
الصـــــرف]],"")</f>
        <v>375.30864197530866</v>
      </c>
      <c r="N233" s="22" t="s">
        <v>311</v>
      </c>
      <c r="O233" s="22" t="s">
        <v>312</v>
      </c>
      <c r="P233" s="22" t="s">
        <v>312</v>
      </c>
      <c r="Q233" s="22"/>
      <c r="R233" s="22" t="s">
        <v>248</v>
      </c>
      <c r="S233" s="24">
        <f>IFERROR(INDEX(tablecost[رقم المركز],MATCH(Tabledaily[[#This Row],[مركـــــــزالتكلفــــــة]],tablecost[الاسم],0)),0)</f>
        <v>7</v>
      </c>
      <c r="T233" s="27">
        <f>DATE(Tabledaily[[#This Row],[السنــــة]],Tabledaily[[#This Row],[الشهــــر]],Tabledaily[[#This Row],[الـــــيوم]])</f>
        <v>46183</v>
      </c>
      <c r="U233" s="28">
        <v>46192.987488425926</v>
      </c>
      <c r="V233" s="22"/>
      <c r="W233" s="24">
        <f>YEAR(Tabledaily[[#This Row],[التاريخ]])</f>
        <v>2026</v>
      </c>
      <c r="X233" s="24">
        <f>MONTH(Tabledaily[[#This Row],[التاريخ]])</f>
        <v>6</v>
      </c>
      <c r="Y233" s="24">
        <f>DAY(Tabledaily[[#This Row],[التاريخ]])</f>
        <v>10</v>
      </c>
      <c r="Z23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38 بامر</v>
      </c>
      <c r="AA233" s="24" t="str">
        <f>IF(COUNTIF(TableDailyJournal[رقم العملية],Tabledaily[[#This Row],[رقم العملية]])&gt;1,"مرحل","غير مرحل")</f>
        <v>مرحل</v>
      </c>
    </row>
    <row r="234" spans="1:27" ht="22.9" customHeight="1" x14ac:dyDescent="0.55000000000000004">
      <c r="A234" s="22">
        <f t="shared" si="7"/>
        <v>232</v>
      </c>
      <c r="B234" s="23" t="s">
        <v>639</v>
      </c>
      <c r="C234" s="213" t="s">
        <v>624</v>
      </c>
      <c r="D234" s="22" t="s">
        <v>290</v>
      </c>
      <c r="E234" s="22">
        <f>IFERROR(INDEX(TableJudje[رقم الحساب],MATCH(Tabledaily[[#This Row],[الحســاب الدئـــن]],TableJudje[اسم الحساب],0)),0)</f>
        <v>11060205</v>
      </c>
      <c r="F234" s="22" t="s">
        <v>513</v>
      </c>
      <c r="G234" s="22" t="s">
        <v>458</v>
      </c>
      <c r="H234" s="24">
        <f>IFERROR(INDEX(TableJudje[رقم الحساب],MATCH(Tabledaily[[#This Row],[الحســاب المديــــن]],TableJudje[اسم الحساب],0)),0)</f>
        <v>31010101</v>
      </c>
      <c r="I234" s="22" t="s">
        <v>111</v>
      </c>
      <c r="J234" s="22" t="s">
        <v>238</v>
      </c>
      <c r="K234" s="117">
        <v>28000</v>
      </c>
      <c r="L234" s="23">
        <v>405</v>
      </c>
      <c r="M234" s="118">
        <f>IFERROR(Tabledaily[[#This Row],[المبلـــــــغ]]/Tabledaily[[#This Row],[سعــــــر
الصـــــرف]],"")</f>
        <v>69.135802469135797</v>
      </c>
      <c r="N234" s="22" t="s">
        <v>459</v>
      </c>
      <c r="O234" s="22" t="s">
        <v>312</v>
      </c>
      <c r="P234" s="22" t="s">
        <v>312</v>
      </c>
      <c r="Q234" s="22"/>
      <c r="R234" s="22" t="s">
        <v>237</v>
      </c>
      <c r="S234" s="24">
        <f>IFERROR(INDEX(tablecost[رقم المركز],MATCH(Tabledaily[[#This Row],[مركـــــــزالتكلفــــــة]],tablecost[الاسم],0)),0)</f>
        <v>1</v>
      </c>
      <c r="T234" s="27">
        <f>DATE(Tabledaily[[#This Row],[السنــــة]],Tabledaily[[#This Row],[الشهــــر]],Tabledaily[[#This Row],[الـــــيوم]])</f>
        <v>46183</v>
      </c>
      <c r="U234" s="28">
        <v>46192.986562500002</v>
      </c>
      <c r="V234" s="22"/>
      <c r="W234" s="24">
        <f>YEAR(Tabledaily[[#This Row],[التاريخ]])</f>
        <v>2026</v>
      </c>
      <c r="X234" s="24">
        <f>MONTH(Tabledaily[[#This Row],[التاريخ]])</f>
        <v>6</v>
      </c>
      <c r="Y234" s="24">
        <f>DAY(Tabledaily[[#This Row],[التاريخ]])</f>
        <v>10</v>
      </c>
      <c r="Z23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234" s="24" t="str">
        <f>IF(COUNTIF(TableDailyJournal[رقم العملية],Tabledaily[[#This Row],[رقم العملية]])&gt;1,"مرحل","غير مرحل")</f>
        <v>مرحل</v>
      </c>
    </row>
    <row r="235" spans="1:27" ht="22.9" customHeight="1" x14ac:dyDescent="0.55000000000000004">
      <c r="A235" s="22">
        <f t="shared" si="7"/>
        <v>233</v>
      </c>
      <c r="B235" s="23" t="s">
        <v>636</v>
      </c>
      <c r="C235" s="213" t="s">
        <v>624</v>
      </c>
      <c r="D235" s="22" t="s">
        <v>290</v>
      </c>
      <c r="E235" s="22">
        <f>IFERROR(INDEX(TableJudje[رقم الحساب],MATCH(Tabledaily[[#This Row],[الحســاب الدئـــن]],TableJudje[اسم الحساب],0)),0)</f>
        <v>11060205</v>
      </c>
      <c r="F235" s="22" t="s">
        <v>513</v>
      </c>
      <c r="G235" s="22" t="s">
        <v>637</v>
      </c>
      <c r="H235" s="24">
        <f>IFERROR(INDEX(TableJudje[رقم الحساب],MATCH(Tabledaily[[#This Row],[الحســاب المديــــن]],TableJudje[اسم الحساب],0)),0)</f>
        <v>31010101</v>
      </c>
      <c r="I235" s="22" t="s">
        <v>111</v>
      </c>
      <c r="J235" s="22" t="s">
        <v>238</v>
      </c>
      <c r="K235" s="117">
        <v>20000</v>
      </c>
      <c r="L235" s="23">
        <v>405</v>
      </c>
      <c r="M235" s="118">
        <f>IFERROR(Tabledaily[[#This Row],[المبلـــــــغ]]/Tabledaily[[#This Row],[سعــــــر
الصـــــرف]],"")</f>
        <v>49.382716049382715</v>
      </c>
      <c r="N235" s="22" t="s">
        <v>638</v>
      </c>
      <c r="O235" s="22" t="s">
        <v>312</v>
      </c>
      <c r="P235" s="22" t="s">
        <v>312</v>
      </c>
      <c r="Q235" s="22"/>
      <c r="R235" s="22" t="s">
        <v>237</v>
      </c>
      <c r="S235" s="24">
        <f>IFERROR(INDEX(tablecost[رقم المركز],MATCH(Tabledaily[[#This Row],[مركـــــــزالتكلفــــــة]],tablecost[الاسم],0)),0)</f>
        <v>1</v>
      </c>
      <c r="T235" s="27">
        <f>DATE(Tabledaily[[#This Row],[السنــــة]],Tabledaily[[#This Row],[الشهــــر]],Tabledaily[[#This Row],[الـــــيوم]])</f>
        <v>46183</v>
      </c>
      <c r="U235" s="28">
        <v>46192.985567129632</v>
      </c>
      <c r="V235" s="22"/>
      <c r="W235" s="24">
        <f>YEAR(Tabledaily[[#This Row],[التاريخ]])</f>
        <v>2026</v>
      </c>
      <c r="X235" s="24">
        <f>MONTH(Tabledaily[[#This Row],[التاريخ]])</f>
        <v>6</v>
      </c>
      <c r="Y235" s="24">
        <f>DAY(Tabledaily[[#This Row],[التاريخ]])</f>
        <v>10</v>
      </c>
      <c r="Z23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مرافقي الاركان - الفرقة الثالثة)  - كشف صرف رقم   كشف صرف - صرف الصرفة اليومية لمرافقي الاركان عدد 3 بامر</v>
      </c>
      <c r="AA235" s="24" t="str">
        <f>IF(COUNTIF(TableDailyJournal[رقم العملية],Tabledaily[[#This Row],[رقم العملية]])&gt;1,"مرحل","غير مرحل")</f>
        <v>مرحل</v>
      </c>
    </row>
    <row r="236" spans="1:27" ht="22.9" customHeight="1" x14ac:dyDescent="0.55000000000000004">
      <c r="A236" s="22">
        <f t="shared" si="7"/>
        <v>234</v>
      </c>
      <c r="B236" s="23" t="s">
        <v>634</v>
      </c>
      <c r="C236" s="213" t="s">
        <v>624</v>
      </c>
      <c r="D236" s="22" t="s">
        <v>290</v>
      </c>
      <c r="E236" s="22">
        <f>IFERROR(INDEX(TableJudje[رقم الحساب],MATCH(Tabledaily[[#This Row],[الحســاب الدئـــن]],TableJudje[اسم الحساب],0)),0)</f>
        <v>11060205</v>
      </c>
      <c r="F236" s="22" t="s">
        <v>513</v>
      </c>
      <c r="G236" s="22" t="s">
        <v>635</v>
      </c>
      <c r="H236" s="24">
        <f>IFERROR(INDEX(TableJudje[رقم الحساب],MATCH(Tabledaily[[#This Row],[الحســاب المديــــن]],TableJudje[اسم الحساب],0)),0)</f>
        <v>31010101</v>
      </c>
      <c r="I236" s="22" t="s">
        <v>111</v>
      </c>
      <c r="J236" s="22" t="s">
        <v>238</v>
      </c>
      <c r="K236" s="117">
        <v>74000</v>
      </c>
      <c r="L236" s="23">
        <v>405</v>
      </c>
      <c r="M236" s="118">
        <f>IFERROR(Tabledaily[[#This Row],[المبلـــــــغ]]/Tabledaily[[#This Row],[سعــــــر
الصـــــرف]],"")</f>
        <v>182.71604938271605</v>
      </c>
      <c r="N236" s="22" t="s">
        <v>322</v>
      </c>
      <c r="O236" s="22" t="s">
        <v>312</v>
      </c>
      <c r="P236" s="22" t="s">
        <v>312</v>
      </c>
      <c r="Q236" s="22"/>
      <c r="R236" s="22" t="s">
        <v>237</v>
      </c>
      <c r="S236" s="24">
        <f>IFERROR(INDEX(tablecost[رقم المركز],MATCH(Tabledaily[[#This Row],[مركـــــــزالتكلفــــــة]],tablecost[الاسم],0)),0)</f>
        <v>1</v>
      </c>
      <c r="T236" s="27">
        <f>DATE(Tabledaily[[#This Row],[السنــــة]],Tabledaily[[#This Row],[الشهــــر]],Tabledaily[[#This Row],[الـــــيوم]])</f>
        <v>46183</v>
      </c>
      <c r="U236" s="28">
        <v>46192.984722222223</v>
      </c>
      <c r="V236" s="22"/>
      <c r="W236" s="24">
        <f>YEAR(Tabledaily[[#This Row],[التاريخ]])</f>
        <v>2026</v>
      </c>
      <c r="X236" s="24">
        <f>MONTH(Tabledaily[[#This Row],[التاريخ]])</f>
        <v>6</v>
      </c>
      <c r="Y236" s="24">
        <f>DAY(Tabledaily[[#This Row],[التاريخ]])</f>
        <v>10</v>
      </c>
      <c r="Z23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8 بامر</v>
      </c>
      <c r="AA236" s="24" t="str">
        <f>IF(COUNTIF(TableDailyJournal[رقم العملية],Tabledaily[[#This Row],[رقم العملية]])&gt;1,"مرحل","غير مرحل")</f>
        <v>مرحل</v>
      </c>
    </row>
    <row r="237" spans="1:27" ht="22.9" customHeight="1" x14ac:dyDescent="0.55000000000000004">
      <c r="A237" s="22">
        <f t="shared" si="7"/>
        <v>235</v>
      </c>
      <c r="B237" s="23" t="s">
        <v>633</v>
      </c>
      <c r="C237" s="213" t="s">
        <v>624</v>
      </c>
      <c r="D237" s="22" t="s">
        <v>290</v>
      </c>
      <c r="E237" s="22">
        <f>IFERROR(INDEX(TableJudje[رقم الحساب],MATCH(Tabledaily[[#This Row],[الحســاب الدئـــن]],TableJudje[اسم الحساب],0)),0)</f>
        <v>11060205</v>
      </c>
      <c r="F237" s="22" t="s">
        <v>513</v>
      </c>
      <c r="G237" s="22" t="s">
        <v>405</v>
      </c>
      <c r="H237" s="24">
        <f>IFERROR(INDEX(TableJudje[رقم الحساب],MATCH(Tabledaily[[#This Row],[الحســاب المديــــن]],TableJudje[اسم الحساب],0)),0)</f>
        <v>31010101</v>
      </c>
      <c r="I237" s="22" t="s">
        <v>111</v>
      </c>
      <c r="J237" s="22" t="s">
        <v>238</v>
      </c>
      <c r="K237" s="117">
        <v>70000</v>
      </c>
      <c r="L237" s="23">
        <v>405</v>
      </c>
      <c r="M237" s="118">
        <f>IFERROR(Tabledaily[[#This Row],[المبلـــــــغ]]/Tabledaily[[#This Row],[سعــــــر
الصـــــرف]],"")</f>
        <v>172.83950617283949</v>
      </c>
      <c r="N237" s="22" t="s">
        <v>325</v>
      </c>
      <c r="O237" s="22" t="s">
        <v>312</v>
      </c>
      <c r="P237" s="22" t="s">
        <v>312</v>
      </c>
      <c r="Q237" s="22"/>
      <c r="R237" s="22" t="s">
        <v>237</v>
      </c>
      <c r="S237" s="24">
        <f>IFERROR(INDEX(tablecost[رقم المركز],MATCH(Tabledaily[[#This Row],[مركـــــــزالتكلفــــــة]],tablecost[الاسم],0)),0)</f>
        <v>1</v>
      </c>
      <c r="T237" s="27">
        <f>DATE(Tabledaily[[#This Row],[السنــــة]],Tabledaily[[#This Row],[الشهــــر]],Tabledaily[[#This Row],[الـــــيوم]])</f>
        <v>46183</v>
      </c>
      <c r="U237" s="28">
        <v>46192.984212962961</v>
      </c>
      <c r="V237" s="22"/>
      <c r="W237" s="24">
        <f>YEAR(Tabledaily[[#This Row],[التاريخ]])</f>
        <v>2026</v>
      </c>
      <c r="X237" s="24">
        <f>MONTH(Tabledaily[[#This Row],[التاريخ]])</f>
        <v>6</v>
      </c>
      <c r="Y237" s="24">
        <f>DAY(Tabledaily[[#This Row],[التاريخ]])</f>
        <v>10</v>
      </c>
      <c r="Z23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7 بامر</v>
      </c>
      <c r="AA237" s="24" t="str">
        <f>IF(COUNTIF(TableDailyJournal[رقم العملية],Tabledaily[[#This Row],[رقم العملية]])&gt;1,"مرحل","غير مرحل")</f>
        <v>مرحل</v>
      </c>
    </row>
    <row r="238" spans="1:27" ht="22.9" customHeight="1" x14ac:dyDescent="0.55000000000000004">
      <c r="A238" s="22">
        <f t="shared" si="7"/>
        <v>236</v>
      </c>
      <c r="B238" s="23" t="s">
        <v>631</v>
      </c>
      <c r="C238" s="213" t="s">
        <v>624</v>
      </c>
      <c r="D238" s="22" t="s">
        <v>290</v>
      </c>
      <c r="E238" s="22">
        <f>IFERROR(INDEX(TableJudje[رقم الحساب],MATCH(Tabledaily[[#This Row],[الحســاب الدئـــن]],TableJudje[اسم الحساب],0)),0)</f>
        <v>11060205</v>
      </c>
      <c r="F238" s="22" t="s">
        <v>513</v>
      </c>
      <c r="G238" s="22" t="s">
        <v>632</v>
      </c>
      <c r="H238" s="24">
        <f>IFERROR(INDEX(TableJudje[رقم الحساب],MATCH(Tabledaily[[#This Row],[الحســاب المديــــن]],TableJudje[اسم الحساب],0)),0)</f>
        <v>31010101</v>
      </c>
      <c r="I238" s="22" t="s">
        <v>111</v>
      </c>
      <c r="J238" s="22" t="s">
        <v>238</v>
      </c>
      <c r="K238" s="117">
        <v>20000</v>
      </c>
      <c r="L238" s="23">
        <v>405</v>
      </c>
      <c r="M238" s="118">
        <f>IFERROR(Tabledaily[[#This Row],[المبلـــــــغ]]/Tabledaily[[#This Row],[سعــــــر
الصـــــرف]],"")</f>
        <v>49.382716049382715</v>
      </c>
      <c r="N238" s="22" t="s">
        <v>328</v>
      </c>
      <c r="O238" s="22" t="s">
        <v>312</v>
      </c>
      <c r="P238" s="22" t="s">
        <v>312</v>
      </c>
      <c r="Q238" s="22"/>
      <c r="R238" s="22" t="s">
        <v>237</v>
      </c>
      <c r="S238" s="24">
        <f>IFERROR(INDEX(tablecost[رقم المركز],MATCH(Tabledaily[[#This Row],[مركـــــــزالتكلفــــــة]],tablecost[الاسم],0)),0)</f>
        <v>1</v>
      </c>
      <c r="T238" s="27">
        <f>DATE(Tabledaily[[#This Row],[السنــــة]],Tabledaily[[#This Row],[الشهــــر]],Tabledaily[[#This Row],[الـــــيوم]])</f>
        <v>46183</v>
      </c>
      <c r="U238" s="28">
        <v>46192.983599537038</v>
      </c>
      <c r="V238" s="22"/>
      <c r="W238" s="24">
        <f>YEAR(Tabledaily[[#This Row],[التاريخ]])</f>
        <v>2026</v>
      </c>
      <c r="X238" s="24">
        <f>MONTH(Tabledaily[[#This Row],[التاريخ]])</f>
        <v>6</v>
      </c>
      <c r="Y238" s="24">
        <f>DAY(Tabledaily[[#This Row],[التاريخ]])</f>
        <v>10</v>
      </c>
      <c r="Z23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3 بامر</v>
      </c>
      <c r="AA238" s="24" t="str">
        <f>IF(COUNTIF(TableDailyJournal[رقم العملية],Tabledaily[[#This Row],[رقم العملية]])&gt;1,"مرحل","غير مرحل")</f>
        <v>مرحل</v>
      </c>
    </row>
    <row r="239" spans="1:27" ht="22.9" customHeight="1" x14ac:dyDescent="0.55000000000000004">
      <c r="A239" s="22">
        <f t="shared" si="7"/>
        <v>237</v>
      </c>
      <c r="B239" s="23" t="s">
        <v>629</v>
      </c>
      <c r="C239" s="213" t="s">
        <v>624</v>
      </c>
      <c r="D239" s="22" t="s">
        <v>290</v>
      </c>
      <c r="E239" s="22">
        <f>IFERROR(INDEX(TableJudje[رقم الحساب],MATCH(Tabledaily[[#This Row],[الحســاب الدئـــن]],TableJudje[اسم الحساب],0)),0)</f>
        <v>11060205</v>
      </c>
      <c r="F239" s="22" t="s">
        <v>513</v>
      </c>
      <c r="G239" s="22" t="s">
        <v>630</v>
      </c>
      <c r="H239" s="24">
        <f>IFERROR(INDEX(TableJudje[رقم الحساب],MATCH(Tabledaily[[#This Row],[الحســاب المديــــن]],TableJudje[اسم الحساب],0)),0)</f>
        <v>31010101</v>
      </c>
      <c r="I239" s="22" t="s">
        <v>111</v>
      </c>
      <c r="J239" s="22" t="s">
        <v>238</v>
      </c>
      <c r="K239" s="117">
        <v>95000</v>
      </c>
      <c r="L239" s="23">
        <v>405</v>
      </c>
      <c r="M239" s="118">
        <f>IFERROR(Tabledaily[[#This Row],[المبلـــــــغ]]/Tabledaily[[#This Row],[سعــــــر
الصـــــرف]],"")</f>
        <v>234.5679012345679</v>
      </c>
      <c r="N239" s="22" t="s">
        <v>331</v>
      </c>
      <c r="O239" s="22" t="s">
        <v>312</v>
      </c>
      <c r="P239" s="22" t="s">
        <v>312</v>
      </c>
      <c r="Q239" s="22"/>
      <c r="R239" s="22" t="s">
        <v>237</v>
      </c>
      <c r="S239" s="24">
        <f>IFERROR(INDEX(tablecost[رقم المركز],MATCH(Tabledaily[[#This Row],[مركـــــــزالتكلفــــــة]],tablecost[الاسم],0)),0)</f>
        <v>1</v>
      </c>
      <c r="T239" s="27">
        <f>DATE(Tabledaily[[#This Row],[السنــــة]],Tabledaily[[#This Row],[الشهــــر]],Tabledaily[[#This Row],[الـــــيوم]])</f>
        <v>46183</v>
      </c>
      <c r="U239" s="28">
        <v>46192.982638888891</v>
      </c>
      <c r="V239" s="22"/>
      <c r="W239" s="24">
        <f>YEAR(Tabledaily[[#This Row],[التاريخ]])</f>
        <v>2026</v>
      </c>
      <c r="X239" s="24">
        <f>MONTH(Tabledaily[[#This Row],[التاريخ]])</f>
        <v>6</v>
      </c>
      <c r="Y239" s="24">
        <f>DAY(Tabledaily[[#This Row],[التاريخ]])</f>
        <v>10</v>
      </c>
      <c r="Z23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A239" s="24" t="str">
        <f>IF(COUNTIF(TableDailyJournal[رقم العملية],Tabledaily[[#This Row],[رقم العملية]])&gt;1,"مرحل","غير مرحل")</f>
        <v>مرحل</v>
      </c>
    </row>
    <row r="240" spans="1:27" ht="22.9" customHeight="1" x14ac:dyDescent="0.55000000000000004">
      <c r="A240" s="22">
        <f t="shared" si="7"/>
        <v>238</v>
      </c>
      <c r="B240" s="23" t="s">
        <v>628</v>
      </c>
      <c r="C240" s="213" t="s">
        <v>624</v>
      </c>
      <c r="D240" s="22" t="s">
        <v>290</v>
      </c>
      <c r="E240" s="22">
        <f>IFERROR(INDEX(TableJudje[رقم الحساب],MATCH(Tabledaily[[#This Row],[الحســاب الدئـــن]],TableJudje[اسم الحساب],0)),0)</f>
        <v>11060205</v>
      </c>
      <c r="F240" s="22" t="s">
        <v>513</v>
      </c>
      <c r="G240" s="22" t="s">
        <v>595</v>
      </c>
      <c r="H240" s="24">
        <f>IFERROR(INDEX(TableJudje[رقم الحساب],MATCH(Tabledaily[[#This Row],[الحســاب المديــــن]],TableJudje[اسم الحساب],0)),0)</f>
        <v>31010101</v>
      </c>
      <c r="I240" s="22" t="s">
        <v>111</v>
      </c>
      <c r="J240" s="22" t="s">
        <v>238</v>
      </c>
      <c r="K240" s="117">
        <v>30000</v>
      </c>
      <c r="L240" s="23">
        <v>405</v>
      </c>
      <c r="M240" s="118">
        <f>IFERROR(Tabledaily[[#This Row],[المبلـــــــغ]]/Tabledaily[[#This Row],[سعــــــر
الصـــــرف]],"")</f>
        <v>74.074074074074076</v>
      </c>
      <c r="N240" s="22" t="s">
        <v>565</v>
      </c>
      <c r="O240" s="22" t="s">
        <v>312</v>
      </c>
      <c r="P240" s="22" t="s">
        <v>312</v>
      </c>
      <c r="Q240" s="22"/>
      <c r="R240" s="22" t="s">
        <v>237</v>
      </c>
      <c r="S240" s="24">
        <f>IFERROR(INDEX(tablecost[رقم المركز],MATCH(Tabledaily[[#This Row],[مركـــــــزالتكلفــــــة]],tablecost[الاسم],0)),0)</f>
        <v>1</v>
      </c>
      <c r="T240" s="27">
        <f>DATE(Tabledaily[[#This Row],[السنــــة]],Tabledaily[[#This Row],[الشهــــر]],Tabledaily[[#This Row],[الـــــيوم]])</f>
        <v>46183</v>
      </c>
      <c r="U240" s="28">
        <v>46192.98196759259</v>
      </c>
      <c r="V240" s="22"/>
      <c r="W240" s="24">
        <f>YEAR(Tabledaily[[#This Row],[التاريخ]])</f>
        <v>2026</v>
      </c>
      <c r="X240" s="24">
        <f>MONTH(Tabledaily[[#This Row],[التاريخ]])</f>
        <v>6</v>
      </c>
      <c r="Y240" s="24">
        <f>DAY(Tabledaily[[#This Row],[التاريخ]])</f>
        <v>10</v>
      </c>
      <c r="Z24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3 بامر</v>
      </c>
      <c r="AA240" s="24" t="str">
        <f>IF(COUNTIF(TableDailyJournal[رقم العملية],Tabledaily[[#This Row],[رقم العملية]])&gt;1,"مرحل","غير مرحل")</f>
        <v>مرحل</v>
      </c>
    </row>
    <row r="241" spans="1:27" ht="22.9" customHeight="1" x14ac:dyDescent="0.55000000000000004">
      <c r="A241" s="22">
        <f t="shared" si="7"/>
        <v>239</v>
      </c>
      <c r="B241" s="23" t="s">
        <v>627</v>
      </c>
      <c r="C241" s="213" t="s">
        <v>624</v>
      </c>
      <c r="D241" s="22" t="s">
        <v>290</v>
      </c>
      <c r="E241" s="22">
        <f>IFERROR(INDEX(TableJudje[رقم الحساب],MATCH(Tabledaily[[#This Row],[الحســاب الدئـــن]],TableJudje[اسم الحساب],0)),0)</f>
        <v>11060205</v>
      </c>
      <c r="F241" s="22" t="s">
        <v>513</v>
      </c>
      <c r="G241" s="22" t="s">
        <v>333</v>
      </c>
      <c r="H241" s="24">
        <f>IFERROR(INDEX(TableJudje[رقم الحساب],MATCH(Tabledaily[[#This Row],[الحســاب المديــــن]],TableJudje[اسم الحساب],0)),0)</f>
        <v>31010101</v>
      </c>
      <c r="I241" s="22" t="s">
        <v>111</v>
      </c>
      <c r="J241" s="22" t="s">
        <v>238</v>
      </c>
      <c r="K241" s="117">
        <v>65000</v>
      </c>
      <c r="L241" s="23">
        <v>405</v>
      </c>
      <c r="M241" s="118">
        <f>IFERROR(Tabledaily[[#This Row],[المبلـــــــغ]]/Tabledaily[[#This Row],[سعــــــر
الصـــــرف]],"")</f>
        <v>160.49382716049382</v>
      </c>
      <c r="N241" s="22" t="s">
        <v>334</v>
      </c>
      <c r="O241" s="22" t="s">
        <v>312</v>
      </c>
      <c r="P241" s="22" t="s">
        <v>312</v>
      </c>
      <c r="Q241" s="22"/>
      <c r="R241" s="22" t="s">
        <v>237</v>
      </c>
      <c r="S241" s="24">
        <f>IFERROR(INDEX(tablecost[رقم المركز],MATCH(Tabledaily[[#This Row],[مركـــــــزالتكلفــــــة]],tablecost[الاسم],0)),0)</f>
        <v>1</v>
      </c>
      <c r="T241" s="27">
        <f>DATE(Tabledaily[[#This Row],[السنــــة]],Tabledaily[[#This Row],[الشهــــر]],Tabledaily[[#This Row],[الـــــيوم]])</f>
        <v>46183</v>
      </c>
      <c r="U241" s="28">
        <v>46192.981180555558</v>
      </c>
      <c r="V241" s="22"/>
      <c r="W241" s="24">
        <f>YEAR(Tabledaily[[#This Row],[التاريخ]])</f>
        <v>2026</v>
      </c>
      <c r="X241" s="24">
        <f>MONTH(Tabledaily[[#This Row],[التاريخ]])</f>
        <v>6</v>
      </c>
      <c r="Y241" s="24">
        <f>DAY(Tabledaily[[#This Row],[التاريخ]])</f>
        <v>10</v>
      </c>
      <c r="Z24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241" s="24" t="str">
        <f>IF(COUNTIF(TableDailyJournal[رقم العملية],Tabledaily[[#This Row],[رقم العملية]])&gt;1,"مرحل","غير مرحل")</f>
        <v>مرحل</v>
      </c>
    </row>
    <row r="242" spans="1:27" ht="22.9" customHeight="1" x14ac:dyDescent="0.55000000000000004">
      <c r="A242" s="22">
        <f t="shared" si="7"/>
        <v>240</v>
      </c>
      <c r="B242" s="23" t="s">
        <v>626</v>
      </c>
      <c r="C242" s="213" t="s">
        <v>624</v>
      </c>
      <c r="D242" s="22" t="s">
        <v>290</v>
      </c>
      <c r="E242" s="22">
        <f>IFERROR(INDEX(TableJudje[رقم الحساب],MATCH(Tabledaily[[#This Row],[الحســاب الدئـــن]],TableJudje[اسم الحساب],0)),0)</f>
        <v>11060205</v>
      </c>
      <c r="F242" s="22" t="s">
        <v>513</v>
      </c>
      <c r="G242" s="22" t="s">
        <v>524</v>
      </c>
      <c r="H242" s="24">
        <f>IFERROR(INDEX(TableJudje[رقم الحساب],MATCH(Tabledaily[[#This Row],[الحســاب المديــــن]],TableJudje[اسم الحساب],0)),0)</f>
        <v>31010101</v>
      </c>
      <c r="I242" s="22" t="s">
        <v>111</v>
      </c>
      <c r="J242" s="22" t="s">
        <v>238</v>
      </c>
      <c r="K242" s="117">
        <v>15000</v>
      </c>
      <c r="L242" s="23">
        <v>405</v>
      </c>
      <c r="M242" s="118">
        <f>IFERROR(Tabledaily[[#This Row],[المبلـــــــغ]]/Tabledaily[[#This Row],[سعــــــر
الصـــــرف]],"")</f>
        <v>37.037037037037038</v>
      </c>
      <c r="N242" s="22" t="s">
        <v>337</v>
      </c>
      <c r="O242" s="22" t="s">
        <v>312</v>
      </c>
      <c r="P242" s="22" t="s">
        <v>312</v>
      </c>
      <c r="Q242" s="22"/>
      <c r="R242" s="22" t="s">
        <v>237</v>
      </c>
      <c r="S242" s="24">
        <f>IFERROR(INDEX(tablecost[رقم المركز],MATCH(Tabledaily[[#This Row],[مركـــــــزالتكلفــــــة]],tablecost[الاسم],0)),0)</f>
        <v>1</v>
      </c>
      <c r="T242" s="27">
        <f>DATE(Tabledaily[[#This Row],[السنــــة]],Tabledaily[[#This Row],[الشهــــر]],Tabledaily[[#This Row],[الـــــيوم]])</f>
        <v>46183</v>
      </c>
      <c r="U242" s="28">
        <v>46192.978182870371</v>
      </c>
      <c r="V242" s="22"/>
      <c r="W242" s="24">
        <f>YEAR(Tabledaily[[#This Row],[التاريخ]])</f>
        <v>2026</v>
      </c>
      <c r="X242" s="24">
        <f>MONTH(Tabledaily[[#This Row],[التاريخ]])</f>
        <v>6</v>
      </c>
      <c r="Y242" s="24">
        <f>DAY(Tabledaily[[#This Row],[التاريخ]])</f>
        <v>10</v>
      </c>
      <c r="Z24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1 بامر</v>
      </c>
      <c r="AA242" s="24" t="str">
        <f>IF(COUNTIF(TableDailyJournal[رقم العملية],Tabledaily[[#This Row],[رقم العملية]])&gt;1,"مرحل","غير مرحل")</f>
        <v>مرحل</v>
      </c>
    </row>
    <row r="243" spans="1:27" ht="22.9" customHeight="1" x14ac:dyDescent="0.55000000000000004">
      <c r="A243" s="22">
        <f t="shared" si="7"/>
        <v>241</v>
      </c>
      <c r="B243" s="23" t="s">
        <v>625</v>
      </c>
      <c r="C243" s="213" t="s">
        <v>624</v>
      </c>
      <c r="D243" s="22" t="s">
        <v>290</v>
      </c>
      <c r="E243" s="22">
        <f>IFERROR(INDEX(TableJudje[رقم الحساب],MATCH(Tabledaily[[#This Row],[الحســاب الدئـــن]],TableJudje[اسم الحساب],0)),0)</f>
        <v>11060205</v>
      </c>
      <c r="F243" s="22" t="s">
        <v>513</v>
      </c>
      <c r="G243" s="22" t="s">
        <v>559</v>
      </c>
      <c r="H243" s="24">
        <f>IFERROR(INDEX(TableJudje[رقم الحساب],MATCH(Tabledaily[[#This Row],[الحســاب المديــــن]],TableJudje[اسم الحساب],0)),0)</f>
        <v>31010101</v>
      </c>
      <c r="I243" s="22" t="s">
        <v>111</v>
      </c>
      <c r="J243" s="22" t="s">
        <v>238</v>
      </c>
      <c r="K243" s="117">
        <v>30000</v>
      </c>
      <c r="L243" s="23">
        <v>405</v>
      </c>
      <c r="M243" s="118">
        <f>IFERROR(Tabledaily[[#This Row],[المبلـــــــغ]]/Tabledaily[[#This Row],[سعــــــر
الصـــــرف]],"")</f>
        <v>74.074074074074076</v>
      </c>
      <c r="N243" s="22" t="s">
        <v>521</v>
      </c>
      <c r="O243" s="22" t="s">
        <v>312</v>
      </c>
      <c r="P243" s="22" t="s">
        <v>312</v>
      </c>
      <c r="Q243" s="22"/>
      <c r="R243" s="22" t="s">
        <v>237</v>
      </c>
      <c r="S243" s="24">
        <f>IFERROR(INDEX(tablecost[رقم المركز],MATCH(Tabledaily[[#This Row],[مركـــــــزالتكلفــــــة]],tablecost[الاسم],0)),0)</f>
        <v>1</v>
      </c>
      <c r="T243" s="27">
        <f>DATE(Tabledaily[[#This Row],[السنــــة]],Tabledaily[[#This Row],[الشهــــر]],Tabledaily[[#This Row],[الـــــيوم]])</f>
        <v>46183</v>
      </c>
      <c r="U243" s="28">
        <v>46192.977696759262</v>
      </c>
      <c r="V243" s="22"/>
      <c r="W243" s="24">
        <f>YEAR(Tabledaily[[#This Row],[التاريخ]])</f>
        <v>2026</v>
      </c>
      <c r="X243" s="24">
        <f>MONTH(Tabledaily[[#This Row],[التاريخ]])</f>
        <v>6</v>
      </c>
      <c r="Y243" s="24">
        <f>DAY(Tabledaily[[#This Row],[التاريخ]])</f>
        <v>10</v>
      </c>
      <c r="Z24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243" s="24" t="str">
        <f>IF(COUNTIF(TableDailyJournal[رقم العملية],Tabledaily[[#This Row],[رقم العملية]])&gt;1,"مرحل","غير مرحل")</f>
        <v>مرحل</v>
      </c>
    </row>
    <row r="244" spans="1:27" ht="22.9" customHeight="1" x14ac:dyDescent="0.55000000000000004">
      <c r="A244" s="22">
        <f t="shared" si="7"/>
        <v>242</v>
      </c>
      <c r="B244" s="23" t="s">
        <v>623</v>
      </c>
      <c r="C244" s="213" t="s">
        <v>624</v>
      </c>
      <c r="D244" s="22" t="s">
        <v>290</v>
      </c>
      <c r="E244" s="22">
        <f>IFERROR(INDEX(TableJudje[رقم الحساب],MATCH(Tabledaily[[#This Row],[الحســاب الدئـــن]],TableJudje[اسم الحساب],0)),0)</f>
        <v>11060205</v>
      </c>
      <c r="F244" s="22" t="s">
        <v>513</v>
      </c>
      <c r="G244" s="22" t="s">
        <v>440</v>
      </c>
      <c r="H244" s="24">
        <f>IFERROR(INDEX(TableJudje[رقم الحساب],MATCH(Tabledaily[[#This Row],[الحســاب المديــــن]],TableJudje[اسم الحساب],0)),0)</f>
        <v>31010101</v>
      </c>
      <c r="I244" s="22" t="s">
        <v>111</v>
      </c>
      <c r="J244" s="22" t="s">
        <v>238</v>
      </c>
      <c r="K244" s="117">
        <v>43000</v>
      </c>
      <c r="L244" s="23">
        <v>405</v>
      </c>
      <c r="M244" s="118">
        <f>IFERROR(Tabledaily[[#This Row],[المبلـــــــغ]]/Tabledaily[[#This Row],[سعــــــر
الصـــــرف]],"")</f>
        <v>106.17283950617283</v>
      </c>
      <c r="N244" s="22" t="s">
        <v>343</v>
      </c>
      <c r="O244" s="22" t="s">
        <v>312</v>
      </c>
      <c r="P244" s="22" t="s">
        <v>312</v>
      </c>
      <c r="Q244" s="22"/>
      <c r="R244" s="22" t="s">
        <v>237</v>
      </c>
      <c r="S244" s="24">
        <f>IFERROR(INDEX(tablecost[رقم المركز],MATCH(Tabledaily[[#This Row],[مركـــــــزالتكلفــــــة]],tablecost[الاسم],0)),0)</f>
        <v>1</v>
      </c>
      <c r="T244" s="27">
        <f>DATE(Tabledaily[[#This Row],[السنــــة]],Tabledaily[[#This Row],[الشهــــر]],Tabledaily[[#This Row],[الـــــيوم]])</f>
        <v>46183</v>
      </c>
      <c r="U244" s="28">
        <v>46192.977361111109</v>
      </c>
      <c r="V244" s="22"/>
      <c r="W244" s="24">
        <f>YEAR(Tabledaily[[#This Row],[التاريخ]])</f>
        <v>2026</v>
      </c>
      <c r="X244" s="24">
        <f>MONTH(Tabledaily[[#This Row],[التاريخ]])</f>
        <v>6</v>
      </c>
      <c r="Y244" s="24">
        <f>DAY(Tabledaily[[#This Row],[التاريخ]])</f>
        <v>10</v>
      </c>
      <c r="Z24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5 بامر</v>
      </c>
      <c r="AA244" s="24" t="str">
        <f>IF(COUNTIF(TableDailyJournal[رقم العملية],Tabledaily[[#This Row],[رقم العملية]])&gt;1,"مرحل","غير مرحل")</f>
        <v>مرحل</v>
      </c>
    </row>
    <row r="245" spans="1:27" ht="22.9" customHeight="1" x14ac:dyDescent="0.55000000000000004">
      <c r="A245" s="22">
        <f t="shared" si="7"/>
        <v>243</v>
      </c>
      <c r="B245" s="23" t="s">
        <v>621</v>
      </c>
      <c r="C245" s="213" t="s">
        <v>589</v>
      </c>
      <c r="D245" s="22" t="s">
        <v>290</v>
      </c>
      <c r="E245" s="22">
        <f>IFERROR(INDEX(TableJudje[رقم الحساب],MATCH(Tabledaily[[#This Row],[الحســاب الدئـــن]],TableJudje[اسم الحساب],0)),0)</f>
        <v>11060205</v>
      </c>
      <c r="F245" s="22" t="s">
        <v>513</v>
      </c>
      <c r="G245" s="22" t="s">
        <v>622</v>
      </c>
      <c r="H245" s="24">
        <f>IFERROR(INDEX(TableJudje[رقم الحساب],MATCH(Tabledaily[[#This Row],[الحســاب المديــــن]],TableJudje[اسم الحساب],0)),0)</f>
        <v>31010116</v>
      </c>
      <c r="I245" s="22" t="s">
        <v>122</v>
      </c>
      <c r="J245" s="22" t="s">
        <v>241</v>
      </c>
      <c r="K245" s="117">
        <v>600</v>
      </c>
      <c r="L245" s="23">
        <v>1</v>
      </c>
      <c r="M245" s="118">
        <f>IFERROR(Tabledaily[[#This Row],[المبلـــــــغ]]/Tabledaily[[#This Row],[سعــــــر
الصـــــرف]],"")</f>
        <v>600</v>
      </c>
      <c r="N245" s="22" t="s">
        <v>620</v>
      </c>
      <c r="O245" s="22" t="s">
        <v>286</v>
      </c>
      <c r="P245" s="22" t="s">
        <v>287</v>
      </c>
      <c r="Q245" s="22"/>
      <c r="R245" s="22" t="s">
        <v>237</v>
      </c>
      <c r="S245" s="24">
        <f>IFERROR(INDEX(tablecost[رقم المركز],MATCH(Tabledaily[[#This Row],[مركـــــــزالتكلفــــــة]],tablecost[الاسم],0)),0)</f>
        <v>1</v>
      </c>
      <c r="T245" s="27">
        <f>DATE(Tabledaily[[#This Row],[السنــــة]],Tabledaily[[#This Row],[الشهــــر]],Tabledaily[[#This Row],[الـــــيوم]])</f>
        <v>46182</v>
      </c>
      <c r="U245" s="28">
        <v>46192.975995370369</v>
      </c>
      <c r="V245" s="22" t="s">
        <v>293</v>
      </c>
      <c r="W245" s="24">
        <f>YEAR(Tabledaily[[#This Row],[التاريخ]])</f>
        <v>2026</v>
      </c>
      <c r="X245" s="24">
        <f>MONTH(Tabledaily[[#This Row],[التاريخ]])</f>
        <v>6</v>
      </c>
      <c r="Y245" s="24">
        <f>DAY(Tabledaily[[#This Row],[التاريخ]])</f>
        <v>9</v>
      </c>
      <c r="Z24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v>
      </c>
      <c r="AA245" s="24" t="str">
        <f>IF(COUNTIF(TableDailyJournal[رقم العملية],Tabledaily[[#This Row],[رقم العملية]])&gt;1,"مرحل","غير مرحل")</f>
        <v>مرحل</v>
      </c>
    </row>
    <row r="246" spans="1:27" ht="22.9" customHeight="1" x14ac:dyDescent="0.55000000000000004">
      <c r="A246" s="22">
        <f t="shared" si="7"/>
        <v>244</v>
      </c>
      <c r="B246" s="23" t="s">
        <v>618</v>
      </c>
      <c r="C246" s="213" t="s">
        <v>589</v>
      </c>
      <c r="D246" s="22" t="s">
        <v>290</v>
      </c>
      <c r="E246" s="22">
        <f>IFERROR(INDEX(TableJudje[رقم الحساب],MATCH(Tabledaily[[#This Row],[الحســاب الدئـــن]],TableJudje[اسم الحساب],0)),0)</f>
        <v>11060205</v>
      </c>
      <c r="F246" s="22" t="s">
        <v>513</v>
      </c>
      <c r="G246" s="22" t="s">
        <v>619</v>
      </c>
      <c r="H246" s="24">
        <f>IFERROR(INDEX(TableJudje[رقم الحساب],MATCH(Tabledaily[[#This Row],[الحســاب المديــــن]],TableJudje[اسم الحساب],0)),0)</f>
        <v>11060209</v>
      </c>
      <c r="I246" s="22" t="s">
        <v>824</v>
      </c>
      <c r="J246" s="22" t="s">
        <v>241</v>
      </c>
      <c r="K246" s="117">
        <v>2000</v>
      </c>
      <c r="L246" s="23">
        <v>1</v>
      </c>
      <c r="M246" s="118">
        <f>IFERROR(Tabledaily[[#This Row],[المبلـــــــغ]]/Tabledaily[[#This Row],[سعــــــر
الصـــــرف]],"")</f>
        <v>2000</v>
      </c>
      <c r="N246" s="22" t="s">
        <v>620</v>
      </c>
      <c r="O246" s="22" t="s">
        <v>286</v>
      </c>
      <c r="P246" s="22" t="s">
        <v>287</v>
      </c>
      <c r="Q246" s="22"/>
      <c r="R246" s="22" t="s">
        <v>237</v>
      </c>
      <c r="S246" s="24">
        <f>IFERROR(INDEX(tablecost[رقم المركز],MATCH(Tabledaily[[#This Row],[مركـــــــزالتكلفــــــة]],tablecost[الاسم],0)),0)</f>
        <v>1</v>
      </c>
      <c r="T246" s="27">
        <f>DATE(Tabledaily[[#This Row],[السنــــة]],Tabledaily[[#This Row],[الشهــــر]],Tabledaily[[#This Row],[الـــــيوم]])</f>
        <v>46182</v>
      </c>
      <c r="U246" s="28">
        <v>46192.973483796297</v>
      </c>
      <c r="V246" s="22" t="s">
        <v>293</v>
      </c>
      <c r="W246" s="24">
        <f>YEAR(Tabledaily[[#This Row],[التاريخ]])</f>
        <v>2026</v>
      </c>
      <c r="X246" s="24">
        <f>MONTH(Tabledaily[[#This Row],[التاريخ]])</f>
        <v>6</v>
      </c>
      <c r="Y246" s="24">
        <f>DAY(Tabledaily[[#This Row],[التاريخ]])</f>
        <v>9</v>
      </c>
      <c r="Z24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جمال مسدوس - مجدي محمد احمد مسدوس - الفرقة الثالثة)  - استلام نقدي رقم   سند استلام - صرف عهدة للتخطيط بامرالأركان جمال مسدوس</v>
      </c>
      <c r="AA246" s="24" t="str">
        <f>IF(COUNTIF(TableDailyJournal[رقم العملية],Tabledaily[[#This Row],[رقم العملية]])&gt;1,"مرحل","غير مرحل")</f>
        <v>مرحل</v>
      </c>
    </row>
    <row r="247" spans="1:27" ht="22.9" customHeight="1" x14ac:dyDescent="0.55000000000000004">
      <c r="A247" s="22">
        <f t="shared" si="7"/>
        <v>245</v>
      </c>
      <c r="B247" s="23" t="s">
        <v>613</v>
      </c>
      <c r="C247" s="213" t="s">
        <v>589</v>
      </c>
      <c r="D247" s="22" t="s">
        <v>290</v>
      </c>
      <c r="E247" s="22">
        <f>IFERROR(INDEX(TableJudje[رقم الحساب],MATCH(Tabledaily[[#This Row],[الحســاب الدئـــن]],TableJudje[اسم الحساب],0)),0)</f>
        <v>11060205</v>
      </c>
      <c r="F247" s="22" t="s">
        <v>513</v>
      </c>
      <c r="G247" s="22" t="s">
        <v>614</v>
      </c>
      <c r="H247" s="24">
        <f>IFERROR(INDEX(TableJudje[رقم الحساب],MATCH(Tabledaily[[#This Row],[الحســاب المديــــن]],TableJudje[اسم الحساب],0)),0)</f>
        <v>31010101</v>
      </c>
      <c r="I247" s="22" t="s">
        <v>111</v>
      </c>
      <c r="J247" s="22" t="s">
        <v>238</v>
      </c>
      <c r="K247" s="117">
        <v>60000</v>
      </c>
      <c r="L247" s="23">
        <v>405</v>
      </c>
      <c r="M247" s="118">
        <f>IFERROR(Tabledaily[[#This Row],[المبلـــــــغ]]/Tabledaily[[#This Row],[سعــــــر
الصـــــرف]],"")</f>
        <v>148.14814814814815</v>
      </c>
      <c r="N247" s="22" t="s">
        <v>615</v>
      </c>
      <c r="O247" s="22" t="s">
        <v>300</v>
      </c>
      <c r="P247" s="22" t="s">
        <v>616</v>
      </c>
      <c r="Q247" s="22">
        <v>4118096</v>
      </c>
      <c r="R247" s="22" t="s">
        <v>237</v>
      </c>
      <c r="S247" s="24">
        <f>IFERROR(INDEX(tablecost[رقم المركز],MATCH(Tabledaily[[#This Row],[مركـــــــزالتكلفــــــة]],tablecost[الاسم],0)),0)</f>
        <v>1</v>
      </c>
      <c r="T247" s="27">
        <f>DATE(Tabledaily[[#This Row],[السنــــة]],Tabledaily[[#This Row],[الشهــــر]],Tabledaily[[#This Row],[الـــــيوم]])</f>
        <v>46182</v>
      </c>
      <c r="U247" s="28">
        <v>46192.965254629627</v>
      </c>
      <c r="V247" s="22"/>
      <c r="W247" s="24">
        <f>YEAR(Tabledaily[[#This Row],[التاريخ]])</f>
        <v>2026</v>
      </c>
      <c r="X247" s="24">
        <f>MONTH(Tabledaily[[#This Row],[التاريخ]])</f>
        <v>6</v>
      </c>
      <c r="Y247" s="24">
        <f>DAY(Tabledaily[[#This Row],[التاريخ]])</f>
        <v>9</v>
      </c>
      <c r="Z24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v>
      </c>
      <c r="AA247" s="24" t="str">
        <f>IF(COUNTIF(TableDailyJournal[رقم العملية],Tabledaily[[#This Row],[رقم العملية]])&gt;1,"مرحل","غير مرحل")</f>
        <v>مرحل</v>
      </c>
    </row>
    <row r="248" spans="1:27" ht="22.9" customHeight="1" x14ac:dyDescent="0.55000000000000004">
      <c r="A248" s="22">
        <f t="shared" si="7"/>
        <v>246</v>
      </c>
      <c r="B248" s="23" t="s">
        <v>610</v>
      </c>
      <c r="C248" s="213" t="s">
        <v>589</v>
      </c>
      <c r="D248" s="22" t="s">
        <v>290</v>
      </c>
      <c r="E248" s="22">
        <f>IFERROR(INDEX(TableJudje[رقم الحساب],MATCH(Tabledaily[[#This Row],[الحســاب الدئـــن]],TableJudje[اسم الحساب],0)),0)</f>
        <v>11060205</v>
      </c>
      <c r="F248" s="22" t="s">
        <v>513</v>
      </c>
      <c r="G248" s="22" t="s">
        <v>611</v>
      </c>
      <c r="H248" s="24">
        <f>IFERROR(INDEX(TableJudje[رقم الحساب],MATCH(Tabledaily[[#This Row],[الحســاب المديــــن]],TableJudje[اسم الحساب],0)),0)</f>
        <v>31010114</v>
      </c>
      <c r="I248" s="22" t="s">
        <v>121</v>
      </c>
      <c r="J248" s="22" t="s">
        <v>238</v>
      </c>
      <c r="K248" s="117">
        <v>200000</v>
      </c>
      <c r="L248" s="23">
        <v>405</v>
      </c>
      <c r="M248" s="118">
        <f>IFERROR(Tabledaily[[#This Row],[المبلـــــــغ]]/Tabledaily[[#This Row],[سعــــــر
الصـــــرف]],"")</f>
        <v>493.82716049382714</v>
      </c>
      <c r="N248" s="22" t="s">
        <v>612</v>
      </c>
      <c r="O248" s="22" t="s">
        <v>286</v>
      </c>
      <c r="P248" s="22" t="s">
        <v>287</v>
      </c>
      <c r="Q248" s="22"/>
      <c r="R248" s="22" t="s">
        <v>237</v>
      </c>
      <c r="S248" s="24">
        <f>IFERROR(INDEX(tablecost[رقم المركز],MATCH(Tabledaily[[#This Row],[مركـــــــزالتكلفــــــة]],tablecost[الاسم],0)),0)</f>
        <v>1</v>
      </c>
      <c r="T248" s="27">
        <f>DATE(Tabledaily[[#This Row],[السنــــة]],Tabledaily[[#This Row],[الشهــــر]],Tabledaily[[#This Row],[الـــــيوم]])</f>
        <v>46182</v>
      </c>
      <c r="U248" s="28">
        <v>46192.962627314817</v>
      </c>
      <c r="V248" s="22"/>
      <c r="W248" s="24">
        <f>YEAR(Tabledaily[[#This Row],[التاريخ]])</f>
        <v>2026</v>
      </c>
      <c r="X248" s="24">
        <f>MONTH(Tabledaily[[#This Row],[التاريخ]])</f>
        <v>6</v>
      </c>
      <c r="Y248" s="24">
        <f>DAY(Tabledaily[[#This Row],[التاريخ]])</f>
        <v>9</v>
      </c>
      <c r="Z24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علي محمد ناصر فضل دهمس - الفرقة الثالثة)  - استلام نقدي رقم   سند استلام - صرف حافز ل قائد مدفعية الفرقة بامر</v>
      </c>
      <c r="AA248" s="24" t="str">
        <f>IF(COUNTIF(TableDailyJournal[رقم العملية],Tabledaily[[#This Row],[رقم العملية]])&gt;1,"مرحل","غير مرحل")</f>
        <v>مرحل</v>
      </c>
    </row>
    <row r="249" spans="1:27" ht="22.9" customHeight="1" x14ac:dyDescent="0.55000000000000004">
      <c r="A249" s="22">
        <f t="shared" si="7"/>
        <v>247</v>
      </c>
      <c r="B249" s="23" t="s">
        <v>607</v>
      </c>
      <c r="C249" s="213" t="s">
        <v>589</v>
      </c>
      <c r="D249" s="22" t="s">
        <v>290</v>
      </c>
      <c r="E249" s="22">
        <f>IFERROR(INDEX(TableJudje[رقم الحساب],MATCH(Tabledaily[[#This Row],[الحســاب الدئـــن]],TableJudje[اسم الحساب],0)),0)</f>
        <v>11060205</v>
      </c>
      <c r="F249" s="22" t="s">
        <v>513</v>
      </c>
      <c r="G249" s="22" t="s">
        <v>608</v>
      </c>
      <c r="H249" s="24">
        <f>IFERROR(INDEX(TableJudje[رقم الحساب],MATCH(Tabledaily[[#This Row],[الحســاب المديــــن]],TableJudje[اسم الحساب],0)),0)</f>
        <v>31010114</v>
      </c>
      <c r="I249" s="22" t="s">
        <v>121</v>
      </c>
      <c r="J249" s="22" t="s">
        <v>238</v>
      </c>
      <c r="K249" s="117">
        <v>20000</v>
      </c>
      <c r="L249" s="23">
        <v>405</v>
      </c>
      <c r="M249" s="118">
        <f>IFERROR(Tabledaily[[#This Row],[المبلـــــــغ]]/Tabledaily[[#This Row],[سعــــــر
الصـــــرف]],"")</f>
        <v>49.382716049382715</v>
      </c>
      <c r="N249" s="22" t="s">
        <v>609</v>
      </c>
      <c r="O249" s="22" t="s">
        <v>286</v>
      </c>
      <c r="P249" s="22" t="s">
        <v>287</v>
      </c>
      <c r="Q249" s="22"/>
      <c r="R249" s="22" t="s">
        <v>237</v>
      </c>
      <c r="S249" s="24">
        <f>IFERROR(INDEX(tablecost[رقم المركز],MATCH(Tabledaily[[#This Row],[مركـــــــزالتكلفــــــة]],tablecost[الاسم],0)),0)</f>
        <v>1</v>
      </c>
      <c r="T249" s="27">
        <f>DATE(Tabledaily[[#This Row],[السنــــة]],Tabledaily[[#This Row],[الشهــــر]],Tabledaily[[#This Row],[الـــــيوم]])</f>
        <v>46182</v>
      </c>
      <c r="U249" s="28">
        <v>46192.957453703704</v>
      </c>
      <c r="V249" s="22" t="s">
        <v>313</v>
      </c>
      <c r="W249" s="24">
        <f>YEAR(Tabledaily[[#This Row],[التاريخ]])</f>
        <v>2026</v>
      </c>
      <c r="X249" s="24">
        <f>MONTH(Tabledaily[[#This Row],[التاريخ]])</f>
        <v>6</v>
      </c>
      <c r="Y249" s="24">
        <f>DAY(Tabledaily[[#This Row],[التاريخ]])</f>
        <v>9</v>
      </c>
      <c r="Z24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علي محمد سيف قائد الربيعي - الفرقة الثالثة)  - استلام نقدي رقم   سند استلام - صرف حافز لقائد مركز السيطرة بامرالقائد</v>
      </c>
      <c r="AA249" s="24" t="str">
        <f>IF(COUNTIF(TableDailyJournal[رقم العملية],Tabledaily[[#This Row],[رقم العملية]])&gt;1,"مرحل","غير مرحل")</f>
        <v>مرحل</v>
      </c>
    </row>
    <row r="250" spans="1:27" ht="22.9" customHeight="1" x14ac:dyDescent="0.55000000000000004">
      <c r="A250" s="22">
        <f t="shared" si="7"/>
        <v>248</v>
      </c>
      <c r="B250" s="23" t="s">
        <v>605</v>
      </c>
      <c r="C250" s="213" t="s">
        <v>589</v>
      </c>
      <c r="D250" s="22" t="s">
        <v>290</v>
      </c>
      <c r="E250" s="22">
        <f>IFERROR(INDEX(TableJudje[رقم الحساب],MATCH(Tabledaily[[#This Row],[الحســاب الدئـــن]],TableJudje[اسم الحساب],0)),0)</f>
        <v>11060205</v>
      </c>
      <c r="F250" s="22" t="s">
        <v>513</v>
      </c>
      <c r="G250" s="22" t="s">
        <v>606</v>
      </c>
      <c r="H250" s="24">
        <f>IFERROR(INDEX(TableJudje[رقم الحساب],MATCH(Tabledaily[[#This Row],[الحســاب المديــــن]],TableJudje[اسم الحساب],0)),0)</f>
        <v>31010101</v>
      </c>
      <c r="I250" s="22" t="s">
        <v>111</v>
      </c>
      <c r="J250" s="22" t="s">
        <v>238</v>
      </c>
      <c r="K250" s="117">
        <v>156000</v>
      </c>
      <c r="L250" s="23">
        <v>405</v>
      </c>
      <c r="M250" s="118">
        <f>IFERROR(Tabledaily[[#This Row],[المبلـــــــغ]]/Tabledaily[[#This Row],[سعــــــر
الصـــــرف]],"")</f>
        <v>385.18518518518516</v>
      </c>
      <c r="N250" s="22" t="s">
        <v>311</v>
      </c>
      <c r="O250" s="22" t="s">
        <v>312</v>
      </c>
      <c r="P250" s="22" t="s">
        <v>312</v>
      </c>
      <c r="Q250" s="22"/>
      <c r="R250" s="22" t="s">
        <v>237</v>
      </c>
      <c r="S250" s="24">
        <f>IFERROR(INDEX(tablecost[رقم المركز],MATCH(Tabledaily[[#This Row],[مركـــــــزالتكلفــــــة]],tablecost[الاسم],0)),0)</f>
        <v>1</v>
      </c>
      <c r="T250" s="27">
        <f>DATE(Tabledaily[[#This Row],[السنــــة]],Tabledaily[[#This Row],[الشهــــر]],Tabledaily[[#This Row],[الـــــيوم]])</f>
        <v>46182</v>
      </c>
      <c r="U250" s="28">
        <v>46192.95144675926</v>
      </c>
      <c r="V250" s="22"/>
      <c r="W250" s="24">
        <f>YEAR(Tabledaily[[#This Row],[التاريخ]])</f>
        <v>2026</v>
      </c>
      <c r="X250" s="24">
        <f>MONTH(Tabledaily[[#This Row],[التاريخ]])</f>
        <v>6</v>
      </c>
      <c r="Y250" s="24">
        <f>DAY(Tabledaily[[#This Row],[التاريخ]])</f>
        <v>9</v>
      </c>
      <c r="Z25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الفرقة الثالثة)  - كشف صرف رقم   كشف صرف - مصاريف يومية سرية اللواء السادس عدد 39 بامر</v>
      </c>
      <c r="AA250" s="24" t="str">
        <f>IF(COUNTIF(TableDailyJournal[رقم العملية],Tabledaily[[#This Row],[رقم العملية]])&gt;1,"مرحل","غير مرحل")</f>
        <v>مرحل</v>
      </c>
    </row>
    <row r="251" spans="1:27" ht="22.9" customHeight="1" x14ac:dyDescent="0.55000000000000004">
      <c r="A251" s="22">
        <f t="shared" si="7"/>
        <v>249</v>
      </c>
      <c r="B251" s="23" t="s">
        <v>604</v>
      </c>
      <c r="C251" s="213" t="s">
        <v>589</v>
      </c>
      <c r="D251" s="22" t="s">
        <v>290</v>
      </c>
      <c r="E251" s="22">
        <f>IFERROR(INDEX(TableJudje[رقم الحساب],MATCH(Tabledaily[[#This Row],[الحســاب الدئـــن]],TableJudje[اسم الحساب],0)),0)</f>
        <v>11060205</v>
      </c>
      <c r="F251" s="22" t="s">
        <v>513</v>
      </c>
      <c r="G251" s="22" t="s">
        <v>458</v>
      </c>
      <c r="H251" s="24">
        <f>IFERROR(INDEX(TableJudje[رقم الحساب],MATCH(Tabledaily[[#This Row],[الحســاب المديــــن]],TableJudje[اسم الحساب],0)),0)</f>
        <v>31010101</v>
      </c>
      <c r="I251" s="22" t="s">
        <v>111</v>
      </c>
      <c r="J251" s="22" t="s">
        <v>238</v>
      </c>
      <c r="K251" s="117">
        <v>28000</v>
      </c>
      <c r="L251" s="23">
        <v>405</v>
      </c>
      <c r="M251" s="118">
        <f>IFERROR(Tabledaily[[#This Row],[المبلـــــــغ]]/Tabledaily[[#This Row],[سعــــــر
الصـــــرف]],"")</f>
        <v>69.135802469135797</v>
      </c>
      <c r="N251" s="22" t="s">
        <v>459</v>
      </c>
      <c r="O251" s="22" t="s">
        <v>312</v>
      </c>
      <c r="P251" s="22" t="s">
        <v>312</v>
      </c>
      <c r="Q251" s="22"/>
      <c r="R251" s="22" t="s">
        <v>237</v>
      </c>
      <c r="S251" s="24">
        <f>IFERROR(INDEX(tablecost[رقم المركز],MATCH(Tabledaily[[#This Row],[مركـــــــزالتكلفــــــة]],tablecost[الاسم],0)),0)</f>
        <v>1</v>
      </c>
      <c r="T251" s="27">
        <f>DATE(Tabledaily[[#This Row],[السنــــة]],Tabledaily[[#This Row],[الشهــــر]],Tabledaily[[#This Row],[الـــــيوم]])</f>
        <v>46182</v>
      </c>
      <c r="U251" s="28">
        <v>46192.950937499998</v>
      </c>
      <c r="V251" s="22"/>
      <c r="W251" s="24">
        <f>YEAR(Tabledaily[[#This Row],[التاريخ]])</f>
        <v>2026</v>
      </c>
      <c r="X251" s="24">
        <f>MONTH(Tabledaily[[#This Row],[التاريخ]])</f>
        <v>6</v>
      </c>
      <c r="Y251" s="24">
        <f>DAY(Tabledaily[[#This Row],[التاريخ]])</f>
        <v>9</v>
      </c>
      <c r="Z25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251" s="24" t="str">
        <f>IF(COUNTIF(TableDailyJournal[رقم العملية],Tabledaily[[#This Row],[رقم العملية]])&gt;1,"مرحل","غير مرحل")</f>
        <v>مرحل</v>
      </c>
    </row>
    <row r="252" spans="1:27" ht="22.9" customHeight="1" x14ac:dyDescent="0.55000000000000004">
      <c r="A252" s="22">
        <f t="shared" si="7"/>
        <v>250</v>
      </c>
      <c r="B252" s="23" t="s">
        <v>602</v>
      </c>
      <c r="C252" s="213" t="s">
        <v>589</v>
      </c>
      <c r="D252" s="22" t="s">
        <v>290</v>
      </c>
      <c r="E252" s="22">
        <f>IFERROR(INDEX(TableJudje[رقم الحساب],MATCH(Tabledaily[[#This Row],[الحســاب الدئـــن]],TableJudje[اسم الحساب],0)),0)</f>
        <v>11060205</v>
      </c>
      <c r="F252" s="22" t="s">
        <v>513</v>
      </c>
      <c r="G252" s="22" t="s">
        <v>603</v>
      </c>
      <c r="H252" s="24">
        <f>IFERROR(INDEX(TableJudje[رقم الحساب],MATCH(Tabledaily[[#This Row],[الحســاب المديــــن]],TableJudje[اسم الحساب],0)),0)</f>
        <v>31010101</v>
      </c>
      <c r="I252" s="22" t="s">
        <v>111</v>
      </c>
      <c r="J252" s="22" t="s">
        <v>238</v>
      </c>
      <c r="K252" s="117">
        <v>12000</v>
      </c>
      <c r="L252" s="23">
        <v>405</v>
      </c>
      <c r="M252" s="118">
        <f>IFERROR(Tabledaily[[#This Row],[المبلـــــــغ]]/Tabledaily[[#This Row],[سعــــــر
الصـــــرف]],"")</f>
        <v>29.62962962962963</v>
      </c>
      <c r="N252" s="22" t="s">
        <v>374</v>
      </c>
      <c r="O252" s="22" t="s">
        <v>312</v>
      </c>
      <c r="P252" s="22" t="s">
        <v>312</v>
      </c>
      <c r="Q252" s="22"/>
      <c r="R252" s="22" t="s">
        <v>237</v>
      </c>
      <c r="S252" s="24">
        <f>IFERROR(INDEX(tablecost[رقم المركز],MATCH(Tabledaily[[#This Row],[مركـــــــزالتكلفــــــة]],tablecost[الاسم],0)),0)</f>
        <v>1</v>
      </c>
      <c r="T252" s="27">
        <f>DATE(Tabledaily[[#This Row],[السنــــة]],Tabledaily[[#This Row],[الشهــــر]],Tabledaily[[#This Row],[الـــــيوم]])</f>
        <v>46182</v>
      </c>
      <c r="U252" s="28">
        <v>46192.950497685182</v>
      </c>
      <c r="V252" s="22"/>
      <c r="W252" s="24">
        <f>YEAR(Tabledaily[[#This Row],[التاريخ]])</f>
        <v>2026</v>
      </c>
      <c r="X252" s="24">
        <f>MONTH(Tabledaily[[#This Row],[التاريخ]])</f>
        <v>6</v>
      </c>
      <c r="Y252" s="24">
        <f>DAY(Tabledaily[[#This Row],[التاريخ]])</f>
        <v>9</v>
      </c>
      <c r="Z25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v>
      </c>
      <c r="AA252" s="24" t="str">
        <f>IF(COUNTIF(TableDailyJournal[رقم العملية],Tabledaily[[#This Row],[رقم العملية]])&gt;1,"مرحل","غير مرحل")</f>
        <v>مرحل</v>
      </c>
    </row>
    <row r="253" spans="1:27" ht="22.9" customHeight="1" x14ac:dyDescent="0.55000000000000004">
      <c r="A253" s="22">
        <f t="shared" si="7"/>
        <v>251</v>
      </c>
      <c r="B253" s="23" t="s">
        <v>600</v>
      </c>
      <c r="C253" s="213" t="s">
        <v>589</v>
      </c>
      <c r="D253" s="22" t="s">
        <v>290</v>
      </c>
      <c r="E253" s="22">
        <f>IFERROR(INDEX(TableJudje[رقم الحساب],MATCH(Tabledaily[[#This Row],[الحســاب الدئـــن]],TableJudje[اسم الحساب],0)),0)</f>
        <v>11060205</v>
      </c>
      <c r="F253" s="22" t="s">
        <v>513</v>
      </c>
      <c r="G253" s="22" t="s">
        <v>601</v>
      </c>
      <c r="H253" s="24">
        <f>IFERROR(INDEX(TableJudje[رقم الحساب],MATCH(Tabledaily[[#This Row],[الحســاب المديــــن]],TableJudje[اسم الحساب],0)),0)</f>
        <v>31010101</v>
      </c>
      <c r="I253" s="22" t="s">
        <v>111</v>
      </c>
      <c r="J253" s="22" t="s">
        <v>238</v>
      </c>
      <c r="K253" s="117">
        <v>99000</v>
      </c>
      <c r="L253" s="23">
        <v>405</v>
      </c>
      <c r="M253" s="118">
        <f>IFERROR(Tabledaily[[#This Row],[المبلـــــــغ]]/Tabledaily[[#This Row],[سعــــــر
الصـــــرف]],"")</f>
        <v>244.44444444444446</v>
      </c>
      <c r="N253" s="22" t="s">
        <v>322</v>
      </c>
      <c r="O253" s="22" t="s">
        <v>312</v>
      </c>
      <c r="P253" s="22" t="s">
        <v>312</v>
      </c>
      <c r="Q253" s="22"/>
      <c r="R253" s="22" t="s">
        <v>237</v>
      </c>
      <c r="S253" s="24">
        <f>IFERROR(INDEX(tablecost[رقم المركز],MATCH(Tabledaily[[#This Row],[مركـــــــزالتكلفــــــة]],tablecost[الاسم],0)),0)</f>
        <v>1</v>
      </c>
      <c r="T253" s="27">
        <f>DATE(Tabledaily[[#This Row],[السنــــة]],Tabledaily[[#This Row],[الشهــــر]],Tabledaily[[#This Row],[الـــــيوم]])</f>
        <v>46182</v>
      </c>
      <c r="U253" s="28">
        <v>46192.948796296296</v>
      </c>
      <c r="V253" s="22"/>
      <c r="W253" s="24">
        <f>YEAR(Tabledaily[[#This Row],[التاريخ]])</f>
        <v>2026</v>
      </c>
      <c r="X253" s="24">
        <f>MONTH(Tabledaily[[#This Row],[التاريخ]])</f>
        <v>6</v>
      </c>
      <c r="Y253" s="24">
        <f>DAY(Tabledaily[[#This Row],[التاريخ]])</f>
        <v>9</v>
      </c>
      <c r="Z25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13 بامر</v>
      </c>
      <c r="AA253" s="24" t="str">
        <f>IF(COUNTIF(TableDailyJournal[رقم العملية],Tabledaily[[#This Row],[رقم العملية]])&gt;1,"مرحل","غير مرحل")</f>
        <v>مرحل</v>
      </c>
    </row>
    <row r="254" spans="1:27" ht="22.9" customHeight="1" x14ac:dyDescent="0.55000000000000004">
      <c r="A254" s="22">
        <f t="shared" si="7"/>
        <v>252</v>
      </c>
      <c r="B254" s="23" t="s">
        <v>599</v>
      </c>
      <c r="C254" s="213" t="s">
        <v>589</v>
      </c>
      <c r="D254" s="22" t="s">
        <v>290</v>
      </c>
      <c r="E254" s="22">
        <f>IFERROR(INDEX(TableJudje[رقم الحساب],MATCH(Tabledaily[[#This Row],[الحســاب الدئـــن]],TableJudje[اسم الحساب],0)),0)</f>
        <v>11060205</v>
      </c>
      <c r="F254" s="22" t="s">
        <v>513</v>
      </c>
      <c r="G254" s="22" t="s">
        <v>405</v>
      </c>
      <c r="H254" s="24">
        <f>IFERROR(INDEX(TableJudje[رقم الحساب],MATCH(Tabledaily[[#This Row],[الحســاب المديــــن]],TableJudje[اسم الحساب],0)),0)</f>
        <v>31010101</v>
      </c>
      <c r="I254" s="22" t="s">
        <v>111</v>
      </c>
      <c r="J254" s="22" t="s">
        <v>238</v>
      </c>
      <c r="K254" s="117">
        <v>70000</v>
      </c>
      <c r="L254" s="23">
        <v>405</v>
      </c>
      <c r="M254" s="118">
        <f>IFERROR(Tabledaily[[#This Row],[المبلـــــــغ]]/Tabledaily[[#This Row],[سعــــــر
الصـــــرف]],"")</f>
        <v>172.83950617283949</v>
      </c>
      <c r="N254" s="22" t="s">
        <v>325</v>
      </c>
      <c r="O254" s="22" t="s">
        <v>312</v>
      </c>
      <c r="P254" s="22" t="s">
        <v>312</v>
      </c>
      <c r="Q254" s="22"/>
      <c r="R254" s="22" t="s">
        <v>237</v>
      </c>
      <c r="S254" s="24">
        <f>IFERROR(INDEX(tablecost[رقم المركز],MATCH(Tabledaily[[#This Row],[مركـــــــزالتكلفــــــة]],tablecost[الاسم],0)),0)</f>
        <v>1</v>
      </c>
      <c r="T254" s="27">
        <f>DATE(Tabledaily[[#This Row],[السنــــة]],Tabledaily[[#This Row],[الشهــــر]],Tabledaily[[#This Row],[الـــــيوم]])</f>
        <v>46182</v>
      </c>
      <c r="U254" s="28">
        <v>46192.947662037041</v>
      </c>
      <c r="V254" s="22"/>
      <c r="W254" s="24">
        <f>YEAR(Tabledaily[[#This Row],[التاريخ]])</f>
        <v>2026</v>
      </c>
      <c r="X254" s="24">
        <f>MONTH(Tabledaily[[#This Row],[التاريخ]])</f>
        <v>6</v>
      </c>
      <c r="Y254" s="24">
        <f>DAY(Tabledaily[[#This Row],[التاريخ]])</f>
        <v>9</v>
      </c>
      <c r="Z25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7 بامر</v>
      </c>
      <c r="AA254" s="24" t="str">
        <f>IF(COUNTIF(TableDailyJournal[رقم العملية],Tabledaily[[#This Row],[رقم العملية]])&gt;1,"مرحل","غير مرحل")</f>
        <v>مرحل</v>
      </c>
    </row>
    <row r="255" spans="1:27" ht="22.9" customHeight="1" x14ac:dyDescent="0.55000000000000004">
      <c r="A255" s="22">
        <f t="shared" si="7"/>
        <v>253</v>
      </c>
      <c r="B255" s="23" t="s">
        <v>598</v>
      </c>
      <c r="C255" s="213" t="s">
        <v>589</v>
      </c>
      <c r="D255" s="22" t="s">
        <v>290</v>
      </c>
      <c r="E255" s="22">
        <f>IFERROR(INDEX(TableJudje[رقم الحساب],MATCH(Tabledaily[[#This Row],[الحســاب الدئـــن]],TableJudje[اسم الحساب],0)),0)</f>
        <v>11060205</v>
      </c>
      <c r="F255" s="22" t="s">
        <v>513</v>
      </c>
      <c r="G255" s="22" t="s">
        <v>327</v>
      </c>
      <c r="H255" s="24">
        <f>IFERROR(INDEX(TableJudje[رقم الحساب],MATCH(Tabledaily[[#This Row],[الحســاب المديــــن]],TableJudje[اسم الحساب],0)),0)</f>
        <v>31010101</v>
      </c>
      <c r="I255" s="22" t="s">
        <v>111</v>
      </c>
      <c r="J255" s="22" t="s">
        <v>238</v>
      </c>
      <c r="K255" s="117">
        <v>32000</v>
      </c>
      <c r="L255" s="23">
        <v>405</v>
      </c>
      <c r="M255" s="118">
        <f>IFERROR(Tabledaily[[#This Row],[المبلـــــــغ]]/Tabledaily[[#This Row],[سعــــــر
الصـــــرف]],"")</f>
        <v>79.012345679012341</v>
      </c>
      <c r="N255" s="22" t="s">
        <v>328</v>
      </c>
      <c r="O255" s="22" t="s">
        <v>312</v>
      </c>
      <c r="P255" s="22" t="s">
        <v>312</v>
      </c>
      <c r="Q255" s="22"/>
      <c r="R255" s="22" t="s">
        <v>237</v>
      </c>
      <c r="S255" s="24">
        <f>IFERROR(INDEX(tablecost[رقم المركز],MATCH(Tabledaily[[#This Row],[مركـــــــزالتكلفــــــة]],tablecost[الاسم],0)),0)</f>
        <v>1</v>
      </c>
      <c r="T255" s="27">
        <f>DATE(Tabledaily[[#This Row],[السنــــة]],Tabledaily[[#This Row],[الشهــــر]],Tabledaily[[#This Row],[الـــــيوم]])</f>
        <v>46182</v>
      </c>
      <c r="U255" s="28">
        <v>46192.942835648151</v>
      </c>
      <c r="V255" s="22"/>
      <c r="W255" s="24">
        <f>YEAR(Tabledaily[[#This Row],[التاريخ]])</f>
        <v>2026</v>
      </c>
      <c r="X255" s="24">
        <f>MONTH(Tabledaily[[#This Row],[التاريخ]])</f>
        <v>6</v>
      </c>
      <c r="Y255" s="24">
        <f>DAY(Tabledaily[[#This Row],[التاريخ]])</f>
        <v>9</v>
      </c>
      <c r="Z25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5 بامر</v>
      </c>
      <c r="AA255" s="24" t="str">
        <f>IF(COUNTIF(TableDailyJournal[رقم العملية],Tabledaily[[#This Row],[رقم العملية]])&gt;1,"مرحل","غير مرحل")</f>
        <v>مرحل</v>
      </c>
    </row>
    <row r="256" spans="1:27" ht="22.9" customHeight="1" x14ac:dyDescent="0.55000000000000004">
      <c r="A256" s="22">
        <f t="shared" ref="A256:A287" si="8">ROW()-2</f>
        <v>254</v>
      </c>
      <c r="B256" s="23" t="s">
        <v>596</v>
      </c>
      <c r="C256" s="213" t="s">
        <v>589</v>
      </c>
      <c r="D256" s="22" t="s">
        <v>290</v>
      </c>
      <c r="E256" s="22">
        <f>IFERROR(INDEX(TableJudje[رقم الحساب],MATCH(Tabledaily[[#This Row],[الحســاب الدئـــن]],TableJudje[اسم الحساب],0)),0)</f>
        <v>11060205</v>
      </c>
      <c r="F256" s="22" t="s">
        <v>513</v>
      </c>
      <c r="G256" s="22" t="s">
        <v>597</v>
      </c>
      <c r="H256" s="24">
        <f>IFERROR(INDEX(TableJudje[رقم الحساب],MATCH(Tabledaily[[#This Row],[الحســاب المديــــن]],TableJudje[اسم الحساب],0)),0)</f>
        <v>31010101</v>
      </c>
      <c r="I256" s="22" t="s">
        <v>111</v>
      </c>
      <c r="J256" s="22" t="s">
        <v>238</v>
      </c>
      <c r="K256" s="117">
        <v>70000</v>
      </c>
      <c r="L256" s="23">
        <v>405</v>
      </c>
      <c r="M256" s="118">
        <f>IFERROR(Tabledaily[[#This Row],[المبلـــــــغ]]/Tabledaily[[#This Row],[سعــــــر
الصـــــرف]],"")</f>
        <v>172.83950617283949</v>
      </c>
      <c r="N256" s="22" t="s">
        <v>331</v>
      </c>
      <c r="O256" s="22" t="s">
        <v>312</v>
      </c>
      <c r="P256" s="22" t="s">
        <v>312</v>
      </c>
      <c r="Q256" s="22"/>
      <c r="R256" s="22" t="s">
        <v>237</v>
      </c>
      <c r="S256" s="24">
        <f>IFERROR(INDEX(tablecost[رقم المركز],MATCH(Tabledaily[[#This Row],[مركـــــــزالتكلفــــــة]],tablecost[الاسم],0)),0)</f>
        <v>1</v>
      </c>
      <c r="T256" s="27">
        <f>DATE(Tabledaily[[#This Row],[السنــــة]],Tabledaily[[#This Row],[الشهــــر]],Tabledaily[[#This Row],[الـــــيوم]])</f>
        <v>46182</v>
      </c>
      <c r="U256" s="28">
        <v>46192.941863425927</v>
      </c>
      <c r="V256" s="22"/>
      <c r="W256" s="24">
        <f>YEAR(Tabledaily[[#This Row],[التاريخ]])</f>
        <v>2026</v>
      </c>
      <c r="X256" s="24">
        <f>MONTH(Tabledaily[[#This Row],[التاريخ]])</f>
        <v>6</v>
      </c>
      <c r="Y256" s="24">
        <f>DAY(Tabledaily[[#This Row],[التاريخ]])</f>
        <v>9</v>
      </c>
      <c r="Z25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AA256" s="24" t="str">
        <f>IF(COUNTIF(TableDailyJournal[رقم العملية],Tabledaily[[#This Row],[رقم العملية]])&gt;1,"مرحل","غير مرحل")</f>
        <v>مرحل</v>
      </c>
    </row>
    <row r="257" spans="1:27" ht="22.9" customHeight="1" x14ac:dyDescent="0.55000000000000004">
      <c r="A257" s="22">
        <f t="shared" si="8"/>
        <v>255</v>
      </c>
      <c r="B257" s="23" t="s">
        <v>594</v>
      </c>
      <c r="C257" s="213" t="s">
        <v>589</v>
      </c>
      <c r="D257" s="22" t="s">
        <v>290</v>
      </c>
      <c r="E257" s="22">
        <f>IFERROR(INDEX(TableJudje[رقم الحساب],MATCH(Tabledaily[[#This Row],[الحســاب الدئـــن]],TableJudje[اسم الحساب],0)),0)</f>
        <v>11060205</v>
      </c>
      <c r="F257" s="22" t="s">
        <v>513</v>
      </c>
      <c r="G257" s="22" t="s">
        <v>595</v>
      </c>
      <c r="H257" s="24">
        <f>IFERROR(INDEX(TableJudje[رقم الحساب],MATCH(Tabledaily[[#This Row],[الحســاب المديــــن]],TableJudje[اسم الحساب],0)),0)</f>
        <v>31010101</v>
      </c>
      <c r="I257" s="22" t="s">
        <v>111</v>
      </c>
      <c r="J257" s="22" t="s">
        <v>238</v>
      </c>
      <c r="K257" s="117">
        <v>30000</v>
      </c>
      <c r="L257" s="23">
        <v>405</v>
      </c>
      <c r="M257" s="118">
        <f>IFERROR(Tabledaily[[#This Row],[المبلـــــــغ]]/Tabledaily[[#This Row],[سعــــــر
الصـــــرف]],"")</f>
        <v>74.074074074074076</v>
      </c>
      <c r="N257" s="22" t="s">
        <v>565</v>
      </c>
      <c r="O257" s="22" t="s">
        <v>312</v>
      </c>
      <c r="P257" s="22" t="s">
        <v>312</v>
      </c>
      <c r="Q257" s="22"/>
      <c r="R257" s="22" t="s">
        <v>237</v>
      </c>
      <c r="S257" s="24">
        <f>IFERROR(INDEX(tablecost[رقم المركز],MATCH(Tabledaily[[#This Row],[مركـــــــزالتكلفــــــة]],tablecost[الاسم],0)),0)</f>
        <v>1</v>
      </c>
      <c r="T257" s="27">
        <f>DATE(Tabledaily[[#This Row],[السنــــة]],Tabledaily[[#This Row],[الشهــــر]],Tabledaily[[#This Row],[الـــــيوم]])</f>
        <v>46182</v>
      </c>
      <c r="U257" s="28">
        <v>46192.940185185187</v>
      </c>
      <c r="V257" s="22"/>
      <c r="W257" s="24">
        <f>YEAR(Tabledaily[[#This Row],[التاريخ]])</f>
        <v>2026</v>
      </c>
      <c r="X257" s="24">
        <f>MONTH(Tabledaily[[#This Row],[التاريخ]])</f>
        <v>6</v>
      </c>
      <c r="Y257" s="24">
        <f>DAY(Tabledaily[[#This Row],[التاريخ]])</f>
        <v>9</v>
      </c>
      <c r="Z25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كشف صرف رقم   كشف صرف - صرف الصرفة اليومية للمدفعية لعدد 3 بامر</v>
      </c>
      <c r="AA257" s="24" t="str">
        <f>IF(COUNTIF(TableDailyJournal[رقم العملية],Tabledaily[[#This Row],[رقم العملية]])&gt;1,"مرحل","غير مرحل")</f>
        <v>مرحل</v>
      </c>
    </row>
    <row r="258" spans="1:27" ht="22.9" customHeight="1" x14ac:dyDescent="0.55000000000000004">
      <c r="A258" s="22">
        <f t="shared" si="8"/>
        <v>256</v>
      </c>
      <c r="B258" s="23" t="s">
        <v>593</v>
      </c>
      <c r="C258" s="213" t="s">
        <v>589</v>
      </c>
      <c r="D258" s="22" t="s">
        <v>290</v>
      </c>
      <c r="E258" s="22">
        <f>IFERROR(INDEX(TableJudje[رقم الحساب],MATCH(Tabledaily[[#This Row],[الحســاب الدئـــن]],TableJudje[اسم الحساب],0)),0)</f>
        <v>11060205</v>
      </c>
      <c r="F258" s="22" t="s">
        <v>513</v>
      </c>
      <c r="G258" s="22" t="s">
        <v>333</v>
      </c>
      <c r="H258" s="24">
        <f>IFERROR(INDEX(TableJudje[رقم الحساب],MATCH(Tabledaily[[#This Row],[الحســاب المديــــن]],TableJudje[اسم الحساب],0)),0)</f>
        <v>31010101</v>
      </c>
      <c r="I258" s="22" t="s">
        <v>111</v>
      </c>
      <c r="J258" s="22" t="s">
        <v>238</v>
      </c>
      <c r="K258" s="117">
        <v>65000</v>
      </c>
      <c r="L258" s="23">
        <v>405</v>
      </c>
      <c r="M258" s="118">
        <f>IFERROR(Tabledaily[[#This Row],[المبلـــــــغ]]/Tabledaily[[#This Row],[سعــــــر
الصـــــرف]],"")</f>
        <v>160.49382716049382</v>
      </c>
      <c r="N258" s="22" t="s">
        <v>334</v>
      </c>
      <c r="O258" s="22" t="s">
        <v>312</v>
      </c>
      <c r="P258" s="22" t="s">
        <v>312</v>
      </c>
      <c r="Q258" s="22"/>
      <c r="R258" s="22" t="s">
        <v>237</v>
      </c>
      <c r="S258" s="24">
        <f>IFERROR(INDEX(tablecost[رقم المركز],MATCH(Tabledaily[[#This Row],[مركـــــــزالتكلفــــــة]],tablecost[الاسم],0)),0)</f>
        <v>1</v>
      </c>
      <c r="T258" s="27">
        <f>DATE(Tabledaily[[#This Row],[السنــــة]],Tabledaily[[#This Row],[الشهــــر]],Tabledaily[[#This Row],[الـــــيوم]])</f>
        <v>46182</v>
      </c>
      <c r="U258" s="28">
        <v>46192.937476851854</v>
      </c>
      <c r="V258" s="22"/>
      <c r="W258" s="24">
        <f>YEAR(Tabledaily[[#This Row],[التاريخ]])</f>
        <v>2026</v>
      </c>
      <c r="X258" s="24">
        <f>MONTH(Tabledaily[[#This Row],[التاريخ]])</f>
        <v>6</v>
      </c>
      <c r="Y258" s="24">
        <f>DAY(Tabledaily[[#This Row],[التاريخ]])</f>
        <v>9</v>
      </c>
      <c r="Z25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258" s="24" t="str">
        <f>IF(COUNTIF(TableDailyJournal[رقم العملية],Tabledaily[[#This Row],[رقم العملية]])&gt;1,"مرحل","غير مرحل")</f>
        <v>مرحل</v>
      </c>
    </row>
    <row r="259" spans="1:27" ht="22.9" customHeight="1" x14ac:dyDescent="0.55000000000000004">
      <c r="A259" s="22">
        <f t="shared" si="8"/>
        <v>257</v>
      </c>
      <c r="B259" s="23" t="s">
        <v>592</v>
      </c>
      <c r="C259" s="213" t="s">
        <v>589</v>
      </c>
      <c r="D259" s="22" t="s">
        <v>290</v>
      </c>
      <c r="E259" s="22">
        <f>IFERROR(INDEX(TableJudje[رقم الحساب],MATCH(Tabledaily[[#This Row],[الحســاب الدئـــن]],TableJudje[اسم الحساب],0)),0)</f>
        <v>11060205</v>
      </c>
      <c r="F259" s="22" t="s">
        <v>513</v>
      </c>
      <c r="G259" s="22" t="s">
        <v>448</v>
      </c>
      <c r="H259" s="24">
        <f>IFERROR(INDEX(TableJudje[رقم الحساب],MATCH(Tabledaily[[#This Row],[الحســاب المديــــن]],TableJudje[اسم الحساب],0)),0)</f>
        <v>31010101</v>
      </c>
      <c r="I259" s="22" t="s">
        <v>111</v>
      </c>
      <c r="J259" s="22" t="s">
        <v>238</v>
      </c>
      <c r="K259" s="117">
        <v>15000</v>
      </c>
      <c r="L259" s="23">
        <v>405</v>
      </c>
      <c r="M259" s="118">
        <f>IFERROR(Tabledaily[[#This Row],[المبلـــــــغ]]/Tabledaily[[#This Row],[سعــــــر
الصـــــرف]],"")</f>
        <v>37.037037037037038</v>
      </c>
      <c r="N259" s="22" t="s">
        <v>337</v>
      </c>
      <c r="O259" s="22" t="s">
        <v>312</v>
      </c>
      <c r="P259" s="22" t="s">
        <v>312</v>
      </c>
      <c r="Q259" s="22"/>
      <c r="R259" s="22" t="s">
        <v>237</v>
      </c>
      <c r="S259" s="24">
        <f>IFERROR(INDEX(tablecost[رقم المركز],MATCH(Tabledaily[[#This Row],[مركـــــــزالتكلفــــــة]],tablecost[الاسم],0)),0)</f>
        <v>1</v>
      </c>
      <c r="T259" s="27">
        <f>DATE(Tabledaily[[#This Row],[السنــــة]],Tabledaily[[#This Row],[الشهــــر]],Tabledaily[[#This Row],[الـــــيوم]])</f>
        <v>46182</v>
      </c>
      <c r="U259" s="28">
        <v>46192.93677083333</v>
      </c>
      <c r="V259" s="22"/>
      <c r="W259" s="24">
        <f>YEAR(Tabledaily[[#This Row],[التاريخ]])</f>
        <v>2026</v>
      </c>
      <c r="X259" s="24">
        <f>MONTH(Tabledaily[[#This Row],[التاريخ]])</f>
        <v>6</v>
      </c>
      <c r="Y259" s="24">
        <f>DAY(Tabledaily[[#This Row],[التاريخ]])</f>
        <v>9</v>
      </c>
      <c r="Z25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2 بامر</v>
      </c>
      <c r="AA259" s="24" t="str">
        <f>IF(COUNTIF(TableDailyJournal[رقم العملية],Tabledaily[[#This Row],[رقم العملية]])&gt;1,"مرحل","غير مرحل")</f>
        <v>مرحل</v>
      </c>
    </row>
    <row r="260" spans="1:27" ht="22.9" customHeight="1" x14ac:dyDescent="0.55000000000000004">
      <c r="A260" s="22">
        <f t="shared" si="8"/>
        <v>258</v>
      </c>
      <c r="B260" s="23" t="s">
        <v>591</v>
      </c>
      <c r="C260" s="213" t="s">
        <v>589</v>
      </c>
      <c r="D260" s="22" t="s">
        <v>290</v>
      </c>
      <c r="E260" s="22">
        <f>IFERROR(INDEX(TableJudje[رقم الحساب],MATCH(Tabledaily[[#This Row],[الحســاب الدئـــن]],TableJudje[اسم الحساب],0)),0)</f>
        <v>11060205</v>
      </c>
      <c r="F260" s="22" t="s">
        <v>513</v>
      </c>
      <c r="G260" s="22" t="s">
        <v>443</v>
      </c>
      <c r="H260" s="24">
        <f>IFERROR(INDEX(TableJudje[رقم الحساب],MATCH(Tabledaily[[#This Row],[الحســاب المديــــن]],TableJudje[اسم الحساب],0)),0)</f>
        <v>31010101</v>
      </c>
      <c r="I260" s="22" t="s">
        <v>111</v>
      </c>
      <c r="J260" s="22" t="s">
        <v>238</v>
      </c>
      <c r="K260" s="117">
        <v>128000</v>
      </c>
      <c r="L260" s="23">
        <v>405</v>
      </c>
      <c r="M260" s="118">
        <f>IFERROR(Tabledaily[[#This Row],[المبلـــــــغ]]/Tabledaily[[#This Row],[سعــــــر
الصـــــرف]],"")</f>
        <v>316.04938271604937</v>
      </c>
      <c r="N260" s="22" t="s">
        <v>340</v>
      </c>
      <c r="O260" s="22" t="s">
        <v>312</v>
      </c>
      <c r="P260" s="22" t="s">
        <v>312</v>
      </c>
      <c r="Q260" s="22"/>
      <c r="R260" s="22" t="s">
        <v>237</v>
      </c>
      <c r="S260" s="24">
        <f>IFERROR(INDEX(tablecost[رقم المركز],MATCH(Tabledaily[[#This Row],[مركـــــــزالتكلفــــــة]],tablecost[الاسم],0)),0)</f>
        <v>1</v>
      </c>
      <c r="T260" s="27">
        <f>DATE(Tabledaily[[#This Row],[السنــــة]],Tabledaily[[#This Row],[الشهــــر]],Tabledaily[[#This Row],[الـــــيوم]])</f>
        <v>46182</v>
      </c>
      <c r="U260" s="28">
        <v>46192.936006944445</v>
      </c>
      <c r="V260" s="22"/>
      <c r="W260" s="24">
        <f>YEAR(Tabledaily[[#This Row],[التاريخ]])</f>
        <v>2026</v>
      </c>
      <c r="X260" s="24">
        <f>MONTH(Tabledaily[[#This Row],[التاريخ]])</f>
        <v>6</v>
      </c>
      <c r="Y260" s="24">
        <f>DAY(Tabledaily[[#This Row],[التاريخ]])</f>
        <v>9</v>
      </c>
      <c r="Z26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12 بامر</v>
      </c>
      <c r="AA260" s="24" t="str">
        <f>IF(COUNTIF(TableDailyJournal[رقم العملية],Tabledaily[[#This Row],[رقم العملية]])&gt;1,"مرحل","غير مرحل")</f>
        <v>مرحل</v>
      </c>
    </row>
    <row r="261" spans="1:27" ht="22.9" customHeight="1" x14ac:dyDescent="0.55000000000000004">
      <c r="A261" s="22">
        <f t="shared" si="8"/>
        <v>259</v>
      </c>
      <c r="B261" s="23" t="s">
        <v>590</v>
      </c>
      <c r="C261" s="213" t="s">
        <v>589</v>
      </c>
      <c r="D261" s="22" t="s">
        <v>290</v>
      </c>
      <c r="E261" s="22">
        <f>IFERROR(INDEX(TableJudje[رقم الحساب],MATCH(Tabledaily[[#This Row],[الحســاب الدئـــن]],TableJudje[اسم الحساب],0)),0)</f>
        <v>11060205</v>
      </c>
      <c r="F261" s="22" t="s">
        <v>513</v>
      </c>
      <c r="G261" s="22" t="s">
        <v>559</v>
      </c>
      <c r="H261" s="24">
        <f>IFERROR(INDEX(TableJudje[رقم الحساب],MATCH(Tabledaily[[#This Row],[الحســاب المديــــن]],TableJudje[اسم الحساب],0)),0)</f>
        <v>31010101</v>
      </c>
      <c r="I261" s="22" t="s">
        <v>111</v>
      </c>
      <c r="J261" s="22" t="s">
        <v>238</v>
      </c>
      <c r="K261" s="117">
        <v>30000</v>
      </c>
      <c r="L261" s="23">
        <v>405</v>
      </c>
      <c r="M261" s="118">
        <f>IFERROR(Tabledaily[[#This Row],[المبلـــــــغ]]/Tabledaily[[#This Row],[سعــــــر
الصـــــرف]],"")</f>
        <v>74.074074074074076</v>
      </c>
      <c r="N261" s="22" t="s">
        <v>521</v>
      </c>
      <c r="O261" s="22" t="s">
        <v>312</v>
      </c>
      <c r="P261" s="22" t="s">
        <v>312</v>
      </c>
      <c r="Q261" s="22"/>
      <c r="R261" s="22" t="s">
        <v>237</v>
      </c>
      <c r="S261" s="24">
        <f>IFERROR(INDEX(tablecost[رقم المركز],MATCH(Tabledaily[[#This Row],[مركـــــــزالتكلفــــــة]],tablecost[الاسم],0)),0)</f>
        <v>1</v>
      </c>
      <c r="T261" s="27">
        <f>DATE(Tabledaily[[#This Row],[السنــــة]],Tabledaily[[#This Row],[الشهــــر]],Tabledaily[[#This Row],[الـــــيوم]])</f>
        <v>46182</v>
      </c>
      <c r="U261" s="28">
        <v>46191.930717592593</v>
      </c>
      <c r="V261" s="22"/>
      <c r="W261" s="24">
        <f>YEAR(Tabledaily[[#This Row],[التاريخ]])</f>
        <v>2026</v>
      </c>
      <c r="X261" s="24">
        <f>MONTH(Tabledaily[[#This Row],[التاريخ]])</f>
        <v>6</v>
      </c>
      <c r="Y261" s="24">
        <f>DAY(Tabledaily[[#This Row],[التاريخ]])</f>
        <v>9</v>
      </c>
      <c r="Z26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261" s="24" t="str">
        <f>IF(COUNTIF(TableDailyJournal[رقم العملية],Tabledaily[[#This Row],[رقم العملية]])&gt;1,"مرحل","غير مرحل")</f>
        <v>مرحل</v>
      </c>
    </row>
    <row r="262" spans="1:27" ht="22.9" customHeight="1" x14ac:dyDescent="0.55000000000000004">
      <c r="A262" s="22">
        <f t="shared" si="8"/>
        <v>260</v>
      </c>
      <c r="B262" s="23" t="s">
        <v>588</v>
      </c>
      <c r="C262" s="213" t="s">
        <v>589</v>
      </c>
      <c r="D262" s="22" t="s">
        <v>290</v>
      </c>
      <c r="E262" s="22">
        <f>IFERROR(INDEX(TableJudje[رقم الحساب],MATCH(Tabledaily[[#This Row],[الحســاب الدئـــن]],TableJudje[اسم الحساب],0)),0)</f>
        <v>11060205</v>
      </c>
      <c r="F262" s="22" t="s">
        <v>513</v>
      </c>
      <c r="G262" s="22" t="s">
        <v>440</v>
      </c>
      <c r="H262" s="24">
        <f>IFERROR(INDEX(TableJudje[رقم الحساب],MATCH(Tabledaily[[#This Row],[الحســاب المديــــن]],TableJudje[اسم الحساب],0)),0)</f>
        <v>31010101</v>
      </c>
      <c r="I262" s="22" t="s">
        <v>111</v>
      </c>
      <c r="J262" s="22" t="s">
        <v>238</v>
      </c>
      <c r="K262" s="117">
        <v>43000</v>
      </c>
      <c r="L262" s="23">
        <v>405</v>
      </c>
      <c r="M262" s="118">
        <f>IFERROR(Tabledaily[[#This Row],[المبلـــــــغ]]/Tabledaily[[#This Row],[سعــــــر
الصـــــرف]],"")</f>
        <v>106.17283950617283</v>
      </c>
      <c r="N262" s="22" t="s">
        <v>343</v>
      </c>
      <c r="O262" s="22" t="s">
        <v>312</v>
      </c>
      <c r="P262" s="22" t="s">
        <v>312</v>
      </c>
      <c r="Q262" s="22"/>
      <c r="R262" s="22" t="s">
        <v>237</v>
      </c>
      <c r="S262" s="24">
        <f>IFERROR(INDEX(tablecost[رقم المركز],MATCH(Tabledaily[[#This Row],[مركـــــــزالتكلفــــــة]],tablecost[الاسم],0)),0)</f>
        <v>1</v>
      </c>
      <c r="T262" s="27">
        <f>DATE(Tabledaily[[#This Row],[السنــــة]],Tabledaily[[#This Row],[الشهــــر]],Tabledaily[[#This Row],[الـــــيوم]])</f>
        <v>46182</v>
      </c>
      <c r="U262" s="28">
        <v>46191.929606481484</v>
      </c>
      <c r="V262" s="22"/>
      <c r="W262" s="24">
        <f>YEAR(Tabledaily[[#This Row],[التاريخ]])</f>
        <v>2026</v>
      </c>
      <c r="X262" s="24">
        <f>MONTH(Tabledaily[[#This Row],[التاريخ]])</f>
        <v>6</v>
      </c>
      <c r="Y262" s="24">
        <f>DAY(Tabledaily[[#This Row],[التاريخ]])</f>
        <v>9</v>
      </c>
      <c r="Z26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5 بامر</v>
      </c>
      <c r="AA262" s="24" t="str">
        <f>IF(COUNTIF(TableDailyJournal[رقم العملية],Tabledaily[[#This Row],[رقم العملية]])&gt;1,"مرحل","غير مرحل")</f>
        <v>مرحل</v>
      </c>
    </row>
    <row r="263" spans="1:27" ht="22.9" customHeight="1" x14ac:dyDescent="0.55000000000000004">
      <c r="A263" s="22">
        <f t="shared" si="8"/>
        <v>261</v>
      </c>
      <c r="B263" s="23" t="s">
        <v>585</v>
      </c>
      <c r="C263" s="213" t="s">
        <v>557</v>
      </c>
      <c r="D263" s="22" t="s">
        <v>290</v>
      </c>
      <c r="E263" s="22">
        <f>IFERROR(INDEX(TableJudje[رقم الحساب],MATCH(Tabledaily[[#This Row],[الحســاب الدئـــن]],TableJudje[اسم الحساب],0)),0)</f>
        <v>11060205</v>
      </c>
      <c r="F263" s="22" t="s">
        <v>513</v>
      </c>
      <c r="G263" s="22" t="s">
        <v>586</v>
      </c>
      <c r="H263" s="24">
        <f>IFERROR(INDEX(TableJudje[رقم الحساب],MATCH(Tabledaily[[#This Row],[الحســاب المديــــن]],TableJudje[اسم الحساب],0)),0)</f>
        <v>31010114</v>
      </c>
      <c r="I263" s="22" t="s">
        <v>121</v>
      </c>
      <c r="J263" s="22" t="s">
        <v>238</v>
      </c>
      <c r="K263" s="117">
        <v>50000</v>
      </c>
      <c r="L263" s="23">
        <v>405</v>
      </c>
      <c r="M263" s="118">
        <f>IFERROR(Tabledaily[[#This Row],[المبلـــــــغ]]/Tabledaily[[#This Row],[سعــــــر
الصـــــرف]],"")</f>
        <v>123.45679012345678</v>
      </c>
      <c r="N263" s="22" t="s">
        <v>587</v>
      </c>
      <c r="O263" s="22" t="s">
        <v>286</v>
      </c>
      <c r="P263" s="22" t="s">
        <v>287</v>
      </c>
      <c r="Q263" s="22"/>
      <c r="R263" s="22" t="s">
        <v>237</v>
      </c>
      <c r="S263" s="24">
        <f>IFERROR(INDEX(tablecost[رقم المركز],MATCH(Tabledaily[[#This Row],[مركـــــــزالتكلفــــــة]],tablecost[الاسم],0)),0)</f>
        <v>1</v>
      </c>
      <c r="T263" s="27">
        <f>DATE(Tabledaily[[#This Row],[السنــــة]],Tabledaily[[#This Row],[الشهــــر]],Tabledaily[[#This Row],[الـــــيوم]])</f>
        <v>46181</v>
      </c>
      <c r="U263" s="28">
        <v>46191.925752314812</v>
      </c>
      <c r="V263" s="22" t="s">
        <v>293</v>
      </c>
      <c r="W263" s="24">
        <f>YEAR(Tabledaily[[#This Row],[التاريخ]])</f>
        <v>2026</v>
      </c>
      <c r="X263" s="24">
        <f>MONTH(Tabledaily[[#This Row],[التاريخ]])</f>
        <v>6</v>
      </c>
      <c r="Y263" s="24">
        <f>DAY(Tabledaily[[#This Row],[التاريخ]])</f>
        <v>8</v>
      </c>
      <c r="Z26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مجدي مسدوس - الفرقة الثالثة)  - استلام نقدي رقم   سند استلام - مصاريف ل مجدي مسدوس  بامرالأركان جمال مسدوس</v>
      </c>
      <c r="AA263" s="24" t="str">
        <f>IF(COUNTIF(TableDailyJournal[رقم العملية],Tabledaily[[#This Row],[رقم العملية]])&gt;1,"مرحل","غير مرحل")</f>
        <v>مرحل</v>
      </c>
    </row>
    <row r="264" spans="1:27" ht="22.9" customHeight="1" x14ac:dyDescent="0.55000000000000004">
      <c r="A264" s="22">
        <f t="shared" si="8"/>
        <v>262</v>
      </c>
      <c r="B264" s="23" t="s">
        <v>582</v>
      </c>
      <c r="C264" s="213" t="s">
        <v>557</v>
      </c>
      <c r="D264" s="22" t="s">
        <v>290</v>
      </c>
      <c r="E264" s="22">
        <f>IFERROR(INDEX(TableJudje[رقم الحساب],MATCH(Tabledaily[[#This Row],[الحســاب الدئـــن]],TableJudje[اسم الحساب],0)),0)</f>
        <v>11060205</v>
      </c>
      <c r="F264" s="22" t="s">
        <v>513</v>
      </c>
      <c r="G264" s="22" t="s">
        <v>583</v>
      </c>
      <c r="H264" s="24">
        <f>IFERROR(INDEX(TableJudje[رقم الحساب],MATCH(Tabledaily[[#This Row],[الحســاب المديــــن]],TableJudje[اسم الحساب],0)),0)</f>
        <v>31010122</v>
      </c>
      <c r="I264" s="22" t="s">
        <v>487</v>
      </c>
      <c r="J264" s="22" t="s">
        <v>238</v>
      </c>
      <c r="K264" s="117">
        <v>80000</v>
      </c>
      <c r="L264" s="23">
        <v>405</v>
      </c>
      <c r="M264" s="118">
        <f>IFERROR(Tabledaily[[#This Row],[المبلـــــــغ]]/Tabledaily[[#This Row],[سعــــــر
الصـــــرف]],"")</f>
        <v>197.53086419753086</v>
      </c>
      <c r="N264" s="22" t="s">
        <v>584</v>
      </c>
      <c r="O264" s="22" t="s">
        <v>286</v>
      </c>
      <c r="P264" s="22" t="s">
        <v>287</v>
      </c>
      <c r="Q264" s="22"/>
      <c r="R264" s="22" t="s">
        <v>248</v>
      </c>
      <c r="S264" s="24">
        <f>IFERROR(INDEX(tablecost[رقم المركز],MATCH(Tabledaily[[#This Row],[مركـــــــزالتكلفــــــة]],tablecost[الاسم],0)),0)</f>
        <v>7</v>
      </c>
      <c r="T264" s="27">
        <f>DATE(Tabledaily[[#This Row],[السنــــة]],Tabledaily[[#This Row],[الشهــــر]],Tabledaily[[#This Row],[الـــــيوم]])</f>
        <v>46181</v>
      </c>
      <c r="U264" s="28">
        <v>46191.925034722219</v>
      </c>
      <c r="V264" s="22" t="s">
        <v>293</v>
      </c>
      <c r="W264" s="24">
        <f>YEAR(Tabledaily[[#This Row],[التاريخ]])</f>
        <v>2026</v>
      </c>
      <c r="X264" s="24">
        <f>MONTH(Tabledaily[[#This Row],[التاريخ]])</f>
        <v>6</v>
      </c>
      <c r="Y264" s="24">
        <f>DAY(Tabledaily[[#This Row],[التاريخ]])</f>
        <v>8</v>
      </c>
      <c r="Z26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عبدالرحمن رسام  - اللواء السادس)  - استلام نقدي رقم   سند استلام - مصاريف سفر بامرالأركان جمال مسدوس</v>
      </c>
      <c r="AA264" s="24" t="str">
        <f>IF(COUNTIF(TableDailyJournal[رقم العملية],Tabledaily[[#This Row],[رقم العملية]])&gt;1,"مرحل","غير مرحل")</f>
        <v>مرحل</v>
      </c>
    </row>
    <row r="265" spans="1:27" ht="22.9" customHeight="1" x14ac:dyDescent="0.55000000000000004">
      <c r="A265" s="22">
        <f t="shared" si="8"/>
        <v>263</v>
      </c>
      <c r="B265" s="23" t="s">
        <v>579</v>
      </c>
      <c r="C265" s="213" t="s">
        <v>557</v>
      </c>
      <c r="D265" s="22" t="s">
        <v>290</v>
      </c>
      <c r="E265" s="22">
        <f>IFERROR(INDEX(TableJudje[رقم الحساب],MATCH(Tabledaily[[#This Row],[الحســاب الدئـــن]],TableJudje[اسم الحساب],0)),0)</f>
        <v>11060205</v>
      </c>
      <c r="F265" s="22" t="s">
        <v>513</v>
      </c>
      <c r="G265" s="22" t="s">
        <v>580</v>
      </c>
      <c r="H265" s="24">
        <f>IFERROR(INDEX(TableJudje[رقم الحساب],MATCH(Tabledaily[[#This Row],[الحســاب المديــــن]],TableJudje[اسم الحساب],0)),0)</f>
        <v>31010101</v>
      </c>
      <c r="I265" s="22" t="s">
        <v>111</v>
      </c>
      <c r="J265" s="22" t="s">
        <v>238</v>
      </c>
      <c r="K265" s="117">
        <v>20000</v>
      </c>
      <c r="L265" s="23">
        <v>405</v>
      </c>
      <c r="M265" s="118">
        <f>IFERROR(Tabledaily[[#This Row],[المبلـــــــغ]]/Tabledaily[[#This Row],[سعــــــر
الصـــــرف]],"")</f>
        <v>49.382716049382715</v>
      </c>
      <c r="N265" s="22" t="s">
        <v>581</v>
      </c>
      <c r="O265" s="22" t="s">
        <v>286</v>
      </c>
      <c r="P265" s="22" t="s">
        <v>287</v>
      </c>
      <c r="Q265" s="22"/>
      <c r="R265" s="22" t="s">
        <v>237</v>
      </c>
      <c r="S265" s="24">
        <f>IFERROR(INDEX(tablecost[رقم المركز],MATCH(Tabledaily[[#This Row],[مركـــــــزالتكلفــــــة]],tablecost[الاسم],0)),0)</f>
        <v>1</v>
      </c>
      <c r="T265" s="27">
        <f>DATE(Tabledaily[[#This Row],[السنــــة]],Tabledaily[[#This Row],[الشهــــر]],Tabledaily[[#This Row],[الـــــيوم]])</f>
        <v>46181</v>
      </c>
      <c r="U265" s="28">
        <v>46191.924317129633</v>
      </c>
      <c r="V265" s="22" t="s">
        <v>293</v>
      </c>
      <c r="W265" s="24">
        <f>YEAR(Tabledaily[[#This Row],[التاريخ]])</f>
        <v>2026</v>
      </c>
      <c r="X265" s="24">
        <f>MONTH(Tabledaily[[#This Row],[التاريخ]])</f>
        <v>6</v>
      </c>
      <c r="Y265" s="24">
        <f>DAY(Tabledaily[[#This Row],[التاريخ]])</f>
        <v>8</v>
      </c>
      <c r="Z26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v>
      </c>
      <c r="AA265" s="24" t="str">
        <f>IF(COUNTIF(TableDailyJournal[رقم العملية],Tabledaily[[#This Row],[رقم العملية]])&gt;1,"مرحل","غير مرحل")</f>
        <v>مرحل</v>
      </c>
    </row>
    <row r="266" spans="1:27" ht="22.9" customHeight="1" x14ac:dyDescent="0.55000000000000004">
      <c r="A266" s="22">
        <f t="shared" si="8"/>
        <v>264</v>
      </c>
      <c r="B266" s="23" t="s">
        <v>577</v>
      </c>
      <c r="C266" s="213" t="s">
        <v>557</v>
      </c>
      <c r="D266" s="22" t="s">
        <v>290</v>
      </c>
      <c r="E266" s="22">
        <f>IFERROR(INDEX(TableJudje[رقم الحساب],MATCH(Tabledaily[[#This Row],[الحســاب الدئـــن]],TableJudje[اسم الحساب],0)),0)</f>
        <v>11060205</v>
      </c>
      <c r="F266" s="22" t="s">
        <v>513</v>
      </c>
      <c r="G266" s="22" t="s">
        <v>578</v>
      </c>
      <c r="H266" s="24">
        <f>IFERROR(INDEX(TableJudje[رقم الحساب],MATCH(Tabledaily[[#This Row],[الحســاب المديــــن]],TableJudje[اسم الحساب],0)),0)</f>
        <v>31010114</v>
      </c>
      <c r="I266" s="22" t="s">
        <v>121</v>
      </c>
      <c r="J266" s="22" t="s">
        <v>238</v>
      </c>
      <c r="K266" s="117">
        <v>12000</v>
      </c>
      <c r="L266" s="23">
        <v>405</v>
      </c>
      <c r="M266" s="118">
        <f>IFERROR(Tabledaily[[#This Row],[المبلـــــــغ]]/Tabledaily[[#This Row],[سعــــــر
الصـــــرف]],"")</f>
        <v>29.62962962962963</v>
      </c>
      <c r="N266" s="22" t="s">
        <v>542</v>
      </c>
      <c r="O266" s="22" t="s">
        <v>286</v>
      </c>
      <c r="P266" s="22" t="s">
        <v>287</v>
      </c>
      <c r="Q266" s="22"/>
      <c r="R266" s="22" t="s">
        <v>237</v>
      </c>
      <c r="S266" s="24">
        <f>IFERROR(INDEX(tablecost[رقم المركز],MATCH(Tabledaily[[#This Row],[مركـــــــزالتكلفــــــة]],tablecost[الاسم],0)),0)</f>
        <v>1</v>
      </c>
      <c r="T266" s="27">
        <f>DATE(Tabledaily[[#This Row],[السنــــة]],Tabledaily[[#This Row],[الشهــــر]],Tabledaily[[#This Row],[الـــــيوم]])</f>
        <v>46181</v>
      </c>
      <c r="U266" s="28">
        <v>46191.923275462963</v>
      </c>
      <c r="V266" s="22"/>
      <c r="W266" s="24">
        <f>YEAR(Tabledaily[[#This Row],[التاريخ]])</f>
        <v>2026</v>
      </c>
      <c r="X266" s="24">
        <f>MONTH(Tabledaily[[#This Row],[التاريخ]])</f>
        <v>6</v>
      </c>
      <c r="Y266" s="24">
        <f>DAY(Tabledaily[[#This Row],[التاريخ]])</f>
        <v>8</v>
      </c>
      <c r="Z26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محمد فؤاد+ محمد سمير+محمد علي + كريم اكرم - الفرقة الثالثة)  - استلام نقدي رقم   سند استلام - مصروف حافز لافراد السيطرة بامر</v>
      </c>
      <c r="AA266" s="24" t="str">
        <f>IF(COUNTIF(TableDailyJournal[رقم العملية],Tabledaily[[#This Row],[رقم العملية]])&gt;1,"مرحل","غير مرحل")</f>
        <v>مرحل</v>
      </c>
    </row>
    <row r="267" spans="1:27" ht="22.9" customHeight="1" x14ac:dyDescent="0.55000000000000004">
      <c r="A267" s="22">
        <f t="shared" si="8"/>
        <v>265</v>
      </c>
      <c r="B267" s="23" t="s">
        <v>574</v>
      </c>
      <c r="C267" s="213" t="s">
        <v>557</v>
      </c>
      <c r="D267" s="22" t="s">
        <v>290</v>
      </c>
      <c r="E267" s="22">
        <f>IFERROR(INDEX(TableJudje[رقم الحساب],MATCH(Tabledaily[[#This Row],[الحســاب الدئـــن]],TableJudje[اسم الحساب],0)),0)</f>
        <v>11060205</v>
      </c>
      <c r="F267" s="22" t="s">
        <v>513</v>
      </c>
      <c r="G267" s="22" t="s">
        <v>575</v>
      </c>
      <c r="H267" s="24">
        <f>IFERROR(INDEX(TableJudje[رقم الحساب],MATCH(Tabledaily[[#This Row],[الحســاب المديــــن]],TableJudje[اسم الحساب],0)),0)</f>
        <v>31010122</v>
      </c>
      <c r="I267" s="22" t="s">
        <v>487</v>
      </c>
      <c r="J267" s="22" t="s">
        <v>238</v>
      </c>
      <c r="K267" s="117">
        <v>200000</v>
      </c>
      <c r="L267" s="23">
        <v>405</v>
      </c>
      <c r="M267" s="118">
        <f>IFERROR(Tabledaily[[#This Row],[المبلـــــــغ]]/Tabledaily[[#This Row],[سعــــــر
الصـــــرف]],"")</f>
        <v>493.82716049382714</v>
      </c>
      <c r="N267" s="22" t="s">
        <v>576</v>
      </c>
      <c r="O267" s="22" t="s">
        <v>286</v>
      </c>
      <c r="P267" s="22" t="s">
        <v>287</v>
      </c>
      <c r="Q267" s="22"/>
      <c r="R267" s="22" t="s">
        <v>237</v>
      </c>
      <c r="S267" s="24">
        <f>IFERROR(INDEX(tablecost[رقم المركز],MATCH(Tabledaily[[#This Row],[مركـــــــزالتكلفــــــة]],tablecost[الاسم],0)),0)</f>
        <v>1</v>
      </c>
      <c r="T267" s="27">
        <f>DATE(Tabledaily[[#This Row],[السنــــة]],Tabledaily[[#This Row],[الشهــــر]],Tabledaily[[#This Row],[الـــــيوم]])</f>
        <v>46181</v>
      </c>
      <c r="U267" s="28">
        <v>46191.922129629631</v>
      </c>
      <c r="V267" s="22" t="s">
        <v>293</v>
      </c>
      <c r="W267" s="24">
        <f>YEAR(Tabledaily[[#This Row],[التاريخ]])</f>
        <v>2026</v>
      </c>
      <c r="X267" s="24">
        <f>MONTH(Tabledaily[[#This Row],[التاريخ]])</f>
        <v>6</v>
      </c>
      <c r="Y267" s="24">
        <f>DAY(Tabledaily[[#This Row],[التاريخ]])</f>
        <v>8</v>
      </c>
      <c r="Z26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فريق المدفعية - الفرقة الثالثة)  - استلام نقدي رقم   سند استلام - مصاريف طريق لافراد المدفعية بامرالأركان جمال مسدوس</v>
      </c>
      <c r="AA267" s="24" t="str">
        <f>IF(COUNTIF(TableDailyJournal[رقم العملية],Tabledaily[[#This Row],[رقم العملية]])&gt;1,"مرحل","غير مرحل")</f>
        <v>مرحل</v>
      </c>
    </row>
    <row r="268" spans="1:27" ht="22.9" customHeight="1" x14ac:dyDescent="0.55000000000000004">
      <c r="A268" s="22">
        <f t="shared" si="8"/>
        <v>266</v>
      </c>
      <c r="B268" s="23" t="s">
        <v>573</v>
      </c>
      <c r="C268" s="213" t="s">
        <v>557</v>
      </c>
      <c r="D268" s="22" t="s">
        <v>290</v>
      </c>
      <c r="E268" s="22">
        <f>IFERROR(INDEX(TableJudje[رقم الحساب],MATCH(Tabledaily[[#This Row],[الحســاب الدئـــن]],TableJudje[اسم الحساب],0)),0)</f>
        <v>11060205</v>
      </c>
      <c r="F268" s="22" t="s">
        <v>513</v>
      </c>
      <c r="G268" s="22" t="s">
        <v>536</v>
      </c>
      <c r="H268" s="24">
        <f>IFERROR(INDEX(TableJudje[رقم الحساب],MATCH(Tabledaily[[#This Row],[الحســاب المديــــن]],TableJudje[اسم الحساب],0)),0)</f>
        <v>31010101</v>
      </c>
      <c r="I268" s="22" t="s">
        <v>111</v>
      </c>
      <c r="J268" s="22" t="s">
        <v>238</v>
      </c>
      <c r="K268" s="117">
        <v>176000</v>
      </c>
      <c r="L268" s="23">
        <v>405</v>
      </c>
      <c r="M268" s="118">
        <f>IFERROR(Tabledaily[[#This Row],[المبلـــــــغ]]/Tabledaily[[#This Row],[سعــــــر
الصـــــرف]],"")</f>
        <v>434.5679012345679</v>
      </c>
      <c r="N268" s="22" t="s">
        <v>311</v>
      </c>
      <c r="O268" s="22" t="s">
        <v>286</v>
      </c>
      <c r="P268" s="22" t="s">
        <v>287</v>
      </c>
      <c r="Q268" s="22"/>
      <c r="R268" s="22" t="s">
        <v>248</v>
      </c>
      <c r="S268" s="24">
        <f>IFERROR(INDEX(tablecost[رقم المركز],MATCH(Tabledaily[[#This Row],[مركـــــــزالتكلفــــــة]],tablecost[الاسم],0)),0)</f>
        <v>7</v>
      </c>
      <c r="T268" s="27">
        <f>DATE(Tabledaily[[#This Row],[السنــــة]],Tabledaily[[#This Row],[الشهــــر]],Tabledaily[[#This Row],[الـــــيوم]])</f>
        <v>46181</v>
      </c>
      <c r="U268" s="28">
        <v>46191.920439814814</v>
      </c>
      <c r="V268" s="22"/>
      <c r="W268" s="24">
        <f>YEAR(Tabledaily[[#This Row],[التاريخ]])</f>
        <v>2026</v>
      </c>
      <c r="X268" s="24">
        <f>MONTH(Tabledaily[[#This Row],[التاريخ]])</f>
        <v>6</v>
      </c>
      <c r="Y268" s="24">
        <f>DAY(Tabledaily[[#This Row],[التاريخ]])</f>
        <v>8</v>
      </c>
      <c r="Z26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استلام نقدي رقم   سند استلام - مصاريف يومية سرية اللواء السادس عدد 44 بامر</v>
      </c>
      <c r="AA268" s="24" t="str">
        <f>IF(COUNTIF(TableDailyJournal[رقم العملية],Tabledaily[[#This Row],[رقم العملية]])&gt;1,"مرحل","غير مرحل")</f>
        <v>مرحل</v>
      </c>
    </row>
    <row r="269" spans="1:27" ht="22.9" customHeight="1" x14ac:dyDescent="0.55000000000000004">
      <c r="A269" s="22">
        <f t="shared" si="8"/>
        <v>267</v>
      </c>
      <c r="B269" s="23" t="s">
        <v>572</v>
      </c>
      <c r="C269" s="213" t="s">
        <v>557</v>
      </c>
      <c r="D269" s="22" t="s">
        <v>290</v>
      </c>
      <c r="E269" s="22">
        <f>IFERROR(INDEX(TableJudje[رقم الحساب],MATCH(Tabledaily[[#This Row],[الحســاب الدئـــن]],TableJudje[اسم الحساب],0)),0)</f>
        <v>11060205</v>
      </c>
      <c r="F269" s="22" t="s">
        <v>513</v>
      </c>
      <c r="G269" s="22" t="s">
        <v>458</v>
      </c>
      <c r="H269" s="24">
        <f>IFERROR(INDEX(TableJudje[رقم الحساب],MATCH(Tabledaily[[#This Row],[الحســاب المديــــن]],TableJudje[اسم الحساب],0)),0)</f>
        <v>31010101</v>
      </c>
      <c r="I269" s="22" t="s">
        <v>111</v>
      </c>
      <c r="J269" s="22" t="s">
        <v>238</v>
      </c>
      <c r="K269" s="117">
        <v>28000</v>
      </c>
      <c r="L269" s="23">
        <v>405</v>
      </c>
      <c r="M269" s="118">
        <f>IFERROR(Tabledaily[[#This Row],[المبلـــــــغ]]/Tabledaily[[#This Row],[سعــــــر
الصـــــرف]],"")</f>
        <v>69.135802469135797</v>
      </c>
      <c r="N269" s="22" t="s">
        <v>459</v>
      </c>
      <c r="O269" s="22" t="s">
        <v>286</v>
      </c>
      <c r="P269" s="22" t="s">
        <v>287</v>
      </c>
      <c r="Q269" s="22"/>
      <c r="R269" s="22" t="s">
        <v>237</v>
      </c>
      <c r="S269" s="24">
        <f>IFERROR(INDEX(tablecost[رقم المركز],MATCH(Tabledaily[[#This Row],[مركـــــــزالتكلفــــــة]],tablecost[الاسم],0)),0)</f>
        <v>1</v>
      </c>
      <c r="T269" s="27">
        <f>DATE(Tabledaily[[#This Row],[السنــــة]],Tabledaily[[#This Row],[الشهــــر]],Tabledaily[[#This Row],[الـــــيوم]])</f>
        <v>46181</v>
      </c>
      <c r="U269" s="28">
        <v>46191.918449074074</v>
      </c>
      <c r="V269" s="22"/>
      <c r="W269" s="24">
        <f>YEAR(Tabledaily[[#This Row],[التاريخ]])</f>
        <v>2026</v>
      </c>
      <c r="X269" s="24">
        <f>MONTH(Tabledaily[[#This Row],[التاريخ]])</f>
        <v>6</v>
      </c>
      <c r="Y269" s="24">
        <f>DAY(Tabledaily[[#This Row],[التاريخ]])</f>
        <v>8</v>
      </c>
      <c r="Z26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استلام نقدي رقم   سند استلام - صرف الصرفة اليومية للاشغال لعدد 3 بامر</v>
      </c>
      <c r="AA269" s="24" t="str">
        <f>IF(COUNTIF(TableDailyJournal[رقم العملية],Tabledaily[[#This Row],[رقم العملية]])&gt;1,"مرحل","غير مرحل")</f>
        <v>مرحل</v>
      </c>
    </row>
    <row r="270" spans="1:27" ht="22.9" customHeight="1" x14ac:dyDescent="0.55000000000000004">
      <c r="A270" s="22">
        <f t="shared" si="8"/>
        <v>268</v>
      </c>
      <c r="B270" s="23" t="s">
        <v>569</v>
      </c>
      <c r="C270" s="213" t="s">
        <v>557</v>
      </c>
      <c r="D270" s="22" t="s">
        <v>290</v>
      </c>
      <c r="E270" s="22">
        <f>IFERROR(INDEX(TableJudje[رقم الحساب],MATCH(Tabledaily[[#This Row],[الحســاب الدئـــن]],TableJudje[اسم الحساب],0)),0)</f>
        <v>11060205</v>
      </c>
      <c r="F270" s="22" t="s">
        <v>513</v>
      </c>
      <c r="G270" s="22" t="s">
        <v>570</v>
      </c>
      <c r="H270" s="24">
        <f>IFERROR(INDEX(TableJudje[رقم الحساب],MATCH(Tabledaily[[#This Row],[الحســاب المديــــن]],TableJudje[اسم الحساب],0)),0)</f>
        <v>31010101</v>
      </c>
      <c r="I270" s="22" t="s">
        <v>111</v>
      </c>
      <c r="J270" s="22" t="s">
        <v>238</v>
      </c>
      <c r="K270" s="117">
        <v>105000</v>
      </c>
      <c r="L270" s="23">
        <v>405</v>
      </c>
      <c r="M270" s="118">
        <f>IFERROR(Tabledaily[[#This Row],[المبلـــــــغ]]/Tabledaily[[#This Row],[سعــــــر
الصـــــرف]],"")</f>
        <v>259.25925925925924</v>
      </c>
      <c r="N270" s="22" t="s">
        <v>571</v>
      </c>
      <c r="O270" s="22" t="s">
        <v>286</v>
      </c>
      <c r="P270" s="22" t="s">
        <v>287</v>
      </c>
      <c r="Q270" s="22"/>
      <c r="R270" s="22" t="s">
        <v>237</v>
      </c>
      <c r="S270" s="24">
        <f>IFERROR(INDEX(tablecost[رقم المركز],MATCH(Tabledaily[[#This Row],[مركـــــــزالتكلفــــــة]],tablecost[الاسم],0)),0)</f>
        <v>1</v>
      </c>
      <c r="T270" s="27">
        <f>DATE(Tabledaily[[#This Row],[السنــــة]],Tabledaily[[#This Row],[الشهــــر]],Tabledaily[[#This Row],[الـــــيوم]])</f>
        <v>46181</v>
      </c>
      <c r="U270" s="28">
        <v>46191.91710648148</v>
      </c>
      <c r="V270" s="22" t="s">
        <v>313</v>
      </c>
      <c r="W270" s="24">
        <f>YEAR(Tabledaily[[#This Row],[التاريخ]])</f>
        <v>2026</v>
      </c>
      <c r="X270" s="24">
        <f>MONTH(Tabledaily[[#This Row],[التاريخ]])</f>
        <v>6</v>
      </c>
      <c r="Y270" s="24">
        <f>DAY(Tabledaily[[#This Row],[التاريخ]])</f>
        <v>8</v>
      </c>
      <c r="Z27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استلام نقدي رقم   سند استلام - صرف الصرفة اليومية ل اهرى 105000 بامرالقائد</v>
      </c>
      <c r="AA270" s="24" t="str">
        <f>IF(COUNTIF(TableDailyJournal[رقم العملية],Tabledaily[[#This Row],[رقم العملية]])&gt;1,"مرحل","غير مرحل")</f>
        <v>مرحل</v>
      </c>
    </row>
    <row r="271" spans="1:27" ht="22.9" customHeight="1" x14ac:dyDescent="0.55000000000000004">
      <c r="A271" s="22">
        <f t="shared" si="8"/>
        <v>269</v>
      </c>
      <c r="B271" s="23" t="s">
        <v>568</v>
      </c>
      <c r="C271" s="213" t="s">
        <v>557</v>
      </c>
      <c r="D271" s="22" t="s">
        <v>290</v>
      </c>
      <c r="E271" s="22">
        <f>IFERROR(INDEX(TableJudje[رقم الحساب],MATCH(Tabledaily[[#This Row],[الحســاب الدئـــن]],TableJudje[اسم الحساب],0)),0)</f>
        <v>11060205</v>
      </c>
      <c r="F271" s="22" t="s">
        <v>513</v>
      </c>
      <c r="G271" s="22" t="s">
        <v>405</v>
      </c>
      <c r="H271" s="24">
        <f>IFERROR(INDEX(TableJudje[رقم الحساب],MATCH(Tabledaily[[#This Row],[الحســاب المديــــن]],TableJudje[اسم الحساب],0)),0)</f>
        <v>31010101</v>
      </c>
      <c r="I271" s="22" t="s">
        <v>111</v>
      </c>
      <c r="J271" s="22" t="s">
        <v>238</v>
      </c>
      <c r="K271" s="117">
        <v>70000</v>
      </c>
      <c r="L271" s="23">
        <v>405</v>
      </c>
      <c r="M271" s="118">
        <f>IFERROR(Tabledaily[[#This Row],[المبلـــــــغ]]/Tabledaily[[#This Row],[سعــــــر
الصـــــرف]],"")</f>
        <v>172.83950617283949</v>
      </c>
      <c r="N271" s="22" t="s">
        <v>325</v>
      </c>
      <c r="O271" s="22" t="s">
        <v>286</v>
      </c>
      <c r="P271" s="22" t="s">
        <v>287</v>
      </c>
      <c r="Q271" s="22"/>
      <c r="R271" s="22" t="s">
        <v>237</v>
      </c>
      <c r="S271" s="24">
        <f>IFERROR(INDEX(tablecost[رقم المركز],MATCH(Tabledaily[[#This Row],[مركـــــــزالتكلفــــــة]],tablecost[الاسم],0)),0)</f>
        <v>1</v>
      </c>
      <c r="T271" s="27">
        <f>DATE(Tabledaily[[#This Row],[السنــــة]],Tabledaily[[#This Row],[الشهــــر]],Tabledaily[[#This Row],[الـــــيوم]])</f>
        <v>46181</v>
      </c>
      <c r="U271" s="28">
        <v>46191.915324074071</v>
      </c>
      <c r="V271" s="22"/>
      <c r="W271" s="24">
        <f>YEAR(Tabledaily[[#This Row],[التاريخ]])</f>
        <v>2026</v>
      </c>
      <c r="X271" s="24">
        <f>MONTH(Tabledaily[[#This Row],[التاريخ]])</f>
        <v>6</v>
      </c>
      <c r="Y271" s="24">
        <f>DAY(Tabledaily[[#This Row],[التاريخ]])</f>
        <v>8</v>
      </c>
      <c r="Z27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استلام نقدي رقم   سند استلام - صرف الصرفة اليومية ضباط سابقين لعدد 7 بامر</v>
      </c>
      <c r="AA271" s="24" t="str">
        <f>IF(COUNTIF(TableDailyJournal[رقم العملية],Tabledaily[[#This Row],[رقم العملية]])&gt;1,"مرحل","غير مرحل")</f>
        <v>مرحل</v>
      </c>
    </row>
    <row r="272" spans="1:27" ht="22.9" customHeight="1" x14ac:dyDescent="0.55000000000000004">
      <c r="A272" s="22">
        <f t="shared" si="8"/>
        <v>270</v>
      </c>
      <c r="B272" s="23" t="s">
        <v>567</v>
      </c>
      <c r="C272" s="213" t="s">
        <v>557</v>
      </c>
      <c r="D272" s="22" t="s">
        <v>290</v>
      </c>
      <c r="E272" s="22">
        <f>IFERROR(INDEX(TableJudje[رقم الحساب],MATCH(Tabledaily[[#This Row],[الحســاب الدئـــن]],TableJudje[اسم الحساب],0)),0)</f>
        <v>11060205</v>
      </c>
      <c r="F272" s="22" t="s">
        <v>513</v>
      </c>
      <c r="G272" s="22" t="s">
        <v>327</v>
      </c>
      <c r="H272" s="24">
        <f>IFERROR(INDEX(TableJudje[رقم الحساب],MATCH(Tabledaily[[#This Row],[الحســاب المديــــن]],TableJudje[اسم الحساب],0)),0)</f>
        <v>31010101</v>
      </c>
      <c r="I272" s="22" t="s">
        <v>111</v>
      </c>
      <c r="J272" s="22" t="s">
        <v>238</v>
      </c>
      <c r="K272" s="117">
        <v>32000</v>
      </c>
      <c r="L272" s="23">
        <v>405</v>
      </c>
      <c r="M272" s="118">
        <f>IFERROR(Tabledaily[[#This Row],[المبلـــــــغ]]/Tabledaily[[#This Row],[سعــــــر
الصـــــرف]],"")</f>
        <v>79.012345679012341</v>
      </c>
      <c r="N272" s="22" t="s">
        <v>328</v>
      </c>
      <c r="O272" s="22" t="s">
        <v>286</v>
      </c>
      <c r="P272" s="22" t="s">
        <v>287</v>
      </c>
      <c r="Q272" s="22"/>
      <c r="R272" s="22" t="s">
        <v>237</v>
      </c>
      <c r="S272" s="24">
        <f>IFERROR(INDEX(tablecost[رقم المركز],MATCH(Tabledaily[[#This Row],[مركـــــــزالتكلفــــــة]],tablecost[الاسم],0)),0)</f>
        <v>1</v>
      </c>
      <c r="T272" s="27">
        <f>DATE(Tabledaily[[#This Row],[السنــــة]],Tabledaily[[#This Row],[الشهــــر]],Tabledaily[[#This Row],[الـــــيوم]])</f>
        <v>46181</v>
      </c>
      <c r="U272" s="28">
        <v>46191.914629629631</v>
      </c>
      <c r="V272" s="22"/>
      <c r="W272" s="24">
        <f>YEAR(Tabledaily[[#This Row],[التاريخ]])</f>
        <v>2026</v>
      </c>
      <c r="X272" s="24">
        <f>MONTH(Tabledaily[[#This Row],[التاريخ]])</f>
        <v>6</v>
      </c>
      <c r="Y272" s="24">
        <f>DAY(Tabledaily[[#This Row],[التاريخ]])</f>
        <v>8</v>
      </c>
      <c r="Z27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استلام نقدي رقم   سند استلام - صرف الصرفة اليومية للطبية والمحاسبين لعدد 5 بامر</v>
      </c>
      <c r="AA272" s="24" t="str">
        <f>IF(COUNTIF(TableDailyJournal[رقم العملية],Tabledaily[[#This Row],[رقم العملية]])&gt;1,"مرحل","غير مرحل")</f>
        <v>مرحل</v>
      </c>
    </row>
    <row r="273" spans="1:27" ht="22.9" customHeight="1" x14ac:dyDescent="0.55000000000000004">
      <c r="A273" s="22">
        <f t="shared" si="8"/>
        <v>271</v>
      </c>
      <c r="B273" s="23" t="s">
        <v>566</v>
      </c>
      <c r="C273" s="213" t="s">
        <v>557</v>
      </c>
      <c r="D273" s="22" t="s">
        <v>290</v>
      </c>
      <c r="E273" s="22">
        <f>IFERROR(INDEX(TableJudje[رقم الحساب],MATCH(Tabledaily[[#This Row],[الحســاب الدئـــن]],TableJudje[اسم الحساب],0)),0)</f>
        <v>11060205</v>
      </c>
      <c r="F273" s="22" t="s">
        <v>513</v>
      </c>
      <c r="G273" s="22" t="s">
        <v>527</v>
      </c>
      <c r="H273" s="24">
        <f>IFERROR(INDEX(TableJudje[رقم الحساب],MATCH(Tabledaily[[#This Row],[الحســاب المديــــن]],TableJudje[اسم الحساب],0)),0)</f>
        <v>31010101</v>
      </c>
      <c r="I273" s="22" t="s">
        <v>111</v>
      </c>
      <c r="J273" s="22" t="s">
        <v>238</v>
      </c>
      <c r="K273" s="117">
        <v>60000</v>
      </c>
      <c r="L273" s="23">
        <v>405</v>
      </c>
      <c r="M273" s="118">
        <f>IFERROR(Tabledaily[[#This Row],[المبلـــــــغ]]/Tabledaily[[#This Row],[سعــــــر
الصـــــرف]],"")</f>
        <v>148.14814814814815</v>
      </c>
      <c r="N273" s="22" t="s">
        <v>331</v>
      </c>
      <c r="O273" s="22" t="s">
        <v>286</v>
      </c>
      <c r="P273" s="22" t="s">
        <v>287</v>
      </c>
      <c r="Q273" s="22"/>
      <c r="R273" s="22" t="s">
        <v>237</v>
      </c>
      <c r="S273" s="24">
        <f>IFERROR(INDEX(tablecost[رقم المركز],MATCH(Tabledaily[[#This Row],[مركـــــــزالتكلفــــــة]],tablecost[الاسم],0)),0)</f>
        <v>1</v>
      </c>
      <c r="T273" s="27">
        <f>DATE(Tabledaily[[#This Row],[السنــــة]],Tabledaily[[#This Row],[الشهــــر]],Tabledaily[[#This Row],[الـــــيوم]])</f>
        <v>46181</v>
      </c>
      <c r="U273" s="28">
        <v>46191.913819444446</v>
      </c>
      <c r="V273" s="22"/>
      <c r="W273" s="24">
        <f>YEAR(Tabledaily[[#This Row],[التاريخ]])</f>
        <v>2026</v>
      </c>
      <c r="X273" s="24">
        <f>MONTH(Tabledaily[[#This Row],[التاريخ]])</f>
        <v>6</v>
      </c>
      <c r="Y273" s="24">
        <f>DAY(Tabledaily[[#This Row],[التاريخ]])</f>
        <v>8</v>
      </c>
      <c r="Z27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v>
      </c>
      <c r="AA273" s="24" t="str">
        <f>IF(COUNTIF(TableDailyJournal[رقم العملية],Tabledaily[[#This Row],[رقم العملية]])&gt;1,"مرحل","غير مرحل")</f>
        <v>مرحل</v>
      </c>
    </row>
    <row r="274" spans="1:27" ht="22.9" customHeight="1" x14ac:dyDescent="0.55000000000000004">
      <c r="A274" s="22">
        <f t="shared" si="8"/>
        <v>272</v>
      </c>
      <c r="B274" s="23" t="s">
        <v>563</v>
      </c>
      <c r="C274" s="213" t="s">
        <v>557</v>
      </c>
      <c r="D274" s="22" t="s">
        <v>290</v>
      </c>
      <c r="E274" s="22">
        <f>IFERROR(INDEX(TableJudje[رقم الحساب],MATCH(Tabledaily[[#This Row],[الحســاب الدئـــن]],TableJudje[اسم الحساب],0)),0)</f>
        <v>11060205</v>
      </c>
      <c r="F274" s="22" t="s">
        <v>513</v>
      </c>
      <c r="G274" s="22" t="s">
        <v>564</v>
      </c>
      <c r="H274" s="24">
        <f>IFERROR(INDEX(TableJudje[رقم الحساب],MATCH(Tabledaily[[#This Row],[الحســاب المديــــن]],TableJudje[اسم الحساب],0)),0)</f>
        <v>31010101</v>
      </c>
      <c r="I274" s="22" t="s">
        <v>111</v>
      </c>
      <c r="J274" s="22" t="s">
        <v>238</v>
      </c>
      <c r="K274" s="117">
        <v>10000</v>
      </c>
      <c r="L274" s="23">
        <v>405</v>
      </c>
      <c r="M274" s="118">
        <f>IFERROR(Tabledaily[[#This Row],[المبلـــــــغ]]/Tabledaily[[#This Row],[سعــــــر
الصـــــرف]],"")</f>
        <v>24.691358024691358</v>
      </c>
      <c r="N274" s="22" t="s">
        <v>565</v>
      </c>
      <c r="O274" s="22" t="s">
        <v>286</v>
      </c>
      <c r="P274" s="22" t="s">
        <v>287</v>
      </c>
      <c r="Q274" s="22"/>
      <c r="R274" s="22" t="s">
        <v>237</v>
      </c>
      <c r="S274" s="24">
        <f>IFERROR(INDEX(tablecost[رقم المركز],MATCH(Tabledaily[[#This Row],[مركـــــــزالتكلفــــــة]],tablecost[الاسم],0)),0)</f>
        <v>1</v>
      </c>
      <c r="T274" s="27">
        <f>DATE(Tabledaily[[#This Row],[السنــــة]],Tabledaily[[#This Row],[الشهــــر]],Tabledaily[[#This Row],[الـــــيوم]])</f>
        <v>46181</v>
      </c>
      <c r="U274" s="28">
        <v>46191.913217592592</v>
      </c>
      <c r="V274" s="22"/>
      <c r="W274" s="24">
        <f>YEAR(Tabledaily[[#This Row],[التاريخ]])</f>
        <v>2026</v>
      </c>
      <c r="X274" s="24">
        <f>MONTH(Tabledaily[[#This Row],[التاريخ]])</f>
        <v>6</v>
      </c>
      <c r="Y274" s="24">
        <f>DAY(Tabledaily[[#This Row],[التاريخ]])</f>
        <v>8</v>
      </c>
      <c r="Z27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المدفعية - الفرقة الثالثة)  - استلام نقدي رقم   سند استلام - صرف الصرفة اليومية للمدفعية لعدد 1 بامر</v>
      </c>
      <c r="AA274" s="24" t="str">
        <f>IF(COUNTIF(TableDailyJournal[رقم العملية],Tabledaily[[#This Row],[رقم العملية]])&gt;1,"مرحل","غير مرحل")</f>
        <v>مرحل</v>
      </c>
    </row>
    <row r="275" spans="1:27" ht="22.9" customHeight="1" x14ac:dyDescent="0.55000000000000004">
      <c r="A275" s="22">
        <f t="shared" si="8"/>
        <v>273</v>
      </c>
      <c r="B275" s="23" t="s">
        <v>562</v>
      </c>
      <c r="C275" s="213" t="s">
        <v>557</v>
      </c>
      <c r="D275" s="22" t="s">
        <v>290</v>
      </c>
      <c r="E275" s="22">
        <f>IFERROR(INDEX(TableJudje[رقم الحساب],MATCH(Tabledaily[[#This Row],[الحســاب الدئـــن]],TableJudje[اسم الحساب],0)),0)</f>
        <v>11060205</v>
      </c>
      <c r="F275" s="22" t="s">
        <v>513</v>
      </c>
      <c r="G275" s="22" t="s">
        <v>333</v>
      </c>
      <c r="H275" s="24">
        <f>IFERROR(INDEX(TableJudje[رقم الحساب],MATCH(Tabledaily[[#This Row],[الحســاب المديــــن]],TableJudje[اسم الحساب],0)),0)</f>
        <v>31010101</v>
      </c>
      <c r="I275" s="22" t="s">
        <v>111</v>
      </c>
      <c r="J275" s="22" t="s">
        <v>238</v>
      </c>
      <c r="K275" s="117">
        <v>65000</v>
      </c>
      <c r="L275" s="23">
        <v>405</v>
      </c>
      <c r="M275" s="118">
        <f>IFERROR(Tabledaily[[#This Row],[المبلـــــــغ]]/Tabledaily[[#This Row],[سعــــــر
الصـــــرف]],"")</f>
        <v>160.49382716049382</v>
      </c>
      <c r="N275" s="22" t="s">
        <v>334</v>
      </c>
      <c r="O275" s="22" t="s">
        <v>286</v>
      </c>
      <c r="P275" s="22" t="s">
        <v>287</v>
      </c>
      <c r="Q275" s="22"/>
      <c r="R275" s="22" t="s">
        <v>237</v>
      </c>
      <c r="S275" s="24">
        <f>IFERROR(INDEX(tablecost[رقم المركز],MATCH(Tabledaily[[#This Row],[مركـــــــزالتكلفــــــة]],tablecost[الاسم],0)),0)</f>
        <v>1</v>
      </c>
      <c r="T275" s="27">
        <f>DATE(Tabledaily[[#This Row],[السنــــة]],Tabledaily[[#This Row],[الشهــــر]],Tabledaily[[#This Row],[الـــــيوم]])</f>
        <v>46181</v>
      </c>
      <c r="U275" s="28">
        <v>46191.912488425929</v>
      </c>
      <c r="V275" s="22"/>
      <c r="W275" s="24">
        <f>YEAR(Tabledaily[[#This Row],[التاريخ]])</f>
        <v>2026</v>
      </c>
      <c r="X275" s="24">
        <f>MONTH(Tabledaily[[#This Row],[التاريخ]])</f>
        <v>6</v>
      </c>
      <c r="Y275" s="24">
        <f>DAY(Tabledaily[[#This Row],[التاريخ]])</f>
        <v>8</v>
      </c>
      <c r="Z27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استلام نقدي رقم   سند استلام - صرف الصرفة اليومية  الاستخبارات لعدد 4 بامر</v>
      </c>
      <c r="AA275" s="24" t="str">
        <f>IF(COUNTIF(TableDailyJournal[رقم العملية],Tabledaily[[#This Row],[رقم العملية]])&gt;1,"مرحل","غير مرحل")</f>
        <v>مرحل</v>
      </c>
    </row>
    <row r="276" spans="1:27" ht="22.9" customHeight="1" x14ac:dyDescent="0.55000000000000004">
      <c r="A276" s="22">
        <f t="shared" si="8"/>
        <v>274</v>
      </c>
      <c r="B276" s="23" t="s">
        <v>561</v>
      </c>
      <c r="C276" s="213" t="s">
        <v>557</v>
      </c>
      <c r="D276" s="22" t="s">
        <v>290</v>
      </c>
      <c r="E276" s="22">
        <f>IFERROR(INDEX(TableJudje[رقم الحساب],MATCH(Tabledaily[[#This Row],[الحســاب الدئـــن]],TableJudje[اسم الحساب],0)),0)</f>
        <v>11060205</v>
      </c>
      <c r="F276" s="22" t="s">
        <v>513</v>
      </c>
      <c r="G276" s="22" t="s">
        <v>524</v>
      </c>
      <c r="H276" s="24">
        <f>IFERROR(INDEX(TableJudje[رقم الحساب],MATCH(Tabledaily[[#This Row],[الحســاب المديــــن]],TableJudje[اسم الحساب],0)),0)</f>
        <v>31010101</v>
      </c>
      <c r="I276" s="22" t="s">
        <v>111</v>
      </c>
      <c r="J276" s="22" t="s">
        <v>238</v>
      </c>
      <c r="K276" s="117">
        <v>15000</v>
      </c>
      <c r="L276" s="23">
        <v>405</v>
      </c>
      <c r="M276" s="118">
        <f>IFERROR(Tabledaily[[#This Row],[المبلـــــــغ]]/Tabledaily[[#This Row],[سعــــــر
الصـــــرف]],"")</f>
        <v>37.037037037037038</v>
      </c>
      <c r="N276" s="22" t="s">
        <v>337</v>
      </c>
      <c r="O276" s="22" t="s">
        <v>286</v>
      </c>
      <c r="P276" s="22" t="s">
        <v>287</v>
      </c>
      <c r="Q276" s="22"/>
      <c r="R276" s="22" t="s">
        <v>237</v>
      </c>
      <c r="S276" s="24">
        <f>IFERROR(INDEX(tablecost[رقم المركز],MATCH(Tabledaily[[#This Row],[مركـــــــزالتكلفــــــة]],tablecost[الاسم],0)),0)</f>
        <v>1</v>
      </c>
      <c r="T276" s="27">
        <f>DATE(Tabledaily[[#This Row],[السنــــة]],Tabledaily[[#This Row],[الشهــــر]],Tabledaily[[#This Row],[الـــــيوم]])</f>
        <v>46181</v>
      </c>
      <c r="U276" s="28">
        <v>46191.911215277774</v>
      </c>
      <c r="V276" s="22"/>
      <c r="W276" s="24">
        <f>YEAR(Tabledaily[[#This Row],[التاريخ]])</f>
        <v>2026</v>
      </c>
      <c r="X276" s="24">
        <f>MONTH(Tabledaily[[#This Row],[التاريخ]])</f>
        <v>6</v>
      </c>
      <c r="Y276" s="24">
        <f>DAY(Tabledaily[[#This Row],[التاريخ]])</f>
        <v>8</v>
      </c>
      <c r="Z27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استلام نقدي رقم   سند استلام - صرف الصرفة اليومية  للبشرة والصراف عدد 1 بامر</v>
      </c>
      <c r="AA276" s="24" t="str">
        <f>IF(COUNTIF(TableDailyJournal[رقم العملية],Tabledaily[[#This Row],[رقم العملية]])&gt;1,"مرحل","غير مرحل")</f>
        <v>مرحل</v>
      </c>
    </row>
    <row r="277" spans="1:27" ht="22.9" customHeight="1" x14ac:dyDescent="0.55000000000000004">
      <c r="A277" s="22">
        <f t="shared" si="8"/>
        <v>275</v>
      </c>
      <c r="B277" s="23" t="s">
        <v>560</v>
      </c>
      <c r="C277" s="213" t="s">
        <v>557</v>
      </c>
      <c r="D277" s="22" t="s">
        <v>290</v>
      </c>
      <c r="E277" s="22">
        <f>IFERROR(INDEX(TableJudje[رقم الحساب],MATCH(Tabledaily[[#This Row],[الحســاب الدئـــن]],TableJudje[اسم الحساب],0)),0)</f>
        <v>11060205</v>
      </c>
      <c r="F277" s="22" t="s">
        <v>513</v>
      </c>
      <c r="G277" s="22" t="s">
        <v>443</v>
      </c>
      <c r="H277" s="24">
        <f>IFERROR(INDEX(TableJudje[رقم الحساب],MATCH(Tabledaily[[#This Row],[الحســاب المديــــن]],TableJudje[اسم الحساب],0)),0)</f>
        <v>31010101</v>
      </c>
      <c r="I277" s="22" t="s">
        <v>111</v>
      </c>
      <c r="J277" s="22" t="s">
        <v>238</v>
      </c>
      <c r="K277" s="117">
        <v>128000</v>
      </c>
      <c r="L277" s="23">
        <v>405</v>
      </c>
      <c r="M277" s="118">
        <f>IFERROR(Tabledaily[[#This Row],[المبلـــــــغ]]/Tabledaily[[#This Row],[سعــــــر
الصـــــرف]],"")</f>
        <v>316.04938271604937</v>
      </c>
      <c r="N277" s="22" t="s">
        <v>340</v>
      </c>
      <c r="O277" s="22" t="s">
        <v>286</v>
      </c>
      <c r="P277" s="22" t="s">
        <v>287</v>
      </c>
      <c r="Q277" s="22"/>
      <c r="R277" s="22" t="s">
        <v>237</v>
      </c>
      <c r="S277" s="24">
        <f>IFERROR(INDEX(tablecost[رقم المركز],MATCH(Tabledaily[[#This Row],[مركـــــــزالتكلفــــــة]],tablecost[الاسم],0)),0)</f>
        <v>1</v>
      </c>
      <c r="T277" s="27">
        <f>DATE(Tabledaily[[#This Row],[السنــــة]],Tabledaily[[#This Row],[الشهــــر]],Tabledaily[[#This Row],[الـــــيوم]])</f>
        <v>46181</v>
      </c>
      <c r="U277" s="28">
        <v>46191.91033564815</v>
      </c>
      <c r="V277" s="22"/>
      <c r="W277" s="24">
        <f>YEAR(Tabledaily[[#This Row],[التاريخ]])</f>
        <v>2026</v>
      </c>
      <c r="X277" s="24">
        <f>MONTH(Tabledaily[[#This Row],[التاريخ]])</f>
        <v>6</v>
      </c>
      <c r="Y277" s="24">
        <f>DAY(Tabledaily[[#This Row],[التاريخ]])</f>
        <v>8</v>
      </c>
      <c r="Z27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استلام نقدي رقم   سند استلام - صرف الصرفة اليومية  لافراد الامداد لعدد 12 بامر</v>
      </c>
      <c r="AA277" s="24" t="str">
        <f>IF(COUNTIF(TableDailyJournal[رقم العملية],Tabledaily[[#This Row],[رقم العملية]])&gt;1,"مرحل","غير مرحل")</f>
        <v>مرحل</v>
      </c>
    </row>
    <row r="278" spans="1:27" ht="22.9" customHeight="1" x14ac:dyDescent="0.55000000000000004">
      <c r="A278" s="22">
        <f t="shared" si="8"/>
        <v>276</v>
      </c>
      <c r="B278" s="23" t="s">
        <v>558</v>
      </c>
      <c r="C278" s="213" t="s">
        <v>557</v>
      </c>
      <c r="D278" s="22" t="s">
        <v>290</v>
      </c>
      <c r="E278" s="22">
        <f>IFERROR(INDEX(TableJudje[رقم الحساب],MATCH(Tabledaily[[#This Row],[الحســاب الدئـــن]],TableJudje[اسم الحساب],0)),0)</f>
        <v>11060205</v>
      </c>
      <c r="F278" s="22" t="s">
        <v>513</v>
      </c>
      <c r="G278" s="22" t="s">
        <v>559</v>
      </c>
      <c r="H278" s="24">
        <f>IFERROR(INDEX(TableJudje[رقم الحساب],MATCH(Tabledaily[[#This Row],[الحســاب المديــــن]],TableJudje[اسم الحساب],0)),0)</f>
        <v>31010101</v>
      </c>
      <c r="I278" s="22" t="s">
        <v>111</v>
      </c>
      <c r="J278" s="22" t="s">
        <v>238</v>
      </c>
      <c r="K278" s="117">
        <v>30000</v>
      </c>
      <c r="L278" s="23">
        <v>405</v>
      </c>
      <c r="M278" s="118">
        <f>IFERROR(Tabledaily[[#This Row],[المبلـــــــغ]]/Tabledaily[[#This Row],[سعــــــر
الصـــــرف]],"")</f>
        <v>74.074074074074076</v>
      </c>
      <c r="N278" s="22" t="s">
        <v>521</v>
      </c>
      <c r="O278" s="22" t="s">
        <v>286</v>
      </c>
      <c r="P278" s="22" t="s">
        <v>287</v>
      </c>
      <c r="Q278" s="22"/>
      <c r="R278" s="22" t="s">
        <v>237</v>
      </c>
      <c r="S278" s="24">
        <f>IFERROR(INDEX(tablecost[رقم المركز],MATCH(Tabledaily[[#This Row],[مركـــــــزالتكلفــــــة]],tablecost[الاسم],0)),0)</f>
        <v>1</v>
      </c>
      <c r="T278" s="27">
        <f>DATE(Tabledaily[[#This Row],[السنــــة]],Tabledaily[[#This Row],[الشهــــر]],Tabledaily[[#This Row],[الـــــيوم]])</f>
        <v>46181</v>
      </c>
      <c r="U278" s="28">
        <v>46191.909513888888</v>
      </c>
      <c r="V278" s="22"/>
      <c r="W278" s="24">
        <f>YEAR(Tabledaily[[#This Row],[التاريخ]])</f>
        <v>2026</v>
      </c>
      <c r="X278" s="24">
        <f>MONTH(Tabledaily[[#This Row],[التاريخ]])</f>
        <v>6</v>
      </c>
      <c r="Y278" s="24">
        <f>DAY(Tabledaily[[#This Row],[التاريخ]])</f>
        <v>8</v>
      </c>
      <c r="Z27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استلام نقدي رقم   سند استلام - صرف الصرفة اليومية للتوجيه عدد 2 بامر</v>
      </c>
      <c r="AA278" s="24" t="str">
        <f>IF(COUNTIF(TableDailyJournal[رقم العملية],Tabledaily[[#This Row],[رقم العملية]])&gt;1,"مرحل","غير مرحل")</f>
        <v>مرحل</v>
      </c>
    </row>
    <row r="279" spans="1:27" ht="22.9" customHeight="1" x14ac:dyDescent="0.55000000000000004">
      <c r="A279" s="22">
        <f t="shared" si="8"/>
        <v>277</v>
      </c>
      <c r="B279" s="23" t="s">
        <v>556</v>
      </c>
      <c r="C279" s="213" t="s">
        <v>557</v>
      </c>
      <c r="D279" s="22" t="s">
        <v>290</v>
      </c>
      <c r="E279" s="22">
        <f>IFERROR(INDEX(TableJudje[رقم الحساب],MATCH(Tabledaily[[#This Row],[الحســاب الدئـــن]],TableJudje[اسم الحساب],0)),0)</f>
        <v>11060205</v>
      </c>
      <c r="F279" s="22" t="s">
        <v>513</v>
      </c>
      <c r="G279" s="22" t="s">
        <v>440</v>
      </c>
      <c r="H279" s="24">
        <f>IFERROR(INDEX(TableJudje[رقم الحساب],MATCH(Tabledaily[[#This Row],[الحســاب المديــــن]],TableJudje[اسم الحساب],0)),0)</f>
        <v>31010101</v>
      </c>
      <c r="I279" s="22" t="s">
        <v>111</v>
      </c>
      <c r="J279" s="22" t="s">
        <v>238</v>
      </c>
      <c r="K279" s="117">
        <v>43000</v>
      </c>
      <c r="L279" s="23">
        <v>405</v>
      </c>
      <c r="M279" s="118">
        <f>IFERROR(Tabledaily[[#This Row],[المبلـــــــغ]]/Tabledaily[[#This Row],[سعــــــر
الصـــــرف]],"")</f>
        <v>106.17283950617283</v>
      </c>
      <c r="N279" s="22" t="s">
        <v>343</v>
      </c>
      <c r="O279" s="22" t="s">
        <v>286</v>
      </c>
      <c r="P279" s="22" t="s">
        <v>287</v>
      </c>
      <c r="Q279" s="22"/>
      <c r="R279" s="22" t="s">
        <v>237</v>
      </c>
      <c r="S279" s="24">
        <f>IFERROR(INDEX(tablecost[رقم المركز],MATCH(Tabledaily[[#This Row],[مركـــــــزالتكلفــــــة]],tablecost[الاسم],0)),0)</f>
        <v>1</v>
      </c>
      <c r="T279" s="27">
        <f>DATE(Tabledaily[[#This Row],[السنــــة]],Tabledaily[[#This Row],[الشهــــر]],Tabledaily[[#This Row],[الـــــيوم]])</f>
        <v>46181</v>
      </c>
      <c r="U279" s="28">
        <v>46191.908912037034</v>
      </c>
      <c r="V279" s="22"/>
      <c r="W279" s="24">
        <f>YEAR(Tabledaily[[#This Row],[التاريخ]])</f>
        <v>2026</v>
      </c>
      <c r="X279" s="24">
        <f>MONTH(Tabledaily[[#This Row],[التاريخ]])</f>
        <v>6</v>
      </c>
      <c r="Y279" s="24">
        <f>DAY(Tabledaily[[#This Row],[التاريخ]])</f>
        <v>8</v>
      </c>
      <c r="Z27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استلام نقدي رقم   سند استلام - صرف الصرفة اليومية للسيطرة والاتصالات لعدد 5 بامر</v>
      </c>
      <c r="AA279" s="24" t="str">
        <f>IF(COUNTIF(TableDailyJournal[رقم العملية],Tabledaily[[#This Row],[رقم العملية]])&gt;1,"مرحل","غير مرحل")</f>
        <v>مرحل</v>
      </c>
    </row>
    <row r="280" spans="1:27" ht="22.9" customHeight="1" x14ac:dyDescent="0.55000000000000004">
      <c r="A280" s="22">
        <f t="shared" si="8"/>
        <v>278</v>
      </c>
      <c r="B280" s="23" t="s">
        <v>551</v>
      </c>
      <c r="C280" s="213" t="s">
        <v>515</v>
      </c>
      <c r="D280" s="22" t="s">
        <v>283</v>
      </c>
      <c r="E280" s="22">
        <f>IFERROR(INDEX(TableJudje[رقم الحساب],MATCH(Tabledaily[[#This Row],[الحســاب الدئـــن]],TableJudje[اسم الحساب],0)),0)</f>
        <v>11010101</v>
      </c>
      <c r="F280" s="22" t="s">
        <v>23</v>
      </c>
      <c r="G280" s="22" t="s">
        <v>284</v>
      </c>
      <c r="H280" s="24">
        <f>IFERROR(INDEX(TableJudje[رقم الحساب],MATCH(Tabledaily[[#This Row],[الحســاب المديــــن]],TableJudje[اسم الحساب],0)),0)</f>
        <v>11060205</v>
      </c>
      <c r="I280" s="22" t="s">
        <v>513</v>
      </c>
      <c r="J280" s="22" t="s">
        <v>241</v>
      </c>
      <c r="K280" s="117">
        <v>9980</v>
      </c>
      <c r="L280" s="23">
        <v>1</v>
      </c>
      <c r="M280" s="118">
        <f>IFERROR(Tabledaily[[#This Row],[المبلـــــــغ]]/Tabledaily[[#This Row],[سعــــــر
الصـــــرف]],"")</f>
        <v>9980</v>
      </c>
      <c r="N280" s="22" t="s">
        <v>517</v>
      </c>
      <c r="O280" s="22" t="s">
        <v>300</v>
      </c>
      <c r="P280" s="22" t="s">
        <v>552</v>
      </c>
      <c r="Q280" s="22">
        <v>9732</v>
      </c>
      <c r="R280" s="22" t="s">
        <v>237</v>
      </c>
      <c r="S280" s="24">
        <f>IFERROR(INDEX(tablecost[رقم المركز],MATCH(Tabledaily[[#This Row],[مركـــــــزالتكلفــــــة]],tablecost[الاسم],0)),0)</f>
        <v>1</v>
      </c>
      <c r="T280" s="27">
        <f>DATE(Tabledaily[[#This Row],[السنــــة]],Tabledaily[[#This Row],[الشهــــر]],Tabledaily[[#This Row],[الـــــيوم]])</f>
        <v>46180</v>
      </c>
      <c r="U280" s="28">
        <v>46191.754120370373</v>
      </c>
      <c r="V280" s="22"/>
      <c r="W280" s="24">
        <f>YEAR(Tabledaily[[#This Row],[التاريخ]])</f>
        <v>2026</v>
      </c>
      <c r="X280" s="24">
        <f>MONTH(Tabledaily[[#This Row],[التاريخ]])</f>
        <v>6</v>
      </c>
      <c r="Y280" s="24">
        <f>DAY(Tabledaily[[#This Row],[التاريخ]])</f>
        <v>7</v>
      </c>
      <c r="Z28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حواله رقم 9732  شركة العامري للصرافة - استلام عهدة بامر</v>
      </c>
      <c r="AA280" s="24" t="str">
        <f>IF(COUNTIF(TableDailyJournal[رقم العملية],Tabledaily[[#This Row],[رقم العملية]])&gt;1,"مرحل","غير مرحل")</f>
        <v>مرحل</v>
      </c>
    </row>
    <row r="281" spans="1:27" ht="22.9" customHeight="1" x14ac:dyDescent="0.55000000000000004">
      <c r="A281" s="22">
        <f t="shared" si="8"/>
        <v>279</v>
      </c>
      <c r="B281" s="23" t="s">
        <v>548</v>
      </c>
      <c r="C281" s="213" t="s">
        <v>515</v>
      </c>
      <c r="D281" s="22" t="s">
        <v>290</v>
      </c>
      <c r="E281" s="22">
        <f>IFERROR(INDEX(TableJudje[رقم الحساب],MATCH(Tabledaily[[#This Row],[الحســاب الدئـــن]],TableJudje[اسم الحساب],0)),0)</f>
        <v>11060205</v>
      </c>
      <c r="F281" s="22" t="s">
        <v>513</v>
      </c>
      <c r="G281" s="22" t="s">
        <v>549</v>
      </c>
      <c r="H281" s="24">
        <f>IFERROR(INDEX(TableJudje[رقم الحساب],MATCH(Tabledaily[[#This Row],[الحســاب المديــــن]],TableJudje[اسم الحساب],0)),0)</f>
        <v>31010109</v>
      </c>
      <c r="I281" s="22" t="s">
        <v>484</v>
      </c>
      <c r="J281" s="22" t="s">
        <v>238</v>
      </c>
      <c r="K281" s="117">
        <v>100000</v>
      </c>
      <c r="L281" s="23">
        <v>405</v>
      </c>
      <c r="M281" s="118">
        <f>IFERROR(Tabledaily[[#This Row],[المبلـــــــغ]]/Tabledaily[[#This Row],[سعــــــر
الصـــــرف]],"")</f>
        <v>246.91358024691357</v>
      </c>
      <c r="N281" s="22" t="s">
        <v>292</v>
      </c>
      <c r="O281" s="22" t="s">
        <v>286</v>
      </c>
      <c r="P281" s="22" t="s">
        <v>287</v>
      </c>
      <c r="Q281" s="22"/>
      <c r="R281" s="22" t="s">
        <v>237</v>
      </c>
      <c r="S281" s="24">
        <f>IFERROR(INDEX(tablecost[رقم المركز],MATCH(Tabledaily[[#This Row],[مركـــــــزالتكلفــــــة]],tablecost[الاسم],0)),0)</f>
        <v>1</v>
      </c>
      <c r="T281" s="27">
        <f>DATE(Tabledaily[[#This Row],[السنــــة]],Tabledaily[[#This Row],[الشهــــر]],Tabledaily[[#This Row],[الـــــيوم]])</f>
        <v>46180</v>
      </c>
      <c r="U281" s="28">
        <v>46189.925185185188</v>
      </c>
      <c r="V281" s="22" t="s">
        <v>293</v>
      </c>
      <c r="W281" s="24">
        <f>YEAR(Tabledaily[[#This Row],[التاريخ]])</f>
        <v>2026</v>
      </c>
      <c r="X281" s="24">
        <f>MONTH(Tabledaily[[#This Row],[التاريخ]])</f>
        <v>6</v>
      </c>
      <c r="Y281" s="24">
        <f>DAY(Tabledaily[[#This Row],[التاريخ]])</f>
        <v>7</v>
      </c>
      <c r="Z28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جمال مسدوس - الفرقة الثالثة)  - استلام نقدي رقم   سند استلام - صرف نثريات الاركان بامرالأركان جمال مسدوس</v>
      </c>
      <c r="AA281" s="24" t="str">
        <f>IF(COUNTIF(TableDailyJournal[رقم العملية],Tabledaily[[#This Row],[رقم العملية]])&gt;1,"مرحل","غير مرحل")</f>
        <v>مرحل</v>
      </c>
    </row>
    <row r="282" spans="1:27" ht="22.9" customHeight="1" x14ac:dyDescent="0.55000000000000004">
      <c r="A282" s="22">
        <f t="shared" si="8"/>
        <v>280</v>
      </c>
      <c r="B282" s="23" t="s">
        <v>546</v>
      </c>
      <c r="C282" s="213" t="s">
        <v>515</v>
      </c>
      <c r="D282" s="22" t="s">
        <v>290</v>
      </c>
      <c r="E282" s="22">
        <f>IFERROR(INDEX(TableJudje[رقم الحساب],MATCH(Tabledaily[[#This Row],[الحســاب الدئـــن]],TableJudje[اسم الحساب],0)),0)</f>
        <v>11060205</v>
      </c>
      <c r="F282" s="22" t="s">
        <v>513</v>
      </c>
      <c r="G282" s="22" t="s">
        <v>547</v>
      </c>
      <c r="H282" s="24">
        <f>IFERROR(INDEX(TableJudje[رقم الحساب],MATCH(Tabledaily[[#This Row],[الحســاب المديــــن]],TableJudje[اسم الحساب],0)),0)</f>
        <v>31010109</v>
      </c>
      <c r="I282" s="22" t="s">
        <v>484</v>
      </c>
      <c r="J282" s="22" t="s">
        <v>238</v>
      </c>
      <c r="K282" s="117">
        <v>7000</v>
      </c>
      <c r="L282" s="23">
        <v>405</v>
      </c>
      <c r="M282" s="118">
        <f>IFERROR(Tabledaily[[#This Row],[المبلـــــــغ]]/Tabledaily[[#This Row],[سعــــــر
الصـــــرف]],"")</f>
        <v>17.283950617283949</v>
      </c>
      <c r="N282" s="22" t="s">
        <v>340</v>
      </c>
      <c r="O282" s="22" t="s">
        <v>351</v>
      </c>
      <c r="P282" s="22"/>
      <c r="Q282" s="22">
        <v>123821</v>
      </c>
      <c r="R282" s="22" t="s">
        <v>237</v>
      </c>
      <c r="S282" s="24">
        <f>IFERROR(INDEX(tablecost[رقم المركز],MATCH(Tabledaily[[#This Row],[مركـــــــزالتكلفــــــة]],tablecost[الاسم],0)),0)</f>
        <v>1</v>
      </c>
      <c r="T282" s="27">
        <f>DATE(Tabledaily[[#This Row],[السنــــة]],Tabledaily[[#This Row],[الشهــــر]],Tabledaily[[#This Row],[الـــــيوم]])</f>
        <v>46180</v>
      </c>
      <c r="U282" s="28">
        <v>46189.923703703702</v>
      </c>
      <c r="V282" s="22" t="s">
        <v>302</v>
      </c>
      <c r="W282" s="24">
        <f>YEAR(Tabledaily[[#This Row],[التاريخ]])</f>
        <v>2026</v>
      </c>
      <c r="X282" s="24">
        <f>MONTH(Tabledaily[[#This Row],[التاريخ]])</f>
        <v>6</v>
      </c>
      <c r="Y282" s="24">
        <f>DAY(Tabledaily[[#This Row],[التاريخ]])</f>
        <v>7</v>
      </c>
      <c r="Z28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الامداد - الفرقة الثالثة)  - فاتورة رقم 123821   - شراء مكانس ابو عصى و عصى مكانس بامرمدير  مكتب القائد</v>
      </c>
      <c r="AA282" s="24" t="str">
        <f>IF(COUNTIF(TableDailyJournal[رقم العملية],Tabledaily[[#This Row],[رقم العملية]])&gt;1,"مرحل","غير مرحل")</f>
        <v>مرحل</v>
      </c>
    </row>
    <row r="283" spans="1:27" ht="22.9" customHeight="1" x14ac:dyDescent="0.55000000000000004">
      <c r="A283" s="22">
        <f t="shared" si="8"/>
        <v>281</v>
      </c>
      <c r="B283" s="23" t="s">
        <v>543</v>
      </c>
      <c r="C283" s="213" t="s">
        <v>515</v>
      </c>
      <c r="D283" s="22" t="s">
        <v>290</v>
      </c>
      <c r="E283" s="22">
        <f>IFERROR(INDEX(TableJudje[رقم الحساب],MATCH(Tabledaily[[#This Row],[الحســاب الدئـــن]],TableJudje[اسم الحساب],0)),0)</f>
        <v>11060205</v>
      </c>
      <c r="F283" s="22" t="s">
        <v>513</v>
      </c>
      <c r="G283" s="22" t="s">
        <v>544</v>
      </c>
      <c r="H283" s="24">
        <f>IFERROR(INDEX(TableJudje[رقم الحساب],MATCH(Tabledaily[[#This Row],[الحســاب المديــــن]],TableJudje[اسم الحساب],0)),0)</f>
        <v>31010101</v>
      </c>
      <c r="I283" s="22" t="s">
        <v>111</v>
      </c>
      <c r="J283" s="22" t="s">
        <v>238</v>
      </c>
      <c r="K283" s="117">
        <v>20000</v>
      </c>
      <c r="L283" s="23">
        <v>405</v>
      </c>
      <c r="M283" s="118">
        <f>IFERROR(Tabledaily[[#This Row],[المبلـــــــغ]]/Tabledaily[[#This Row],[سعــــــر
الصـــــرف]],"")</f>
        <v>49.382716049382715</v>
      </c>
      <c r="N283" s="22" t="s">
        <v>545</v>
      </c>
      <c r="O283" s="22" t="s">
        <v>286</v>
      </c>
      <c r="P283" s="22" t="s">
        <v>287</v>
      </c>
      <c r="Q283" s="22"/>
      <c r="R283" s="22" t="s">
        <v>237</v>
      </c>
      <c r="S283" s="24">
        <f>IFERROR(INDEX(tablecost[رقم المركز],MATCH(Tabledaily[[#This Row],[مركـــــــزالتكلفــــــة]],tablecost[الاسم],0)),0)</f>
        <v>1</v>
      </c>
      <c r="T283" s="27">
        <f>DATE(Tabledaily[[#This Row],[السنــــة]],Tabledaily[[#This Row],[الشهــــر]],Tabledaily[[#This Row],[الـــــيوم]])</f>
        <v>46180</v>
      </c>
      <c r="U283" s="28">
        <v>46189.914027777777</v>
      </c>
      <c r="V283" s="22" t="s">
        <v>441</v>
      </c>
      <c r="W283" s="24">
        <f>YEAR(Tabledaily[[#This Row],[التاريخ]])</f>
        <v>2026</v>
      </c>
      <c r="X283" s="24">
        <f>MONTH(Tabledaily[[#This Row],[التاريخ]])</f>
        <v>6</v>
      </c>
      <c r="Y283" s="24">
        <f>DAY(Tabledaily[[#This Row],[التاريخ]])</f>
        <v>7</v>
      </c>
      <c r="Z28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محمد عبدالصمد عبدالله - الفرقة الثالثة)  - استلام نقدي رقم   سند استلام - صرف صرفة يومية ليوم 6 و7  بامرالمالية</v>
      </c>
      <c r="AA283" s="24" t="str">
        <f>IF(COUNTIF(TableDailyJournal[رقم العملية],Tabledaily[[#This Row],[رقم العملية]])&gt;1,"مرحل","غير مرحل")</f>
        <v>مرحل</v>
      </c>
    </row>
    <row r="284" spans="1:27" ht="22.9" customHeight="1" x14ac:dyDescent="0.55000000000000004">
      <c r="A284" s="22">
        <f t="shared" si="8"/>
        <v>282</v>
      </c>
      <c r="B284" s="23" t="s">
        <v>540</v>
      </c>
      <c r="C284" s="213" t="s">
        <v>515</v>
      </c>
      <c r="D284" s="22" t="s">
        <v>290</v>
      </c>
      <c r="E284" s="22">
        <f>IFERROR(INDEX(TableJudje[رقم الحساب],MATCH(Tabledaily[[#This Row],[الحســاب الدئـــن]],TableJudje[اسم الحساب],0)),0)</f>
        <v>11060205</v>
      </c>
      <c r="F284" s="22" t="s">
        <v>513</v>
      </c>
      <c r="G284" s="22" t="s">
        <v>541</v>
      </c>
      <c r="H284" s="24">
        <f>IFERROR(INDEX(TableJudje[رقم الحساب],MATCH(Tabledaily[[#This Row],[الحســاب المديــــن]],TableJudje[اسم الحساب],0)),0)</f>
        <v>31010114</v>
      </c>
      <c r="I284" s="22" t="s">
        <v>121</v>
      </c>
      <c r="J284" s="22" t="s">
        <v>238</v>
      </c>
      <c r="K284" s="117">
        <v>96000</v>
      </c>
      <c r="L284" s="23">
        <v>405</v>
      </c>
      <c r="M284" s="118">
        <f>IFERROR(Tabledaily[[#This Row],[المبلـــــــغ]]/Tabledaily[[#This Row],[سعــــــر
الصـــــرف]],"")</f>
        <v>237.03703703703704</v>
      </c>
      <c r="N284" s="22" t="s">
        <v>542</v>
      </c>
      <c r="O284" s="22" t="s">
        <v>286</v>
      </c>
      <c r="P284" s="22" t="s">
        <v>287</v>
      </c>
      <c r="Q284" s="22"/>
      <c r="R284" s="22" t="s">
        <v>237</v>
      </c>
      <c r="S284" s="24">
        <f>IFERROR(INDEX(tablecost[رقم المركز],MATCH(Tabledaily[[#This Row],[مركـــــــزالتكلفــــــة]],tablecost[الاسم],0)),0)</f>
        <v>1</v>
      </c>
      <c r="T284" s="27">
        <f>DATE(Tabledaily[[#This Row],[السنــــة]],Tabledaily[[#This Row],[الشهــــر]],Tabledaily[[#This Row],[الـــــيوم]])</f>
        <v>46180</v>
      </c>
      <c r="U284" s="28">
        <v>46189.91269675926</v>
      </c>
      <c r="V284" s="22" t="s">
        <v>293</v>
      </c>
      <c r="W284" s="24">
        <f>YEAR(Tabledaily[[#This Row],[التاريخ]])</f>
        <v>2026</v>
      </c>
      <c r="X284" s="24">
        <f>MONTH(Tabledaily[[#This Row],[التاريخ]])</f>
        <v>6</v>
      </c>
      <c r="Y284" s="24">
        <f>DAY(Tabledaily[[#This Row],[التاريخ]])</f>
        <v>7</v>
      </c>
      <c r="Z28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v>
      </c>
      <c r="AA284" s="24" t="str">
        <f>IF(COUNTIF(TableDailyJournal[رقم العملية],Tabledaily[[#This Row],[رقم العملية]])&gt;1,"مرحل","غير مرحل")</f>
        <v>مرحل</v>
      </c>
    </row>
    <row r="285" spans="1:27" ht="22.9" customHeight="1" x14ac:dyDescent="0.55000000000000004">
      <c r="A285" s="22">
        <f t="shared" si="8"/>
        <v>283</v>
      </c>
      <c r="B285" s="23" t="s">
        <v>537</v>
      </c>
      <c r="C285" s="213" t="s">
        <v>515</v>
      </c>
      <c r="D285" s="22" t="s">
        <v>290</v>
      </c>
      <c r="E285" s="22">
        <f>IFERROR(INDEX(TableJudje[رقم الحساب],MATCH(Tabledaily[[#This Row],[الحســاب الدئـــن]],TableJudje[اسم الحساب],0)),0)</f>
        <v>11060205</v>
      </c>
      <c r="F285" s="22" t="s">
        <v>513</v>
      </c>
      <c r="G285" s="22" t="s">
        <v>538</v>
      </c>
      <c r="H285" s="24">
        <f>IFERROR(INDEX(TableJudje[رقم الحساب],MATCH(Tabledaily[[#This Row],[الحســاب المديــــن]],TableJudje[اسم الحساب],0)),0)</f>
        <v>31010116</v>
      </c>
      <c r="I285" s="22" t="s">
        <v>122</v>
      </c>
      <c r="J285" s="22" t="s">
        <v>238</v>
      </c>
      <c r="K285" s="117">
        <v>200000</v>
      </c>
      <c r="L285" s="23">
        <v>405</v>
      </c>
      <c r="M285" s="118">
        <f>IFERROR(Tabledaily[[#This Row],[المبلـــــــغ]]/Tabledaily[[#This Row],[سعــــــر
الصـــــرف]],"")</f>
        <v>493.82716049382714</v>
      </c>
      <c r="N285" s="22" t="s">
        <v>539</v>
      </c>
      <c r="O285" s="22" t="s">
        <v>286</v>
      </c>
      <c r="P285" s="22" t="s">
        <v>287</v>
      </c>
      <c r="Q285" s="22"/>
      <c r="R285" s="22" t="s">
        <v>237</v>
      </c>
      <c r="S285" s="24">
        <f>IFERROR(INDEX(tablecost[رقم المركز],MATCH(Tabledaily[[#This Row],[مركـــــــزالتكلفــــــة]],tablecost[الاسم],0)),0)</f>
        <v>1</v>
      </c>
      <c r="T285" s="27">
        <f>DATE(Tabledaily[[#This Row],[السنــــة]],Tabledaily[[#This Row],[الشهــــر]],Tabledaily[[#This Row],[الـــــيوم]])</f>
        <v>46180</v>
      </c>
      <c r="U285" s="28">
        <v>46189.91065972222</v>
      </c>
      <c r="V285" s="22" t="s">
        <v>313</v>
      </c>
      <c r="W285" s="24">
        <f>YEAR(Tabledaily[[#This Row],[التاريخ]])</f>
        <v>2026</v>
      </c>
      <c r="X285" s="24">
        <f>MONTH(Tabledaily[[#This Row],[التاريخ]])</f>
        <v>6</v>
      </c>
      <c r="Y285" s="24">
        <f>DAY(Tabledaily[[#This Row],[التاريخ]])</f>
        <v>7</v>
      </c>
      <c r="Z28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v>
      </c>
      <c r="AA285" s="24" t="str">
        <f>IF(COUNTIF(TableDailyJournal[رقم العملية],Tabledaily[[#This Row],[رقم العملية]])&gt;1,"مرحل","غير مرحل")</f>
        <v>مرحل</v>
      </c>
    </row>
    <row r="286" spans="1:27" ht="22.9" customHeight="1" x14ac:dyDescent="0.55000000000000004">
      <c r="A286" s="22">
        <f t="shared" si="8"/>
        <v>284</v>
      </c>
      <c r="B286" s="23" t="s">
        <v>535</v>
      </c>
      <c r="C286" s="213" t="s">
        <v>515</v>
      </c>
      <c r="D286" s="22" t="s">
        <v>290</v>
      </c>
      <c r="E286" s="22">
        <f>IFERROR(INDEX(TableJudje[رقم الحساب],MATCH(Tabledaily[[#This Row],[الحســاب الدئـــن]],TableJudje[اسم الحساب],0)),0)</f>
        <v>11060205</v>
      </c>
      <c r="F286" s="22" t="s">
        <v>513</v>
      </c>
      <c r="G286" s="22" t="s">
        <v>536</v>
      </c>
      <c r="H286" s="24">
        <f>IFERROR(INDEX(TableJudje[رقم الحساب],MATCH(Tabledaily[[#This Row],[الحســاب المديــــن]],TableJudje[اسم الحساب],0)),0)</f>
        <v>31010101</v>
      </c>
      <c r="I286" s="22" t="s">
        <v>111</v>
      </c>
      <c r="J286" s="22" t="s">
        <v>238</v>
      </c>
      <c r="K286" s="117">
        <v>176000</v>
      </c>
      <c r="L286" s="23">
        <v>405</v>
      </c>
      <c r="M286" s="118">
        <f>IFERROR(Tabledaily[[#This Row],[المبلـــــــغ]]/Tabledaily[[#This Row],[سعــــــر
الصـــــرف]],"")</f>
        <v>434.5679012345679</v>
      </c>
      <c r="N286" s="22" t="s">
        <v>311</v>
      </c>
      <c r="O286" s="22" t="s">
        <v>312</v>
      </c>
      <c r="P286" s="22" t="s">
        <v>312</v>
      </c>
      <c r="Q286" s="22"/>
      <c r="R286" s="22" t="s">
        <v>248</v>
      </c>
      <c r="S286" s="24">
        <f>IFERROR(INDEX(tablecost[رقم المركز],MATCH(Tabledaily[[#This Row],[مركـــــــزالتكلفــــــة]],tablecost[الاسم],0)),0)</f>
        <v>7</v>
      </c>
      <c r="T286" s="27">
        <f>DATE(Tabledaily[[#This Row],[السنــــة]],Tabledaily[[#This Row],[الشهــــر]],Tabledaily[[#This Row],[الـــــيوم]])</f>
        <v>46180</v>
      </c>
      <c r="U286" s="28">
        <v>46189.908680555556</v>
      </c>
      <c r="V286" s="22"/>
      <c r="W286" s="24">
        <f>YEAR(Tabledaily[[#This Row],[التاريخ]])</f>
        <v>2026</v>
      </c>
      <c r="X286" s="24">
        <f>MONTH(Tabledaily[[#This Row],[التاريخ]])</f>
        <v>6</v>
      </c>
      <c r="Y286" s="24">
        <f>DAY(Tabledaily[[#This Row],[التاريخ]])</f>
        <v>7</v>
      </c>
      <c r="Z28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44 بامر</v>
      </c>
      <c r="AA286" s="24" t="str">
        <f>IF(COUNTIF(TableDailyJournal[رقم العملية],Tabledaily[[#This Row],[رقم العملية]])&gt;1,"مرحل","غير مرحل")</f>
        <v>مرحل</v>
      </c>
    </row>
    <row r="287" spans="1:27" ht="22.9" customHeight="1" x14ac:dyDescent="0.55000000000000004">
      <c r="A287" s="22">
        <f t="shared" si="8"/>
        <v>285</v>
      </c>
      <c r="B287" s="23" t="s">
        <v>534</v>
      </c>
      <c r="C287" s="213" t="s">
        <v>515</v>
      </c>
      <c r="D287" s="22" t="s">
        <v>290</v>
      </c>
      <c r="E287" s="22">
        <f>IFERROR(INDEX(TableJudje[رقم الحساب],MATCH(Tabledaily[[#This Row],[الحســاب الدئـــن]],TableJudje[اسم الحساب],0)),0)</f>
        <v>11060205</v>
      </c>
      <c r="F287" s="22" t="s">
        <v>513</v>
      </c>
      <c r="G287" s="22" t="s">
        <v>458</v>
      </c>
      <c r="H287" s="24">
        <f>IFERROR(INDEX(TableJudje[رقم الحساب],MATCH(Tabledaily[[#This Row],[الحســاب المديــــن]],TableJudje[اسم الحساب],0)),0)</f>
        <v>31010101</v>
      </c>
      <c r="I287" s="22" t="s">
        <v>111</v>
      </c>
      <c r="J287" s="22" t="s">
        <v>238</v>
      </c>
      <c r="K287" s="117">
        <v>28000</v>
      </c>
      <c r="L287" s="23">
        <v>405</v>
      </c>
      <c r="M287" s="118">
        <f>IFERROR(Tabledaily[[#This Row],[المبلـــــــغ]]/Tabledaily[[#This Row],[سعــــــر
الصـــــرف]],"")</f>
        <v>69.135802469135797</v>
      </c>
      <c r="N287" s="22" t="s">
        <v>459</v>
      </c>
      <c r="O287" s="22" t="s">
        <v>312</v>
      </c>
      <c r="P287" s="22" t="s">
        <v>312</v>
      </c>
      <c r="Q287" s="22"/>
      <c r="R287" s="22" t="s">
        <v>237</v>
      </c>
      <c r="S287" s="24">
        <f>IFERROR(INDEX(tablecost[رقم المركز],MATCH(Tabledaily[[#This Row],[مركـــــــزالتكلفــــــة]],tablecost[الاسم],0)),0)</f>
        <v>1</v>
      </c>
      <c r="T287" s="27">
        <f>DATE(Tabledaily[[#This Row],[السنــــة]],Tabledaily[[#This Row],[الشهــــر]],Tabledaily[[#This Row],[الـــــيوم]])</f>
        <v>46180</v>
      </c>
      <c r="U287" s="28">
        <v>46189.908020833333</v>
      </c>
      <c r="V287" s="22"/>
      <c r="W287" s="24">
        <f>YEAR(Tabledaily[[#This Row],[التاريخ]])</f>
        <v>2026</v>
      </c>
      <c r="X287" s="24">
        <f>MONTH(Tabledaily[[#This Row],[التاريخ]])</f>
        <v>6</v>
      </c>
      <c r="Y287" s="24">
        <f>DAY(Tabledaily[[#This Row],[التاريخ]])</f>
        <v>7</v>
      </c>
      <c r="Z28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v>
      </c>
      <c r="AA287" s="24" t="str">
        <f>IF(COUNTIF(TableDailyJournal[رقم العملية],Tabledaily[[#This Row],[رقم العملية]])&gt;1,"مرحل","غير مرحل")</f>
        <v>مرحل</v>
      </c>
    </row>
    <row r="288" spans="1:27" ht="22.9" customHeight="1" x14ac:dyDescent="0.55000000000000004">
      <c r="A288" s="22">
        <f t="shared" ref="A288:A319" si="9">ROW()-2</f>
        <v>286</v>
      </c>
      <c r="B288" s="23" t="s">
        <v>532</v>
      </c>
      <c r="C288" s="213" t="s">
        <v>515</v>
      </c>
      <c r="D288" s="22" t="s">
        <v>290</v>
      </c>
      <c r="E288" s="22">
        <f>IFERROR(INDEX(TableJudje[رقم الحساب],MATCH(Tabledaily[[#This Row],[الحســاب الدئـــن]],TableJudje[اسم الحساب],0)),0)</f>
        <v>11060205</v>
      </c>
      <c r="F288" s="22" t="s">
        <v>513</v>
      </c>
      <c r="G288" s="22" t="s">
        <v>533</v>
      </c>
      <c r="H288" s="24">
        <f>IFERROR(INDEX(TableJudje[رقم الحساب],MATCH(Tabledaily[[#This Row],[الحســاب المديــــن]],TableJudje[اسم الحساب],0)),0)</f>
        <v>31010101</v>
      </c>
      <c r="I288" s="22" t="s">
        <v>111</v>
      </c>
      <c r="J288" s="22" t="s">
        <v>238</v>
      </c>
      <c r="K288" s="117">
        <v>6000</v>
      </c>
      <c r="L288" s="23">
        <v>405</v>
      </c>
      <c r="M288" s="118">
        <f>IFERROR(Tabledaily[[#This Row],[المبلـــــــغ]]/Tabledaily[[#This Row],[سعــــــر
الصـــــرف]],"")</f>
        <v>14.814814814814815</v>
      </c>
      <c r="N288" s="22" t="s">
        <v>374</v>
      </c>
      <c r="O288" s="22" t="s">
        <v>312</v>
      </c>
      <c r="P288" s="22" t="s">
        <v>312</v>
      </c>
      <c r="Q288" s="22"/>
      <c r="R288" s="22" t="s">
        <v>237</v>
      </c>
      <c r="S288" s="24">
        <f>IFERROR(INDEX(tablecost[رقم المركز],MATCH(Tabledaily[[#This Row],[مركـــــــزالتكلفــــــة]],tablecost[الاسم],0)),0)</f>
        <v>1</v>
      </c>
      <c r="T288" s="27">
        <f>DATE(Tabledaily[[#This Row],[السنــــة]],Tabledaily[[#This Row],[الشهــــر]],Tabledaily[[#This Row],[الـــــيوم]])</f>
        <v>46180</v>
      </c>
      <c r="U288" s="28">
        <v>46189.907141203701</v>
      </c>
      <c r="V288" s="22"/>
      <c r="W288" s="24">
        <f>YEAR(Tabledaily[[#This Row],[التاريخ]])</f>
        <v>2026</v>
      </c>
      <c r="X288" s="24">
        <f>MONTH(Tabledaily[[#This Row],[التاريخ]])</f>
        <v>6</v>
      </c>
      <c r="Y288" s="24">
        <f>DAY(Tabledaily[[#This Row],[التاريخ]])</f>
        <v>7</v>
      </c>
      <c r="Z28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كشف صرف - مصاريف 1 افراد من اللواء السابع بامر</v>
      </c>
      <c r="AA288" s="24" t="str">
        <f>IF(COUNTIF(TableDailyJournal[رقم العملية],Tabledaily[[#This Row],[رقم العملية]])&gt;1,"مرحل","غير مرحل")</f>
        <v>مرحل</v>
      </c>
    </row>
    <row r="289" spans="1:27" ht="22.9" customHeight="1" x14ac:dyDescent="0.55000000000000004">
      <c r="A289" s="22">
        <f t="shared" si="9"/>
        <v>287</v>
      </c>
      <c r="B289" s="23" t="s">
        <v>530</v>
      </c>
      <c r="C289" s="213" t="s">
        <v>515</v>
      </c>
      <c r="D289" s="22" t="s">
        <v>290</v>
      </c>
      <c r="E289" s="22">
        <f>IFERROR(INDEX(TableJudje[رقم الحساب],MATCH(Tabledaily[[#This Row],[الحســاب الدئـــن]],TableJudje[اسم الحساب],0)),0)</f>
        <v>11060205</v>
      </c>
      <c r="F289" s="22" t="s">
        <v>513</v>
      </c>
      <c r="G289" s="22" t="s">
        <v>531</v>
      </c>
      <c r="H289" s="24">
        <f>IFERROR(INDEX(TableJudje[رقم الحساب],MATCH(Tabledaily[[#This Row],[الحســاب المديــــن]],TableJudje[اسم الحساب],0)),0)</f>
        <v>31010101</v>
      </c>
      <c r="I289" s="22" t="s">
        <v>111</v>
      </c>
      <c r="J289" s="22" t="s">
        <v>238</v>
      </c>
      <c r="K289" s="117">
        <v>60000</v>
      </c>
      <c r="L289" s="23">
        <v>405</v>
      </c>
      <c r="M289" s="118">
        <f>IFERROR(Tabledaily[[#This Row],[المبلـــــــغ]]/Tabledaily[[#This Row],[سعــــــر
الصـــــرف]],"")</f>
        <v>148.14814814814815</v>
      </c>
      <c r="N289" s="22" t="s">
        <v>322</v>
      </c>
      <c r="O289" s="22" t="s">
        <v>312</v>
      </c>
      <c r="P289" s="22" t="s">
        <v>312</v>
      </c>
      <c r="Q289" s="22"/>
      <c r="R289" s="22" t="s">
        <v>237</v>
      </c>
      <c r="S289" s="24">
        <f>IFERROR(INDEX(tablecost[رقم المركز],MATCH(Tabledaily[[#This Row],[مركـــــــزالتكلفــــــة]],tablecost[الاسم],0)),0)</f>
        <v>1</v>
      </c>
      <c r="T289" s="27">
        <f>DATE(Tabledaily[[#This Row],[السنــــة]],Tabledaily[[#This Row],[الشهــــر]],Tabledaily[[#This Row],[الـــــيوم]])</f>
        <v>46180</v>
      </c>
      <c r="U289" s="28">
        <v>46189.906087962961</v>
      </c>
      <c r="V289" s="22"/>
      <c r="W289" s="24">
        <f>YEAR(Tabledaily[[#This Row],[التاريخ]])</f>
        <v>2026</v>
      </c>
      <c r="X289" s="24">
        <f>MONTH(Tabledaily[[#This Row],[التاريخ]])</f>
        <v>6</v>
      </c>
      <c r="Y289" s="24">
        <f>DAY(Tabledaily[[#This Row],[التاريخ]])</f>
        <v>7</v>
      </c>
      <c r="Z28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الصرفة اليومية اخرون عدد 6 بامر</v>
      </c>
      <c r="AA289" s="24" t="str">
        <f>IF(COUNTIF(TableDailyJournal[رقم العملية],Tabledaily[[#This Row],[رقم العملية]])&gt;1,"مرحل","غير مرحل")</f>
        <v>مرحل</v>
      </c>
    </row>
    <row r="290" spans="1:27" ht="22.9" customHeight="1" x14ac:dyDescent="0.55000000000000004">
      <c r="A290" s="22">
        <f t="shared" si="9"/>
        <v>288</v>
      </c>
      <c r="B290" s="23" t="s">
        <v>529</v>
      </c>
      <c r="C290" s="213" t="s">
        <v>515</v>
      </c>
      <c r="D290" s="22" t="s">
        <v>290</v>
      </c>
      <c r="E290" s="22">
        <f>IFERROR(INDEX(TableJudje[رقم الحساب],MATCH(Tabledaily[[#This Row],[الحســاب الدئـــن]],TableJudje[اسم الحساب],0)),0)</f>
        <v>11060205</v>
      </c>
      <c r="F290" s="22" t="s">
        <v>513</v>
      </c>
      <c r="G290" s="22" t="s">
        <v>405</v>
      </c>
      <c r="H290" s="24">
        <f>IFERROR(INDEX(TableJudje[رقم الحساب],MATCH(Tabledaily[[#This Row],[الحســاب المديــــن]],TableJudje[اسم الحساب],0)),0)</f>
        <v>31010101</v>
      </c>
      <c r="I290" s="22" t="s">
        <v>111</v>
      </c>
      <c r="J290" s="22" t="s">
        <v>238</v>
      </c>
      <c r="K290" s="117">
        <v>70000</v>
      </c>
      <c r="L290" s="23">
        <v>405</v>
      </c>
      <c r="M290" s="118">
        <f>IFERROR(Tabledaily[[#This Row],[المبلـــــــغ]]/Tabledaily[[#This Row],[سعــــــر
الصـــــرف]],"")</f>
        <v>172.83950617283949</v>
      </c>
      <c r="N290" s="22" t="s">
        <v>325</v>
      </c>
      <c r="O290" s="22" t="s">
        <v>312</v>
      </c>
      <c r="P290" s="22" t="s">
        <v>312</v>
      </c>
      <c r="Q290" s="22"/>
      <c r="R290" s="22" t="s">
        <v>237</v>
      </c>
      <c r="S290" s="24">
        <f>IFERROR(INDEX(tablecost[رقم المركز],MATCH(Tabledaily[[#This Row],[مركـــــــزالتكلفــــــة]],tablecost[الاسم],0)),0)</f>
        <v>1</v>
      </c>
      <c r="T290" s="27">
        <f>DATE(Tabledaily[[#This Row],[السنــــة]],Tabledaily[[#This Row],[الشهــــر]],Tabledaily[[#This Row],[الـــــيوم]])</f>
        <v>46180</v>
      </c>
      <c r="U290" s="28">
        <v>46189.905115740738</v>
      </c>
      <c r="V290" s="22"/>
      <c r="W290" s="24">
        <f>YEAR(Tabledaily[[#This Row],[التاريخ]])</f>
        <v>2026</v>
      </c>
      <c r="X290" s="24">
        <f>MONTH(Tabledaily[[#This Row],[التاريخ]])</f>
        <v>6</v>
      </c>
      <c r="Y290" s="24">
        <f>DAY(Tabledaily[[#This Row],[التاريخ]])</f>
        <v>7</v>
      </c>
      <c r="Z29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7 بامر</v>
      </c>
      <c r="AA290" s="24" t="str">
        <f>IF(COUNTIF(TableDailyJournal[رقم العملية],Tabledaily[[#This Row],[رقم العملية]])&gt;1,"مرحل","غير مرحل")</f>
        <v>مرحل</v>
      </c>
    </row>
    <row r="291" spans="1:27" ht="22.9" customHeight="1" x14ac:dyDescent="0.55000000000000004">
      <c r="A291" s="22">
        <f t="shared" si="9"/>
        <v>289</v>
      </c>
      <c r="B291" s="23" t="s">
        <v>528</v>
      </c>
      <c r="C291" s="213" t="s">
        <v>515</v>
      </c>
      <c r="D291" s="22" t="s">
        <v>290</v>
      </c>
      <c r="E291" s="22">
        <f>IFERROR(INDEX(TableJudje[رقم الحساب],MATCH(Tabledaily[[#This Row],[الحســاب الدئـــن]],TableJudje[اسم الحساب],0)),0)</f>
        <v>11060205</v>
      </c>
      <c r="F291" s="22" t="s">
        <v>513</v>
      </c>
      <c r="G291" s="22" t="s">
        <v>327</v>
      </c>
      <c r="H291" s="24">
        <f>IFERROR(INDEX(TableJudje[رقم الحساب],MATCH(Tabledaily[[#This Row],[الحســاب المديــــن]],TableJudje[اسم الحساب],0)),0)</f>
        <v>31010101</v>
      </c>
      <c r="I291" s="22" t="s">
        <v>111</v>
      </c>
      <c r="J291" s="22" t="s">
        <v>238</v>
      </c>
      <c r="K291" s="117">
        <v>32000</v>
      </c>
      <c r="L291" s="23">
        <v>405</v>
      </c>
      <c r="M291" s="118">
        <f>IFERROR(Tabledaily[[#This Row],[المبلـــــــغ]]/Tabledaily[[#This Row],[سعــــــر
الصـــــرف]],"")</f>
        <v>79.012345679012341</v>
      </c>
      <c r="N291" s="22" t="s">
        <v>328</v>
      </c>
      <c r="O291" s="22" t="s">
        <v>312</v>
      </c>
      <c r="P291" s="22" t="s">
        <v>312</v>
      </c>
      <c r="Q291" s="22"/>
      <c r="R291" s="22" t="s">
        <v>237</v>
      </c>
      <c r="S291" s="24">
        <f>IFERROR(INDEX(tablecost[رقم المركز],MATCH(Tabledaily[[#This Row],[مركـــــــزالتكلفــــــة]],tablecost[الاسم],0)),0)</f>
        <v>1</v>
      </c>
      <c r="T291" s="27">
        <f>DATE(Tabledaily[[#This Row],[السنــــة]],Tabledaily[[#This Row],[الشهــــر]],Tabledaily[[#This Row],[الـــــيوم]])</f>
        <v>46180</v>
      </c>
      <c r="U291" s="28">
        <v>46189.90420138889</v>
      </c>
      <c r="V291" s="22"/>
      <c r="W291" s="24">
        <f>YEAR(Tabledaily[[#This Row],[التاريخ]])</f>
        <v>2026</v>
      </c>
      <c r="X291" s="24">
        <f>MONTH(Tabledaily[[#This Row],[التاريخ]])</f>
        <v>6</v>
      </c>
      <c r="Y291" s="24">
        <f>DAY(Tabledaily[[#This Row],[التاريخ]])</f>
        <v>7</v>
      </c>
      <c r="Z29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5 بامر</v>
      </c>
      <c r="AA291" s="24" t="str">
        <f>IF(COUNTIF(TableDailyJournal[رقم العملية],Tabledaily[[#This Row],[رقم العملية]])&gt;1,"مرحل","غير مرحل")</f>
        <v>مرحل</v>
      </c>
    </row>
    <row r="292" spans="1:27" ht="22.9" customHeight="1" x14ac:dyDescent="0.55000000000000004">
      <c r="A292" s="22">
        <f t="shared" si="9"/>
        <v>290</v>
      </c>
      <c r="B292" s="23" t="s">
        <v>526</v>
      </c>
      <c r="C292" s="213" t="s">
        <v>515</v>
      </c>
      <c r="D292" s="22" t="s">
        <v>290</v>
      </c>
      <c r="E292" s="22">
        <f>IFERROR(INDEX(TableJudje[رقم الحساب],MATCH(Tabledaily[[#This Row],[الحســاب الدئـــن]],TableJudje[اسم الحساب],0)),0)</f>
        <v>11060205</v>
      </c>
      <c r="F292" s="22" t="s">
        <v>513</v>
      </c>
      <c r="G292" s="22" t="s">
        <v>527</v>
      </c>
      <c r="H292" s="24">
        <f>IFERROR(INDEX(TableJudje[رقم الحساب],MATCH(Tabledaily[[#This Row],[الحســاب المديــــن]],TableJudje[اسم الحساب],0)),0)</f>
        <v>31010101</v>
      </c>
      <c r="I292" s="22" t="s">
        <v>111</v>
      </c>
      <c r="J292" s="22" t="s">
        <v>238</v>
      </c>
      <c r="K292" s="117">
        <v>60000</v>
      </c>
      <c r="L292" s="23">
        <v>405</v>
      </c>
      <c r="M292" s="118">
        <f>IFERROR(Tabledaily[[#This Row],[المبلـــــــغ]]/Tabledaily[[#This Row],[سعــــــر
الصـــــرف]],"")</f>
        <v>148.14814814814815</v>
      </c>
      <c r="N292" s="22" t="s">
        <v>331</v>
      </c>
      <c r="O292" s="22" t="s">
        <v>312</v>
      </c>
      <c r="P292" s="22" t="s">
        <v>312</v>
      </c>
      <c r="Q292" s="22"/>
      <c r="R292" s="22" t="s">
        <v>237</v>
      </c>
      <c r="S292" s="24">
        <f>IFERROR(INDEX(tablecost[رقم المركز],MATCH(Tabledaily[[#This Row],[مركـــــــزالتكلفــــــة]],tablecost[الاسم],0)),0)</f>
        <v>1</v>
      </c>
      <c r="T292" s="27">
        <f>DATE(Tabledaily[[#This Row],[السنــــة]],Tabledaily[[#This Row],[الشهــــر]],Tabledaily[[#This Row],[الـــــيوم]])</f>
        <v>46180</v>
      </c>
      <c r="U292" s="28">
        <v>46189.903113425928</v>
      </c>
      <c r="V292" s="22"/>
      <c r="W292" s="24">
        <f>YEAR(Tabledaily[[#This Row],[التاريخ]])</f>
        <v>2026</v>
      </c>
      <c r="X292" s="24">
        <f>MONTH(Tabledaily[[#This Row],[التاريخ]])</f>
        <v>6</v>
      </c>
      <c r="Y292" s="24">
        <f>DAY(Tabledaily[[#This Row],[التاريخ]])</f>
        <v>7</v>
      </c>
      <c r="Z29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6 بامر</v>
      </c>
      <c r="AA292" s="24" t="str">
        <f>IF(COUNTIF(TableDailyJournal[رقم العملية],Tabledaily[[#This Row],[رقم العملية]])&gt;1,"مرحل","غير مرحل")</f>
        <v>مرحل</v>
      </c>
    </row>
    <row r="293" spans="1:27" ht="22.9" customHeight="1" x14ac:dyDescent="0.55000000000000004">
      <c r="A293" s="22">
        <f t="shared" si="9"/>
        <v>291</v>
      </c>
      <c r="B293" s="23" t="s">
        <v>525</v>
      </c>
      <c r="C293" s="213" t="s">
        <v>515</v>
      </c>
      <c r="D293" s="22" t="s">
        <v>290</v>
      </c>
      <c r="E293" s="22">
        <f>IFERROR(INDEX(TableJudje[رقم الحساب],MATCH(Tabledaily[[#This Row],[الحســاب الدئـــن]],TableJudje[اسم الحساب],0)),0)</f>
        <v>11060205</v>
      </c>
      <c r="F293" s="22" t="s">
        <v>513</v>
      </c>
      <c r="G293" s="22" t="s">
        <v>333</v>
      </c>
      <c r="H293" s="24">
        <f>IFERROR(INDEX(TableJudje[رقم الحساب],MATCH(Tabledaily[[#This Row],[الحســاب المديــــن]],TableJudje[اسم الحساب],0)),0)</f>
        <v>31010101</v>
      </c>
      <c r="I293" s="22" t="s">
        <v>111</v>
      </c>
      <c r="J293" s="22" t="s">
        <v>238</v>
      </c>
      <c r="K293" s="117">
        <v>65000</v>
      </c>
      <c r="L293" s="23">
        <v>405</v>
      </c>
      <c r="M293" s="118">
        <f>IFERROR(Tabledaily[[#This Row],[المبلـــــــغ]]/Tabledaily[[#This Row],[سعــــــر
الصـــــرف]],"")</f>
        <v>160.49382716049382</v>
      </c>
      <c r="N293" s="22" t="s">
        <v>334</v>
      </c>
      <c r="O293" s="22" t="s">
        <v>312</v>
      </c>
      <c r="P293" s="22" t="s">
        <v>312</v>
      </c>
      <c r="Q293" s="22"/>
      <c r="R293" s="22" t="s">
        <v>237</v>
      </c>
      <c r="S293" s="24">
        <f>IFERROR(INDEX(tablecost[رقم المركز],MATCH(Tabledaily[[#This Row],[مركـــــــزالتكلفــــــة]],tablecost[الاسم],0)),0)</f>
        <v>1</v>
      </c>
      <c r="T293" s="27">
        <f>DATE(Tabledaily[[#This Row],[السنــــة]],Tabledaily[[#This Row],[الشهــــر]],Tabledaily[[#This Row],[الـــــيوم]])</f>
        <v>46180</v>
      </c>
      <c r="U293" s="28">
        <v>46189.902199074073</v>
      </c>
      <c r="V293" s="22"/>
      <c r="W293" s="24">
        <f>YEAR(Tabledaily[[#This Row],[التاريخ]])</f>
        <v>2026</v>
      </c>
      <c r="X293" s="24">
        <f>MONTH(Tabledaily[[#This Row],[التاريخ]])</f>
        <v>6</v>
      </c>
      <c r="Y293" s="24">
        <f>DAY(Tabledaily[[#This Row],[التاريخ]])</f>
        <v>7</v>
      </c>
      <c r="Z29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v>
      </c>
      <c r="AA293" s="24" t="str">
        <f>IF(COUNTIF(TableDailyJournal[رقم العملية],Tabledaily[[#This Row],[رقم العملية]])&gt;1,"مرحل","غير مرحل")</f>
        <v>مرحل</v>
      </c>
    </row>
    <row r="294" spans="1:27" ht="22.9" customHeight="1" x14ac:dyDescent="0.55000000000000004">
      <c r="A294" s="22">
        <f t="shared" si="9"/>
        <v>292</v>
      </c>
      <c r="B294" s="23" t="s">
        <v>523</v>
      </c>
      <c r="C294" s="213" t="s">
        <v>515</v>
      </c>
      <c r="D294" s="22" t="s">
        <v>290</v>
      </c>
      <c r="E294" s="22">
        <f>IFERROR(INDEX(TableJudje[رقم الحساب],MATCH(Tabledaily[[#This Row],[الحســاب الدئـــن]],TableJudje[اسم الحساب],0)),0)</f>
        <v>11060205</v>
      </c>
      <c r="F294" s="22" t="s">
        <v>513</v>
      </c>
      <c r="G294" s="22" t="s">
        <v>524</v>
      </c>
      <c r="H294" s="24">
        <f>IFERROR(INDEX(TableJudje[رقم الحساب],MATCH(Tabledaily[[#This Row],[الحســاب المديــــن]],TableJudje[اسم الحساب],0)),0)</f>
        <v>31010101</v>
      </c>
      <c r="I294" s="22" t="s">
        <v>111</v>
      </c>
      <c r="J294" s="22" t="s">
        <v>238</v>
      </c>
      <c r="K294" s="117">
        <v>15000</v>
      </c>
      <c r="L294" s="23">
        <v>405</v>
      </c>
      <c r="M294" s="118">
        <f>IFERROR(Tabledaily[[#This Row],[المبلـــــــغ]]/Tabledaily[[#This Row],[سعــــــر
الصـــــرف]],"")</f>
        <v>37.037037037037038</v>
      </c>
      <c r="N294" s="22" t="s">
        <v>337</v>
      </c>
      <c r="O294" s="22" t="s">
        <v>312</v>
      </c>
      <c r="P294" s="22" t="s">
        <v>312</v>
      </c>
      <c r="Q294" s="22"/>
      <c r="R294" s="22" t="s">
        <v>237</v>
      </c>
      <c r="S294" s="24">
        <f>IFERROR(INDEX(tablecost[رقم المركز],MATCH(Tabledaily[[#This Row],[مركـــــــزالتكلفــــــة]],tablecost[الاسم],0)),0)</f>
        <v>1</v>
      </c>
      <c r="T294" s="27">
        <f>DATE(Tabledaily[[#This Row],[السنــــة]],Tabledaily[[#This Row],[الشهــــر]],Tabledaily[[#This Row],[الـــــيوم]])</f>
        <v>46180</v>
      </c>
      <c r="U294" s="28">
        <v>46189.898831018516</v>
      </c>
      <c r="V294" s="22"/>
      <c r="W294" s="24">
        <f>YEAR(Tabledaily[[#This Row],[التاريخ]])</f>
        <v>2026</v>
      </c>
      <c r="X294" s="24">
        <f>MONTH(Tabledaily[[#This Row],[التاريخ]])</f>
        <v>6</v>
      </c>
      <c r="Y294" s="24">
        <f>DAY(Tabledaily[[#This Row],[التاريخ]])</f>
        <v>7</v>
      </c>
      <c r="Z29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1 بامر</v>
      </c>
      <c r="AA294" s="24" t="str">
        <f>IF(COUNTIF(TableDailyJournal[رقم العملية],Tabledaily[[#This Row],[رقم العملية]])&gt;1,"مرحل","غير مرحل")</f>
        <v>مرحل</v>
      </c>
    </row>
    <row r="295" spans="1:27" ht="22.9" customHeight="1" x14ac:dyDescent="0.55000000000000004">
      <c r="A295" s="22">
        <f t="shared" si="9"/>
        <v>293</v>
      </c>
      <c r="B295" s="23" t="s">
        <v>522</v>
      </c>
      <c r="C295" s="213" t="s">
        <v>515</v>
      </c>
      <c r="D295" s="22" t="s">
        <v>290</v>
      </c>
      <c r="E295" s="22">
        <f>IFERROR(INDEX(TableJudje[رقم الحساب],MATCH(Tabledaily[[#This Row],[الحســاب الدئـــن]],TableJudje[اسم الحساب],0)),0)</f>
        <v>11060205</v>
      </c>
      <c r="F295" s="22" t="s">
        <v>513</v>
      </c>
      <c r="G295" s="22" t="s">
        <v>443</v>
      </c>
      <c r="H295" s="24">
        <f>IFERROR(INDEX(TableJudje[رقم الحساب],MATCH(Tabledaily[[#This Row],[الحســاب المديــــن]],TableJudje[اسم الحساب],0)),0)</f>
        <v>31010101</v>
      </c>
      <c r="I295" s="22" t="s">
        <v>111</v>
      </c>
      <c r="J295" s="22" t="s">
        <v>238</v>
      </c>
      <c r="K295" s="117">
        <v>128000</v>
      </c>
      <c r="L295" s="23">
        <v>405</v>
      </c>
      <c r="M295" s="118">
        <f>IFERROR(Tabledaily[[#This Row],[المبلـــــــغ]]/Tabledaily[[#This Row],[سعــــــر
الصـــــرف]],"")</f>
        <v>316.04938271604937</v>
      </c>
      <c r="N295" s="22" t="s">
        <v>340</v>
      </c>
      <c r="O295" s="22" t="s">
        <v>312</v>
      </c>
      <c r="P295" s="22" t="s">
        <v>312</v>
      </c>
      <c r="Q295" s="22"/>
      <c r="R295" s="22" t="s">
        <v>237</v>
      </c>
      <c r="S295" s="24">
        <f>IFERROR(INDEX(tablecost[رقم المركز],MATCH(Tabledaily[[#This Row],[مركـــــــزالتكلفــــــة]],tablecost[الاسم],0)),0)</f>
        <v>1</v>
      </c>
      <c r="T295" s="27">
        <f>DATE(Tabledaily[[#This Row],[السنــــة]],Tabledaily[[#This Row],[الشهــــر]],Tabledaily[[#This Row],[الـــــيوم]])</f>
        <v>46180</v>
      </c>
      <c r="U295" s="28">
        <v>46189.897870370369</v>
      </c>
      <c r="V295" s="22"/>
      <c r="W295" s="24">
        <f>YEAR(Tabledaily[[#This Row],[التاريخ]])</f>
        <v>2026</v>
      </c>
      <c r="X295" s="24">
        <f>MONTH(Tabledaily[[#This Row],[التاريخ]])</f>
        <v>6</v>
      </c>
      <c r="Y295" s="24">
        <f>DAY(Tabledaily[[#This Row],[التاريخ]])</f>
        <v>7</v>
      </c>
      <c r="Z29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12 بامر</v>
      </c>
      <c r="AA295" s="24" t="str">
        <f>IF(COUNTIF(TableDailyJournal[رقم العملية],Tabledaily[[#This Row],[رقم العملية]])&gt;1,"مرحل","غير مرحل")</f>
        <v>مرحل</v>
      </c>
    </row>
    <row r="296" spans="1:27" ht="22.9" customHeight="1" x14ac:dyDescent="0.55000000000000004">
      <c r="A296" s="22">
        <f t="shared" si="9"/>
        <v>294</v>
      </c>
      <c r="B296" s="23" t="s">
        <v>519</v>
      </c>
      <c r="C296" s="213" t="s">
        <v>515</v>
      </c>
      <c r="D296" s="22" t="s">
        <v>290</v>
      </c>
      <c r="E296" s="22">
        <f>IFERROR(INDEX(TableJudje[رقم الحساب],MATCH(Tabledaily[[#This Row],[الحســاب الدئـــن]],TableJudje[اسم الحساب],0)),0)</f>
        <v>11060205</v>
      </c>
      <c r="F296" s="22" t="s">
        <v>513</v>
      </c>
      <c r="G296" s="22" t="s">
        <v>520</v>
      </c>
      <c r="H296" s="24">
        <f>IFERROR(INDEX(TableJudje[رقم الحساب],MATCH(Tabledaily[[#This Row],[الحســاب المديــــن]],TableJudje[اسم الحساب],0)),0)</f>
        <v>31010101</v>
      </c>
      <c r="I296" s="22" t="s">
        <v>111</v>
      </c>
      <c r="J296" s="22" t="s">
        <v>238</v>
      </c>
      <c r="K296" s="117">
        <v>30000</v>
      </c>
      <c r="L296" s="23">
        <v>405</v>
      </c>
      <c r="M296" s="118">
        <f>IFERROR(Tabledaily[[#This Row],[المبلـــــــغ]]/Tabledaily[[#This Row],[سعــــــر
الصـــــرف]],"")</f>
        <v>74.074074074074076</v>
      </c>
      <c r="N296" s="22" t="s">
        <v>521</v>
      </c>
      <c r="O296" s="22" t="s">
        <v>312</v>
      </c>
      <c r="P296" s="22" t="s">
        <v>312</v>
      </c>
      <c r="Q296" s="22"/>
      <c r="R296" s="22" t="s">
        <v>237</v>
      </c>
      <c r="S296" s="24">
        <f>IFERROR(INDEX(tablecost[رقم المركز],MATCH(Tabledaily[[#This Row],[مركـــــــزالتكلفــــــة]],tablecost[الاسم],0)),0)</f>
        <v>1</v>
      </c>
      <c r="T296" s="27">
        <f>DATE(Tabledaily[[#This Row],[السنــــة]],Tabledaily[[#This Row],[الشهــــر]],Tabledaily[[#This Row],[الـــــيوم]])</f>
        <v>46180</v>
      </c>
      <c r="U296" s="28">
        <v>46189.897291666668</v>
      </c>
      <c r="V296" s="22"/>
      <c r="W296" s="24">
        <f>YEAR(Tabledaily[[#This Row],[التاريخ]])</f>
        <v>2026</v>
      </c>
      <c r="X296" s="24">
        <f>MONTH(Tabledaily[[#This Row],[التاريخ]])</f>
        <v>6</v>
      </c>
      <c r="Y296" s="24">
        <f>DAY(Tabledaily[[#This Row],[التاريخ]])</f>
        <v>7</v>
      </c>
      <c r="Z29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التوجيه - الفرقة الثالثة)  - كشف صرف رقم   كشف صرف - صرف الصرفة اليومية للتوجيه عدد 2  بامر</v>
      </c>
      <c r="AA296" s="24" t="str">
        <f>IF(COUNTIF(TableDailyJournal[رقم العملية],Tabledaily[[#This Row],[رقم العملية]])&gt;1,"مرحل","غير مرحل")</f>
        <v>مرحل</v>
      </c>
    </row>
    <row r="297" spans="1:27" ht="22.9" customHeight="1" x14ac:dyDescent="0.55000000000000004">
      <c r="A297" s="22">
        <f t="shared" si="9"/>
        <v>295</v>
      </c>
      <c r="B297" s="23" t="s">
        <v>518</v>
      </c>
      <c r="C297" s="213" t="s">
        <v>515</v>
      </c>
      <c r="D297" s="22" t="s">
        <v>290</v>
      </c>
      <c r="E297" s="22">
        <f>IFERROR(INDEX(TableJudje[رقم الحساب],MATCH(Tabledaily[[#This Row],[الحســاب الدئـــن]],TableJudje[اسم الحساب],0)),0)</f>
        <v>11060205</v>
      </c>
      <c r="F297" s="22" t="s">
        <v>513</v>
      </c>
      <c r="G297" s="22" t="s">
        <v>440</v>
      </c>
      <c r="H297" s="24">
        <f>IFERROR(INDEX(TableJudje[رقم الحساب],MATCH(Tabledaily[[#This Row],[الحســاب المديــــن]],TableJudje[اسم الحساب],0)),0)</f>
        <v>31010101</v>
      </c>
      <c r="I297" s="22" t="s">
        <v>111</v>
      </c>
      <c r="J297" s="22" t="s">
        <v>238</v>
      </c>
      <c r="K297" s="117">
        <v>43000</v>
      </c>
      <c r="L297" s="23">
        <v>405</v>
      </c>
      <c r="M297" s="118">
        <f>IFERROR(Tabledaily[[#This Row],[المبلـــــــغ]]/Tabledaily[[#This Row],[سعــــــر
الصـــــرف]],"")</f>
        <v>106.17283950617283</v>
      </c>
      <c r="N297" s="22" t="s">
        <v>343</v>
      </c>
      <c r="O297" s="22" t="s">
        <v>312</v>
      </c>
      <c r="P297" s="22" t="s">
        <v>312</v>
      </c>
      <c r="Q297" s="22"/>
      <c r="R297" s="22" t="s">
        <v>237</v>
      </c>
      <c r="S297" s="24">
        <f>IFERROR(INDEX(tablecost[رقم المركز],MATCH(Tabledaily[[#This Row],[مركـــــــزالتكلفــــــة]],tablecost[الاسم],0)),0)</f>
        <v>1</v>
      </c>
      <c r="T297" s="27">
        <f>DATE(Tabledaily[[#This Row],[السنــــة]],Tabledaily[[#This Row],[الشهــــر]],Tabledaily[[#This Row],[الـــــيوم]])</f>
        <v>46180</v>
      </c>
      <c r="U297" s="28">
        <v>46189.896747685183</v>
      </c>
      <c r="V297" s="22"/>
      <c r="W297" s="24">
        <f>YEAR(Tabledaily[[#This Row],[التاريخ]])</f>
        <v>2026</v>
      </c>
      <c r="X297" s="24">
        <f>MONTH(Tabledaily[[#This Row],[التاريخ]])</f>
        <v>6</v>
      </c>
      <c r="Y297" s="24">
        <f>DAY(Tabledaily[[#This Row],[التاريخ]])</f>
        <v>7</v>
      </c>
      <c r="Z29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5 بامر</v>
      </c>
      <c r="AA297" s="24" t="str">
        <f>IF(COUNTIF(TableDailyJournal[رقم العملية],Tabledaily[[#This Row],[رقم العملية]])&gt;1,"مرحل","غير مرحل")</f>
        <v>مرحل</v>
      </c>
    </row>
    <row r="298" spans="1:27" ht="22.9" customHeight="1" x14ac:dyDescent="0.55000000000000004">
      <c r="A298" s="22">
        <f t="shared" si="9"/>
        <v>296</v>
      </c>
      <c r="B298" s="23" t="s">
        <v>514</v>
      </c>
      <c r="C298" s="213" t="s">
        <v>515</v>
      </c>
      <c r="D298" s="22" t="s">
        <v>283</v>
      </c>
      <c r="E298" s="22">
        <f>IFERROR(INDEX(TableJudje[رقم الحساب],MATCH(Tabledaily[[#This Row],[الحســاب الدئـــن]],TableJudje[اسم الحساب],0)),0)</f>
        <v>11060202</v>
      </c>
      <c r="F298" s="22" t="s">
        <v>159</v>
      </c>
      <c r="G298" s="22" t="s">
        <v>516</v>
      </c>
      <c r="H298" s="24">
        <f>IFERROR(INDEX(TableJudje[رقم الحساب],MATCH(Tabledaily[[#This Row],[الحســاب المديــــن]],TableJudje[اسم الحساب],0)),0)</f>
        <v>11060205</v>
      </c>
      <c r="I298" s="22" t="s">
        <v>513</v>
      </c>
      <c r="J298" s="22" t="s">
        <v>238</v>
      </c>
      <c r="K298" s="117">
        <v>1006500</v>
      </c>
      <c r="L298" s="23">
        <v>405</v>
      </c>
      <c r="M298" s="118">
        <f>IFERROR(Tabledaily[[#This Row],[المبلـــــــغ]]/Tabledaily[[#This Row],[سعــــــر
الصـــــرف]],"")</f>
        <v>2485.1851851851852</v>
      </c>
      <c r="N298" s="22" t="s">
        <v>517</v>
      </c>
      <c r="O298" s="22" t="s">
        <v>286</v>
      </c>
      <c r="P298" s="22" t="s">
        <v>287</v>
      </c>
      <c r="Q298" s="22"/>
      <c r="R298" s="22" t="s">
        <v>237</v>
      </c>
      <c r="S298" s="24">
        <f>IFERROR(INDEX(tablecost[رقم المركز],MATCH(Tabledaily[[#This Row],[مركـــــــزالتكلفــــــة]],tablecost[الاسم],0)),0)</f>
        <v>1</v>
      </c>
      <c r="T298" s="27">
        <f>DATE(Tabledaily[[#This Row],[السنــــة]],Tabledaily[[#This Row],[الشهــــر]],Tabledaily[[#This Row],[الـــــيوم]])</f>
        <v>46180</v>
      </c>
      <c r="U298" s="28">
        <v>46187.115219907406</v>
      </c>
      <c r="V298" s="22"/>
      <c r="W298" s="24">
        <f>YEAR(Tabledaily[[#This Row],[التاريخ]])</f>
        <v>2026</v>
      </c>
      <c r="X298" s="24">
        <f>MONTH(Tabledaily[[#This Row],[التاريخ]])</f>
        <v>6</v>
      </c>
      <c r="Y298" s="24">
        <f>DAY(Tabledaily[[#This Row],[التاريخ]])</f>
        <v>7</v>
      </c>
      <c r="Z29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عبدالحفيظ - عبدالحفيظ - الفرقة الثالثة)  - استلام نقدي رقم   سند استلام - استلام عهدة من عهدة عبد المغني بامر</v>
      </c>
      <c r="AA298" s="24" t="str">
        <f>IF(COUNTIF(TableDailyJournal[رقم العملية],Tabledaily[[#This Row],[رقم العملية]])&gt;1,"مرحل","غير مرحل")</f>
        <v>مرحل</v>
      </c>
    </row>
    <row r="299" spans="1:27" ht="22.9" customHeight="1" x14ac:dyDescent="0.55000000000000004">
      <c r="A299" s="22">
        <f t="shared" si="9"/>
        <v>297</v>
      </c>
      <c r="B299" s="23" t="s">
        <v>506</v>
      </c>
      <c r="C299" s="213" t="s">
        <v>282</v>
      </c>
      <c r="D299" s="22" t="s">
        <v>290</v>
      </c>
      <c r="E299" s="22">
        <f>IFERROR(INDEX(TableJudje[رقم الحساب],MATCH(Tabledaily[[#This Row],[الحســاب الدئـــن]],TableJudje[اسم الحساب],0)),0)</f>
        <v>11060202</v>
      </c>
      <c r="F299" s="22" t="s">
        <v>159</v>
      </c>
      <c r="G299" s="22" t="s">
        <v>507</v>
      </c>
      <c r="H299" s="24">
        <f>IFERROR(INDEX(TableJudje[رقم الحساب],MATCH(Tabledaily[[#This Row],[الحســاب المديــــن]],TableJudje[اسم الحساب],0)),0)</f>
        <v>31010122</v>
      </c>
      <c r="I299" s="22" t="s">
        <v>487</v>
      </c>
      <c r="J299" s="22" t="s">
        <v>238</v>
      </c>
      <c r="K299" s="117">
        <v>340000</v>
      </c>
      <c r="L299" s="23">
        <v>405</v>
      </c>
      <c r="M299" s="118">
        <f>IFERROR(Tabledaily[[#This Row],[المبلـــــــغ]]/Tabledaily[[#This Row],[سعــــــر
الصـــــرف]],"")</f>
        <v>839.50617283950612</v>
      </c>
      <c r="N299" s="22" t="s">
        <v>508</v>
      </c>
      <c r="O299" s="22" t="s">
        <v>286</v>
      </c>
      <c r="P299" s="22" t="s">
        <v>287</v>
      </c>
      <c r="Q299" s="22"/>
      <c r="R299" s="22" t="s">
        <v>248</v>
      </c>
      <c r="S299" s="24">
        <f>IFERROR(INDEX(tablecost[رقم المركز],MATCH(Tabledaily[[#This Row],[مركـــــــزالتكلفــــــة]],tablecost[الاسم],0)),0)</f>
        <v>7</v>
      </c>
      <c r="T299" s="27">
        <f>DATE(Tabledaily[[#This Row],[السنــــة]],Tabledaily[[#This Row],[الشهــــر]],Tabledaily[[#This Row],[الـــــيوم]])</f>
        <v>46177</v>
      </c>
      <c r="U299" s="28">
        <v>46185.310601851852</v>
      </c>
      <c r="V299" s="22" t="s">
        <v>293</v>
      </c>
      <c r="W299" s="24">
        <f>YEAR(Tabledaily[[#This Row],[التاريخ]])</f>
        <v>2026</v>
      </c>
      <c r="X299" s="24">
        <f>MONTH(Tabledaily[[#This Row],[التاريخ]])</f>
        <v>6</v>
      </c>
      <c r="Y299" s="24">
        <f>DAY(Tabledaily[[#This Row],[التاريخ]])</f>
        <v>4</v>
      </c>
      <c r="Z29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افراد اللواء السادس - اللواء السادس)  - استلام نقدي رقم   سند استلام - مصاريف سفر 5 افراد  اللواء السادس بامرالأركان جمال مسدوس</v>
      </c>
      <c r="AA299" s="24" t="str">
        <f>IF(COUNTIF(TableDailyJournal[رقم العملية],Tabledaily[[#This Row],[رقم العملية]])&gt;1,"مرحل","غير مرحل")</f>
        <v>مرحل</v>
      </c>
    </row>
    <row r="300" spans="1:27" ht="22.9" customHeight="1" x14ac:dyDescent="0.55000000000000004">
      <c r="A300" s="22">
        <f t="shared" si="9"/>
        <v>298</v>
      </c>
      <c r="B300" s="23" t="s">
        <v>503</v>
      </c>
      <c r="C300" s="213" t="s">
        <v>282</v>
      </c>
      <c r="D300" s="22" t="s">
        <v>290</v>
      </c>
      <c r="E300" s="22">
        <f>IFERROR(INDEX(TableJudje[رقم الحساب],MATCH(Tabledaily[[#This Row],[الحســاب الدئـــن]],TableJudje[اسم الحساب],0)),0)</f>
        <v>11060202</v>
      </c>
      <c r="F300" s="22" t="s">
        <v>159</v>
      </c>
      <c r="G300" s="22" t="s">
        <v>504</v>
      </c>
      <c r="H300" s="24">
        <f>IFERROR(INDEX(TableJudje[رقم الحساب],MATCH(Tabledaily[[#This Row],[الحســاب المديــــن]],TableJudje[اسم الحساب],0)),0)</f>
        <v>31010103</v>
      </c>
      <c r="I300" s="22" t="s">
        <v>112</v>
      </c>
      <c r="J300" s="22" t="s">
        <v>238</v>
      </c>
      <c r="K300" s="117">
        <v>250000</v>
      </c>
      <c r="L300" s="23">
        <v>405</v>
      </c>
      <c r="M300" s="118">
        <f>IFERROR(Tabledaily[[#This Row],[المبلـــــــغ]]/Tabledaily[[#This Row],[سعــــــر
الصـــــرف]],"")</f>
        <v>617.28395061728395</v>
      </c>
      <c r="N300" s="22" t="s">
        <v>505</v>
      </c>
      <c r="O300" s="22" t="s">
        <v>286</v>
      </c>
      <c r="P300" s="22" t="s">
        <v>287</v>
      </c>
      <c r="Q300" s="22"/>
      <c r="R300" s="22" t="s">
        <v>237</v>
      </c>
      <c r="S300" s="24">
        <f>IFERROR(INDEX(tablecost[رقم المركز],MATCH(Tabledaily[[#This Row],[مركـــــــزالتكلفــــــة]],tablecost[الاسم],0)),0)</f>
        <v>1</v>
      </c>
      <c r="T300" s="27">
        <f>DATE(Tabledaily[[#This Row],[السنــــة]],Tabledaily[[#This Row],[الشهــــر]],Tabledaily[[#This Row],[الـــــيوم]])</f>
        <v>46177</v>
      </c>
      <c r="U300" s="28">
        <v>46185.309548611112</v>
      </c>
      <c r="V300" s="22" t="s">
        <v>293</v>
      </c>
      <c r="W300" s="24">
        <f>YEAR(Tabledaily[[#This Row],[التاريخ]])</f>
        <v>2026</v>
      </c>
      <c r="X300" s="24">
        <f>MONTH(Tabledaily[[#This Row],[التاريخ]])</f>
        <v>6</v>
      </c>
      <c r="Y300" s="24">
        <f>DAY(Tabledaily[[#This Row],[التاريخ]])</f>
        <v>4</v>
      </c>
      <c r="Z30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v>
      </c>
      <c r="AA300" s="24" t="str">
        <f>IF(COUNTIF(TableDailyJournal[رقم العملية],Tabledaily[[#This Row],[رقم العملية]])&gt;1,"مرحل","غير مرحل")</f>
        <v>مرحل</v>
      </c>
    </row>
    <row r="301" spans="1:27" ht="22.9" customHeight="1" x14ac:dyDescent="0.55000000000000004">
      <c r="A301" s="22">
        <f t="shared" si="9"/>
        <v>299</v>
      </c>
      <c r="B301" s="23" t="s">
        <v>500</v>
      </c>
      <c r="C301" s="213" t="s">
        <v>282</v>
      </c>
      <c r="D301" s="22" t="s">
        <v>290</v>
      </c>
      <c r="E301" s="22">
        <f>IFERROR(INDEX(TableJudje[رقم الحساب],MATCH(Tabledaily[[#This Row],[الحســاب الدئـــن]],TableJudje[اسم الحساب],0)),0)</f>
        <v>11060202</v>
      </c>
      <c r="F301" s="22" t="s">
        <v>159</v>
      </c>
      <c r="G301" s="22" t="s">
        <v>501</v>
      </c>
      <c r="H301" s="24">
        <f>IFERROR(INDEX(TableJudje[رقم الحساب],MATCH(Tabledaily[[#This Row],[الحســاب المديــــن]],TableJudje[اسم الحساب],0)),0)</f>
        <v>31010122</v>
      </c>
      <c r="I301" s="22" t="s">
        <v>487</v>
      </c>
      <c r="J301" s="22" t="s">
        <v>238</v>
      </c>
      <c r="K301" s="117">
        <v>80000</v>
      </c>
      <c r="L301" s="23">
        <v>405</v>
      </c>
      <c r="M301" s="118">
        <f>IFERROR(Tabledaily[[#This Row],[المبلـــــــغ]]/Tabledaily[[#This Row],[سعــــــر
الصـــــرف]],"")</f>
        <v>197.53086419753086</v>
      </c>
      <c r="N301" s="22" t="s">
        <v>502</v>
      </c>
      <c r="O301" s="22" t="s">
        <v>286</v>
      </c>
      <c r="P301" s="22" t="s">
        <v>287</v>
      </c>
      <c r="Q301" s="22" t="s">
        <v>464</v>
      </c>
      <c r="R301" s="22" t="s">
        <v>237</v>
      </c>
      <c r="S301" s="24">
        <f>IFERROR(INDEX(tablecost[رقم المركز],MATCH(Tabledaily[[#This Row],[مركـــــــزالتكلفــــــة]],tablecost[الاسم],0)),0)</f>
        <v>1</v>
      </c>
      <c r="T301" s="27">
        <f>DATE(Tabledaily[[#This Row],[السنــــة]],Tabledaily[[#This Row],[الشهــــر]],Tabledaily[[#This Row],[الـــــيوم]])</f>
        <v>46177</v>
      </c>
      <c r="U301" s="28">
        <v>46185.306875000002</v>
      </c>
      <c r="V301" s="22" t="s">
        <v>293</v>
      </c>
      <c r="W301" s="24">
        <f>YEAR(Tabledaily[[#This Row],[التاريخ]])</f>
        <v>2026</v>
      </c>
      <c r="X301" s="24">
        <f>MONTH(Tabledaily[[#This Row],[التاريخ]])</f>
        <v>6</v>
      </c>
      <c r="Y301" s="24">
        <f>DAY(Tabledaily[[#This Row],[التاريخ]])</f>
        <v>4</v>
      </c>
      <c r="Z30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v>
      </c>
      <c r="AA301" s="24" t="str">
        <f>IF(COUNTIF(TableDailyJournal[رقم العملية],Tabledaily[[#This Row],[رقم العملية]])&gt;1,"مرحل","غير مرحل")</f>
        <v>مرحل</v>
      </c>
    </row>
    <row r="302" spans="1:27" ht="22.9" customHeight="1" x14ac:dyDescent="0.55000000000000004">
      <c r="A302" s="22">
        <f t="shared" si="9"/>
        <v>300</v>
      </c>
      <c r="B302" s="23" t="s">
        <v>497</v>
      </c>
      <c r="C302" s="213" t="s">
        <v>282</v>
      </c>
      <c r="D302" s="22" t="s">
        <v>290</v>
      </c>
      <c r="E302" s="22">
        <f>IFERROR(INDEX(TableJudje[رقم الحساب],MATCH(Tabledaily[[#This Row],[الحســاب الدئـــن]],TableJudje[اسم الحساب],0)),0)</f>
        <v>11060202</v>
      </c>
      <c r="F302" s="22" t="s">
        <v>159</v>
      </c>
      <c r="G302" s="22" t="s">
        <v>498</v>
      </c>
      <c r="H302" s="24">
        <f>IFERROR(INDEX(TableJudje[رقم الحساب],MATCH(Tabledaily[[#This Row],[الحســاب المديــــن]],TableJudje[اسم الحساب],0)),0)</f>
        <v>31010114</v>
      </c>
      <c r="I302" s="22" t="s">
        <v>121</v>
      </c>
      <c r="J302" s="22" t="s">
        <v>238</v>
      </c>
      <c r="K302" s="117">
        <v>100000</v>
      </c>
      <c r="L302" s="23">
        <v>405</v>
      </c>
      <c r="M302" s="118">
        <f>IFERROR(Tabledaily[[#This Row],[المبلـــــــغ]]/Tabledaily[[#This Row],[سعــــــر
الصـــــرف]],"")</f>
        <v>246.91358024691357</v>
      </c>
      <c r="N302" s="22" t="s">
        <v>499</v>
      </c>
      <c r="O302" s="22" t="s">
        <v>286</v>
      </c>
      <c r="P302" s="22" t="s">
        <v>287</v>
      </c>
      <c r="Q302" s="22" t="s">
        <v>464</v>
      </c>
      <c r="R302" s="22" t="s">
        <v>237</v>
      </c>
      <c r="S302" s="24">
        <f>IFERROR(INDEX(tablecost[رقم المركز],MATCH(Tabledaily[[#This Row],[مركـــــــزالتكلفــــــة]],tablecost[الاسم],0)),0)</f>
        <v>1</v>
      </c>
      <c r="T302" s="27">
        <f>DATE(Tabledaily[[#This Row],[السنــــة]],Tabledaily[[#This Row],[الشهــــر]],Tabledaily[[#This Row],[الـــــيوم]])</f>
        <v>46177</v>
      </c>
      <c r="U302" s="28">
        <v>46185.305821759262</v>
      </c>
      <c r="V302" s="22" t="s">
        <v>313</v>
      </c>
      <c r="W302" s="24">
        <f>YEAR(Tabledaily[[#This Row],[التاريخ]])</f>
        <v>2026</v>
      </c>
      <c r="X302" s="24">
        <f>MONTH(Tabledaily[[#This Row],[التاريخ]])</f>
        <v>6</v>
      </c>
      <c r="Y302" s="24">
        <f>DAY(Tabledaily[[#This Row],[التاريخ]])</f>
        <v>4</v>
      </c>
      <c r="Z30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شفيع محمود - الفرقة الثالثة)  - استلام نقدي رقم استلام خطي  سند استلام - مصاريف محولة ل شفيع محمود بامرالقائد</v>
      </c>
      <c r="AA302" s="24" t="str">
        <f>IF(COUNTIF(TableDailyJournal[رقم العملية],Tabledaily[[#This Row],[رقم العملية]])&gt;1,"مرحل","غير مرحل")</f>
        <v>مرحل</v>
      </c>
    </row>
    <row r="303" spans="1:27" ht="22.9" customHeight="1" x14ac:dyDescent="0.55000000000000004">
      <c r="A303" s="22">
        <f t="shared" si="9"/>
        <v>301</v>
      </c>
      <c r="B303" s="23" t="s">
        <v>494</v>
      </c>
      <c r="C303" s="213" t="s">
        <v>282</v>
      </c>
      <c r="D303" s="22" t="s">
        <v>290</v>
      </c>
      <c r="E303" s="22">
        <f>IFERROR(INDEX(TableJudje[رقم الحساب],MATCH(Tabledaily[[#This Row],[الحســاب الدئـــن]],TableJudje[اسم الحساب],0)),0)</f>
        <v>11060202</v>
      </c>
      <c r="F303" s="22" t="s">
        <v>159</v>
      </c>
      <c r="G303" s="22" t="s">
        <v>495</v>
      </c>
      <c r="H303" s="24">
        <f>IFERROR(INDEX(TableJudje[رقم الحساب],MATCH(Tabledaily[[#This Row],[الحســاب المديــــن]],TableJudje[اسم الحساب],0)),0)</f>
        <v>31010114</v>
      </c>
      <c r="I303" s="22" t="s">
        <v>121</v>
      </c>
      <c r="J303" s="22" t="s">
        <v>238</v>
      </c>
      <c r="K303" s="117">
        <v>40000</v>
      </c>
      <c r="L303" s="23">
        <v>405</v>
      </c>
      <c r="M303" s="118">
        <f>IFERROR(Tabledaily[[#This Row],[المبلـــــــغ]]/Tabledaily[[#This Row],[سعــــــر
الصـــــرف]],"")</f>
        <v>98.76543209876543</v>
      </c>
      <c r="N303" s="22" t="s">
        <v>496</v>
      </c>
      <c r="O303" s="22" t="s">
        <v>286</v>
      </c>
      <c r="P303" s="22" t="s">
        <v>287</v>
      </c>
      <c r="Q303" s="22" t="s">
        <v>464</v>
      </c>
      <c r="R303" s="22" t="s">
        <v>237</v>
      </c>
      <c r="S303" s="24">
        <f>IFERROR(INDEX(tablecost[رقم المركز],MATCH(Tabledaily[[#This Row],[مركـــــــزالتكلفــــــة]],tablecost[الاسم],0)),0)</f>
        <v>1</v>
      </c>
      <c r="T303" s="27">
        <f>DATE(Tabledaily[[#This Row],[السنــــة]],Tabledaily[[#This Row],[الشهــــر]],Tabledaily[[#This Row],[الـــــيوم]])</f>
        <v>46177</v>
      </c>
      <c r="U303" s="28">
        <v>46185.304236111115</v>
      </c>
      <c r="V303" s="22" t="s">
        <v>293</v>
      </c>
      <c r="W303" s="24">
        <f>YEAR(Tabledaily[[#This Row],[التاريخ]])</f>
        <v>2026</v>
      </c>
      <c r="X303" s="24">
        <f>MONTH(Tabledaily[[#This Row],[التاريخ]])</f>
        <v>6</v>
      </c>
      <c r="Y303" s="24">
        <f>DAY(Tabledaily[[#This Row],[التاريخ]])</f>
        <v>4</v>
      </c>
      <c r="Z30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v>
      </c>
      <c r="AA303" s="24" t="str">
        <f>IF(COUNTIF(TableDailyJournal[رقم العملية],Tabledaily[[#This Row],[رقم العملية]])&gt;1,"مرحل","غير مرحل")</f>
        <v>مرحل</v>
      </c>
    </row>
    <row r="304" spans="1:27" ht="22.9" customHeight="1" x14ac:dyDescent="0.55000000000000004">
      <c r="A304" s="22">
        <f t="shared" si="9"/>
        <v>302</v>
      </c>
      <c r="B304" s="23" t="s">
        <v>492</v>
      </c>
      <c r="C304" s="213" t="s">
        <v>282</v>
      </c>
      <c r="D304" s="22" t="s">
        <v>290</v>
      </c>
      <c r="E304" s="22">
        <f>IFERROR(INDEX(TableJudje[رقم الحساب],MATCH(Tabledaily[[#This Row],[الحســاب الدئـــن]],TableJudje[اسم الحساب],0)),0)</f>
        <v>11060202</v>
      </c>
      <c r="F304" s="22" t="s">
        <v>159</v>
      </c>
      <c r="G304" s="22" t="s">
        <v>493</v>
      </c>
      <c r="H304" s="24">
        <f>IFERROR(INDEX(TableJudje[رقم الحساب],MATCH(Tabledaily[[#This Row],[الحســاب المديــــن]],TableJudje[اسم الحساب],0)),0)</f>
        <v>31010109</v>
      </c>
      <c r="I304" s="22" t="s">
        <v>484</v>
      </c>
      <c r="J304" s="22" t="s">
        <v>238</v>
      </c>
      <c r="K304" s="117">
        <v>100000</v>
      </c>
      <c r="L304" s="23">
        <v>405</v>
      </c>
      <c r="M304" s="118">
        <f>IFERROR(Tabledaily[[#This Row],[المبلـــــــغ]]/Tabledaily[[#This Row],[سعــــــر
الصـــــرف]],"")</f>
        <v>246.91358024691357</v>
      </c>
      <c r="N304" s="22" t="s">
        <v>292</v>
      </c>
      <c r="O304" s="22" t="s">
        <v>286</v>
      </c>
      <c r="P304" s="22" t="s">
        <v>287</v>
      </c>
      <c r="Q304" s="22" t="s">
        <v>464</v>
      </c>
      <c r="R304" s="22" t="s">
        <v>237</v>
      </c>
      <c r="S304" s="24">
        <f>IFERROR(INDEX(tablecost[رقم المركز],MATCH(Tabledaily[[#This Row],[مركـــــــزالتكلفــــــة]],tablecost[الاسم],0)),0)</f>
        <v>1</v>
      </c>
      <c r="T304" s="27">
        <f>DATE(Tabledaily[[#This Row],[السنــــة]],Tabledaily[[#This Row],[الشهــــر]],Tabledaily[[#This Row],[الـــــيوم]])</f>
        <v>46177</v>
      </c>
      <c r="U304" s="28">
        <v>46185.30259259259</v>
      </c>
      <c r="V304" s="22" t="s">
        <v>293</v>
      </c>
      <c r="W304" s="24">
        <f>YEAR(Tabledaily[[#This Row],[التاريخ]])</f>
        <v>2026</v>
      </c>
      <c r="X304" s="24">
        <f>MONTH(Tabledaily[[#This Row],[التاريخ]])</f>
        <v>6</v>
      </c>
      <c r="Y304" s="24">
        <f>DAY(Tabledaily[[#This Row],[التاريخ]])</f>
        <v>4</v>
      </c>
      <c r="Z30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جمال مسدوس - الفرقة الثالثة)  - استلام نقدي رقم استلام خطي  سند استلام - مصاريف بيد الاركان بامرالأركان جمال مسدوس</v>
      </c>
      <c r="AA304" s="24" t="str">
        <f>IF(COUNTIF(TableDailyJournal[رقم العملية],Tabledaily[[#This Row],[رقم العملية]])&gt;1,"مرحل","غير مرحل")</f>
        <v>مرحل</v>
      </c>
    </row>
    <row r="305" spans="1:27" ht="22.9" customHeight="1" x14ac:dyDescent="0.55000000000000004">
      <c r="A305" s="22">
        <f t="shared" si="9"/>
        <v>303</v>
      </c>
      <c r="B305" s="23" t="s">
        <v>489</v>
      </c>
      <c r="C305" s="213" t="s">
        <v>282</v>
      </c>
      <c r="D305" s="22" t="s">
        <v>290</v>
      </c>
      <c r="E305" s="22">
        <f>IFERROR(INDEX(TableJudje[رقم الحساب],MATCH(Tabledaily[[#This Row],[الحســاب الدئـــن]],TableJudje[اسم الحساب],0)),0)</f>
        <v>11060202</v>
      </c>
      <c r="F305" s="22" t="s">
        <v>159</v>
      </c>
      <c r="G305" s="22" t="s">
        <v>490</v>
      </c>
      <c r="H305" s="24">
        <f>IFERROR(INDEX(TableJudje[رقم الحساب],MATCH(Tabledaily[[#This Row],[الحســاب المديــــن]],TableJudje[اسم الحساب],0)),0)</f>
        <v>31010135</v>
      </c>
      <c r="I305" s="22" t="s">
        <v>473</v>
      </c>
      <c r="J305" s="22" t="s">
        <v>238</v>
      </c>
      <c r="K305" s="117">
        <v>60000</v>
      </c>
      <c r="L305" s="23">
        <v>405</v>
      </c>
      <c r="M305" s="118">
        <f>IFERROR(Tabledaily[[#This Row],[المبلـــــــغ]]/Tabledaily[[#This Row],[سعــــــر
الصـــــرف]],"")</f>
        <v>148.14814814814815</v>
      </c>
      <c r="N305" s="22" t="s">
        <v>491</v>
      </c>
      <c r="O305" s="22" t="s">
        <v>286</v>
      </c>
      <c r="P305" s="22" t="s">
        <v>287</v>
      </c>
      <c r="Q305" s="22" t="s">
        <v>464</v>
      </c>
      <c r="R305" s="22" t="s">
        <v>237</v>
      </c>
      <c r="S305" s="24">
        <f>IFERROR(INDEX(tablecost[رقم المركز],MATCH(Tabledaily[[#This Row],[مركـــــــزالتكلفــــــة]],tablecost[الاسم],0)),0)</f>
        <v>1</v>
      </c>
      <c r="T305" s="27">
        <f>DATE(Tabledaily[[#This Row],[السنــــة]],Tabledaily[[#This Row],[الشهــــر]],Tabledaily[[#This Row],[الـــــيوم]])</f>
        <v>46177</v>
      </c>
      <c r="U305" s="28">
        <v>46185.301504629628</v>
      </c>
      <c r="V305" s="22" t="s">
        <v>293</v>
      </c>
      <c r="W305" s="24">
        <f>YEAR(Tabledaily[[#This Row],[التاريخ]])</f>
        <v>2026</v>
      </c>
      <c r="X305" s="24">
        <f>MONTH(Tabledaily[[#This Row],[التاريخ]])</f>
        <v>6</v>
      </c>
      <c r="Y305" s="24">
        <f>DAY(Tabledaily[[#This Row],[التاريخ]])</f>
        <v>4</v>
      </c>
      <c r="Z30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(اجور يومية - معسكر العفاريت - الفرقة الثالثة)  - استلام نقدي رقم استلام خطي  سند استلام - اجور عمال لتنظيف مجاري الحمامات بامرالأركان جمال مسدوس</v>
      </c>
      <c r="AA305" s="24" t="str">
        <f>IF(COUNTIF(TableDailyJournal[رقم العملية],Tabledaily[[#This Row],[رقم العملية]])&gt;1,"مرحل","غير مرحل")</f>
        <v>مرحل</v>
      </c>
    </row>
    <row r="306" spans="1:27" ht="22.9" customHeight="1" x14ac:dyDescent="0.55000000000000004">
      <c r="A306" s="22">
        <f t="shared" si="9"/>
        <v>304</v>
      </c>
      <c r="B306" s="23" t="s">
        <v>470</v>
      </c>
      <c r="C306" s="213">
        <v>46177</v>
      </c>
      <c r="D306" s="22" t="s">
        <v>290</v>
      </c>
      <c r="E306" s="24">
        <f>IFERROR(INDEX(TableJudje[رقم الحساب],MATCH(Tabledaily[[#This Row],[الحســاب الدئـــن]],TableJudje[اسم الحساب],0)),0)</f>
        <v>11060202</v>
      </c>
      <c r="F306" s="22" t="s">
        <v>159</v>
      </c>
      <c r="G306" s="22" t="s">
        <v>471</v>
      </c>
      <c r="H306" s="24">
        <f>IFERROR(INDEX(TableJudje[رقم الحساب],MATCH(Tabledaily[[#This Row],[الحســاب المديــــن]],TableJudje[اسم الحساب],0)),0)</f>
        <v>31010134</v>
      </c>
      <c r="I306" s="22" t="s">
        <v>164</v>
      </c>
      <c r="J306" s="22" t="s">
        <v>238</v>
      </c>
      <c r="K306" s="117">
        <v>60000</v>
      </c>
      <c r="L306" s="23">
        <v>405</v>
      </c>
      <c r="M306" s="118">
        <f>IFERROR(Tabledaily[[#This Row],[المبلـــــــغ]]/Tabledaily[[#This Row],[سعــــــر
الصـــــرف]],"")</f>
        <v>148.14814814814815</v>
      </c>
      <c r="N306" s="22" t="s">
        <v>472</v>
      </c>
      <c r="O306" s="22" t="s">
        <v>286</v>
      </c>
      <c r="P306" s="22" t="s">
        <v>287</v>
      </c>
      <c r="Q306" s="22" t="s">
        <v>464</v>
      </c>
      <c r="R306" s="22" t="s">
        <v>248</v>
      </c>
      <c r="S306" s="58">
        <f>IFERROR(INDEX(tablecost[رقم المركز],MATCH(Tabledaily[[#This Row],[مركـــــــزالتكلفــــــة]],tablecost[الاسم],0)),0)</f>
        <v>7</v>
      </c>
      <c r="T306" s="27">
        <f>DATE(Tabledaily[[#This Row],[السنــــة]],Tabledaily[[#This Row],[الشهــــر]],Tabledaily[[#This Row],[الـــــيوم]])</f>
        <v>46177</v>
      </c>
      <c r="U306" s="28">
        <v>46185.015335648146</v>
      </c>
      <c r="V306" s="22" t="s">
        <v>293</v>
      </c>
      <c r="W306" s="24">
        <f>YEAR(Tabledaily[[#This Row],[التاريخ]])</f>
        <v>2026</v>
      </c>
      <c r="X306" s="24">
        <f>MONTH(Tabledaily[[#This Row],[التاريخ]])</f>
        <v>6</v>
      </c>
      <c r="Y306" s="24">
        <f>DAY(Tabledaily[[#This Row],[التاريخ]])</f>
        <v>4</v>
      </c>
      <c r="Z30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v>
      </c>
      <c r="AA306" s="24" t="str">
        <f>IF(COUNTIF(TableDailyJournal[رقم العملية],Tabledaily[[#This Row],[رقم العملية]])&gt;1,"مرحل","غير مرحل")</f>
        <v>مرحل</v>
      </c>
    </row>
    <row r="307" spans="1:27" ht="22.9" customHeight="1" x14ac:dyDescent="0.55000000000000004">
      <c r="A307" s="22">
        <f t="shared" si="9"/>
        <v>305</v>
      </c>
      <c r="B307" s="23" t="s">
        <v>468</v>
      </c>
      <c r="C307" s="213" t="s">
        <v>282</v>
      </c>
      <c r="D307" s="22" t="s">
        <v>290</v>
      </c>
      <c r="E307" s="22">
        <f>IFERROR(INDEX(TableJudje[رقم الحساب],MATCH(Tabledaily[[#This Row],[الحســاب الدئـــن]],TableJudje[اسم الحساب],0)),0)</f>
        <v>11060202</v>
      </c>
      <c r="F307" s="22" t="s">
        <v>159</v>
      </c>
      <c r="G307" s="22" t="s">
        <v>469</v>
      </c>
      <c r="H307" s="24">
        <f>IFERROR(INDEX(TableJudje[رقم الحساب],MATCH(Tabledaily[[#This Row],[الحســاب المديــــن]],TableJudje[اسم الحساب],0)),0)</f>
        <v>31010101</v>
      </c>
      <c r="I307" s="22" t="s">
        <v>111</v>
      </c>
      <c r="J307" s="22" t="s">
        <v>238</v>
      </c>
      <c r="K307" s="117">
        <v>168000</v>
      </c>
      <c r="L307" s="23">
        <v>405</v>
      </c>
      <c r="M307" s="118">
        <f>IFERROR(Tabledaily[[#This Row],[المبلـــــــغ]]/Tabledaily[[#This Row],[سعــــــر
الصـــــرف]],"")</f>
        <v>414.81481481481484</v>
      </c>
      <c r="N307" s="22" t="s">
        <v>311</v>
      </c>
      <c r="O307" s="22" t="s">
        <v>312</v>
      </c>
      <c r="P307" s="22" t="s">
        <v>312</v>
      </c>
      <c r="Q307" s="22"/>
      <c r="R307" s="22" t="s">
        <v>248</v>
      </c>
      <c r="S307" s="24">
        <f>IFERROR(INDEX(tablecost[رقم المركز],MATCH(Tabledaily[[#This Row],[مركـــــــزالتكلفــــــة]],tablecost[الاسم],0)),0)</f>
        <v>7</v>
      </c>
      <c r="T307" s="27">
        <f>DATE(Tabledaily[[#This Row],[السنــــة]],Tabledaily[[#This Row],[الشهــــر]],Tabledaily[[#This Row],[الـــــيوم]])</f>
        <v>46177</v>
      </c>
      <c r="U307" s="28">
        <v>46185.013275462959</v>
      </c>
      <c r="V307" s="22" t="s">
        <v>313</v>
      </c>
      <c r="W307" s="24">
        <f>YEAR(Tabledaily[[#This Row],[التاريخ]])</f>
        <v>2026</v>
      </c>
      <c r="X307" s="24">
        <f>MONTH(Tabledaily[[#This Row],[التاريخ]])</f>
        <v>6</v>
      </c>
      <c r="Y307" s="24">
        <f>DAY(Tabledaily[[#This Row],[التاريخ]])</f>
        <v>4</v>
      </c>
      <c r="Z30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كشف صرف - مصاريف يومية سرية اللواء السادس عدد 42 بامرالقائد</v>
      </c>
      <c r="AA307" s="24" t="str">
        <f>IF(COUNTIF(TableDailyJournal[رقم العملية],Tabledaily[[#This Row],[رقم العملية]])&gt;1,"مرحل","غير مرحل")</f>
        <v>مرحل</v>
      </c>
    </row>
    <row r="308" spans="1:27" ht="22.9" customHeight="1" x14ac:dyDescent="0.55000000000000004">
      <c r="A308" s="22">
        <f t="shared" si="9"/>
        <v>306</v>
      </c>
      <c r="B308" s="23" t="s">
        <v>465</v>
      </c>
      <c r="C308" s="213" t="s">
        <v>282</v>
      </c>
      <c r="D308" s="22" t="s">
        <v>290</v>
      </c>
      <c r="E308" s="22">
        <f>IFERROR(INDEX(TableJudje[رقم الحساب],MATCH(Tabledaily[[#This Row],[الحســاب الدئـــن]],TableJudje[اسم الحساب],0)),0)</f>
        <v>11060202</v>
      </c>
      <c r="F308" s="22" t="s">
        <v>159</v>
      </c>
      <c r="G308" s="22" t="s">
        <v>466</v>
      </c>
      <c r="H308" s="24">
        <f>IFERROR(INDEX(TableJudje[رقم الحساب],MATCH(Tabledaily[[#This Row],[الحســاب المديــــن]],TableJudje[اسم الحساب],0)),0)</f>
        <v>31010134</v>
      </c>
      <c r="I308" s="22" t="s">
        <v>164</v>
      </c>
      <c r="J308" s="22" t="s">
        <v>238</v>
      </c>
      <c r="K308" s="117">
        <v>300000</v>
      </c>
      <c r="L308" s="23">
        <v>405</v>
      </c>
      <c r="M308" s="118">
        <f>IFERROR(Tabledaily[[#This Row],[المبلـــــــغ]]/Tabledaily[[#This Row],[سعــــــر
الصـــــرف]],"")</f>
        <v>740.74074074074076</v>
      </c>
      <c r="N308" s="22" t="s">
        <v>467</v>
      </c>
      <c r="O308" s="22" t="s">
        <v>286</v>
      </c>
      <c r="P308" s="22" t="s">
        <v>287</v>
      </c>
      <c r="Q308" s="22" t="s">
        <v>464</v>
      </c>
      <c r="R308" s="22" t="s">
        <v>248</v>
      </c>
      <c r="S308" s="24">
        <f>IFERROR(INDEX(tablecost[رقم المركز],MATCH(Tabledaily[[#This Row],[مركـــــــزالتكلفــــــة]],tablecost[الاسم],0)),0)</f>
        <v>7</v>
      </c>
      <c r="T308" s="27">
        <f>DATE(Tabledaily[[#This Row],[السنــــة]],Tabledaily[[#This Row],[الشهــــر]],Tabledaily[[#This Row],[الـــــيوم]])</f>
        <v>46177</v>
      </c>
      <c r="U308" s="28">
        <v>46185.011597222219</v>
      </c>
      <c r="V308" s="22" t="s">
        <v>313</v>
      </c>
      <c r="W308" s="24">
        <f>YEAR(Tabledaily[[#This Row],[التاريخ]])</f>
        <v>2026</v>
      </c>
      <c r="X308" s="24">
        <f>MONTH(Tabledaily[[#This Row],[التاريخ]])</f>
        <v>6</v>
      </c>
      <c r="Y308" s="24">
        <f>DAY(Tabledaily[[#This Row],[التاريخ]])</f>
        <v>4</v>
      </c>
      <c r="Z30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v>
      </c>
      <c r="AA308" s="24" t="str">
        <f>IF(COUNTIF(TableDailyJournal[رقم العملية],Tabledaily[[#This Row],[رقم العملية]])&gt;1,"مرحل","غير مرحل")</f>
        <v>مرحل</v>
      </c>
    </row>
    <row r="309" spans="1:27" ht="22.9" customHeight="1" x14ac:dyDescent="0.55000000000000004">
      <c r="A309" s="22">
        <f t="shared" si="9"/>
        <v>307</v>
      </c>
      <c r="B309" s="23" t="s">
        <v>461</v>
      </c>
      <c r="C309" s="213" t="s">
        <v>282</v>
      </c>
      <c r="D309" s="22" t="s">
        <v>290</v>
      </c>
      <c r="E309" s="22">
        <f>IFERROR(INDEX(TableJudje[رقم الحساب],MATCH(Tabledaily[[#This Row],[الحســاب الدئـــن]],TableJudje[اسم الحساب],0)),0)</f>
        <v>11060202</v>
      </c>
      <c r="F309" s="22" t="s">
        <v>159</v>
      </c>
      <c r="G309" s="22" t="s">
        <v>462</v>
      </c>
      <c r="H309" s="24">
        <f>IFERROR(INDEX(TableJudje[رقم الحساب],MATCH(Tabledaily[[#This Row],[الحســاب المديــــن]],TableJudje[اسم الحساب],0)),0)</f>
        <v>11060204</v>
      </c>
      <c r="I309" s="22" t="s">
        <v>460</v>
      </c>
      <c r="J309" s="22" t="s">
        <v>238</v>
      </c>
      <c r="K309" s="117">
        <v>700000</v>
      </c>
      <c r="L309" s="23">
        <v>405</v>
      </c>
      <c r="M309" s="118">
        <f>IFERROR(Tabledaily[[#This Row],[المبلـــــــغ]]/Tabledaily[[#This Row],[سعــــــر
الصـــــرف]],"")</f>
        <v>1728.3950617283951</v>
      </c>
      <c r="N309" s="22" t="s">
        <v>463</v>
      </c>
      <c r="O309" s="22" t="s">
        <v>286</v>
      </c>
      <c r="P309" s="22" t="s">
        <v>287</v>
      </c>
      <c r="Q309" s="22" t="s">
        <v>464</v>
      </c>
      <c r="R309" s="22" t="s">
        <v>248</v>
      </c>
      <c r="S309" s="24">
        <f>IFERROR(INDEX(tablecost[رقم المركز],MATCH(Tabledaily[[#This Row],[مركـــــــزالتكلفــــــة]],tablecost[الاسم],0)),0)</f>
        <v>7</v>
      </c>
      <c r="T309" s="27">
        <f>DATE(Tabledaily[[#This Row],[السنــــة]],Tabledaily[[#This Row],[الشهــــر]],Tabledaily[[#This Row],[الـــــيوم]])</f>
        <v>46177</v>
      </c>
      <c r="U309" s="28">
        <v>46185.010335648149</v>
      </c>
      <c r="V309" s="22" t="s">
        <v>313</v>
      </c>
      <c r="W309" s="24">
        <f>YEAR(Tabledaily[[#This Row],[التاريخ]])</f>
        <v>2026</v>
      </c>
      <c r="X309" s="24">
        <f>MONTH(Tabledaily[[#This Row],[التاريخ]])</f>
        <v>6</v>
      </c>
      <c r="Y309" s="24">
        <f>DAY(Tabledaily[[#This Row],[التاريخ]])</f>
        <v>4</v>
      </c>
      <c r="Z30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v>
      </c>
      <c r="AA309" s="24" t="str">
        <f>IF(COUNTIF(TableDailyJournal[رقم العملية],Tabledaily[[#This Row],[رقم العملية]])&gt;1,"مرحل","غير مرحل")</f>
        <v>مرحل</v>
      </c>
    </row>
    <row r="310" spans="1:27" ht="22.9" customHeight="1" x14ac:dyDescent="0.55000000000000004">
      <c r="A310" s="22">
        <f t="shared" si="9"/>
        <v>308</v>
      </c>
      <c r="B310" s="23" t="s">
        <v>457</v>
      </c>
      <c r="C310" s="213" t="s">
        <v>282</v>
      </c>
      <c r="D310" s="22" t="s">
        <v>290</v>
      </c>
      <c r="E310" s="22">
        <f>IFERROR(INDEX(TableJudje[رقم الحساب],MATCH(Tabledaily[[#This Row],[الحســاب الدئـــن]],TableJudje[اسم الحساب],0)),0)</f>
        <v>11060202</v>
      </c>
      <c r="F310" s="22" t="s">
        <v>159</v>
      </c>
      <c r="G310" s="22" t="s">
        <v>458</v>
      </c>
      <c r="H310" s="24">
        <f>IFERROR(INDEX(TableJudje[رقم الحساب],MATCH(Tabledaily[[#This Row],[الحســاب المديــــن]],TableJudje[اسم الحساب],0)),0)</f>
        <v>31010101</v>
      </c>
      <c r="I310" s="22" t="s">
        <v>111</v>
      </c>
      <c r="J310" s="22" t="s">
        <v>238</v>
      </c>
      <c r="K310" s="117">
        <v>28000</v>
      </c>
      <c r="L310" s="23">
        <v>405</v>
      </c>
      <c r="M310" s="118">
        <f>IFERROR(Tabledaily[[#This Row],[المبلـــــــغ]]/Tabledaily[[#This Row],[سعــــــر
الصـــــرف]],"")</f>
        <v>69.135802469135797</v>
      </c>
      <c r="N310" s="22" t="s">
        <v>459</v>
      </c>
      <c r="O310" s="22" t="s">
        <v>312</v>
      </c>
      <c r="P310" s="22" t="s">
        <v>312</v>
      </c>
      <c r="Q310" s="22"/>
      <c r="R310" s="22" t="s">
        <v>237</v>
      </c>
      <c r="S310" s="24">
        <f>IFERROR(INDEX(tablecost[رقم المركز],MATCH(Tabledaily[[#This Row],[مركـــــــزالتكلفــــــة]],tablecost[الاسم],0)),0)</f>
        <v>1</v>
      </c>
      <c r="T310" s="27">
        <f>DATE(Tabledaily[[#This Row],[السنــــة]],Tabledaily[[#This Row],[الشهــــر]],Tabledaily[[#This Row],[الـــــيوم]])</f>
        <v>46177</v>
      </c>
      <c r="U310" s="28">
        <v>46185.0075462963</v>
      </c>
      <c r="V310" s="22" t="s">
        <v>441</v>
      </c>
      <c r="W310" s="24">
        <f>YEAR(Tabledaily[[#This Row],[التاريخ]])</f>
        <v>2026</v>
      </c>
      <c r="X310" s="24">
        <f>MONTH(Tabledaily[[#This Row],[التاريخ]])</f>
        <v>6</v>
      </c>
      <c r="Y310" s="24">
        <f>DAY(Tabledaily[[#This Row],[التاريخ]])</f>
        <v>4</v>
      </c>
      <c r="Z31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الاشغال - الفرقة الثالثة)  - كشف صرف رقم   كشف صرف - صرف الصرفة اليومية للاشغال لعدد 3 بامرالمالية</v>
      </c>
      <c r="AA310" s="24" t="str">
        <f>IF(COUNTIF(TableDailyJournal[رقم العملية],Tabledaily[[#This Row],[رقم العملية]])&gt;1,"مرحل","غير مرحل")</f>
        <v>مرحل</v>
      </c>
    </row>
    <row r="311" spans="1:27" ht="22.9" customHeight="1" x14ac:dyDescent="0.55000000000000004">
      <c r="A311" s="22">
        <f t="shared" si="9"/>
        <v>309</v>
      </c>
      <c r="B311" s="23" t="s">
        <v>455</v>
      </c>
      <c r="C311" s="213" t="s">
        <v>282</v>
      </c>
      <c r="D311" s="22" t="s">
        <v>290</v>
      </c>
      <c r="E311" s="22">
        <f>IFERROR(INDEX(TableJudje[رقم الحساب],MATCH(Tabledaily[[#This Row],[الحســاب الدئـــن]],TableJudje[اسم الحساب],0)),0)</f>
        <v>11060202</v>
      </c>
      <c r="F311" s="22" t="s">
        <v>159</v>
      </c>
      <c r="G311" s="22" t="s">
        <v>456</v>
      </c>
      <c r="H311" s="24">
        <f>IFERROR(INDEX(TableJudje[رقم الحساب],MATCH(Tabledaily[[#This Row],[الحســاب المديــــن]],TableJudje[اسم الحساب],0)),0)</f>
        <v>31010101</v>
      </c>
      <c r="I311" s="22" t="s">
        <v>111</v>
      </c>
      <c r="J311" s="22" t="s">
        <v>238</v>
      </c>
      <c r="K311" s="117">
        <v>75000</v>
      </c>
      <c r="L311" s="23">
        <v>405</v>
      </c>
      <c r="M311" s="118">
        <f>IFERROR(Tabledaily[[#This Row],[المبلـــــــغ]]/Tabledaily[[#This Row],[سعــــــر
الصـــــرف]],"")</f>
        <v>185.18518518518519</v>
      </c>
      <c r="N311" s="22" t="s">
        <v>322</v>
      </c>
      <c r="O311" s="22" t="s">
        <v>312</v>
      </c>
      <c r="P311" s="22" t="s">
        <v>312</v>
      </c>
      <c r="Q311" s="22"/>
      <c r="R311" s="22" t="s">
        <v>237</v>
      </c>
      <c r="S311" s="24">
        <f>IFERROR(INDEX(tablecost[رقم المركز],MATCH(Tabledaily[[#This Row],[مركـــــــزالتكلفــــــة]],tablecost[الاسم],0)),0)</f>
        <v>1</v>
      </c>
      <c r="T311" s="27">
        <f>DATE(Tabledaily[[#This Row],[السنــــة]],Tabledaily[[#This Row],[الشهــــر]],Tabledaily[[#This Row],[الـــــيوم]])</f>
        <v>46177</v>
      </c>
      <c r="U311" s="28">
        <v>46185.006921296299</v>
      </c>
      <c r="V311" s="22" t="s">
        <v>441</v>
      </c>
      <c r="W311" s="24">
        <f>YEAR(Tabledaily[[#This Row],[التاريخ]])</f>
        <v>2026</v>
      </c>
      <c r="X311" s="24">
        <f>MONTH(Tabledaily[[#This Row],[التاريخ]])</f>
        <v>6</v>
      </c>
      <c r="Y311" s="24">
        <f>DAY(Tabledaily[[#This Row],[التاريخ]])</f>
        <v>4</v>
      </c>
      <c r="Z31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كشف صرف - صرف الصرفة اليومية اخورن عدد 10 بامرالمالية</v>
      </c>
      <c r="AA311" s="24" t="str">
        <f>IF(COUNTIF(TableDailyJournal[رقم العملية],Tabledaily[[#This Row],[رقم العملية]])&gt;1,"مرحل","غير مرحل")</f>
        <v>مرحل</v>
      </c>
    </row>
    <row r="312" spans="1:27" ht="22.9" customHeight="1" x14ac:dyDescent="0.55000000000000004">
      <c r="A312" s="22">
        <f t="shared" si="9"/>
        <v>310</v>
      </c>
      <c r="B312" s="23" t="s">
        <v>453</v>
      </c>
      <c r="C312" s="213" t="s">
        <v>282</v>
      </c>
      <c r="D312" s="22" t="s">
        <v>290</v>
      </c>
      <c r="E312" s="22">
        <f>IFERROR(INDEX(TableJudje[رقم الحساب],MATCH(Tabledaily[[#This Row],[الحســاب الدئـــن]],TableJudje[اسم الحساب],0)),0)</f>
        <v>11060202</v>
      </c>
      <c r="F312" s="22" t="s">
        <v>159</v>
      </c>
      <c r="G312" s="22" t="s">
        <v>454</v>
      </c>
      <c r="H312" s="24">
        <f>IFERROR(INDEX(TableJudje[رقم الحساب],MATCH(Tabledaily[[#This Row],[الحســاب المديــــن]],TableJudje[اسم الحساب],0)),0)</f>
        <v>31010101</v>
      </c>
      <c r="I312" s="22" t="s">
        <v>111</v>
      </c>
      <c r="J312" s="22" t="s">
        <v>238</v>
      </c>
      <c r="K312" s="117">
        <v>60000</v>
      </c>
      <c r="L312" s="23">
        <v>405</v>
      </c>
      <c r="M312" s="118">
        <f>IFERROR(Tabledaily[[#This Row],[المبلـــــــغ]]/Tabledaily[[#This Row],[سعــــــر
الصـــــرف]],"")</f>
        <v>148.14814814814815</v>
      </c>
      <c r="N312" s="22" t="s">
        <v>325</v>
      </c>
      <c r="O312" s="22" t="s">
        <v>312</v>
      </c>
      <c r="P312" s="22" t="s">
        <v>312</v>
      </c>
      <c r="Q312" s="22"/>
      <c r="R312" s="22" t="s">
        <v>237</v>
      </c>
      <c r="S312" s="24">
        <f>IFERROR(INDEX(tablecost[رقم المركز],MATCH(Tabledaily[[#This Row],[مركـــــــزالتكلفــــــة]],tablecost[الاسم],0)),0)</f>
        <v>1</v>
      </c>
      <c r="T312" s="27">
        <f>DATE(Tabledaily[[#This Row],[السنــــة]],Tabledaily[[#This Row],[الشهــــر]],Tabledaily[[#This Row],[الـــــيوم]])</f>
        <v>46177</v>
      </c>
      <c r="U312" s="28">
        <v>46185.006099537037</v>
      </c>
      <c r="V312" s="22" t="s">
        <v>441</v>
      </c>
      <c r="W312" s="24">
        <f>YEAR(Tabledaily[[#This Row],[التاريخ]])</f>
        <v>2026</v>
      </c>
      <c r="X312" s="24">
        <f>MONTH(Tabledaily[[#This Row],[التاريخ]])</f>
        <v>6</v>
      </c>
      <c r="Y312" s="24">
        <f>DAY(Tabledaily[[#This Row],[التاريخ]])</f>
        <v>4</v>
      </c>
      <c r="Z31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كشف صرف - صرف الصرفة اليومية ضباط سابقين لعدد 6 بامرالمالية</v>
      </c>
      <c r="AA312" s="24" t="str">
        <f>IF(COUNTIF(TableDailyJournal[رقم العملية],Tabledaily[[#This Row],[رقم العملية]])&gt;1,"مرحل","غير مرحل")</f>
        <v>مرحل</v>
      </c>
    </row>
    <row r="313" spans="1:27" ht="22.9" customHeight="1" x14ac:dyDescent="0.55000000000000004">
      <c r="A313" s="22">
        <f t="shared" si="9"/>
        <v>311</v>
      </c>
      <c r="B313" s="23" t="s">
        <v>452</v>
      </c>
      <c r="C313" s="213" t="s">
        <v>282</v>
      </c>
      <c r="D313" s="22" t="s">
        <v>290</v>
      </c>
      <c r="E313" s="22">
        <f>IFERROR(INDEX(TableJudje[رقم الحساب],MATCH(Tabledaily[[#This Row],[الحســاب الدئـــن]],TableJudje[اسم الحساب],0)),0)</f>
        <v>11060202</v>
      </c>
      <c r="F313" s="22" t="s">
        <v>159</v>
      </c>
      <c r="G313" s="22" t="s">
        <v>327</v>
      </c>
      <c r="H313" s="24">
        <f>IFERROR(INDEX(TableJudje[رقم الحساب],MATCH(Tabledaily[[#This Row],[الحســاب المديــــن]],TableJudje[اسم الحساب],0)),0)</f>
        <v>31010101</v>
      </c>
      <c r="I313" s="22" t="s">
        <v>111</v>
      </c>
      <c r="J313" s="22" t="s">
        <v>238</v>
      </c>
      <c r="K313" s="117">
        <v>32000</v>
      </c>
      <c r="L313" s="23">
        <v>405</v>
      </c>
      <c r="M313" s="118">
        <f>IFERROR(Tabledaily[[#This Row],[المبلـــــــغ]]/Tabledaily[[#This Row],[سعــــــر
الصـــــرف]],"")</f>
        <v>79.012345679012341</v>
      </c>
      <c r="N313" s="22" t="s">
        <v>328</v>
      </c>
      <c r="O313" s="22" t="s">
        <v>312</v>
      </c>
      <c r="P313" s="22" t="s">
        <v>312</v>
      </c>
      <c r="Q313" s="22"/>
      <c r="R313" s="22" t="s">
        <v>237</v>
      </c>
      <c r="S313" s="24">
        <f>IFERROR(INDEX(tablecost[رقم المركز],MATCH(Tabledaily[[#This Row],[مركـــــــزالتكلفــــــة]],tablecost[الاسم],0)),0)</f>
        <v>1</v>
      </c>
      <c r="T313" s="27">
        <f>DATE(Tabledaily[[#This Row],[السنــــة]],Tabledaily[[#This Row],[الشهــــر]],Tabledaily[[#This Row],[الـــــيوم]])</f>
        <v>46177</v>
      </c>
      <c r="U313" s="28">
        <v>46185.004618055558</v>
      </c>
      <c r="V313" s="22" t="s">
        <v>441</v>
      </c>
      <c r="W313" s="24">
        <f>YEAR(Tabledaily[[#This Row],[التاريخ]])</f>
        <v>2026</v>
      </c>
      <c r="X313" s="24">
        <f>MONTH(Tabledaily[[#This Row],[التاريخ]])</f>
        <v>6</v>
      </c>
      <c r="Y313" s="24">
        <f>DAY(Tabledaily[[#This Row],[التاريخ]])</f>
        <v>4</v>
      </c>
      <c r="Z31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كشف صرف - صرف الصرفة اليومية للطبية والمحاسبين لعدد 5 بامرالمالية</v>
      </c>
      <c r="AA313" s="24" t="str">
        <f>IF(COUNTIF(TableDailyJournal[رقم العملية],Tabledaily[[#This Row],[رقم العملية]])&gt;1,"مرحل","غير مرحل")</f>
        <v>مرحل</v>
      </c>
    </row>
    <row r="314" spans="1:27" ht="22.9" customHeight="1" x14ac:dyDescent="0.55000000000000004">
      <c r="A314" s="22">
        <f t="shared" si="9"/>
        <v>312</v>
      </c>
      <c r="B314" s="23" t="s">
        <v>450</v>
      </c>
      <c r="C314" s="213" t="s">
        <v>282</v>
      </c>
      <c r="D314" s="22" t="s">
        <v>290</v>
      </c>
      <c r="E314" s="22">
        <f>IFERROR(INDEX(TableJudje[رقم الحساب],MATCH(Tabledaily[[#This Row],[الحســاب الدئـــن]],TableJudje[اسم الحساب],0)),0)</f>
        <v>11060202</v>
      </c>
      <c r="F314" s="22" t="s">
        <v>159</v>
      </c>
      <c r="G314" s="22" t="s">
        <v>451</v>
      </c>
      <c r="H314" s="24">
        <f>IFERROR(INDEX(TableJudje[رقم الحساب],MATCH(Tabledaily[[#This Row],[الحســاب المديــــن]],TableJudje[اسم الحساب],0)),0)</f>
        <v>31010101</v>
      </c>
      <c r="I314" s="22" t="s">
        <v>111</v>
      </c>
      <c r="J314" s="22" t="s">
        <v>238</v>
      </c>
      <c r="K314" s="117">
        <v>50000</v>
      </c>
      <c r="L314" s="23">
        <v>405</v>
      </c>
      <c r="M314" s="118">
        <f>IFERROR(Tabledaily[[#This Row],[المبلـــــــغ]]/Tabledaily[[#This Row],[سعــــــر
الصـــــرف]],"")</f>
        <v>123.45679012345678</v>
      </c>
      <c r="N314" s="22" t="s">
        <v>331</v>
      </c>
      <c r="O314" s="22" t="s">
        <v>312</v>
      </c>
      <c r="P314" s="22" t="s">
        <v>312</v>
      </c>
      <c r="Q314" s="22"/>
      <c r="R314" s="22" t="s">
        <v>237</v>
      </c>
      <c r="S314" s="24">
        <f>IFERROR(INDEX(tablecost[رقم المركز],MATCH(Tabledaily[[#This Row],[مركـــــــزالتكلفــــــة]],tablecost[الاسم],0)),0)</f>
        <v>1</v>
      </c>
      <c r="T314" s="27">
        <f>DATE(Tabledaily[[#This Row],[السنــــة]],Tabledaily[[#This Row],[الشهــــر]],Tabledaily[[#This Row],[الـــــيوم]])</f>
        <v>46177</v>
      </c>
      <c r="U314" s="28">
        <v>46185.003472222219</v>
      </c>
      <c r="V314" s="22" t="s">
        <v>441</v>
      </c>
      <c r="W314" s="24">
        <f>YEAR(Tabledaily[[#This Row],[التاريخ]])</f>
        <v>2026</v>
      </c>
      <c r="X314" s="24">
        <f>MONTH(Tabledaily[[#This Row],[التاريخ]])</f>
        <v>6</v>
      </c>
      <c r="Y314" s="24">
        <f>DAY(Tabledaily[[#This Row],[التاريخ]])</f>
        <v>4</v>
      </c>
      <c r="Z31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v>
      </c>
      <c r="AA314" s="24" t="str">
        <f>IF(COUNTIF(TableDailyJournal[رقم العملية],Tabledaily[[#This Row],[رقم العملية]])&gt;1,"مرحل","غير مرحل")</f>
        <v>مرحل</v>
      </c>
    </row>
    <row r="315" spans="1:27" ht="22.9" customHeight="1" x14ac:dyDescent="0.55000000000000004">
      <c r="A315" s="22">
        <f t="shared" si="9"/>
        <v>313</v>
      </c>
      <c r="B315" s="23" t="s">
        <v>449</v>
      </c>
      <c r="C315" s="213" t="s">
        <v>282</v>
      </c>
      <c r="D315" s="22" t="s">
        <v>290</v>
      </c>
      <c r="E315" s="22">
        <f>IFERROR(INDEX(TableJudje[رقم الحساب],MATCH(Tabledaily[[#This Row],[الحســاب الدئـــن]],TableJudje[اسم الحساب],0)),0)</f>
        <v>11060202</v>
      </c>
      <c r="F315" s="22" t="s">
        <v>159</v>
      </c>
      <c r="G315" s="22" t="s">
        <v>333</v>
      </c>
      <c r="H315" s="24">
        <f>IFERROR(INDEX(TableJudje[رقم الحساب],MATCH(Tabledaily[[#This Row],[الحســاب المديــــن]],TableJudje[اسم الحساب],0)),0)</f>
        <v>31010101</v>
      </c>
      <c r="I315" s="22" t="s">
        <v>111</v>
      </c>
      <c r="J315" s="22" t="s">
        <v>238</v>
      </c>
      <c r="K315" s="117">
        <v>65000</v>
      </c>
      <c r="L315" s="23">
        <v>405</v>
      </c>
      <c r="M315" s="118">
        <f>IFERROR(Tabledaily[[#This Row],[المبلـــــــغ]]/Tabledaily[[#This Row],[سعــــــر
الصـــــرف]],"")</f>
        <v>160.49382716049382</v>
      </c>
      <c r="N315" s="22" t="s">
        <v>334</v>
      </c>
      <c r="O315" s="22" t="s">
        <v>312</v>
      </c>
      <c r="P315" s="22" t="s">
        <v>312</v>
      </c>
      <c r="Q315" s="22"/>
      <c r="R315" s="22" t="s">
        <v>237</v>
      </c>
      <c r="S315" s="24">
        <f>IFERROR(INDEX(tablecost[رقم المركز],MATCH(Tabledaily[[#This Row],[مركـــــــزالتكلفــــــة]],tablecost[الاسم],0)),0)</f>
        <v>1</v>
      </c>
      <c r="T315" s="27">
        <f>DATE(Tabledaily[[#This Row],[السنــــة]],Tabledaily[[#This Row],[الشهــــر]],Tabledaily[[#This Row],[الـــــيوم]])</f>
        <v>46177</v>
      </c>
      <c r="U315" s="28">
        <v>46185.002708333333</v>
      </c>
      <c r="V315" s="22" t="s">
        <v>441</v>
      </c>
      <c r="W315" s="24">
        <f>YEAR(Tabledaily[[#This Row],[التاريخ]])</f>
        <v>2026</v>
      </c>
      <c r="X315" s="24">
        <f>MONTH(Tabledaily[[#This Row],[التاريخ]])</f>
        <v>6</v>
      </c>
      <c r="Y315" s="24">
        <f>DAY(Tabledaily[[#This Row],[التاريخ]])</f>
        <v>4</v>
      </c>
      <c r="Z31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كشف صرف - صرف الصرفة اليومية  الاستخبارات لعدد 4 بامرالمالية</v>
      </c>
      <c r="AA315" s="24" t="str">
        <f>IF(COUNTIF(TableDailyJournal[رقم العملية],Tabledaily[[#This Row],[رقم العملية]])&gt;1,"مرحل","غير مرحل")</f>
        <v>مرحل</v>
      </c>
    </row>
    <row r="316" spans="1:27" ht="22.9" customHeight="1" x14ac:dyDescent="0.55000000000000004">
      <c r="A316" s="22">
        <f t="shared" si="9"/>
        <v>314</v>
      </c>
      <c r="B316" s="23" t="s">
        <v>447</v>
      </c>
      <c r="C316" s="213" t="s">
        <v>282</v>
      </c>
      <c r="D316" s="22" t="s">
        <v>290</v>
      </c>
      <c r="E316" s="22">
        <f>IFERROR(INDEX(TableJudje[رقم الحساب],MATCH(Tabledaily[[#This Row],[الحســاب الدئـــن]],TableJudje[اسم الحساب],0)),0)</f>
        <v>11060202</v>
      </c>
      <c r="F316" s="22" t="s">
        <v>159</v>
      </c>
      <c r="G316" s="22" t="s">
        <v>448</v>
      </c>
      <c r="H316" s="24">
        <f>IFERROR(INDEX(TableJudje[رقم الحساب],MATCH(Tabledaily[[#This Row],[الحســاب المديــــن]],TableJudje[اسم الحساب],0)),0)</f>
        <v>31010101</v>
      </c>
      <c r="I316" s="22" t="s">
        <v>111</v>
      </c>
      <c r="J316" s="22" t="s">
        <v>238</v>
      </c>
      <c r="K316" s="117">
        <v>30000</v>
      </c>
      <c r="L316" s="23">
        <v>405</v>
      </c>
      <c r="M316" s="118">
        <f>IFERROR(Tabledaily[[#This Row],[المبلـــــــغ]]/Tabledaily[[#This Row],[سعــــــر
الصـــــرف]],"")</f>
        <v>74.074074074074076</v>
      </c>
      <c r="N316" s="22" t="s">
        <v>337</v>
      </c>
      <c r="O316" s="22" t="s">
        <v>312</v>
      </c>
      <c r="P316" s="22" t="s">
        <v>312</v>
      </c>
      <c r="Q316" s="22"/>
      <c r="R316" s="22" t="s">
        <v>237</v>
      </c>
      <c r="S316" s="24">
        <f>IFERROR(INDEX(tablecost[رقم المركز],MATCH(Tabledaily[[#This Row],[مركـــــــزالتكلفــــــة]],tablecost[الاسم],0)),0)</f>
        <v>1</v>
      </c>
      <c r="T316" s="27">
        <f>DATE(Tabledaily[[#This Row],[السنــــة]],Tabledaily[[#This Row],[الشهــــر]],Tabledaily[[#This Row],[الـــــيوم]])</f>
        <v>46177</v>
      </c>
      <c r="U316" s="28">
        <v>46185.001979166664</v>
      </c>
      <c r="V316" s="22" t="s">
        <v>441</v>
      </c>
      <c r="W316" s="24">
        <f>YEAR(Tabledaily[[#This Row],[التاريخ]])</f>
        <v>2026</v>
      </c>
      <c r="X316" s="24">
        <f>MONTH(Tabledaily[[#This Row],[التاريخ]])</f>
        <v>6</v>
      </c>
      <c r="Y316" s="24">
        <f>DAY(Tabledaily[[#This Row],[التاريخ]])</f>
        <v>4</v>
      </c>
      <c r="Z31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كشف صرف - صرف الصرفة اليومية  للبشرة والصراف عدد 2 بامرالمالية</v>
      </c>
      <c r="AA316" s="24" t="str">
        <f>IF(COUNTIF(TableDailyJournal[رقم العملية],Tabledaily[[#This Row],[رقم العملية]])&gt;1,"مرحل","غير مرحل")</f>
        <v>مرحل</v>
      </c>
    </row>
    <row r="317" spans="1:27" ht="22.9" customHeight="1" x14ac:dyDescent="0.55000000000000004">
      <c r="A317" s="22">
        <f t="shared" si="9"/>
        <v>315</v>
      </c>
      <c r="B317" s="23" t="s">
        <v>444</v>
      </c>
      <c r="C317" s="213" t="s">
        <v>282</v>
      </c>
      <c r="D317" s="22" t="s">
        <v>290</v>
      </c>
      <c r="E317" s="22">
        <f>IFERROR(INDEX(TableJudje[رقم الحساب],MATCH(Tabledaily[[#This Row],[الحســاب الدئـــن]],TableJudje[اسم الحساب],0)),0)</f>
        <v>11060202</v>
      </c>
      <c r="F317" s="22" t="s">
        <v>159</v>
      </c>
      <c r="G317" s="22" t="s">
        <v>445</v>
      </c>
      <c r="H317" s="24">
        <f>IFERROR(INDEX(TableJudje[رقم الحساب],MATCH(Tabledaily[[#This Row],[الحســاب المديــــن]],TableJudje[اسم الحساب],0)),0)</f>
        <v>31010101</v>
      </c>
      <c r="I317" s="22" t="s">
        <v>111</v>
      </c>
      <c r="J317" s="22" t="s">
        <v>238</v>
      </c>
      <c r="K317" s="117">
        <v>660000</v>
      </c>
      <c r="L317" s="23">
        <v>405</v>
      </c>
      <c r="M317" s="118">
        <f>IFERROR(Tabledaily[[#This Row],[المبلـــــــغ]]/Tabledaily[[#This Row],[سعــــــر
الصـــــرف]],"")</f>
        <v>1629.6296296296296</v>
      </c>
      <c r="N317" s="22" t="s">
        <v>446</v>
      </c>
      <c r="O317" s="22" t="s">
        <v>312</v>
      </c>
      <c r="P317" s="22" t="s">
        <v>312</v>
      </c>
      <c r="Q317" s="22"/>
      <c r="R317" s="22" t="s">
        <v>237</v>
      </c>
      <c r="S317" s="24">
        <f>IFERROR(INDEX(tablecost[رقم المركز],MATCH(Tabledaily[[#This Row],[مركـــــــزالتكلفــــــة]],tablecost[الاسم],0)),0)</f>
        <v>1</v>
      </c>
      <c r="T317" s="27">
        <f>DATE(Tabledaily[[#This Row],[السنــــة]],Tabledaily[[#This Row],[الشهــــر]],Tabledaily[[#This Row],[الـــــيوم]])</f>
        <v>46177</v>
      </c>
      <c r="U317" s="28">
        <v>46185.000393518516</v>
      </c>
      <c r="V317" s="22" t="s">
        <v>441</v>
      </c>
      <c r="W317" s="24">
        <f>YEAR(Tabledaily[[#This Row],[التاريخ]])</f>
        <v>2026</v>
      </c>
      <c r="X317" s="24">
        <f>MONTH(Tabledaily[[#This Row],[التاريخ]])</f>
        <v>6</v>
      </c>
      <c r="Y317" s="24">
        <f>DAY(Tabledaily[[#This Row],[التاريخ]])</f>
        <v>4</v>
      </c>
      <c r="Z31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الشرطة - الفرقة الثالثة)  - كشف صرف رقم   كشف صرف - صرف الصرفة الاسبوعي سرية الشرطة لعدد 55 فرد بامرالمالية</v>
      </c>
      <c r="AA317" s="24" t="str">
        <f>IF(COUNTIF(TableDailyJournal[رقم العملية],Tabledaily[[#This Row],[رقم العملية]])&gt;1,"مرحل","غير مرحل")</f>
        <v>مرحل</v>
      </c>
    </row>
    <row r="318" spans="1:27" ht="22.9" customHeight="1" x14ac:dyDescent="0.55000000000000004">
      <c r="A318" s="22">
        <f t="shared" si="9"/>
        <v>316</v>
      </c>
      <c r="B318" s="23" t="s">
        <v>442</v>
      </c>
      <c r="C318" s="213" t="s">
        <v>282</v>
      </c>
      <c r="D318" s="22" t="s">
        <v>290</v>
      </c>
      <c r="E318" s="22">
        <f>IFERROR(INDEX(TableJudje[رقم الحساب],MATCH(Tabledaily[[#This Row],[الحســاب الدئـــن]],TableJudje[اسم الحساب],0)),0)</f>
        <v>11060202</v>
      </c>
      <c r="F318" s="22" t="s">
        <v>159</v>
      </c>
      <c r="G318" s="22" t="s">
        <v>443</v>
      </c>
      <c r="H318" s="24">
        <f>IFERROR(INDEX(TableJudje[رقم الحساب],MATCH(Tabledaily[[#This Row],[الحســاب المديــــن]],TableJudje[اسم الحساب],0)),0)</f>
        <v>31010101</v>
      </c>
      <c r="I318" s="22" t="s">
        <v>111</v>
      </c>
      <c r="J318" s="22" t="s">
        <v>238</v>
      </c>
      <c r="K318" s="117">
        <v>132000</v>
      </c>
      <c r="L318" s="23">
        <v>405</v>
      </c>
      <c r="M318" s="118">
        <f>IFERROR(Tabledaily[[#This Row],[المبلـــــــغ]]/Tabledaily[[#This Row],[سعــــــر
الصـــــرف]],"")</f>
        <v>325.92592592592592</v>
      </c>
      <c r="N318" s="22" t="s">
        <v>340</v>
      </c>
      <c r="O318" s="22" t="s">
        <v>312</v>
      </c>
      <c r="P318" s="22" t="s">
        <v>312</v>
      </c>
      <c r="Q318" s="22"/>
      <c r="R318" s="22" t="s">
        <v>237</v>
      </c>
      <c r="S318" s="24">
        <f>IFERROR(INDEX(tablecost[رقم المركز],MATCH(Tabledaily[[#This Row],[مركـــــــزالتكلفــــــة]],tablecost[الاسم],0)),0)</f>
        <v>1</v>
      </c>
      <c r="T318" s="27">
        <f>DATE(Tabledaily[[#This Row],[السنــــة]],Tabledaily[[#This Row],[الشهــــر]],Tabledaily[[#This Row],[الـــــيوم]])</f>
        <v>46177</v>
      </c>
      <c r="U318" s="28">
        <v>46184.998877314814</v>
      </c>
      <c r="V318" s="22" t="s">
        <v>441</v>
      </c>
      <c r="W318" s="24">
        <f>YEAR(Tabledaily[[#This Row],[التاريخ]])</f>
        <v>2026</v>
      </c>
      <c r="X318" s="24">
        <f>MONTH(Tabledaily[[#This Row],[التاريخ]])</f>
        <v>6</v>
      </c>
      <c r="Y318" s="24">
        <f>DAY(Tabledaily[[#This Row],[التاريخ]])</f>
        <v>4</v>
      </c>
      <c r="Z31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كشف صرف - صرف الصرفة اليومية  لافراد الامداد لعدد 12 بامرالمالية</v>
      </c>
      <c r="AA318" s="24" t="str">
        <f>IF(COUNTIF(TableDailyJournal[رقم العملية],Tabledaily[[#This Row],[رقم العملية]])&gt;1,"مرحل","غير مرحل")</f>
        <v>مرحل</v>
      </c>
    </row>
    <row r="319" spans="1:27" ht="22.9" customHeight="1" x14ac:dyDescent="0.55000000000000004">
      <c r="A319" s="22">
        <f t="shared" si="9"/>
        <v>317</v>
      </c>
      <c r="B319" s="23" t="s">
        <v>439</v>
      </c>
      <c r="C319" s="213" t="s">
        <v>282</v>
      </c>
      <c r="D319" s="22" t="s">
        <v>290</v>
      </c>
      <c r="E319" s="22">
        <f>IFERROR(INDEX(TableJudje[رقم الحساب],MATCH(Tabledaily[[#This Row],[الحســاب الدئـــن]],TableJudje[اسم الحساب],0)),0)</f>
        <v>11060202</v>
      </c>
      <c r="F319" s="22" t="s">
        <v>159</v>
      </c>
      <c r="G319" s="22" t="s">
        <v>440</v>
      </c>
      <c r="H319" s="24">
        <f>IFERROR(INDEX(TableJudje[رقم الحساب],MATCH(Tabledaily[[#This Row],[الحســاب المديــــن]],TableJudje[اسم الحساب],0)),0)</f>
        <v>31010101</v>
      </c>
      <c r="I319" s="22" t="s">
        <v>111</v>
      </c>
      <c r="J319" s="22" t="s">
        <v>238</v>
      </c>
      <c r="K319" s="117">
        <v>43000</v>
      </c>
      <c r="L319" s="23">
        <v>405</v>
      </c>
      <c r="M319" s="118">
        <f>IFERROR(Tabledaily[[#This Row],[المبلـــــــغ]]/Tabledaily[[#This Row],[سعــــــر
الصـــــرف]],"")</f>
        <v>106.17283950617283</v>
      </c>
      <c r="N319" s="22" t="s">
        <v>343</v>
      </c>
      <c r="O319" s="22" t="s">
        <v>312</v>
      </c>
      <c r="P319" s="22" t="s">
        <v>312</v>
      </c>
      <c r="Q319" s="22"/>
      <c r="R319" s="22" t="s">
        <v>237</v>
      </c>
      <c r="S319" s="24">
        <f>IFERROR(INDEX(tablecost[رقم المركز],MATCH(Tabledaily[[#This Row],[مركـــــــزالتكلفــــــة]],tablecost[الاسم],0)),0)</f>
        <v>1</v>
      </c>
      <c r="T319" s="27">
        <f>DATE(Tabledaily[[#This Row],[السنــــة]],Tabledaily[[#This Row],[الشهــــر]],Tabledaily[[#This Row],[الـــــيوم]])</f>
        <v>46177</v>
      </c>
      <c r="U319" s="28">
        <v>46184.998240740744</v>
      </c>
      <c r="V319" s="22" t="s">
        <v>441</v>
      </c>
      <c r="W319" s="24">
        <f>YEAR(Tabledaily[[#This Row],[التاريخ]])</f>
        <v>2026</v>
      </c>
      <c r="X319" s="24">
        <f>MONTH(Tabledaily[[#This Row],[التاريخ]])</f>
        <v>6</v>
      </c>
      <c r="Y319" s="24">
        <f>DAY(Tabledaily[[#This Row],[التاريخ]])</f>
        <v>4</v>
      </c>
      <c r="Z31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كشف صرف - صرف الصرفة اليومية للسيطرة والاتصالات لعدد 5 بامرالمالية</v>
      </c>
      <c r="AA319" s="24" t="str">
        <f>IF(COUNTIF(TableDailyJournal[رقم العملية],Tabledaily[[#This Row],[رقم العملية]])&gt;1,"مرحل","غير مرحل")</f>
        <v>مرحل</v>
      </c>
    </row>
    <row r="320" spans="1:27" ht="22.9" customHeight="1" thickBot="1" x14ac:dyDescent="0.6">
      <c r="A320" s="22">
        <f t="shared" ref="A320:A351" si="10">ROW()-2</f>
        <v>318</v>
      </c>
      <c r="B320" s="23" t="s">
        <v>281</v>
      </c>
      <c r="C320" s="213" t="s">
        <v>282</v>
      </c>
      <c r="D320" s="22" t="s">
        <v>283</v>
      </c>
      <c r="E320" s="24">
        <f>IFERROR(INDEX(TableJudje[رقم الحساب],MATCH(Tabledaily[[#This Row],[الحســاب الدئـــن]],TableJudje[اسم الحساب],0)),0)</f>
        <v>11010101</v>
      </c>
      <c r="F320" s="22" t="s">
        <v>23</v>
      </c>
      <c r="G320" s="22" t="s">
        <v>284</v>
      </c>
      <c r="H320" s="24">
        <f>IFERROR(INDEX(TableJudje[رقم الحساب],MATCH(Tabledaily[[#This Row],[الحســاب المديــــن]],TableJudje[اسم الحساب],0)),0)</f>
        <v>11060202</v>
      </c>
      <c r="I320" s="22" t="s">
        <v>159</v>
      </c>
      <c r="J320" s="22" t="s">
        <v>241</v>
      </c>
      <c r="K320" s="25">
        <v>14970</v>
      </c>
      <c r="L320" s="23">
        <v>1</v>
      </c>
      <c r="M320" s="26">
        <f>IFERROR(Tabledaily[[#This Row],[المبلـــــــغ]]/Tabledaily[[#This Row],[سعــــــر
الصـــــرف]],"")</f>
        <v>14970</v>
      </c>
      <c r="N320" s="22" t="s">
        <v>285</v>
      </c>
      <c r="O320" s="22" t="s">
        <v>286</v>
      </c>
      <c r="P320" s="22" t="s">
        <v>287</v>
      </c>
      <c r="Q320" s="22">
        <v>0</v>
      </c>
      <c r="R320" s="22" t="s">
        <v>237</v>
      </c>
      <c r="S320" s="24">
        <f>IFERROR(INDEX(tablecost[رقم المركز],MATCH(Tabledaily[[#This Row],[مركـــــــزالتكلفــــــة]],tablecost[الاسم],0)),0)</f>
        <v>1</v>
      </c>
      <c r="T320" s="27">
        <f>DATE(Tabledaily[[#This Row],[السنــــة]],Tabledaily[[#This Row],[الشهــــر]],Tabledaily[[#This Row],[الـــــيوم]])</f>
        <v>46177</v>
      </c>
      <c r="U320" s="28">
        <v>46182.130983796298</v>
      </c>
      <c r="V320" s="22"/>
      <c r="W320" s="24">
        <f>YEAR(Tabledaily[[#This Row],[التاريخ]])</f>
        <v>2026</v>
      </c>
      <c r="X320" s="24">
        <f>MONTH(Tabledaily[[#This Row],[التاريخ]])</f>
        <v>6</v>
      </c>
      <c r="Y320" s="24">
        <f>DAY(Tabledaily[[#This Row],[التاريخ]])</f>
        <v>4</v>
      </c>
      <c r="Z32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عبدالمغني - عبدالمغني عبدالصمد - الفرقة الثالثة)  - استلام نقدي رقم 0  سند استلام - استلام عهدة بامر</v>
      </c>
      <c r="AA320" s="24" t="str">
        <f>IF(COUNTIF(TableDailyJournal[رقم العملية],Tabledaily[[#This Row],[رقم العملية]])&gt;1,"مرحل","غير مرحل")</f>
        <v>مرحل</v>
      </c>
    </row>
    <row r="321" spans="1:27" ht="22.9" customHeight="1" thickBot="1" x14ac:dyDescent="0.6">
      <c r="A321" s="30">
        <f t="shared" si="10"/>
        <v>319</v>
      </c>
      <c r="B321" s="31" t="s">
        <v>288</v>
      </c>
      <c r="C321" s="215" t="s">
        <v>289</v>
      </c>
      <c r="D321" s="32" t="s">
        <v>290</v>
      </c>
      <c r="E321" s="33">
        <f>IFERROR(INDEX(TableJudje[رقم الحساب],MATCH(Tabledaily[[#This Row],[الحســاب الدئـــن]],TableJudje[اسم الحساب],0)),0)</f>
        <v>11060202</v>
      </c>
      <c r="F321" s="32" t="s">
        <v>159</v>
      </c>
      <c r="G321" s="32" t="s">
        <v>291</v>
      </c>
      <c r="H321" s="33">
        <f>IFERROR(INDEX(TableJudje[رقم الحساب],MATCH(Tabledaily[[#This Row],[الحســاب المديــــن]],TableJudje[اسم الحساب],0)),0)</f>
        <v>31010109</v>
      </c>
      <c r="I321" s="22" t="s">
        <v>484</v>
      </c>
      <c r="J321" s="32" t="s">
        <v>238</v>
      </c>
      <c r="K321" s="34">
        <v>20000</v>
      </c>
      <c r="L321" s="31">
        <v>405</v>
      </c>
      <c r="M321" s="35">
        <f>IFERROR(Tabledaily[[#This Row],[المبلـــــــغ]]/Tabledaily[[#This Row],[سعــــــر
الصـــــرف]],"")</f>
        <v>49.382716049382715</v>
      </c>
      <c r="N321" s="32" t="s">
        <v>292</v>
      </c>
      <c r="O321" s="32" t="s">
        <v>286</v>
      </c>
      <c r="P321" s="32" t="s">
        <v>287</v>
      </c>
      <c r="Q321" s="32">
        <v>0</v>
      </c>
      <c r="R321" s="32" t="s">
        <v>237</v>
      </c>
      <c r="S321" s="33">
        <f>IFERROR(INDEX(tablecost[رقم المركز],MATCH(Tabledaily[[#This Row],[مركـــــــزالتكلفــــــة]],tablecost[الاسم],0)),0)</f>
        <v>1</v>
      </c>
      <c r="T321" s="36">
        <f>DATE(Tabledaily[[#This Row],[السنــــة]],Tabledaily[[#This Row],[الشهــــر]],Tabledaily[[#This Row],[الـــــيوم]])</f>
        <v>46176</v>
      </c>
      <c r="U321" s="37">
        <v>46182.127245370371</v>
      </c>
      <c r="V321" s="32" t="s">
        <v>293</v>
      </c>
      <c r="W321" s="33">
        <f>YEAR(Tabledaily[[#This Row],[التاريخ]])</f>
        <v>2026</v>
      </c>
      <c r="X321" s="33">
        <f>MONTH(Tabledaily[[#This Row],[التاريخ]])</f>
        <v>6</v>
      </c>
      <c r="Y321" s="33">
        <f>DAY(Tabledaily[[#This Row],[التاريخ]])</f>
        <v>3</v>
      </c>
      <c r="Z32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نثريات أخرى - جمال مسدوس - الفرقة الثالثة)  - استلام نقدي رقم 0  سند استلام - مصاريف بيد الاركان جمال مسدوس بامرالأركان جمال مسدوس</v>
      </c>
      <c r="AA321" s="38" t="str">
        <f>IF(COUNTIF(TableDailyJournal[رقم العملية],Tabledaily[[#This Row],[رقم العملية]])&gt;1,"مرحل","غير مرحل")</f>
        <v>مرحل</v>
      </c>
    </row>
    <row r="322" spans="1:27" ht="22.9" customHeight="1" x14ac:dyDescent="0.55000000000000004">
      <c r="A322" s="39">
        <f t="shared" si="10"/>
        <v>320</v>
      </c>
      <c r="B322" s="23" t="s">
        <v>294</v>
      </c>
      <c r="C322" s="213" t="s">
        <v>289</v>
      </c>
      <c r="D322" s="22" t="s">
        <v>290</v>
      </c>
      <c r="E322" s="24">
        <f>IFERROR(INDEX(TableJudje[رقم الحساب],MATCH(Tabledaily[[#This Row],[الحســاب الدئـــن]],TableJudje[اسم الحساب],0)),0)</f>
        <v>11060202</v>
      </c>
      <c r="F322" s="22" t="s">
        <v>159</v>
      </c>
      <c r="G322" s="22" t="s">
        <v>295</v>
      </c>
      <c r="H322" s="24">
        <f>IFERROR(INDEX(TableJudje[رقم الحساب],MATCH(Tabledaily[[#This Row],[الحســاب المديــــن]],TableJudje[اسم الحساب],0)),0)</f>
        <v>31010114</v>
      </c>
      <c r="I322" s="22" t="s">
        <v>121</v>
      </c>
      <c r="J322" s="22" t="s">
        <v>238</v>
      </c>
      <c r="K322" s="25">
        <v>36000</v>
      </c>
      <c r="L322" s="23">
        <v>405</v>
      </c>
      <c r="M322" s="26">
        <f>IFERROR(Tabledaily[[#This Row],[المبلـــــــغ]]/Tabledaily[[#This Row],[سعــــــر
الصـــــرف]],"")</f>
        <v>88.888888888888886</v>
      </c>
      <c r="N322" s="22" t="s">
        <v>296</v>
      </c>
      <c r="O322" s="22" t="s">
        <v>286</v>
      </c>
      <c r="P322" s="22" t="s">
        <v>287</v>
      </c>
      <c r="Q322" s="22">
        <v>7</v>
      </c>
      <c r="R322" s="22" t="s">
        <v>249</v>
      </c>
      <c r="S322" s="24">
        <f>IFERROR(INDEX(tablecost[رقم المركز],MATCH(Tabledaily[[#This Row],[مركـــــــزالتكلفــــــة]],tablecost[الاسم],0)),0)</f>
        <v>8</v>
      </c>
      <c r="T322" s="27">
        <f>DATE(Tabledaily[[#This Row],[السنــــة]],Tabledaily[[#This Row],[الشهــــر]],Tabledaily[[#This Row],[الـــــيوم]])</f>
        <v>46176</v>
      </c>
      <c r="U322" s="28">
        <v>46182.126423611109</v>
      </c>
      <c r="V322" s="32" t="s">
        <v>293</v>
      </c>
      <c r="W322" s="24">
        <f>YEAR(Tabledaily[[#This Row],[التاريخ]])</f>
        <v>2026</v>
      </c>
      <c r="X322" s="24">
        <f>MONTH(Tabledaily[[#This Row],[التاريخ]])</f>
        <v>6</v>
      </c>
      <c r="Y322" s="24">
        <f>DAY(Tabledaily[[#This Row],[التاريخ]])</f>
        <v>3</v>
      </c>
      <c r="Z32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v>
      </c>
      <c r="AA322" s="40" t="str">
        <f>IF(COUNTIF(TableDailyJournal[رقم العملية],Tabledaily[[#This Row],[رقم العملية]])&gt;1,"مرحل","غير مرحل")</f>
        <v>مرحل</v>
      </c>
    </row>
    <row r="323" spans="1:27" ht="22.9" customHeight="1" x14ac:dyDescent="0.55000000000000004">
      <c r="A323" s="39">
        <f t="shared" si="10"/>
        <v>321</v>
      </c>
      <c r="B323" s="23" t="s">
        <v>297</v>
      </c>
      <c r="C323" s="213" t="s">
        <v>289</v>
      </c>
      <c r="D323" s="22" t="s">
        <v>290</v>
      </c>
      <c r="E323" s="24">
        <f>IFERROR(INDEX(TableJudje[رقم الحساب],MATCH(Tabledaily[[#This Row],[الحســاب الدئـــن]],TableJudje[اسم الحساب],0)),0)</f>
        <v>11060202</v>
      </c>
      <c r="F323" s="22" t="s">
        <v>159</v>
      </c>
      <c r="G323" s="22" t="s">
        <v>298</v>
      </c>
      <c r="H323" s="24">
        <f>IFERROR(INDEX(TableJudje[رقم الحساب],MATCH(Tabledaily[[#This Row],[الحســاب المديــــن]],TableJudje[اسم الحساب],0)),0)</f>
        <v>11060203</v>
      </c>
      <c r="I323" s="22" t="s">
        <v>160</v>
      </c>
      <c r="J323" s="22" t="s">
        <v>241</v>
      </c>
      <c r="K323" s="25">
        <v>2000</v>
      </c>
      <c r="L323" s="23">
        <v>1</v>
      </c>
      <c r="M323" s="26">
        <f>IFERROR(Tabledaily[[#This Row],[المبلـــــــغ]]/Tabledaily[[#This Row],[سعــــــر
الصـــــرف]],"")</f>
        <v>2000</v>
      </c>
      <c r="N323" s="22" t="s">
        <v>299</v>
      </c>
      <c r="O323" s="22" t="s">
        <v>300</v>
      </c>
      <c r="P323" s="22" t="s">
        <v>301</v>
      </c>
      <c r="Q323" s="22">
        <v>799104565</v>
      </c>
      <c r="R323" s="22" t="s">
        <v>237</v>
      </c>
      <c r="S323" s="24">
        <f>IFERROR(INDEX(tablecost[رقم المركز],MATCH(Tabledaily[[#This Row],[مركـــــــزالتكلفــــــة]],tablecost[الاسم],0)),0)</f>
        <v>1</v>
      </c>
      <c r="T323" s="27">
        <f>DATE(Tabledaily[[#This Row],[السنــــة]],Tabledaily[[#This Row],[الشهــــر]],Tabledaily[[#This Row],[الـــــيوم]])</f>
        <v>46176</v>
      </c>
      <c r="U323" s="28">
        <v>46182.125219907408</v>
      </c>
      <c r="V323" s="22" t="s">
        <v>302</v>
      </c>
      <c r="W323" s="24">
        <f>YEAR(Tabledaily[[#This Row],[التاريخ]])</f>
        <v>2026</v>
      </c>
      <c r="X323" s="24">
        <f>MONTH(Tabledaily[[#This Row],[التاريخ]])</f>
        <v>6</v>
      </c>
      <c r="Y323" s="24">
        <f>DAY(Tabledaily[[#This Row],[التاريخ]])</f>
        <v>3</v>
      </c>
      <c r="Z32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امين القحطاني - امين القحطاني - الفرقة الثالثة)  - حواله رقم 799104565  شركة المقبولي للصرافة والتحويلات - مقابل صرف عهدة بامرمدير  مكتب القائد</v>
      </c>
      <c r="AA323" s="40" t="str">
        <f>IF(COUNTIF(TableDailyJournal[رقم العملية],Tabledaily[[#This Row],[رقم العملية]])&gt;1,"مرحل","غير مرحل")</f>
        <v>مرحل</v>
      </c>
    </row>
    <row r="324" spans="1:27" ht="22.9" customHeight="1" x14ac:dyDescent="0.55000000000000004">
      <c r="A324" s="39">
        <f t="shared" si="10"/>
        <v>322</v>
      </c>
      <c r="B324" s="23" t="s">
        <v>303</v>
      </c>
      <c r="C324" s="213">
        <v>46176</v>
      </c>
      <c r="D324" s="22" t="s">
        <v>290</v>
      </c>
      <c r="E324" s="24">
        <f>IFERROR(INDEX(TableJudje[رقم الحساب],MATCH(Tabledaily[[#This Row],[الحســاب الدئـــن]],TableJudje[اسم الحساب],0)),0)</f>
        <v>11060202</v>
      </c>
      <c r="F324" s="22" t="s">
        <v>159</v>
      </c>
      <c r="G324" s="22" t="s">
        <v>304</v>
      </c>
      <c r="H324" s="24">
        <f>IFERROR(INDEX(TableJudje[رقم الحساب],MATCH(Tabledaily[[#This Row],[الحســاب المديــــن]],TableJudje[اسم الحساب],0)),0)</f>
        <v>31010114</v>
      </c>
      <c r="I324" s="22" t="s">
        <v>121</v>
      </c>
      <c r="J324" s="22" t="s">
        <v>238</v>
      </c>
      <c r="K324" s="25">
        <v>160000</v>
      </c>
      <c r="L324" s="23">
        <v>405</v>
      </c>
      <c r="M324" s="26">
        <f>IFERROR(Tabledaily[[#This Row],[المبلـــــــغ]]/Tabledaily[[#This Row],[سعــــــر
الصـــــرف]],"")</f>
        <v>395.06172839506172</v>
      </c>
      <c r="N324" s="22" t="s">
        <v>305</v>
      </c>
      <c r="O324" s="22" t="s">
        <v>286</v>
      </c>
      <c r="P324" s="22" t="s">
        <v>287</v>
      </c>
      <c r="Q324" s="22">
        <v>0</v>
      </c>
      <c r="R324" s="22" t="s">
        <v>237</v>
      </c>
      <c r="S324" s="24">
        <f>IFERROR(INDEX(tablecost[رقم المركز],MATCH(Tabledaily[[#This Row],[مركـــــــزالتكلفــــــة]],tablecost[الاسم],0)),0)</f>
        <v>1</v>
      </c>
      <c r="T324" s="27">
        <f>DATE(Tabledaily[[#This Row],[السنــــة]],Tabledaily[[#This Row],[الشهــــر]],Tabledaily[[#This Row],[الـــــيوم]])</f>
        <v>46176</v>
      </c>
      <c r="U324" s="28">
        <v>46182.123495370368</v>
      </c>
      <c r="V324" s="22" t="s">
        <v>293</v>
      </c>
      <c r="W324" s="24">
        <f>YEAR(Tabledaily[[#This Row],[التاريخ]])</f>
        <v>2026</v>
      </c>
      <c r="X324" s="24">
        <f>MONTH(Tabledaily[[#This Row],[التاريخ]])</f>
        <v>6</v>
      </c>
      <c r="Y324" s="24">
        <f>DAY(Tabledaily[[#This Row],[التاريخ]])</f>
        <v>3</v>
      </c>
      <c r="Z32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v>
      </c>
      <c r="AA324" s="40" t="str">
        <f>IF(COUNTIF(TableDailyJournal[رقم العملية],Tabledaily[[#This Row],[رقم العملية]])&gt;1,"مرحل","غير مرحل")</f>
        <v>مرحل</v>
      </c>
    </row>
    <row r="325" spans="1:27" ht="22.9" customHeight="1" x14ac:dyDescent="0.55000000000000004">
      <c r="A325" s="39">
        <f t="shared" si="10"/>
        <v>323</v>
      </c>
      <c r="B325" s="23" t="s">
        <v>306</v>
      </c>
      <c r="C325" s="213" t="s">
        <v>289</v>
      </c>
      <c r="D325" s="22" t="s">
        <v>290</v>
      </c>
      <c r="E325" s="24">
        <f>IFERROR(INDEX(TableJudje[رقم الحساب],MATCH(Tabledaily[[#This Row],[الحســاب الدئـــن]],TableJudje[اسم الحساب],0)),0)</f>
        <v>11060202</v>
      </c>
      <c r="F325" s="22" t="s">
        <v>159</v>
      </c>
      <c r="G325" s="22" t="s">
        <v>307</v>
      </c>
      <c r="H325" s="24">
        <f>IFERROR(INDEX(TableJudje[رقم الحساب],MATCH(Tabledaily[[#This Row],[الحســاب المديــــن]],TableJudje[اسم الحساب],0)),0)</f>
        <v>31010103</v>
      </c>
      <c r="I325" s="22" t="s">
        <v>112</v>
      </c>
      <c r="J325" s="22" t="s">
        <v>238</v>
      </c>
      <c r="K325" s="25">
        <v>8000</v>
      </c>
      <c r="L325" s="23">
        <v>405</v>
      </c>
      <c r="M325" s="26">
        <f>IFERROR(Tabledaily[[#This Row],[المبلـــــــغ]]/Tabledaily[[#This Row],[سعــــــر
الصـــــرف]],"")</f>
        <v>19.753086419753085</v>
      </c>
      <c r="N325" s="22" t="s">
        <v>308</v>
      </c>
      <c r="O325" s="22" t="s">
        <v>286</v>
      </c>
      <c r="P325" s="22" t="s">
        <v>287</v>
      </c>
      <c r="Q325" s="22">
        <v>0</v>
      </c>
      <c r="R325" s="22" t="s">
        <v>237</v>
      </c>
      <c r="S325" s="24">
        <f>IFERROR(INDEX(tablecost[رقم المركز],MATCH(Tabledaily[[#This Row],[مركـــــــزالتكلفــــــة]],tablecost[الاسم],0)),0)</f>
        <v>1</v>
      </c>
      <c r="T325" s="27">
        <f>DATE(Tabledaily[[#This Row],[السنــــة]],Tabledaily[[#This Row],[الشهــــر]],Tabledaily[[#This Row],[الـــــيوم]])</f>
        <v>46176</v>
      </c>
      <c r="U325" s="28">
        <v>46182.121932870374</v>
      </c>
      <c r="V325" s="22" t="s">
        <v>302</v>
      </c>
      <c r="W325" s="24">
        <f>YEAR(Tabledaily[[#This Row],[التاريخ]])</f>
        <v>2026</v>
      </c>
      <c r="X325" s="24">
        <f>MONTH(Tabledaily[[#This Row],[التاريخ]])</f>
        <v>6</v>
      </c>
      <c r="Y325" s="24">
        <f>DAY(Tabledaily[[#This Row],[التاريخ]])</f>
        <v>3</v>
      </c>
      <c r="Z32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طبية وعلاجات  - ميثاق عبده غالب - الفرقة الثالثة)  - استلام نقدي رقم 0  سند استلام - مصاريف جراحة  بامرمدير  مكتب القائد</v>
      </c>
      <c r="AA325" s="40" t="str">
        <f>IF(COUNTIF(TableDailyJournal[رقم العملية],Tabledaily[[#This Row],[رقم العملية]])&gt;1,"مرحل","غير مرحل")</f>
        <v>مرحل</v>
      </c>
    </row>
    <row r="326" spans="1:27" ht="22.9" customHeight="1" x14ac:dyDescent="0.55000000000000004">
      <c r="A326" s="39">
        <f t="shared" si="10"/>
        <v>324</v>
      </c>
      <c r="B326" s="23" t="s">
        <v>309</v>
      </c>
      <c r="C326" s="213" t="s">
        <v>289</v>
      </c>
      <c r="D326" s="22" t="s">
        <v>290</v>
      </c>
      <c r="E326" s="24">
        <f>IFERROR(INDEX(TableJudje[رقم الحساب],MATCH(Tabledaily[[#This Row],[الحســاب الدئـــن]],TableJudje[اسم الحساب],0)),0)</f>
        <v>11060202</v>
      </c>
      <c r="F326" s="22" t="s">
        <v>159</v>
      </c>
      <c r="G326" s="22" t="s">
        <v>310</v>
      </c>
      <c r="H326" s="24">
        <f>IFERROR(INDEX(TableJudje[رقم الحساب],MATCH(Tabledaily[[#This Row],[الحســاب المديــــن]],TableJudje[اسم الحساب],0)),0)</f>
        <v>31010101</v>
      </c>
      <c r="I326" s="22" t="s">
        <v>111</v>
      </c>
      <c r="J326" s="22" t="s">
        <v>238</v>
      </c>
      <c r="K326" s="25">
        <v>188000</v>
      </c>
      <c r="L326" s="23">
        <v>405</v>
      </c>
      <c r="M326" s="26">
        <f>IFERROR(Tabledaily[[#This Row],[المبلـــــــغ]]/Tabledaily[[#This Row],[سعــــــر
الصـــــرف]],"")</f>
        <v>464.19753086419752</v>
      </c>
      <c r="N326" s="22" t="s">
        <v>311</v>
      </c>
      <c r="O326" s="22" t="s">
        <v>312</v>
      </c>
      <c r="P326" s="22" t="s">
        <v>312</v>
      </c>
      <c r="Q326" s="22">
        <v>47</v>
      </c>
      <c r="R326" s="22" t="s">
        <v>248</v>
      </c>
      <c r="S326" s="24">
        <f>IFERROR(INDEX(tablecost[رقم المركز],MATCH(Tabledaily[[#This Row],[مركـــــــزالتكلفــــــة]],tablecost[الاسم],0)),0)</f>
        <v>7</v>
      </c>
      <c r="T326" s="27">
        <f>DATE(Tabledaily[[#This Row],[السنــــة]],Tabledaily[[#This Row],[الشهــــر]],Tabledaily[[#This Row],[الـــــيوم]])</f>
        <v>46176</v>
      </c>
      <c r="U326" s="28">
        <v>46182.120682870373</v>
      </c>
      <c r="V326" s="22" t="s">
        <v>313</v>
      </c>
      <c r="W326" s="24">
        <f>YEAR(Tabledaily[[#This Row],[التاريخ]])</f>
        <v>2026</v>
      </c>
      <c r="X326" s="24">
        <f>MONTH(Tabledaily[[#This Row],[التاريخ]])</f>
        <v>6</v>
      </c>
      <c r="Y326" s="24">
        <f>DAY(Tabledaily[[#This Row],[التاريخ]])</f>
        <v>3</v>
      </c>
      <c r="Z32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47  كشف صرف - مصاريف يومية سرية اللواء السادس عدد 47 بامرالقائد</v>
      </c>
      <c r="AA326" s="40" t="str">
        <f>IF(COUNTIF(TableDailyJournal[رقم العملية],Tabledaily[[#This Row],[رقم العملية]])&gt;1,"مرحل","غير مرحل")</f>
        <v>مرحل</v>
      </c>
    </row>
    <row r="327" spans="1:27" ht="22.9" customHeight="1" x14ac:dyDescent="0.55000000000000004">
      <c r="A327" s="39">
        <f t="shared" si="10"/>
        <v>325</v>
      </c>
      <c r="B327" s="23" t="s">
        <v>314</v>
      </c>
      <c r="C327" s="213" t="s">
        <v>289</v>
      </c>
      <c r="D327" s="22" t="s">
        <v>290</v>
      </c>
      <c r="E327" s="24">
        <f>IFERROR(INDEX(TableJudje[رقم الحساب],MATCH(Tabledaily[[#This Row],[الحســاب الدئـــن]],TableJudje[اسم الحساب],0)),0)</f>
        <v>11060202</v>
      </c>
      <c r="F327" s="22" t="s">
        <v>159</v>
      </c>
      <c r="G327" s="22" t="s">
        <v>315</v>
      </c>
      <c r="H327" s="24">
        <f>IFERROR(INDEX(TableJudje[رقم الحساب],MATCH(Tabledaily[[#This Row],[الحســاب المديــــن]],TableJudje[اسم الحساب],0)),0)</f>
        <v>31010134</v>
      </c>
      <c r="I327" s="22" t="s">
        <v>164</v>
      </c>
      <c r="J327" s="22" t="s">
        <v>238</v>
      </c>
      <c r="K327" s="25">
        <v>500000</v>
      </c>
      <c r="L327" s="23">
        <v>405</v>
      </c>
      <c r="M327" s="26">
        <f>IFERROR(Tabledaily[[#This Row],[المبلـــــــغ]]/Tabledaily[[#This Row],[سعــــــر
الصـــــرف]],"")</f>
        <v>1234.5679012345679</v>
      </c>
      <c r="N327" s="22" t="s">
        <v>316</v>
      </c>
      <c r="O327" s="22" t="s">
        <v>286</v>
      </c>
      <c r="P327" s="22" t="s">
        <v>287</v>
      </c>
      <c r="Q327" s="22">
        <v>0</v>
      </c>
      <c r="R327" s="22" t="s">
        <v>248</v>
      </c>
      <c r="S327" s="24">
        <f>IFERROR(INDEX(tablecost[رقم المركز],MATCH(Tabledaily[[#This Row],[مركـــــــزالتكلفــــــة]],tablecost[الاسم],0)),0)</f>
        <v>7</v>
      </c>
      <c r="T327" s="27">
        <f>DATE(Tabledaily[[#This Row],[السنــــة]],Tabledaily[[#This Row],[الشهــــر]],Tabledaily[[#This Row],[الـــــيوم]])</f>
        <v>46176</v>
      </c>
      <c r="U327" s="28">
        <v>46182.119826388887</v>
      </c>
      <c r="V327" s="22" t="s">
        <v>313</v>
      </c>
      <c r="W327" s="24">
        <f>YEAR(Tabledaily[[#This Row],[التاريخ]])</f>
        <v>2026</v>
      </c>
      <c r="X327" s="24">
        <f>MONTH(Tabledaily[[#This Row],[التاريخ]])</f>
        <v>6</v>
      </c>
      <c r="Y327" s="24">
        <f>DAY(Tabledaily[[#This Row],[التاريخ]])</f>
        <v>3</v>
      </c>
      <c r="Z32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v>
      </c>
      <c r="AA327" s="40" t="str">
        <f>IF(COUNTIF(TableDailyJournal[رقم العملية],Tabledaily[[#This Row],[رقم العملية]])&gt;1,"مرحل","غير مرحل")</f>
        <v>مرحل</v>
      </c>
    </row>
    <row r="328" spans="1:27" ht="22.9" customHeight="1" thickBot="1" x14ac:dyDescent="0.6">
      <c r="A328" s="41">
        <f t="shared" si="10"/>
        <v>326</v>
      </c>
      <c r="B328" s="42" t="s">
        <v>317</v>
      </c>
      <c r="C328" s="216" t="s">
        <v>289</v>
      </c>
      <c r="D328" s="43" t="s">
        <v>290</v>
      </c>
      <c r="E328" s="44">
        <f>IFERROR(INDEX(TableJudje[رقم الحساب],MATCH(Tabledaily[[#This Row],[الحســاب الدئـــن]],TableJudje[اسم الحساب],0)),0)</f>
        <v>11060202</v>
      </c>
      <c r="F328" s="43" t="s">
        <v>159</v>
      </c>
      <c r="G328" s="43" t="s">
        <v>318</v>
      </c>
      <c r="H328" s="44">
        <f>IFERROR(INDEX(TableJudje[رقم الحساب],MATCH(Tabledaily[[#This Row],[الحســاب المديــــن]],TableJudje[اسم الحساب],0)),0)</f>
        <v>31010129</v>
      </c>
      <c r="I328" s="43" t="s">
        <v>134</v>
      </c>
      <c r="J328" s="43" t="s">
        <v>238</v>
      </c>
      <c r="K328" s="45">
        <v>2025000</v>
      </c>
      <c r="L328" s="42">
        <v>405</v>
      </c>
      <c r="M328" s="46">
        <f>IFERROR(Tabledaily[[#This Row],[المبلـــــــغ]]/Tabledaily[[#This Row],[سعــــــر
الصـــــرف]],"")</f>
        <v>5000</v>
      </c>
      <c r="N328" s="43" t="s">
        <v>319</v>
      </c>
      <c r="O328" s="43" t="s">
        <v>286</v>
      </c>
      <c r="P328" s="43" t="s">
        <v>287</v>
      </c>
      <c r="Q328" s="43">
        <v>0</v>
      </c>
      <c r="R328" s="43" t="s">
        <v>244</v>
      </c>
      <c r="S328" s="44">
        <f>IFERROR(INDEX(tablecost[رقم المركز],MATCH(Tabledaily[[#This Row],[مركـــــــزالتكلفــــــة]],tablecost[الاسم],0)),0)</f>
        <v>3</v>
      </c>
      <c r="T328" s="47">
        <f>DATE(Tabledaily[[#This Row],[السنــــة]],Tabledaily[[#This Row],[الشهــــر]],Tabledaily[[#This Row],[الـــــيوم]])</f>
        <v>46176</v>
      </c>
      <c r="U328" s="48">
        <v>46182.118113425924</v>
      </c>
      <c r="V328" s="43" t="s">
        <v>313</v>
      </c>
      <c r="W328" s="44">
        <f>YEAR(Tabledaily[[#This Row],[التاريخ]])</f>
        <v>2026</v>
      </c>
      <c r="X328" s="44">
        <f>MONTH(Tabledaily[[#This Row],[التاريخ]])</f>
        <v>6</v>
      </c>
      <c r="Y328" s="44">
        <f>DAY(Tabledaily[[#This Row],[التاريخ]])</f>
        <v>3</v>
      </c>
      <c r="Z32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v>
      </c>
      <c r="AA328" s="49" t="str">
        <f>IF(COUNTIF(TableDailyJournal[رقم العملية],Tabledaily[[#This Row],[رقم العملية]])&gt;1,"مرحل","غير مرحل")</f>
        <v>مرحل</v>
      </c>
    </row>
    <row r="329" spans="1:27" ht="22.9" customHeight="1" x14ac:dyDescent="0.55000000000000004">
      <c r="A329" s="22">
        <f t="shared" si="10"/>
        <v>327</v>
      </c>
      <c r="B329" s="23" t="s">
        <v>320</v>
      </c>
      <c r="C329" s="213" t="s">
        <v>289</v>
      </c>
      <c r="D329" s="22" t="s">
        <v>290</v>
      </c>
      <c r="E329" s="24">
        <f>IFERROR(INDEX(TableJudje[رقم الحساب],MATCH(Tabledaily[[#This Row],[الحســاب الدئـــن]],TableJudje[اسم الحساب],0)),0)</f>
        <v>11060202</v>
      </c>
      <c r="F329" s="22" t="s">
        <v>159</v>
      </c>
      <c r="G329" s="22" t="s">
        <v>321</v>
      </c>
      <c r="H329" s="24">
        <f>IFERROR(INDEX(TableJudje[رقم الحساب],MATCH(Tabledaily[[#This Row],[الحســاب المديــــن]],TableJudje[اسم الحساب],0)),0)</f>
        <v>31010101</v>
      </c>
      <c r="I329" s="22" t="s">
        <v>111</v>
      </c>
      <c r="J329" s="22" t="s">
        <v>238</v>
      </c>
      <c r="K329" s="25">
        <v>70000</v>
      </c>
      <c r="L329" s="23">
        <v>405</v>
      </c>
      <c r="M329" s="26">
        <f>IFERROR(Tabledaily[[#This Row],[المبلـــــــغ]]/Tabledaily[[#This Row],[سعــــــر
الصـــــرف]],"")</f>
        <v>172.83950617283949</v>
      </c>
      <c r="N329" s="22" t="s">
        <v>322</v>
      </c>
      <c r="O329" s="22" t="s">
        <v>312</v>
      </c>
      <c r="P329" s="22" t="s">
        <v>312</v>
      </c>
      <c r="Q329" s="22">
        <v>9</v>
      </c>
      <c r="R329" s="22" t="s">
        <v>237</v>
      </c>
      <c r="S329" s="24">
        <f>IFERROR(INDEX(tablecost[رقم المركز],MATCH(Tabledaily[[#This Row],[مركـــــــزالتكلفــــــة]],tablecost[الاسم],0)),0)</f>
        <v>1</v>
      </c>
      <c r="T329" s="27">
        <f>DATE(Tabledaily[[#This Row],[السنــــة]],Tabledaily[[#This Row],[الشهــــر]],Tabledaily[[#This Row],[الـــــيوم]])</f>
        <v>46176</v>
      </c>
      <c r="U329" s="28">
        <v>46182.116516203707</v>
      </c>
      <c r="V329" s="22"/>
      <c r="W329" s="24">
        <f>YEAR(Tabledaily[[#This Row],[التاريخ]])</f>
        <v>2026</v>
      </c>
      <c r="X329" s="24">
        <f>MONTH(Tabledaily[[#This Row],[التاريخ]])</f>
        <v>6</v>
      </c>
      <c r="Y329" s="24">
        <f>DAY(Tabledaily[[#This Row],[التاريخ]])</f>
        <v>3</v>
      </c>
      <c r="Z32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9  كشف صرف - صرف الصرفة اليومية اخورن عدد 9 بامر</v>
      </c>
      <c r="AA329" s="24" t="str">
        <f>IF(COUNTIF(TableDailyJournal[رقم العملية],Tabledaily[[#This Row],[رقم العملية]])&gt;1,"مرحل","غير مرحل")</f>
        <v>مرحل</v>
      </c>
    </row>
    <row r="330" spans="1:27" ht="22.9" customHeight="1" x14ac:dyDescent="0.55000000000000004">
      <c r="A330" s="22">
        <f t="shared" si="10"/>
        <v>328</v>
      </c>
      <c r="B330" s="23" t="s">
        <v>323</v>
      </c>
      <c r="C330" s="213" t="s">
        <v>289</v>
      </c>
      <c r="D330" s="22" t="s">
        <v>290</v>
      </c>
      <c r="E330" s="24">
        <f>IFERROR(INDEX(TableJudje[رقم الحساب],MATCH(Tabledaily[[#This Row],[الحســاب الدئـــن]],TableJudje[اسم الحساب],0)),0)</f>
        <v>11060202</v>
      </c>
      <c r="F330" s="22" t="s">
        <v>159</v>
      </c>
      <c r="G330" s="22" t="s">
        <v>324</v>
      </c>
      <c r="H330" s="24">
        <f>IFERROR(INDEX(TableJudje[رقم الحساب],MATCH(Tabledaily[[#This Row],[الحســاب المديــــن]],TableJudje[اسم الحساب],0)),0)</f>
        <v>31010101</v>
      </c>
      <c r="I330" s="22" t="s">
        <v>111</v>
      </c>
      <c r="J330" s="22" t="s">
        <v>238</v>
      </c>
      <c r="K330" s="25">
        <v>60000</v>
      </c>
      <c r="L330" s="23">
        <v>405</v>
      </c>
      <c r="M330" s="26">
        <f>IFERROR(Tabledaily[[#This Row],[المبلـــــــغ]]/Tabledaily[[#This Row],[سعــــــر
الصـــــرف]],"")</f>
        <v>148.14814814814815</v>
      </c>
      <c r="N330" s="22" t="s">
        <v>325</v>
      </c>
      <c r="O330" s="22" t="s">
        <v>312</v>
      </c>
      <c r="P330" s="22" t="s">
        <v>312</v>
      </c>
      <c r="Q330" s="22">
        <v>8</v>
      </c>
      <c r="R330" s="22" t="s">
        <v>237</v>
      </c>
      <c r="S330" s="24">
        <f>IFERROR(INDEX(tablecost[رقم المركز],MATCH(Tabledaily[[#This Row],[مركـــــــزالتكلفــــــة]],tablecost[الاسم],0)),0)</f>
        <v>1</v>
      </c>
      <c r="T330" s="27">
        <f>DATE(Tabledaily[[#This Row],[السنــــة]],Tabledaily[[#This Row],[الشهــــر]],Tabledaily[[#This Row],[الـــــيوم]])</f>
        <v>46176</v>
      </c>
      <c r="U330" s="28">
        <v>46182.115451388891</v>
      </c>
      <c r="V330" s="22"/>
      <c r="W330" s="24">
        <f>YEAR(Tabledaily[[#This Row],[التاريخ]])</f>
        <v>2026</v>
      </c>
      <c r="X330" s="24">
        <f>MONTH(Tabledaily[[#This Row],[التاريخ]])</f>
        <v>6</v>
      </c>
      <c r="Y330" s="24">
        <f>DAY(Tabledaily[[#This Row],[التاريخ]])</f>
        <v>3</v>
      </c>
      <c r="Z33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8  كشف صرف - صرف الصرفة اليومية ضباط سابقين لعدد 8 بامر</v>
      </c>
      <c r="AA330" s="24" t="str">
        <f>IF(COUNTIF(TableDailyJournal[رقم العملية],Tabledaily[[#This Row],[رقم العملية]])&gt;1,"مرحل","غير مرحل")</f>
        <v>مرحل</v>
      </c>
    </row>
    <row r="331" spans="1:27" ht="22.9" customHeight="1" x14ac:dyDescent="0.55000000000000004">
      <c r="A331" s="22">
        <f t="shared" si="10"/>
        <v>329</v>
      </c>
      <c r="B331" s="23" t="s">
        <v>326</v>
      </c>
      <c r="C331" s="213" t="s">
        <v>289</v>
      </c>
      <c r="D331" s="22" t="s">
        <v>290</v>
      </c>
      <c r="E331" s="24">
        <f>IFERROR(INDEX(TableJudje[رقم الحساب],MATCH(Tabledaily[[#This Row],[الحســاب الدئـــن]],TableJudje[اسم الحساب],0)),0)</f>
        <v>11060202</v>
      </c>
      <c r="F331" s="22" t="s">
        <v>159</v>
      </c>
      <c r="G331" s="22" t="s">
        <v>327</v>
      </c>
      <c r="H331" s="24">
        <f>IFERROR(INDEX(TableJudje[رقم الحساب],MATCH(Tabledaily[[#This Row],[الحســاب المديــــن]],TableJudje[اسم الحساب],0)),0)</f>
        <v>31010101</v>
      </c>
      <c r="I331" s="22" t="s">
        <v>111</v>
      </c>
      <c r="J331" s="22" t="s">
        <v>238</v>
      </c>
      <c r="K331" s="25">
        <v>32000</v>
      </c>
      <c r="L331" s="23">
        <v>405</v>
      </c>
      <c r="M331" s="26">
        <f>IFERROR(Tabledaily[[#This Row],[المبلـــــــغ]]/Tabledaily[[#This Row],[سعــــــر
الصـــــرف]],"")</f>
        <v>79.012345679012341</v>
      </c>
      <c r="N331" s="22" t="s">
        <v>328</v>
      </c>
      <c r="O331" s="22" t="s">
        <v>312</v>
      </c>
      <c r="P331" s="22" t="s">
        <v>312</v>
      </c>
      <c r="Q331" s="22">
        <v>5</v>
      </c>
      <c r="R331" s="22" t="s">
        <v>237</v>
      </c>
      <c r="S331" s="24">
        <f>IFERROR(INDEX(tablecost[رقم المركز],MATCH(Tabledaily[[#This Row],[مركـــــــزالتكلفــــــة]],tablecost[الاسم],0)),0)</f>
        <v>1</v>
      </c>
      <c r="T331" s="27">
        <f>DATE(Tabledaily[[#This Row],[السنــــة]],Tabledaily[[#This Row],[الشهــــر]],Tabledaily[[#This Row],[الـــــيوم]])</f>
        <v>46176</v>
      </c>
      <c r="U331" s="28">
        <v>46182.114641203705</v>
      </c>
      <c r="V331" s="22"/>
      <c r="W331" s="24">
        <f>YEAR(Tabledaily[[#This Row],[التاريخ]])</f>
        <v>2026</v>
      </c>
      <c r="X331" s="24">
        <f>MONTH(Tabledaily[[#This Row],[التاريخ]])</f>
        <v>6</v>
      </c>
      <c r="Y331" s="24">
        <f>DAY(Tabledaily[[#This Row],[التاريخ]])</f>
        <v>3</v>
      </c>
      <c r="Z33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5  كشف صرف - صرف الصرفة اليومية للطبية والمحاسبين لعدد 5 بامر</v>
      </c>
      <c r="AA331" s="24" t="str">
        <f>IF(COUNTIF(TableDailyJournal[رقم العملية],Tabledaily[[#This Row],[رقم العملية]])&gt;1,"مرحل","غير مرحل")</f>
        <v>مرحل</v>
      </c>
    </row>
    <row r="332" spans="1:27" ht="22.9" customHeight="1" x14ac:dyDescent="0.55000000000000004">
      <c r="A332" s="22">
        <f t="shared" si="10"/>
        <v>330</v>
      </c>
      <c r="B332" s="23" t="s">
        <v>329</v>
      </c>
      <c r="C332" s="213" t="s">
        <v>289</v>
      </c>
      <c r="D332" s="22" t="s">
        <v>290</v>
      </c>
      <c r="E332" s="24">
        <f>IFERROR(INDEX(TableJudje[رقم الحساب],MATCH(Tabledaily[[#This Row],[الحســاب الدئـــن]],TableJudje[اسم الحساب],0)),0)</f>
        <v>11060202</v>
      </c>
      <c r="F332" s="22" t="s">
        <v>159</v>
      </c>
      <c r="G332" s="22" t="s">
        <v>330</v>
      </c>
      <c r="H332" s="24">
        <f>IFERROR(INDEX(TableJudje[رقم الحساب],MATCH(Tabledaily[[#This Row],[الحســاب المديــــن]],TableJudje[اسم الحساب],0)),0)</f>
        <v>31010101</v>
      </c>
      <c r="I332" s="22" t="s">
        <v>111</v>
      </c>
      <c r="J332" s="22" t="s">
        <v>238</v>
      </c>
      <c r="K332" s="25">
        <v>30000</v>
      </c>
      <c r="L332" s="23">
        <v>405</v>
      </c>
      <c r="M332" s="26">
        <f>IFERROR(Tabledaily[[#This Row],[المبلـــــــغ]]/Tabledaily[[#This Row],[سعــــــر
الصـــــرف]],"")</f>
        <v>74.074074074074076</v>
      </c>
      <c r="N332" s="22" t="s">
        <v>331</v>
      </c>
      <c r="O332" s="22" t="s">
        <v>312</v>
      </c>
      <c r="P332" s="22" t="s">
        <v>312</v>
      </c>
      <c r="Q332" s="22">
        <v>3</v>
      </c>
      <c r="R332" s="22" t="s">
        <v>237</v>
      </c>
      <c r="S332" s="24">
        <f>IFERROR(INDEX(tablecost[رقم المركز],MATCH(Tabledaily[[#This Row],[مركـــــــزالتكلفــــــة]],tablecost[الاسم],0)),0)</f>
        <v>1</v>
      </c>
      <c r="T332" s="27">
        <f>DATE(Tabledaily[[#This Row],[السنــــة]],Tabledaily[[#This Row],[الشهــــر]],Tabledaily[[#This Row],[الـــــيوم]])</f>
        <v>46176</v>
      </c>
      <c r="U332" s="28">
        <v>46182.113715277781</v>
      </c>
      <c r="V332" s="22"/>
      <c r="W332" s="24">
        <f>YEAR(Tabledaily[[#This Row],[التاريخ]])</f>
        <v>2026</v>
      </c>
      <c r="X332" s="24">
        <f>MONTH(Tabledaily[[#This Row],[التاريخ]])</f>
        <v>6</v>
      </c>
      <c r="Y332" s="24">
        <f>DAY(Tabledaily[[#This Row],[التاريخ]])</f>
        <v>3</v>
      </c>
      <c r="Z33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3  كشف صرف - صرف الصرفة اليومية للمستشارين والمساعدين عدد3 بامر</v>
      </c>
      <c r="AA332" s="24" t="str">
        <f>IF(COUNTIF(TableDailyJournal[رقم العملية],Tabledaily[[#This Row],[رقم العملية]])&gt;1,"مرحل","غير مرحل")</f>
        <v>مرحل</v>
      </c>
    </row>
    <row r="333" spans="1:27" ht="22.9" customHeight="1" x14ac:dyDescent="0.55000000000000004">
      <c r="A333" s="22">
        <f t="shared" si="10"/>
        <v>331</v>
      </c>
      <c r="B333" s="23" t="s">
        <v>332</v>
      </c>
      <c r="C333" s="213" t="s">
        <v>289</v>
      </c>
      <c r="D333" s="22" t="s">
        <v>290</v>
      </c>
      <c r="E333" s="24">
        <f>IFERROR(INDEX(TableJudje[رقم الحساب],MATCH(Tabledaily[[#This Row],[الحســاب الدئـــن]],TableJudje[اسم الحساب],0)),0)</f>
        <v>11060202</v>
      </c>
      <c r="F333" s="22" t="s">
        <v>159</v>
      </c>
      <c r="G333" s="22" t="s">
        <v>333</v>
      </c>
      <c r="H333" s="24">
        <f>IFERROR(INDEX(TableJudje[رقم الحساب],MATCH(Tabledaily[[#This Row],[الحســاب المديــــن]],TableJudje[اسم الحساب],0)),0)</f>
        <v>31010101</v>
      </c>
      <c r="I333" s="22" t="s">
        <v>111</v>
      </c>
      <c r="J333" s="22" t="s">
        <v>238</v>
      </c>
      <c r="K333" s="25">
        <v>65000</v>
      </c>
      <c r="L333" s="23">
        <v>405</v>
      </c>
      <c r="M333" s="26">
        <f>IFERROR(Tabledaily[[#This Row],[المبلـــــــغ]]/Tabledaily[[#This Row],[سعــــــر
الصـــــرف]],"")</f>
        <v>160.49382716049382</v>
      </c>
      <c r="N333" s="22" t="s">
        <v>334</v>
      </c>
      <c r="O333" s="22" t="s">
        <v>312</v>
      </c>
      <c r="P333" s="22" t="s">
        <v>312</v>
      </c>
      <c r="Q333" s="22">
        <v>4</v>
      </c>
      <c r="R333" s="22" t="s">
        <v>237</v>
      </c>
      <c r="S333" s="24">
        <f>IFERROR(INDEX(tablecost[رقم المركز],MATCH(Tabledaily[[#This Row],[مركـــــــزالتكلفــــــة]],tablecost[الاسم],0)),0)</f>
        <v>1</v>
      </c>
      <c r="T333" s="27">
        <f>DATE(Tabledaily[[#This Row],[السنــــة]],Tabledaily[[#This Row],[الشهــــر]],Tabledaily[[#This Row],[الـــــيوم]])</f>
        <v>46176</v>
      </c>
      <c r="U333" s="28">
        <v>46182.112754629627</v>
      </c>
      <c r="V333" s="22"/>
      <c r="W333" s="24">
        <f>YEAR(Tabledaily[[#This Row],[التاريخ]])</f>
        <v>2026</v>
      </c>
      <c r="X333" s="24">
        <f>MONTH(Tabledaily[[#This Row],[التاريخ]])</f>
        <v>6</v>
      </c>
      <c r="Y333" s="24">
        <f>DAY(Tabledaily[[#This Row],[التاريخ]])</f>
        <v>3</v>
      </c>
      <c r="Z33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4  كشف صرف - صرف الصرفة اليومية  الاستخبارات لعدد 4 بامر</v>
      </c>
      <c r="AA333" s="24" t="str">
        <f>IF(COUNTIF(TableDailyJournal[رقم العملية],Tabledaily[[#This Row],[رقم العملية]])&gt;1,"مرحل","غير مرحل")</f>
        <v>مرحل</v>
      </c>
    </row>
    <row r="334" spans="1:27" ht="22.9" customHeight="1" x14ac:dyDescent="0.55000000000000004">
      <c r="A334" s="22">
        <f t="shared" si="10"/>
        <v>332</v>
      </c>
      <c r="B334" s="23" t="s">
        <v>335</v>
      </c>
      <c r="C334" s="213" t="s">
        <v>289</v>
      </c>
      <c r="D334" s="22" t="s">
        <v>290</v>
      </c>
      <c r="E334" s="24">
        <f>IFERROR(INDEX(TableJudje[رقم الحساب],MATCH(Tabledaily[[#This Row],[الحســاب الدئـــن]],TableJudje[اسم الحساب],0)),0)</f>
        <v>11060202</v>
      </c>
      <c r="F334" s="22" t="s">
        <v>159</v>
      </c>
      <c r="G334" s="22" t="s">
        <v>336</v>
      </c>
      <c r="H334" s="24">
        <f>IFERROR(INDEX(TableJudje[رقم الحساب],MATCH(Tabledaily[[#This Row],[الحســاب المديــــن]],TableJudje[اسم الحساب],0)),0)</f>
        <v>31010101</v>
      </c>
      <c r="I334" s="22" t="s">
        <v>111</v>
      </c>
      <c r="J334" s="22" t="s">
        <v>238</v>
      </c>
      <c r="K334" s="25">
        <v>30000</v>
      </c>
      <c r="L334" s="23">
        <v>405</v>
      </c>
      <c r="M334" s="26">
        <f>IFERROR(Tabledaily[[#This Row],[المبلـــــــغ]]/Tabledaily[[#This Row],[سعــــــر
الصـــــرف]],"")</f>
        <v>74.074074074074076</v>
      </c>
      <c r="N334" s="22" t="s">
        <v>337</v>
      </c>
      <c r="O334" s="22" t="s">
        <v>312</v>
      </c>
      <c r="P334" s="22" t="s">
        <v>312</v>
      </c>
      <c r="Q334" s="22">
        <v>2</v>
      </c>
      <c r="R334" s="22" t="s">
        <v>237</v>
      </c>
      <c r="S334" s="24">
        <f>IFERROR(INDEX(tablecost[رقم المركز],MATCH(Tabledaily[[#This Row],[مركـــــــزالتكلفــــــة]],tablecost[الاسم],0)),0)</f>
        <v>1</v>
      </c>
      <c r="T334" s="27">
        <f>DATE(Tabledaily[[#This Row],[السنــــة]],Tabledaily[[#This Row],[الشهــــر]],Tabledaily[[#This Row],[الـــــيوم]])</f>
        <v>46176</v>
      </c>
      <c r="U334" s="28">
        <v>46182.112118055556</v>
      </c>
      <c r="V334" s="22"/>
      <c r="W334" s="24">
        <f>YEAR(Tabledaily[[#This Row],[التاريخ]])</f>
        <v>2026</v>
      </c>
      <c r="X334" s="24">
        <f>MONTH(Tabledaily[[#This Row],[التاريخ]])</f>
        <v>6</v>
      </c>
      <c r="Y334" s="24">
        <f>DAY(Tabledaily[[#This Row],[التاريخ]])</f>
        <v>3</v>
      </c>
      <c r="Z33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2  كشف صرف - صرف الصرفة اليومية  للبشرة والصراف عدد 2  بامر</v>
      </c>
      <c r="AA334" s="24" t="str">
        <f>IF(COUNTIF(TableDailyJournal[رقم العملية],Tabledaily[[#This Row],[رقم العملية]])&gt;1,"مرحل","غير مرحل")</f>
        <v>مرحل</v>
      </c>
    </row>
    <row r="335" spans="1:27" ht="22.9" customHeight="1" x14ac:dyDescent="0.55000000000000004">
      <c r="A335" s="22">
        <f t="shared" si="10"/>
        <v>333</v>
      </c>
      <c r="B335" s="23" t="s">
        <v>338</v>
      </c>
      <c r="C335" s="213" t="s">
        <v>289</v>
      </c>
      <c r="D335" s="22" t="s">
        <v>290</v>
      </c>
      <c r="E335" s="24">
        <f>IFERROR(INDEX(TableJudje[رقم الحساب],MATCH(Tabledaily[[#This Row],[الحســاب الدئـــن]],TableJudje[اسم الحساب],0)),0)</f>
        <v>11060202</v>
      </c>
      <c r="F335" s="22" t="s">
        <v>159</v>
      </c>
      <c r="G335" s="22" t="s">
        <v>339</v>
      </c>
      <c r="H335" s="24">
        <f>IFERROR(INDEX(TableJudje[رقم الحساب],MATCH(Tabledaily[[#This Row],[الحســاب المديــــن]],TableJudje[اسم الحساب],0)),0)</f>
        <v>31010101</v>
      </c>
      <c r="I335" s="22" t="s">
        <v>111</v>
      </c>
      <c r="J335" s="22" t="s">
        <v>238</v>
      </c>
      <c r="K335" s="25">
        <v>132000</v>
      </c>
      <c r="L335" s="23">
        <v>405</v>
      </c>
      <c r="M335" s="26">
        <f>IFERROR(Tabledaily[[#This Row],[المبلـــــــغ]]/Tabledaily[[#This Row],[سعــــــر
الصـــــرف]],"")</f>
        <v>325.92592592592592</v>
      </c>
      <c r="N335" s="22" t="s">
        <v>340</v>
      </c>
      <c r="O335" s="22" t="s">
        <v>312</v>
      </c>
      <c r="P335" s="22" t="s">
        <v>312</v>
      </c>
      <c r="Q335" s="22">
        <v>12</v>
      </c>
      <c r="R335" s="22" t="s">
        <v>237</v>
      </c>
      <c r="S335" s="24">
        <f>IFERROR(INDEX(tablecost[رقم المركز],MATCH(Tabledaily[[#This Row],[مركـــــــزالتكلفــــــة]],tablecost[الاسم],0)),0)</f>
        <v>1</v>
      </c>
      <c r="T335" s="27">
        <f>DATE(Tabledaily[[#This Row],[السنــــة]],Tabledaily[[#This Row],[الشهــــر]],Tabledaily[[#This Row],[الـــــيوم]])</f>
        <v>46176</v>
      </c>
      <c r="U335" s="28">
        <v>46182.110949074071</v>
      </c>
      <c r="V335" s="22"/>
      <c r="W335" s="24">
        <f>YEAR(Tabledaily[[#This Row],[التاريخ]])</f>
        <v>2026</v>
      </c>
      <c r="X335" s="24">
        <f>MONTH(Tabledaily[[#This Row],[التاريخ]])</f>
        <v>6</v>
      </c>
      <c r="Y335" s="24">
        <f>DAY(Tabledaily[[#This Row],[التاريخ]])</f>
        <v>3</v>
      </c>
      <c r="Z33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12  كشف صرف - صرف الصرفة اليومية  لافراد الامداد لعدد 12  بامر</v>
      </c>
      <c r="AA335" s="24" t="str">
        <f>IF(COUNTIF(TableDailyJournal[رقم العملية],Tabledaily[[#This Row],[رقم العملية]])&gt;1,"مرحل","غير مرحل")</f>
        <v>مرحل</v>
      </c>
    </row>
    <row r="336" spans="1:27" ht="22.9" customHeight="1" x14ac:dyDescent="0.55000000000000004">
      <c r="A336" s="22">
        <f t="shared" si="10"/>
        <v>334</v>
      </c>
      <c r="B336" s="23" t="s">
        <v>341</v>
      </c>
      <c r="C336" s="213" t="s">
        <v>289</v>
      </c>
      <c r="D336" s="22" t="s">
        <v>290</v>
      </c>
      <c r="E336" s="24">
        <f>IFERROR(INDEX(TableJudje[رقم الحساب],MATCH(Tabledaily[[#This Row],[الحســاب الدئـــن]],TableJudje[اسم الحساب],0)),0)</f>
        <v>11060202</v>
      </c>
      <c r="F336" s="22" t="s">
        <v>159</v>
      </c>
      <c r="G336" s="22" t="s">
        <v>342</v>
      </c>
      <c r="H336" s="24">
        <f>IFERROR(INDEX(TableJudje[رقم الحساب],MATCH(Tabledaily[[#This Row],[الحســاب المديــــن]],TableJudje[اسم الحساب],0)),0)</f>
        <v>31010101</v>
      </c>
      <c r="I336" s="22" t="s">
        <v>111</v>
      </c>
      <c r="J336" s="22" t="s">
        <v>238</v>
      </c>
      <c r="K336" s="25">
        <v>33000</v>
      </c>
      <c r="L336" s="23">
        <v>405</v>
      </c>
      <c r="M336" s="26">
        <f>IFERROR(Tabledaily[[#This Row],[المبلـــــــغ]]/Tabledaily[[#This Row],[سعــــــر
الصـــــرف]],"")</f>
        <v>81.481481481481481</v>
      </c>
      <c r="N336" s="22" t="s">
        <v>343</v>
      </c>
      <c r="O336" s="22" t="s">
        <v>312</v>
      </c>
      <c r="P336" s="22" t="s">
        <v>312</v>
      </c>
      <c r="Q336" s="22">
        <v>4</v>
      </c>
      <c r="R336" s="22" t="s">
        <v>237</v>
      </c>
      <c r="S336" s="24">
        <f>IFERROR(INDEX(tablecost[رقم المركز],MATCH(Tabledaily[[#This Row],[مركـــــــزالتكلفــــــة]],tablecost[الاسم],0)),0)</f>
        <v>1</v>
      </c>
      <c r="T336" s="27">
        <f>DATE(Tabledaily[[#This Row],[السنــــة]],Tabledaily[[#This Row],[الشهــــر]],Tabledaily[[#This Row],[الـــــيوم]])</f>
        <v>46176</v>
      </c>
      <c r="U336" s="28">
        <v>46182.110335648147</v>
      </c>
      <c r="V336" s="22"/>
      <c r="W336" s="24">
        <f>YEAR(Tabledaily[[#This Row],[التاريخ]])</f>
        <v>2026</v>
      </c>
      <c r="X336" s="24">
        <f>MONTH(Tabledaily[[#This Row],[التاريخ]])</f>
        <v>6</v>
      </c>
      <c r="Y336" s="24">
        <f>DAY(Tabledaily[[#This Row],[التاريخ]])</f>
        <v>3</v>
      </c>
      <c r="Z33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4  كشف صرف - صرف الصرفة اليومية للسيطرة والاتصالات لعدد 4  بامر</v>
      </c>
      <c r="AA336" s="24" t="str">
        <f>IF(COUNTIF(TableDailyJournal[رقم العملية],Tabledaily[[#This Row],[رقم العملية]])&gt;1,"مرحل","غير مرحل")</f>
        <v>مرحل</v>
      </c>
    </row>
    <row r="337" spans="1:27" ht="22.9" customHeight="1" thickBot="1" x14ac:dyDescent="0.6">
      <c r="A337" s="22">
        <f t="shared" si="10"/>
        <v>335</v>
      </c>
      <c r="B337" s="23" t="s">
        <v>344</v>
      </c>
      <c r="C337" s="213" t="s">
        <v>289</v>
      </c>
      <c r="D337" s="22" t="s">
        <v>283</v>
      </c>
      <c r="E337" s="24">
        <f>IFERROR(INDEX(TableJudje[رقم الحساب],MATCH(Tabledaily[[#This Row],[الحســاب الدئـــن]],TableJudje[اسم الحساب],0)),0)</f>
        <v>11010101</v>
      </c>
      <c r="F337" s="22" t="s">
        <v>23</v>
      </c>
      <c r="G337" s="22" t="s">
        <v>284</v>
      </c>
      <c r="H337" s="24">
        <f>IFERROR(INDEX(TableJudje[رقم الحساب],MATCH(Tabledaily[[#This Row],[الحســاب المديــــن]],TableJudje[اسم الحساب],0)),0)</f>
        <v>11060202</v>
      </c>
      <c r="I337" s="22" t="s">
        <v>159</v>
      </c>
      <c r="J337" s="22" t="s">
        <v>241</v>
      </c>
      <c r="K337" s="25">
        <v>9980</v>
      </c>
      <c r="L337" s="23">
        <v>1</v>
      </c>
      <c r="M337" s="26">
        <f>IFERROR(Tabledaily[[#This Row],[المبلـــــــغ]]/Tabledaily[[#This Row],[سعــــــر
الصـــــرف]],"")</f>
        <v>9980</v>
      </c>
      <c r="N337" s="22" t="s">
        <v>285</v>
      </c>
      <c r="O337" s="22" t="s">
        <v>286</v>
      </c>
      <c r="P337" s="22" t="s">
        <v>287</v>
      </c>
      <c r="Q337" s="22">
        <v>0</v>
      </c>
      <c r="R337" s="22" t="s">
        <v>237</v>
      </c>
      <c r="S337" s="24">
        <f>IFERROR(INDEX(tablecost[رقم المركز],MATCH(Tabledaily[[#This Row],[مركـــــــزالتكلفــــــة]],tablecost[الاسم],0)),0)</f>
        <v>1</v>
      </c>
      <c r="T337" s="27">
        <f>DATE(Tabledaily[[#This Row],[السنــــة]],Tabledaily[[#This Row],[الشهــــر]],Tabledaily[[#This Row],[الـــــيوم]])</f>
        <v>46176</v>
      </c>
      <c r="U337" s="28">
        <v>46182.108460648145</v>
      </c>
      <c r="V337" s="22"/>
      <c r="W337" s="24">
        <f>YEAR(Tabledaily[[#This Row],[التاريخ]])</f>
        <v>2026</v>
      </c>
      <c r="X337" s="24">
        <f>MONTH(Tabledaily[[#This Row],[التاريخ]])</f>
        <v>6</v>
      </c>
      <c r="Y337" s="24">
        <f>DAY(Tabledaily[[#This Row],[التاريخ]])</f>
        <v>3</v>
      </c>
      <c r="Z33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عبدالمغني - عبدالمغني عبدالصمد - الفرقة الثالثة)  - استلام نقدي رقم 0  سند استلام - استلام عهدة بامر</v>
      </c>
      <c r="AA337" s="24" t="str">
        <f>IF(COUNTIF(TableDailyJournal[رقم العملية],Tabledaily[[#This Row],[رقم العملية]])&gt;1,"مرحل","غير مرحل")</f>
        <v>مرحل</v>
      </c>
    </row>
    <row r="338" spans="1:27" ht="22.9" customHeight="1" x14ac:dyDescent="0.55000000000000004">
      <c r="A338" s="30">
        <f t="shared" si="10"/>
        <v>336</v>
      </c>
      <c r="B338" s="31" t="s">
        <v>345</v>
      </c>
      <c r="C338" s="215" t="s">
        <v>346</v>
      </c>
      <c r="D338" s="32" t="s">
        <v>290</v>
      </c>
      <c r="E338" s="33">
        <f>IFERROR(INDEX(TableJudje[رقم الحساب],MATCH(Tabledaily[[#This Row],[الحســاب الدئـــن]],TableJudje[اسم الحساب],0)),0)</f>
        <v>11060202</v>
      </c>
      <c r="F338" s="32" t="s">
        <v>159</v>
      </c>
      <c r="G338" s="22" t="s">
        <v>310</v>
      </c>
      <c r="H338" s="33">
        <f>IFERROR(INDEX(TableJudje[رقم الحساب],MATCH(Tabledaily[[#This Row],[الحســاب المديــــن]],TableJudje[اسم الحساب],0)),0)</f>
        <v>31010101</v>
      </c>
      <c r="I338" s="32" t="s">
        <v>111</v>
      </c>
      <c r="J338" s="32" t="s">
        <v>238</v>
      </c>
      <c r="K338" s="34">
        <v>188000</v>
      </c>
      <c r="L338" s="31">
        <v>405</v>
      </c>
      <c r="M338" s="35">
        <f>IFERROR(Tabledaily[[#This Row],[المبلـــــــغ]]/Tabledaily[[#This Row],[سعــــــر
الصـــــرف]],"")</f>
        <v>464.19753086419752</v>
      </c>
      <c r="N338" s="32" t="s">
        <v>311</v>
      </c>
      <c r="O338" s="32" t="s">
        <v>312</v>
      </c>
      <c r="P338" s="32" t="s">
        <v>312</v>
      </c>
      <c r="Q338" s="32" t="s">
        <v>347</v>
      </c>
      <c r="R338" s="32" t="s">
        <v>248</v>
      </c>
      <c r="S338" s="33">
        <f>IFERROR(INDEX(tablecost[رقم المركز],MATCH(Tabledaily[[#This Row],[مركـــــــزالتكلفــــــة]],tablecost[الاسم],0)),0)</f>
        <v>7</v>
      </c>
      <c r="T338" s="36">
        <f>DATE(Tabledaily[[#This Row],[السنــــة]],Tabledaily[[#This Row],[الشهــــر]],Tabledaily[[#This Row],[الـــــيوم]])</f>
        <v>46175</v>
      </c>
      <c r="U338" s="37">
        <v>46182.044490740744</v>
      </c>
      <c r="V338" s="32" t="s">
        <v>313</v>
      </c>
      <c r="W338" s="33">
        <f>YEAR(Tabledaily[[#This Row],[التاريخ]])</f>
        <v>2026</v>
      </c>
      <c r="X338" s="33">
        <f>MONTH(Tabledaily[[#This Row],[التاريخ]])</f>
        <v>6</v>
      </c>
      <c r="Y338" s="33">
        <f>DAY(Tabledaily[[#This Row],[التاريخ]])</f>
        <v>2</v>
      </c>
      <c r="Z33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47 فرد  كشف صرف - مصاريف يومية سرية اللواء السادس عدد 47 بامرالقائد</v>
      </c>
      <c r="AA338" s="38" t="str">
        <f>IF(COUNTIF(TableDailyJournal[رقم العملية],Tabledaily[[#This Row],[رقم العملية]])&gt;1,"مرحل","غير مرحل")</f>
        <v>مرحل</v>
      </c>
    </row>
    <row r="339" spans="1:27" ht="22.9" customHeight="1" x14ac:dyDescent="0.55000000000000004">
      <c r="A339" s="39">
        <f t="shared" si="10"/>
        <v>337</v>
      </c>
      <c r="B339" s="23" t="s">
        <v>348</v>
      </c>
      <c r="C339" s="213" t="s">
        <v>346</v>
      </c>
      <c r="D339" s="22" t="s">
        <v>290</v>
      </c>
      <c r="E339" s="24">
        <f>IFERROR(INDEX(TableJudje[رقم الحساب],MATCH(Tabledaily[[#This Row],[الحســاب الدئـــن]],TableJudje[اسم الحساب],0)),0)</f>
        <v>11060202</v>
      </c>
      <c r="F339" s="22" t="s">
        <v>159</v>
      </c>
      <c r="G339" s="22" t="s">
        <v>349</v>
      </c>
      <c r="H339" s="24">
        <f>IFERROR(INDEX(TableJudje[رقم الحساب],MATCH(Tabledaily[[#This Row],[الحســاب المديــــن]],TableJudje[اسم الحساب],0)),0)</f>
        <v>31010126</v>
      </c>
      <c r="I339" s="22" t="s">
        <v>131</v>
      </c>
      <c r="J339" s="22" t="s">
        <v>238</v>
      </c>
      <c r="K339" s="25">
        <v>20000</v>
      </c>
      <c r="L339" s="23">
        <v>405</v>
      </c>
      <c r="M339" s="26">
        <f>IFERROR(Tabledaily[[#This Row],[المبلـــــــغ]]/Tabledaily[[#This Row],[سعــــــر
الصـــــرف]],"")</f>
        <v>49.382716049382715</v>
      </c>
      <c r="N339" s="22" t="s">
        <v>350</v>
      </c>
      <c r="O339" s="22" t="s">
        <v>351</v>
      </c>
      <c r="P339" s="22" t="s">
        <v>352</v>
      </c>
      <c r="Q339" s="22">
        <v>3430</v>
      </c>
      <c r="R339" s="22" t="s">
        <v>237</v>
      </c>
      <c r="S339" s="24">
        <f>IFERROR(INDEX(tablecost[رقم المركز],MATCH(Tabledaily[[#This Row],[مركـــــــزالتكلفــــــة]],tablecost[الاسم],0)),0)</f>
        <v>1</v>
      </c>
      <c r="T339" s="27">
        <f>DATE(Tabledaily[[#This Row],[السنــــة]],Tabledaily[[#This Row],[الشهــــر]],Tabledaily[[#This Row],[الـــــيوم]])</f>
        <v>46175</v>
      </c>
      <c r="U339" s="28">
        <v>46182.043437499997</v>
      </c>
      <c r="V339" s="22" t="s">
        <v>302</v>
      </c>
      <c r="W339" s="24">
        <f>YEAR(Tabledaily[[#This Row],[التاريخ]])</f>
        <v>2026</v>
      </c>
      <c r="X339" s="24">
        <f>MONTH(Tabledaily[[#This Row],[التاريخ]])</f>
        <v>6</v>
      </c>
      <c r="Y339" s="24">
        <f>DAY(Tabledaily[[#This Row],[التاريخ]])</f>
        <v>2</v>
      </c>
      <c r="Z33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صيانة متنوعة  - طقم القائد - الفرقة الثالثة)  - فاتورة رقم 3430  مركز جبال ردفان - اجور غسل كامل لطقم القائد  بامرمدير  مكتب القائد</v>
      </c>
      <c r="AA339" s="40" t="str">
        <f>IF(COUNTIF(TableDailyJournal[رقم العملية],Tabledaily[[#This Row],[رقم العملية]])&gt;1,"مرحل","غير مرحل")</f>
        <v>مرحل</v>
      </c>
    </row>
    <row r="340" spans="1:27" ht="22.9" customHeight="1" x14ac:dyDescent="0.55000000000000004">
      <c r="A340" s="39">
        <f t="shared" si="10"/>
        <v>338</v>
      </c>
      <c r="B340" s="23" t="s">
        <v>353</v>
      </c>
      <c r="C340" s="213" t="s">
        <v>346</v>
      </c>
      <c r="D340" s="22" t="s">
        <v>290</v>
      </c>
      <c r="E340" s="24">
        <f>IFERROR(INDEX(TableJudje[رقم الحساب],MATCH(Tabledaily[[#This Row],[الحســاب الدئـــن]],TableJudje[اسم الحساب],0)),0)</f>
        <v>11060202</v>
      </c>
      <c r="F340" s="22" t="s">
        <v>159</v>
      </c>
      <c r="G340" s="22" t="s">
        <v>354</v>
      </c>
      <c r="H340" s="24">
        <f>IFERROR(INDEX(TableJudje[رقم الحساب],MATCH(Tabledaily[[#This Row],[الحســاب المديــــن]],TableJudje[اسم الحساب],0)),0)</f>
        <v>31010106</v>
      </c>
      <c r="I340" s="22" t="s">
        <v>115</v>
      </c>
      <c r="J340" s="22" t="s">
        <v>238</v>
      </c>
      <c r="K340" s="25">
        <v>25000</v>
      </c>
      <c r="L340" s="23">
        <v>405</v>
      </c>
      <c r="M340" s="26">
        <f>IFERROR(Tabledaily[[#This Row],[المبلـــــــغ]]/Tabledaily[[#This Row],[سعــــــر
الصـــــرف]],"")</f>
        <v>61.728395061728392</v>
      </c>
      <c r="N340" s="22" t="s">
        <v>350</v>
      </c>
      <c r="O340" s="22" t="s">
        <v>351</v>
      </c>
      <c r="P340" s="22" t="s">
        <v>355</v>
      </c>
      <c r="Q340" s="22">
        <v>16</v>
      </c>
      <c r="R340" s="22" t="s">
        <v>237</v>
      </c>
      <c r="S340" s="24">
        <f>IFERROR(INDEX(tablecost[رقم المركز],MATCH(Tabledaily[[#This Row],[مركـــــــزالتكلفــــــة]],tablecost[الاسم],0)),0)</f>
        <v>1</v>
      </c>
      <c r="T340" s="27">
        <f>DATE(Tabledaily[[#This Row],[السنــــة]],Tabledaily[[#This Row],[الشهــــر]],Tabledaily[[#This Row],[الـــــيوم]])</f>
        <v>46175</v>
      </c>
      <c r="U340" s="28">
        <v>46182.041145833333</v>
      </c>
      <c r="V340" s="22" t="s">
        <v>302</v>
      </c>
      <c r="W340" s="24">
        <f>YEAR(Tabledaily[[#This Row],[التاريخ]])</f>
        <v>2026</v>
      </c>
      <c r="X340" s="24">
        <f>MONTH(Tabledaily[[#This Row],[التاريخ]])</f>
        <v>6</v>
      </c>
      <c r="Y340" s="24">
        <f>DAY(Tabledaily[[#This Row],[التاريخ]])</f>
        <v>2</v>
      </c>
      <c r="Z34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v>
      </c>
      <c r="AA340" s="40" t="str">
        <f>IF(COUNTIF(TableDailyJournal[رقم العملية],Tabledaily[[#This Row],[رقم العملية]])&gt;1,"مرحل","غير مرحل")</f>
        <v>مرحل</v>
      </c>
    </row>
    <row r="341" spans="1:27" ht="22.9" customHeight="1" x14ac:dyDescent="0.55000000000000004">
      <c r="A341" s="39">
        <f t="shared" si="10"/>
        <v>339</v>
      </c>
      <c r="B341" s="23" t="s">
        <v>356</v>
      </c>
      <c r="C341" s="213" t="s">
        <v>346</v>
      </c>
      <c r="D341" s="22" t="s">
        <v>290</v>
      </c>
      <c r="E341" s="24">
        <f>IFERROR(INDEX(TableJudje[رقم الحساب],MATCH(Tabledaily[[#This Row],[الحســاب الدئـــن]],TableJudje[اسم الحساب],0)),0)</f>
        <v>11060202</v>
      </c>
      <c r="F341" s="22" t="s">
        <v>159</v>
      </c>
      <c r="G341" s="22" t="s">
        <v>357</v>
      </c>
      <c r="H341" s="24">
        <f>IFERROR(INDEX(TableJudje[رقم الحساب],MATCH(Tabledaily[[#This Row],[الحســاب المديــــن]],TableJudje[اسم الحساب],0)),0)</f>
        <v>31010106</v>
      </c>
      <c r="I341" s="22" t="s">
        <v>115</v>
      </c>
      <c r="J341" s="22" t="s">
        <v>238</v>
      </c>
      <c r="K341" s="25">
        <v>15000</v>
      </c>
      <c r="L341" s="23">
        <v>405</v>
      </c>
      <c r="M341" s="26">
        <f>IFERROR(Tabledaily[[#This Row],[المبلـــــــغ]]/Tabledaily[[#This Row],[سعــــــر
الصـــــرف]],"")</f>
        <v>37.037037037037038</v>
      </c>
      <c r="N341" s="22" t="s">
        <v>358</v>
      </c>
      <c r="O341" s="22" t="s">
        <v>351</v>
      </c>
      <c r="P341" s="22" t="s">
        <v>359</v>
      </c>
      <c r="Q341" s="22">
        <v>4324</v>
      </c>
      <c r="R341" s="22" t="s">
        <v>237</v>
      </c>
      <c r="S341" s="24">
        <f>IFERROR(INDEX(tablecost[رقم المركز],MATCH(Tabledaily[[#This Row],[مركـــــــزالتكلفــــــة]],tablecost[الاسم],0)),0)</f>
        <v>1</v>
      </c>
      <c r="T341" s="27">
        <f>DATE(Tabledaily[[#This Row],[السنــــة]],Tabledaily[[#This Row],[الشهــــر]],Tabledaily[[#This Row],[الـــــيوم]])</f>
        <v>46175</v>
      </c>
      <c r="U341" s="28">
        <v>46182.038888888892</v>
      </c>
      <c r="V341" s="22" t="s">
        <v>302</v>
      </c>
      <c r="W341" s="24">
        <f>YEAR(Tabledaily[[#This Row],[التاريخ]])</f>
        <v>2026</v>
      </c>
      <c r="X341" s="24">
        <f>MONTH(Tabledaily[[#This Row],[التاريخ]])</f>
        <v>6</v>
      </c>
      <c r="Y341" s="24">
        <f>DAY(Tabledaily[[#This Row],[التاريخ]])</f>
        <v>2</v>
      </c>
      <c r="Z34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v>
      </c>
      <c r="AA341" s="40" t="str">
        <f>IF(COUNTIF(TableDailyJournal[رقم العملية],Tabledaily[[#This Row],[رقم العملية]])&gt;1,"مرحل","غير مرحل")</f>
        <v>مرحل</v>
      </c>
    </row>
    <row r="342" spans="1:27" ht="22.9" customHeight="1" x14ac:dyDescent="0.55000000000000004">
      <c r="A342" s="39">
        <f t="shared" si="10"/>
        <v>340</v>
      </c>
      <c r="B342" s="23" t="s">
        <v>360</v>
      </c>
      <c r="C342" s="213" t="s">
        <v>346</v>
      </c>
      <c r="D342" s="22" t="s">
        <v>290</v>
      </c>
      <c r="E342" s="24">
        <f>IFERROR(INDEX(TableJudje[رقم الحساب],MATCH(Tabledaily[[#This Row],[الحســاب الدئـــن]],TableJudje[اسم الحساب],0)),0)</f>
        <v>11060202</v>
      </c>
      <c r="F342" s="22" t="s">
        <v>159</v>
      </c>
      <c r="G342" s="22" t="s">
        <v>361</v>
      </c>
      <c r="H342" s="24">
        <f>IFERROR(INDEX(TableJudje[رقم الحساب],MATCH(Tabledaily[[#This Row],[الحســاب المديــــن]],TableJudje[اسم الحساب],0)),0)</f>
        <v>31010114</v>
      </c>
      <c r="I342" s="22" t="s">
        <v>121</v>
      </c>
      <c r="J342" s="22" t="s">
        <v>238</v>
      </c>
      <c r="K342" s="25">
        <v>10000</v>
      </c>
      <c r="L342" s="23">
        <v>405</v>
      </c>
      <c r="M342" s="26">
        <f>IFERROR(Tabledaily[[#This Row],[المبلـــــــغ]]/Tabledaily[[#This Row],[سعــــــر
الصـــــرف]],"")</f>
        <v>24.691358024691358</v>
      </c>
      <c r="N342" s="22" t="s">
        <v>362</v>
      </c>
      <c r="O342" s="22" t="s">
        <v>286</v>
      </c>
      <c r="P342" s="22" t="s">
        <v>287</v>
      </c>
      <c r="Q342" s="22">
        <v>0</v>
      </c>
      <c r="R342" s="22" t="s">
        <v>237</v>
      </c>
      <c r="S342" s="24">
        <f>IFERROR(INDEX(tablecost[رقم المركز],MATCH(Tabledaily[[#This Row],[مركـــــــزالتكلفــــــة]],tablecost[الاسم],0)),0)</f>
        <v>1</v>
      </c>
      <c r="T342" s="27">
        <f>DATE(Tabledaily[[#This Row],[السنــــة]],Tabledaily[[#This Row],[الشهــــر]],Tabledaily[[#This Row],[الـــــيوم]])</f>
        <v>46175</v>
      </c>
      <c r="U342" s="28">
        <v>46182.037581018521</v>
      </c>
      <c r="V342" s="22" t="s">
        <v>293</v>
      </c>
      <c r="W342" s="24">
        <f>YEAR(Tabledaily[[#This Row],[التاريخ]])</f>
        <v>2026</v>
      </c>
      <c r="X342" s="24">
        <f>MONTH(Tabledaily[[#This Row],[التاريخ]])</f>
        <v>6</v>
      </c>
      <c r="Y342" s="24">
        <f>DAY(Tabledaily[[#This Row],[التاريخ]])</f>
        <v>2</v>
      </c>
      <c r="Z34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محمد السبع - الفرقة الثالثة)  - استلام نقدي رقم 0  سند استلام - مصاريف اضافية  ل محمد السبع بامرالأركان جمال مسدوس</v>
      </c>
      <c r="AA342" s="40" t="str">
        <f>IF(COUNTIF(TableDailyJournal[رقم العملية],Tabledaily[[#This Row],[رقم العملية]])&gt;1,"مرحل","غير مرحل")</f>
        <v>مرحل</v>
      </c>
    </row>
    <row r="343" spans="1:27" ht="22.9" customHeight="1" x14ac:dyDescent="0.55000000000000004">
      <c r="A343" s="39">
        <f t="shared" si="10"/>
        <v>341</v>
      </c>
      <c r="B343" s="23" t="s">
        <v>363</v>
      </c>
      <c r="C343" s="213" t="s">
        <v>346</v>
      </c>
      <c r="D343" s="22" t="s">
        <v>290</v>
      </c>
      <c r="E343" s="24">
        <f>IFERROR(INDEX(TableJudje[رقم الحساب],MATCH(Tabledaily[[#This Row],[الحســاب الدئـــن]],TableJudje[اسم الحساب],0)),0)</f>
        <v>11060202</v>
      </c>
      <c r="F343" s="22" t="s">
        <v>159</v>
      </c>
      <c r="G343" s="22" t="s">
        <v>364</v>
      </c>
      <c r="H343" s="24">
        <f>IFERROR(INDEX(TableJudje[رقم الحساب],MATCH(Tabledaily[[#This Row],[الحســاب المديــــن]],TableJudje[اسم الحساب],0)),0)</f>
        <v>31010116</v>
      </c>
      <c r="I343" s="22" t="s">
        <v>122</v>
      </c>
      <c r="J343" s="22" t="s">
        <v>238</v>
      </c>
      <c r="K343" s="25">
        <v>300000</v>
      </c>
      <c r="L343" s="23">
        <v>405</v>
      </c>
      <c r="M343" s="26">
        <f>IFERROR(Tabledaily[[#This Row],[المبلـــــــغ]]/Tabledaily[[#This Row],[سعــــــر
الصـــــرف]],"")</f>
        <v>740.74074074074076</v>
      </c>
      <c r="N343" s="22" t="s">
        <v>292</v>
      </c>
      <c r="O343" s="22" t="s">
        <v>286</v>
      </c>
      <c r="P343" s="22" t="s">
        <v>287</v>
      </c>
      <c r="Q343" s="22">
        <v>0</v>
      </c>
      <c r="R343" s="22" t="s">
        <v>237</v>
      </c>
      <c r="S343" s="24">
        <f>IFERROR(INDEX(tablecost[رقم المركز],MATCH(Tabledaily[[#This Row],[مركـــــــزالتكلفــــــة]],tablecost[الاسم],0)),0)</f>
        <v>1</v>
      </c>
      <c r="T343" s="27">
        <f>DATE(Tabledaily[[#This Row],[السنــــة]],Tabledaily[[#This Row],[الشهــــر]],Tabledaily[[#This Row],[الـــــيوم]])</f>
        <v>46175</v>
      </c>
      <c r="U343" s="28">
        <v>46182.036203703705</v>
      </c>
      <c r="V343" s="22" t="s">
        <v>293</v>
      </c>
      <c r="W343" s="24">
        <f>YEAR(Tabledaily[[#This Row],[التاريخ]])</f>
        <v>2026</v>
      </c>
      <c r="X343" s="24">
        <f>MONTH(Tabledaily[[#This Row],[التاريخ]])</f>
        <v>6</v>
      </c>
      <c r="Y343" s="24">
        <f>DAY(Tabledaily[[#This Row],[التاريخ]])</f>
        <v>2</v>
      </c>
      <c r="Z34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v>
      </c>
      <c r="AA343" s="40" t="str">
        <f>IF(COUNTIF(TableDailyJournal[رقم العملية],Tabledaily[[#This Row],[رقم العملية]])&gt;1,"مرحل","غير مرحل")</f>
        <v>مرحل</v>
      </c>
    </row>
    <row r="344" spans="1:27" ht="22.9" customHeight="1" x14ac:dyDescent="0.55000000000000004">
      <c r="A344" s="39">
        <f t="shared" si="10"/>
        <v>342</v>
      </c>
      <c r="B344" s="23" t="s">
        <v>365</v>
      </c>
      <c r="C344" s="213" t="s">
        <v>346</v>
      </c>
      <c r="D344" s="22" t="s">
        <v>290</v>
      </c>
      <c r="E344" s="24">
        <f>IFERROR(INDEX(TableJudje[رقم الحساب],MATCH(Tabledaily[[#This Row],[الحســاب الدئـــن]],TableJudje[اسم الحساب],0)),0)</f>
        <v>11060202</v>
      </c>
      <c r="F344" s="22" t="s">
        <v>159</v>
      </c>
      <c r="G344" s="22" t="s">
        <v>366</v>
      </c>
      <c r="H344" s="24">
        <f>IFERROR(INDEX(TableJudje[رقم الحساب],MATCH(Tabledaily[[#This Row],[الحســاب المديــــن]],TableJudje[اسم الحساب],0)),0)</f>
        <v>31010134</v>
      </c>
      <c r="I344" s="22" t="s">
        <v>164</v>
      </c>
      <c r="J344" s="22" t="s">
        <v>238</v>
      </c>
      <c r="K344" s="25">
        <v>500000</v>
      </c>
      <c r="L344" s="23">
        <v>405</v>
      </c>
      <c r="M344" s="26">
        <f>IFERROR(Tabledaily[[#This Row],[المبلـــــــغ]]/Tabledaily[[#This Row],[سعــــــر
الصـــــرف]],"")</f>
        <v>1234.5679012345679</v>
      </c>
      <c r="N344" s="22" t="s">
        <v>367</v>
      </c>
      <c r="O344" s="22" t="s">
        <v>286</v>
      </c>
      <c r="P344" s="22" t="s">
        <v>287</v>
      </c>
      <c r="Q344" s="22">
        <v>0</v>
      </c>
      <c r="R344" s="22" t="s">
        <v>248</v>
      </c>
      <c r="S344" s="24">
        <f>IFERROR(INDEX(tablecost[رقم المركز],MATCH(Tabledaily[[#This Row],[مركـــــــزالتكلفــــــة]],tablecost[الاسم],0)),0)</f>
        <v>7</v>
      </c>
      <c r="T344" s="27">
        <f>DATE(Tabledaily[[#This Row],[السنــــة]],Tabledaily[[#This Row],[الشهــــر]],Tabledaily[[#This Row],[الـــــيوم]])</f>
        <v>46175</v>
      </c>
      <c r="U344" s="28">
        <v>46182.034837962965</v>
      </c>
      <c r="V344" s="22" t="s">
        <v>313</v>
      </c>
      <c r="W344" s="24">
        <f>YEAR(Tabledaily[[#This Row],[التاريخ]])</f>
        <v>2026</v>
      </c>
      <c r="X344" s="24">
        <f>MONTH(Tabledaily[[#This Row],[التاريخ]])</f>
        <v>6</v>
      </c>
      <c r="Y344" s="24">
        <f>DAY(Tabledaily[[#This Row],[التاريخ]])</f>
        <v>2</v>
      </c>
      <c r="Z34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اكراميات جرحى - مكرم عبدالعزي ومهند خالد - اللواء السادس)  - استلام نقدي رقم 0  سند استلام - مصاريف سفر للجرحى امر القائد بامرالقائد</v>
      </c>
      <c r="AA344" s="40" t="str">
        <f>IF(COUNTIF(TableDailyJournal[رقم العملية],Tabledaily[[#This Row],[رقم العملية]])&gt;1,"مرحل","غير مرحل")</f>
        <v>مرحل</v>
      </c>
    </row>
    <row r="345" spans="1:27" ht="22.9" customHeight="1" thickBot="1" x14ac:dyDescent="0.6">
      <c r="A345" s="41">
        <f t="shared" si="10"/>
        <v>343</v>
      </c>
      <c r="B345" s="42" t="s">
        <v>368</v>
      </c>
      <c r="C345" s="216" t="s">
        <v>346</v>
      </c>
      <c r="D345" s="43" t="s">
        <v>290</v>
      </c>
      <c r="E345" s="44">
        <f>IFERROR(INDEX(TableJudje[رقم الحساب],MATCH(Tabledaily[[#This Row],[الحســاب الدئـــن]],TableJudje[اسم الحساب],0)),0)</f>
        <v>11060202</v>
      </c>
      <c r="F345" s="43" t="s">
        <v>159</v>
      </c>
      <c r="G345" s="43" t="s">
        <v>369</v>
      </c>
      <c r="H345" s="44">
        <f>IFERROR(INDEX(TableJudje[رقم الحساب],MATCH(Tabledaily[[#This Row],[الحســاب المديــــن]],TableJudje[اسم الحساب],0)),0)</f>
        <v>31010134</v>
      </c>
      <c r="I345" s="43" t="s">
        <v>164</v>
      </c>
      <c r="J345" s="43" t="s">
        <v>241</v>
      </c>
      <c r="K345" s="45">
        <v>1500</v>
      </c>
      <c r="L345" s="42">
        <v>1</v>
      </c>
      <c r="M345" s="46">
        <f>IFERROR(Tabledaily[[#This Row],[المبلـــــــغ]]/Tabledaily[[#This Row],[سعــــــر
الصـــــرف]],"")</f>
        <v>1500</v>
      </c>
      <c r="N345" s="43" t="s">
        <v>370</v>
      </c>
      <c r="O345" s="43" t="s">
        <v>286</v>
      </c>
      <c r="P345" s="43" t="s">
        <v>287</v>
      </c>
      <c r="Q345" s="43">
        <v>0</v>
      </c>
      <c r="R345" s="43" t="s">
        <v>248</v>
      </c>
      <c r="S345" s="44">
        <f>IFERROR(INDEX(tablecost[رقم المركز],MATCH(Tabledaily[[#This Row],[مركـــــــزالتكلفــــــة]],tablecost[الاسم],0)),0)</f>
        <v>7</v>
      </c>
      <c r="T345" s="47">
        <f>DATE(Tabledaily[[#This Row],[السنــــة]],Tabledaily[[#This Row],[الشهــــر]],Tabledaily[[#This Row],[الـــــيوم]])</f>
        <v>46175</v>
      </c>
      <c r="U345" s="48">
        <v>46182.032314814816</v>
      </c>
      <c r="V345" s="43" t="s">
        <v>371</v>
      </c>
      <c r="W345" s="44">
        <f>YEAR(Tabledaily[[#This Row],[التاريخ]])</f>
        <v>2026</v>
      </c>
      <c r="X345" s="44">
        <f>MONTH(Tabledaily[[#This Row],[التاريخ]])</f>
        <v>6</v>
      </c>
      <c r="Y345" s="44">
        <f>DAY(Tabledaily[[#This Row],[التاريخ]])</f>
        <v>2</v>
      </c>
      <c r="Z34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v>
      </c>
      <c r="AA345" s="49" t="str">
        <f>IF(COUNTIF(TableDailyJournal[رقم العملية],Tabledaily[[#This Row],[رقم العملية]])&gt;1,"مرحل","غير مرحل")</f>
        <v>مرحل</v>
      </c>
    </row>
    <row r="346" spans="1:27" ht="22.9" customHeight="1" x14ac:dyDescent="0.55000000000000004">
      <c r="A346" s="22">
        <f t="shared" si="10"/>
        <v>344</v>
      </c>
      <c r="B346" s="23" t="s">
        <v>372</v>
      </c>
      <c r="C346" s="213">
        <v>46175</v>
      </c>
      <c r="D346" s="22" t="s">
        <v>290</v>
      </c>
      <c r="E346" s="24">
        <f>IFERROR(INDEX(TableJudje[رقم الحساب],MATCH(Tabledaily[[#This Row],[الحســاب الدئـــن]],TableJudje[اسم الحساب],0)),0)</f>
        <v>11060202</v>
      </c>
      <c r="F346" s="22" t="s">
        <v>159</v>
      </c>
      <c r="G346" s="22" t="s">
        <v>373</v>
      </c>
      <c r="H346" s="24">
        <f>IFERROR(INDEX(TableJudje[رقم الحساب],MATCH(Tabledaily[[#This Row],[الحســاب المديــــن]],TableJudje[اسم الحساب],0)),0)</f>
        <v>31010101</v>
      </c>
      <c r="I346" s="22" t="s">
        <v>111</v>
      </c>
      <c r="J346" s="22" t="s">
        <v>238</v>
      </c>
      <c r="K346" s="25">
        <v>42000</v>
      </c>
      <c r="L346" s="23">
        <v>405</v>
      </c>
      <c r="M346" s="26">
        <f>IFERROR(Tabledaily[[#This Row],[المبلـــــــغ]]/Tabledaily[[#This Row],[سعــــــر
الصـــــرف]],"")</f>
        <v>103.70370370370371</v>
      </c>
      <c r="N346" s="22" t="s">
        <v>374</v>
      </c>
      <c r="O346" s="22" t="s">
        <v>312</v>
      </c>
      <c r="P346" s="22" t="s">
        <v>312</v>
      </c>
      <c r="Q346" s="22">
        <v>7</v>
      </c>
      <c r="R346" s="22" t="s">
        <v>237</v>
      </c>
      <c r="S346" s="24">
        <f>IFERROR(INDEX(tablecost[رقم المركز],MATCH(Tabledaily[[#This Row],[مركـــــــزالتكلفــــــة]],tablecost[الاسم],0)),0)</f>
        <v>1</v>
      </c>
      <c r="T346" s="27">
        <f>DATE(Tabledaily[[#This Row],[السنــــة]],Tabledaily[[#This Row],[الشهــــر]],Tabledaily[[#This Row],[الـــــيوم]])</f>
        <v>46175</v>
      </c>
      <c r="U346" s="28">
        <v>46182.028958333336</v>
      </c>
      <c r="V346" s="22"/>
      <c r="W346" s="24">
        <f>YEAR(Tabledaily[[#This Row],[التاريخ]])</f>
        <v>2026</v>
      </c>
      <c r="X346" s="24">
        <f>MONTH(Tabledaily[[#This Row],[التاريخ]])</f>
        <v>6</v>
      </c>
      <c r="Y346" s="24">
        <f>DAY(Tabledaily[[#This Row],[التاريخ]])</f>
        <v>2</v>
      </c>
      <c r="Z34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AA346" s="24" t="str">
        <f>IF(COUNTIF(TableDailyJournal[رقم العملية],Tabledaily[[#This Row],[رقم العملية]])&gt;1,"مرحل","غير مرحل")</f>
        <v>مرحل</v>
      </c>
    </row>
    <row r="347" spans="1:27" ht="22.9" customHeight="1" x14ac:dyDescent="0.55000000000000004">
      <c r="A347" s="22">
        <f t="shared" si="10"/>
        <v>345</v>
      </c>
      <c r="B347" s="23" t="s">
        <v>375</v>
      </c>
      <c r="C347" s="213" t="s">
        <v>346</v>
      </c>
      <c r="D347" s="22" t="s">
        <v>290</v>
      </c>
      <c r="E347" s="24">
        <f>IFERROR(INDEX(TableJudje[رقم الحساب],MATCH(Tabledaily[[#This Row],[الحســاب الدئـــن]],TableJudje[اسم الحساب],0)),0)</f>
        <v>11060202</v>
      </c>
      <c r="F347" s="22" t="s">
        <v>159</v>
      </c>
      <c r="G347" s="22" t="s">
        <v>376</v>
      </c>
      <c r="H347" s="24">
        <f>IFERROR(INDEX(TableJudje[رقم الحساب],MATCH(Tabledaily[[#This Row],[الحســاب المديــــن]],TableJudje[اسم الحساب],0)),0)</f>
        <v>31010101</v>
      </c>
      <c r="I347" s="22" t="s">
        <v>111</v>
      </c>
      <c r="J347" s="22" t="s">
        <v>238</v>
      </c>
      <c r="K347" s="25">
        <v>50000</v>
      </c>
      <c r="L347" s="23">
        <v>405</v>
      </c>
      <c r="M347" s="26">
        <f>IFERROR(Tabledaily[[#This Row],[المبلـــــــغ]]/Tabledaily[[#This Row],[سعــــــر
الصـــــرف]],"")</f>
        <v>123.45679012345678</v>
      </c>
      <c r="N347" s="22" t="s">
        <v>322</v>
      </c>
      <c r="O347" s="22" t="s">
        <v>312</v>
      </c>
      <c r="P347" s="22" t="s">
        <v>312</v>
      </c>
      <c r="Q347" s="22">
        <v>7</v>
      </c>
      <c r="R347" s="22" t="s">
        <v>237</v>
      </c>
      <c r="S347" s="24">
        <f>IFERROR(INDEX(tablecost[رقم المركز],MATCH(Tabledaily[[#This Row],[مركـــــــزالتكلفــــــة]],tablecost[الاسم],0)),0)</f>
        <v>1</v>
      </c>
      <c r="T347" s="27">
        <f>DATE(Tabledaily[[#This Row],[السنــــة]],Tabledaily[[#This Row],[الشهــــر]],Tabledaily[[#This Row],[الـــــيوم]])</f>
        <v>46175</v>
      </c>
      <c r="U347" s="28">
        <v>46182.027187500003</v>
      </c>
      <c r="V347" s="22"/>
      <c r="W347" s="24">
        <f>YEAR(Tabledaily[[#This Row],[التاريخ]])</f>
        <v>2026</v>
      </c>
      <c r="X347" s="24">
        <f>MONTH(Tabledaily[[#This Row],[التاريخ]])</f>
        <v>6</v>
      </c>
      <c r="Y347" s="24">
        <f>DAY(Tabledaily[[#This Row],[التاريخ]])</f>
        <v>2</v>
      </c>
      <c r="Z34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7  كشف صرف - الصرفة اليومية اخرون عدد 5 بامر</v>
      </c>
      <c r="AA347" s="24" t="str">
        <f>IF(COUNTIF(TableDailyJournal[رقم العملية],Tabledaily[[#This Row],[رقم العملية]])&gt;1,"مرحل","غير مرحل")</f>
        <v>مرحل</v>
      </c>
    </row>
    <row r="348" spans="1:27" ht="22.9" customHeight="1" x14ac:dyDescent="0.55000000000000004">
      <c r="A348" s="22">
        <f t="shared" si="10"/>
        <v>346</v>
      </c>
      <c r="B348" s="23" t="s">
        <v>377</v>
      </c>
      <c r="C348" s="213" t="s">
        <v>346</v>
      </c>
      <c r="D348" s="22" t="s">
        <v>290</v>
      </c>
      <c r="E348" s="24">
        <f>IFERROR(INDEX(TableJudje[رقم الحساب],MATCH(Tabledaily[[#This Row],[الحســاب الدئـــن]],TableJudje[اسم الحساب],0)),0)</f>
        <v>11060202</v>
      </c>
      <c r="F348" s="22" t="s">
        <v>159</v>
      </c>
      <c r="G348" s="22" t="s">
        <v>324</v>
      </c>
      <c r="H348" s="24">
        <f>IFERROR(INDEX(TableJudje[رقم الحساب],MATCH(Tabledaily[[#This Row],[الحســاب المديــــن]],TableJudje[اسم الحساب],0)),0)</f>
        <v>31010101</v>
      </c>
      <c r="I348" s="22" t="s">
        <v>111</v>
      </c>
      <c r="J348" s="22" t="s">
        <v>238</v>
      </c>
      <c r="K348" s="25">
        <v>135000</v>
      </c>
      <c r="L348" s="23">
        <v>405</v>
      </c>
      <c r="M348" s="26">
        <f>IFERROR(Tabledaily[[#This Row],[المبلـــــــغ]]/Tabledaily[[#This Row],[سعــــــر
الصـــــرف]],"")</f>
        <v>333.33333333333331</v>
      </c>
      <c r="N348" s="22" t="s">
        <v>325</v>
      </c>
      <c r="O348" s="22" t="s">
        <v>312</v>
      </c>
      <c r="P348" s="22" t="s">
        <v>312</v>
      </c>
      <c r="Q348" s="22">
        <v>8</v>
      </c>
      <c r="R348" s="22" t="s">
        <v>237</v>
      </c>
      <c r="S348" s="24">
        <f>IFERROR(INDEX(tablecost[رقم المركز],MATCH(Tabledaily[[#This Row],[مركـــــــزالتكلفــــــة]],tablecost[الاسم],0)),0)</f>
        <v>1</v>
      </c>
      <c r="T348" s="27">
        <f>DATE(Tabledaily[[#This Row],[السنــــة]],Tabledaily[[#This Row],[الشهــــر]],Tabledaily[[#This Row],[الـــــيوم]])</f>
        <v>46175</v>
      </c>
      <c r="U348" s="28">
        <v>46182.026145833333</v>
      </c>
      <c r="V348" s="22"/>
      <c r="W348" s="24">
        <f>YEAR(Tabledaily[[#This Row],[التاريخ]])</f>
        <v>2026</v>
      </c>
      <c r="X348" s="24">
        <f>MONTH(Tabledaily[[#This Row],[التاريخ]])</f>
        <v>6</v>
      </c>
      <c r="Y348" s="24">
        <f>DAY(Tabledaily[[#This Row],[التاريخ]])</f>
        <v>2</v>
      </c>
      <c r="Z34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8  كشف صرف - صرف الصرفة اليومية ضباط سابقين لعدد 8 بامر</v>
      </c>
      <c r="AA348" s="24" t="str">
        <f>IF(COUNTIF(TableDailyJournal[رقم العملية],Tabledaily[[#This Row],[رقم العملية]])&gt;1,"مرحل","غير مرحل")</f>
        <v>مرحل</v>
      </c>
    </row>
    <row r="349" spans="1:27" ht="22.9" customHeight="1" x14ac:dyDescent="0.55000000000000004">
      <c r="A349" s="22">
        <f t="shared" si="10"/>
        <v>347</v>
      </c>
      <c r="B349" s="23" t="s">
        <v>378</v>
      </c>
      <c r="C349" s="213" t="s">
        <v>346</v>
      </c>
      <c r="D349" s="22" t="s">
        <v>290</v>
      </c>
      <c r="E349" s="24">
        <f>IFERROR(INDEX(TableJudje[رقم الحساب],MATCH(Tabledaily[[#This Row],[الحســاب الدئـــن]],TableJudje[اسم الحساب],0)),0)</f>
        <v>11060202</v>
      </c>
      <c r="F349" s="22" t="s">
        <v>159</v>
      </c>
      <c r="G349" s="22" t="s">
        <v>327</v>
      </c>
      <c r="H349" s="24">
        <f>IFERROR(INDEX(TableJudje[رقم الحساب],MATCH(Tabledaily[[#This Row],[الحســاب المديــــن]],TableJudje[اسم الحساب],0)),0)</f>
        <v>31010101</v>
      </c>
      <c r="I349" s="22" t="s">
        <v>111</v>
      </c>
      <c r="J349" s="22" t="s">
        <v>238</v>
      </c>
      <c r="K349" s="25">
        <v>32000</v>
      </c>
      <c r="L349" s="23">
        <v>405</v>
      </c>
      <c r="M349" s="26">
        <f>IFERROR(Tabledaily[[#This Row],[المبلـــــــغ]]/Tabledaily[[#This Row],[سعــــــر
الصـــــرف]],"")</f>
        <v>79.012345679012341</v>
      </c>
      <c r="N349" s="22" t="s">
        <v>328</v>
      </c>
      <c r="O349" s="22" t="s">
        <v>312</v>
      </c>
      <c r="P349" s="22" t="s">
        <v>312</v>
      </c>
      <c r="Q349" s="22">
        <v>5</v>
      </c>
      <c r="R349" s="22" t="s">
        <v>237</v>
      </c>
      <c r="S349" s="24">
        <f>IFERROR(INDEX(tablecost[رقم المركز],MATCH(Tabledaily[[#This Row],[مركـــــــزالتكلفــــــة]],tablecost[الاسم],0)),0)</f>
        <v>1</v>
      </c>
      <c r="T349" s="27">
        <f>DATE(Tabledaily[[#This Row],[السنــــة]],Tabledaily[[#This Row],[الشهــــر]],Tabledaily[[#This Row],[الـــــيوم]])</f>
        <v>46175</v>
      </c>
      <c r="U349" s="28">
        <v>46182.025324074071</v>
      </c>
      <c r="V349" s="22"/>
      <c r="W349" s="24">
        <f>YEAR(Tabledaily[[#This Row],[التاريخ]])</f>
        <v>2026</v>
      </c>
      <c r="X349" s="24">
        <f>MONTH(Tabledaily[[#This Row],[التاريخ]])</f>
        <v>6</v>
      </c>
      <c r="Y349" s="24">
        <f>DAY(Tabledaily[[#This Row],[التاريخ]])</f>
        <v>2</v>
      </c>
      <c r="Z34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5  كشف صرف - صرف الصرفة اليومية للطبية والمحاسبين لعدد 5 بامر</v>
      </c>
      <c r="AA349" s="24" t="str">
        <f>IF(COUNTIF(TableDailyJournal[رقم العملية],Tabledaily[[#This Row],[رقم العملية]])&gt;1,"مرحل","غير مرحل")</f>
        <v>مرحل</v>
      </c>
    </row>
    <row r="350" spans="1:27" ht="22.9" customHeight="1" x14ac:dyDescent="0.55000000000000004">
      <c r="A350" s="22">
        <f t="shared" si="10"/>
        <v>348</v>
      </c>
      <c r="B350" s="23" t="s">
        <v>379</v>
      </c>
      <c r="C350" s="213" t="s">
        <v>346</v>
      </c>
      <c r="D350" s="22" t="s">
        <v>290</v>
      </c>
      <c r="E350" s="24">
        <f>IFERROR(INDEX(TableJudje[رقم الحساب],MATCH(Tabledaily[[#This Row],[الحســاب الدئـــن]],TableJudje[اسم الحساب],0)),0)</f>
        <v>11060202</v>
      </c>
      <c r="F350" s="22" t="s">
        <v>159</v>
      </c>
      <c r="G350" s="22" t="s">
        <v>380</v>
      </c>
      <c r="H350" s="24">
        <f>IFERROR(INDEX(TableJudje[رقم الحساب],MATCH(Tabledaily[[#This Row],[الحســاب المديــــن]],TableJudje[اسم الحساب],0)),0)</f>
        <v>31010101</v>
      </c>
      <c r="I350" s="22" t="s">
        <v>111</v>
      </c>
      <c r="J350" s="22" t="s">
        <v>238</v>
      </c>
      <c r="K350" s="25">
        <v>30000</v>
      </c>
      <c r="L350" s="23">
        <v>405</v>
      </c>
      <c r="M350" s="26">
        <f>IFERROR(Tabledaily[[#This Row],[المبلـــــــغ]]/Tabledaily[[#This Row],[سعــــــر
الصـــــرف]],"")</f>
        <v>74.074074074074076</v>
      </c>
      <c r="N350" s="22" t="s">
        <v>331</v>
      </c>
      <c r="O350" s="22" t="s">
        <v>312</v>
      </c>
      <c r="P350" s="22" t="s">
        <v>312</v>
      </c>
      <c r="Q350" s="22">
        <v>3</v>
      </c>
      <c r="R350" s="22" t="s">
        <v>237</v>
      </c>
      <c r="S350" s="24">
        <f>IFERROR(INDEX(tablecost[رقم المركز],MATCH(Tabledaily[[#This Row],[مركـــــــزالتكلفــــــة]],tablecost[الاسم],0)),0)</f>
        <v>1</v>
      </c>
      <c r="T350" s="27">
        <f>DATE(Tabledaily[[#This Row],[السنــــة]],Tabledaily[[#This Row],[الشهــــر]],Tabledaily[[#This Row],[الـــــيوم]])</f>
        <v>46175</v>
      </c>
      <c r="U350" s="28">
        <v>46182.018229166664</v>
      </c>
      <c r="V350" s="22"/>
      <c r="W350" s="24">
        <f>YEAR(Tabledaily[[#This Row],[التاريخ]])</f>
        <v>2026</v>
      </c>
      <c r="X350" s="24">
        <f>MONTH(Tabledaily[[#This Row],[التاريخ]])</f>
        <v>6</v>
      </c>
      <c r="Y350" s="24">
        <f>DAY(Tabledaily[[#This Row],[التاريخ]])</f>
        <v>2</v>
      </c>
      <c r="Z35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المستشارين والمساعدين - الفرقة الثالثة)  - كشف صرف رقم 3  كشف صرف - صررف صرفة يومية للمستشارين والمساعدين 3 بامر</v>
      </c>
      <c r="AA350" s="24" t="str">
        <f>IF(COUNTIF(TableDailyJournal[رقم العملية],Tabledaily[[#This Row],[رقم العملية]])&gt;1,"مرحل","غير مرحل")</f>
        <v>مرحل</v>
      </c>
    </row>
    <row r="351" spans="1:27" ht="22.9" customHeight="1" x14ac:dyDescent="0.55000000000000004">
      <c r="A351" s="22">
        <f t="shared" si="10"/>
        <v>349</v>
      </c>
      <c r="B351" s="23" t="s">
        <v>381</v>
      </c>
      <c r="C351" s="213" t="s">
        <v>346</v>
      </c>
      <c r="D351" s="22" t="s">
        <v>290</v>
      </c>
      <c r="E351" s="24">
        <f>IFERROR(INDEX(TableJudje[رقم الحساب],MATCH(Tabledaily[[#This Row],[الحســاب الدئـــن]],TableJudje[اسم الحساب],0)),0)</f>
        <v>11060202</v>
      </c>
      <c r="F351" s="22" t="s">
        <v>159</v>
      </c>
      <c r="G351" s="22" t="s">
        <v>333</v>
      </c>
      <c r="H351" s="24">
        <f>IFERROR(INDEX(TableJudje[رقم الحساب],MATCH(Tabledaily[[#This Row],[الحســاب المديــــن]],TableJudje[اسم الحساب],0)),0)</f>
        <v>31010101</v>
      </c>
      <c r="I351" s="22" t="s">
        <v>111</v>
      </c>
      <c r="J351" s="22" t="s">
        <v>238</v>
      </c>
      <c r="K351" s="25">
        <v>65000</v>
      </c>
      <c r="L351" s="23">
        <v>405</v>
      </c>
      <c r="M351" s="26">
        <f>IFERROR(Tabledaily[[#This Row],[المبلـــــــغ]]/Tabledaily[[#This Row],[سعــــــر
الصـــــرف]],"")</f>
        <v>160.49382716049382</v>
      </c>
      <c r="N351" s="22" t="s">
        <v>334</v>
      </c>
      <c r="O351" s="22" t="s">
        <v>312</v>
      </c>
      <c r="P351" s="22" t="s">
        <v>312</v>
      </c>
      <c r="Q351" s="22">
        <v>4</v>
      </c>
      <c r="R351" s="22" t="s">
        <v>237</v>
      </c>
      <c r="S351" s="24">
        <f>IFERROR(INDEX(tablecost[رقم المركز],MATCH(Tabledaily[[#This Row],[مركـــــــزالتكلفــــــة]],tablecost[الاسم],0)),0)</f>
        <v>1</v>
      </c>
      <c r="T351" s="27">
        <f>DATE(Tabledaily[[#This Row],[السنــــة]],Tabledaily[[#This Row],[الشهــــر]],Tabledaily[[#This Row],[الـــــيوم]])</f>
        <v>46175</v>
      </c>
      <c r="U351" s="28">
        <v>46182.013391203705</v>
      </c>
      <c r="V351" s="22"/>
      <c r="W351" s="24">
        <f>YEAR(Tabledaily[[#This Row],[التاريخ]])</f>
        <v>2026</v>
      </c>
      <c r="X351" s="24">
        <f>MONTH(Tabledaily[[#This Row],[التاريخ]])</f>
        <v>6</v>
      </c>
      <c r="Y351" s="24">
        <f>DAY(Tabledaily[[#This Row],[التاريخ]])</f>
        <v>2</v>
      </c>
      <c r="Z35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4  كشف صرف - صرف الصرفة اليومية  الاستخبارات لعدد 4 بامر</v>
      </c>
      <c r="AA351" s="24" t="str">
        <f>IF(COUNTIF(TableDailyJournal[رقم العملية],Tabledaily[[#This Row],[رقم العملية]])&gt;1,"مرحل","غير مرحل")</f>
        <v>مرحل</v>
      </c>
    </row>
    <row r="352" spans="1:27" ht="22.9" customHeight="1" x14ac:dyDescent="0.55000000000000004">
      <c r="A352" s="22">
        <f t="shared" ref="A352:A371" si="11">ROW()-2</f>
        <v>350</v>
      </c>
      <c r="B352" s="23" t="s">
        <v>382</v>
      </c>
      <c r="C352" s="213" t="s">
        <v>346</v>
      </c>
      <c r="D352" s="22" t="s">
        <v>290</v>
      </c>
      <c r="E352" s="24">
        <f>IFERROR(INDEX(TableJudje[رقم الحساب],MATCH(Tabledaily[[#This Row],[الحســاب الدئـــن]],TableJudje[اسم الحساب],0)),0)</f>
        <v>11060202</v>
      </c>
      <c r="F352" s="22" t="s">
        <v>159</v>
      </c>
      <c r="G352" s="22" t="s">
        <v>336</v>
      </c>
      <c r="H352" s="24">
        <f>IFERROR(INDEX(TableJudje[رقم الحساب],MATCH(Tabledaily[[#This Row],[الحســاب المديــــن]],TableJudje[اسم الحساب],0)),0)</f>
        <v>31010101</v>
      </c>
      <c r="I352" s="22" t="s">
        <v>111</v>
      </c>
      <c r="J352" s="22" t="s">
        <v>238</v>
      </c>
      <c r="K352" s="25">
        <v>30000</v>
      </c>
      <c r="L352" s="23">
        <v>405</v>
      </c>
      <c r="M352" s="26">
        <f>IFERROR(Tabledaily[[#This Row],[المبلـــــــغ]]/Tabledaily[[#This Row],[سعــــــر
الصـــــرف]],"")</f>
        <v>74.074074074074076</v>
      </c>
      <c r="N352" s="22" t="s">
        <v>337</v>
      </c>
      <c r="O352" s="22" t="s">
        <v>312</v>
      </c>
      <c r="P352" s="22" t="s">
        <v>312</v>
      </c>
      <c r="Q352" s="22">
        <v>2</v>
      </c>
      <c r="R352" s="22" t="s">
        <v>237</v>
      </c>
      <c r="S352" s="24">
        <f>IFERROR(INDEX(tablecost[رقم المركز],MATCH(Tabledaily[[#This Row],[مركـــــــزالتكلفــــــة]],tablecost[الاسم],0)),0)</f>
        <v>1</v>
      </c>
      <c r="T352" s="27">
        <f>DATE(Tabledaily[[#This Row],[السنــــة]],Tabledaily[[#This Row],[الشهــــر]],Tabledaily[[#This Row],[الـــــيوم]])</f>
        <v>46175</v>
      </c>
      <c r="U352" s="28">
        <v>46182.004236111112</v>
      </c>
      <c r="V352" s="22"/>
      <c r="W352" s="24">
        <f>YEAR(Tabledaily[[#This Row],[التاريخ]])</f>
        <v>2026</v>
      </c>
      <c r="X352" s="24">
        <f>MONTH(Tabledaily[[#This Row],[التاريخ]])</f>
        <v>6</v>
      </c>
      <c r="Y352" s="24">
        <f>DAY(Tabledaily[[#This Row],[التاريخ]])</f>
        <v>2</v>
      </c>
      <c r="Z35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2  كشف صرف - صرف الصرفة اليومية  للبشرة والصراف عدد 2  بامر</v>
      </c>
      <c r="AA352" s="24" t="str">
        <f>IF(COUNTIF(TableDailyJournal[رقم العملية],Tabledaily[[#This Row],[رقم العملية]])&gt;1,"مرحل","غير مرحل")</f>
        <v>مرحل</v>
      </c>
    </row>
    <row r="353" spans="1:27" ht="22.9" customHeight="1" x14ac:dyDescent="0.55000000000000004">
      <c r="A353" s="22">
        <f t="shared" si="11"/>
        <v>351</v>
      </c>
      <c r="B353" s="23" t="s">
        <v>383</v>
      </c>
      <c r="C353" s="213" t="s">
        <v>346</v>
      </c>
      <c r="D353" s="22" t="s">
        <v>290</v>
      </c>
      <c r="E353" s="24">
        <f>IFERROR(INDEX(TableJudje[رقم الحساب],MATCH(Tabledaily[[#This Row],[الحســاب الدئـــن]],TableJudje[اسم الحساب],0)),0)</f>
        <v>11060202</v>
      </c>
      <c r="F353" s="22" t="s">
        <v>159</v>
      </c>
      <c r="G353" s="22" t="s">
        <v>384</v>
      </c>
      <c r="H353" s="24">
        <f>IFERROR(INDEX(TableJudje[رقم الحساب],MATCH(Tabledaily[[#This Row],[الحســاب المديــــن]],TableJudje[اسم الحساب],0)),0)</f>
        <v>31010101</v>
      </c>
      <c r="I353" s="22" t="s">
        <v>111</v>
      </c>
      <c r="J353" s="22" t="s">
        <v>238</v>
      </c>
      <c r="K353" s="25">
        <v>132000</v>
      </c>
      <c r="L353" s="23">
        <v>405</v>
      </c>
      <c r="M353" s="26">
        <f>IFERROR(Tabledaily[[#This Row],[المبلـــــــغ]]/Tabledaily[[#This Row],[سعــــــر
الصـــــرف]],"")</f>
        <v>325.92592592592592</v>
      </c>
      <c r="N353" s="22" t="s">
        <v>340</v>
      </c>
      <c r="O353" s="22" t="s">
        <v>312</v>
      </c>
      <c r="P353" s="22" t="s">
        <v>312</v>
      </c>
      <c r="Q353" s="22">
        <v>12</v>
      </c>
      <c r="R353" s="22" t="s">
        <v>237</v>
      </c>
      <c r="S353" s="24">
        <f>IFERROR(INDEX(tablecost[رقم المركز],MATCH(Tabledaily[[#This Row],[مركـــــــزالتكلفــــــة]],tablecost[الاسم],0)),0)</f>
        <v>1</v>
      </c>
      <c r="T353" s="27">
        <f>DATE(Tabledaily[[#This Row],[السنــــة]],Tabledaily[[#This Row],[الشهــــر]],Tabledaily[[#This Row],[الـــــيوم]])</f>
        <v>46175</v>
      </c>
      <c r="U353" s="28">
        <v>46182.002442129633</v>
      </c>
      <c r="V353" s="22"/>
      <c r="W353" s="24">
        <f>YEAR(Tabledaily[[#This Row],[التاريخ]])</f>
        <v>2026</v>
      </c>
      <c r="X353" s="24">
        <f>MONTH(Tabledaily[[#This Row],[التاريخ]])</f>
        <v>6</v>
      </c>
      <c r="Y353" s="24">
        <f>DAY(Tabledaily[[#This Row],[التاريخ]])</f>
        <v>2</v>
      </c>
      <c r="Z35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12  كشف صرف - صرف الصرفة اليومية  لافراد الامداد لعدد 12 فرد بامر</v>
      </c>
      <c r="AA353" s="24" t="str">
        <f>IF(COUNTIF(TableDailyJournal[رقم العملية],Tabledaily[[#This Row],[رقم العملية]])&gt;1,"مرحل","غير مرحل")</f>
        <v>مرحل</v>
      </c>
    </row>
    <row r="354" spans="1:27" ht="22.9" customHeight="1" thickBot="1" x14ac:dyDescent="0.6">
      <c r="A354" s="22">
        <f t="shared" si="11"/>
        <v>352</v>
      </c>
      <c r="B354" s="23" t="s">
        <v>385</v>
      </c>
      <c r="C354" s="213" t="s">
        <v>346</v>
      </c>
      <c r="D354" s="22" t="s">
        <v>290</v>
      </c>
      <c r="E354" s="24">
        <f>IFERROR(INDEX(TableJudje[رقم الحساب],MATCH(Tabledaily[[#This Row],[الحســاب الدئـــن]],TableJudje[اسم الحساب],0)),0)</f>
        <v>11060202</v>
      </c>
      <c r="F354" s="22" t="s">
        <v>159</v>
      </c>
      <c r="G354" s="22" t="s">
        <v>342</v>
      </c>
      <c r="H354" s="24">
        <f>IFERROR(INDEX(TableJudje[رقم الحساب],MATCH(Tabledaily[[#This Row],[الحســاب المديــــن]],TableJudje[اسم الحساب],0)),0)</f>
        <v>31010101</v>
      </c>
      <c r="I354" s="22" t="s">
        <v>111</v>
      </c>
      <c r="J354" s="22" t="s">
        <v>238</v>
      </c>
      <c r="K354" s="25">
        <v>33000</v>
      </c>
      <c r="L354" s="23">
        <v>405</v>
      </c>
      <c r="M354" s="26">
        <f>IFERROR(Tabledaily[[#This Row],[المبلـــــــغ]]/Tabledaily[[#This Row],[سعــــــر
الصـــــرف]],"")</f>
        <v>81.481481481481481</v>
      </c>
      <c r="N354" s="22" t="s">
        <v>343</v>
      </c>
      <c r="O354" s="22" t="s">
        <v>312</v>
      </c>
      <c r="P354" s="22" t="s">
        <v>312</v>
      </c>
      <c r="Q354" s="22">
        <v>4</v>
      </c>
      <c r="R354" s="22" t="s">
        <v>237</v>
      </c>
      <c r="S354" s="24">
        <f>IFERROR(INDEX(tablecost[رقم المركز],MATCH(Tabledaily[[#This Row],[مركـــــــزالتكلفــــــة]],tablecost[الاسم],0)),0)</f>
        <v>1</v>
      </c>
      <c r="T354" s="27">
        <f>DATE(Tabledaily[[#This Row],[السنــــة]],Tabledaily[[#This Row],[الشهــــر]],Tabledaily[[#This Row],[الـــــيوم]])</f>
        <v>46175</v>
      </c>
      <c r="U354" s="28">
        <v>46182.001157407409</v>
      </c>
      <c r="V354" s="22"/>
      <c r="W354" s="24">
        <f>YEAR(Tabledaily[[#This Row],[التاريخ]])</f>
        <v>2026</v>
      </c>
      <c r="X354" s="24">
        <f>MONTH(Tabledaily[[#This Row],[التاريخ]])</f>
        <v>6</v>
      </c>
      <c r="Y354" s="24">
        <f>DAY(Tabledaily[[#This Row],[التاريخ]])</f>
        <v>2</v>
      </c>
      <c r="Z35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4  كشف صرف - صرف الصرفة اليومية للسيطرة والاتصالات لعدد 4  بامر</v>
      </c>
      <c r="AA354" s="24" t="str">
        <f>IF(COUNTIF(TableDailyJournal[رقم العملية],Tabledaily[[#This Row],[رقم العملية]])&gt;1,"مرحل","غير مرحل")</f>
        <v>مرحل</v>
      </c>
    </row>
    <row r="355" spans="1:27" ht="22.9" customHeight="1" x14ac:dyDescent="0.55000000000000004">
      <c r="A355" s="30">
        <f t="shared" si="11"/>
        <v>353</v>
      </c>
      <c r="B355" s="31" t="s">
        <v>386</v>
      </c>
      <c r="C355" s="215" t="s">
        <v>387</v>
      </c>
      <c r="D355" s="32" t="s">
        <v>290</v>
      </c>
      <c r="E355" s="33">
        <f>IFERROR(INDEX(TableJudje[رقم الحساب],MATCH(Tabledaily[[#This Row],[الحســاب الدئـــن]],TableJudje[اسم الحساب],0)),0)</f>
        <v>11060202</v>
      </c>
      <c r="F355" s="32" t="s">
        <v>159</v>
      </c>
      <c r="G355" s="32" t="s">
        <v>388</v>
      </c>
      <c r="H355" s="33">
        <f>IFERROR(INDEX(TableJudje[رقم الحساب],MATCH(Tabledaily[[#This Row],[الحســاب المديــــن]],TableJudje[اسم الحساب],0)),0)</f>
        <v>31010101</v>
      </c>
      <c r="I355" s="32" t="s">
        <v>111</v>
      </c>
      <c r="J355" s="32" t="s">
        <v>238</v>
      </c>
      <c r="K355" s="34">
        <v>180000</v>
      </c>
      <c r="L355" s="31">
        <v>405</v>
      </c>
      <c r="M355" s="35">
        <f>IFERROR(Tabledaily[[#This Row],[المبلـــــــغ]]/Tabledaily[[#This Row],[سعــــــر
الصـــــرف]],"")</f>
        <v>444.44444444444446</v>
      </c>
      <c r="N355" s="32" t="s">
        <v>311</v>
      </c>
      <c r="O355" s="32" t="s">
        <v>312</v>
      </c>
      <c r="P355" s="32" t="s">
        <v>312</v>
      </c>
      <c r="Q355" s="32">
        <v>45</v>
      </c>
      <c r="R355" s="32" t="s">
        <v>248</v>
      </c>
      <c r="S355" s="33">
        <f>IFERROR(INDEX(tablecost[رقم المركز],MATCH(Tabledaily[[#This Row],[مركـــــــزالتكلفــــــة]],tablecost[الاسم],0)),0)</f>
        <v>7</v>
      </c>
      <c r="T355" s="36">
        <f>DATE(Tabledaily[[#This Row],[السنــــة]],Tabledaily[[#This Row],[الشهــــر]],Tabledaily[[#This Row],[الـــــيوم]])</f>
        <v>46174</v>
      </c>
      <c r="U355" s="37">
        <v>46181.96980324074</v>
      </c>
      <c r="V355" s="32" t="s">
        <v>313</v>
      </c>
      <c r="W355" s="33">
        <f>YEAR(Tabledaily[[#This Row],[التاريخ]])</f>
        <v>2026</v>
      </c>
      <c r="X355" s="33">
        <f>MONTH(Tabledaily[[#This Row],[التاريخ]])</f>
        <v>6</v>
      </c>
      <c r="Y355" s="33">
        <f>DAY(Tabledaily[[#This Row],[التاريخ]])</f>
        <v>1</v>
      </c>
      <c r="Z35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سرية اللواء السادس - اللواء السادس)  - كشف صرف رقم 45  كشف صرف - مصاريف يومية سرية اللواء السادس عدد 45 بامرالقائد</v>
      </c>
      <c r="AA355" s="38" t="str">
        <f>IF(COUNTIF(TableDailyJournal[رقم العملية],Tabledaily[[#This Row],[رقم العملية]])&gt;1,"مرحل","غير مرحل")</f>
        <v>مرحل</v>
      </c>
    </row>
    <row r="356" spans="1:27" ht="22.9" customHeight="1" x14ac:dyDescent="0.55000000000000004">
      <c r="A356" s="39">
        <f t="shared" si="11"/>
        <v>354</v>
      </c>
      <c r="B356" s="23" t="s">
        <v>389</v>
      </c>
      <c r="C356" s="213" t="s">
        <v>387</v>
      </c>
      <c r="D356" s="22" t="s">
        <v>290</v>
      </c>
      <c r="E356" s="24">
        <f>IFERROR(INDEX(TableJudje[رقم الحساب],MATCH(Tabledaily[[#This Row],[الحســاب الدئـــن]],TableJudje[اسم الحساب],0)),0)</f>
        <v>11060202</v>
      </c>
      <c r="F356" s="22" t="s">
        <v>159</v>
      </c>
      <c r="G356" s="22" t="s">
        <v>390</v>
      </c>
      <c r="H356" s="24">
        <f>IFERROR(INDEX(TableJudje[رقم الحساب],MATCH(Tabledaily[[#This Row],[الحســاب المديــــن]],TableJudje[اسم الحساب],0)),0)</f>
        <v>31010101</v>
      </c>
      <c r="I356" s="22" t="s">
        <v>111</v>
      </c>
      <c r="J356" s="22" t="s">
        <v>238</v>
      </c>
      <c r="K356" s="25">
        <v>50000</v>
      </c>
      <c r="L356" s="23">
        <v>405</v>
      </c>
      <c r="M356" s="26">
        <f>IFERROR(Tabledaily[[#This Row],[المبلـــــــغ]]/Tabledaily[[#This Row],[سعــــــر
الصـــــرف]],"")</f>
        <v>123.45679012345678</v>
      </c>
      <c r="N356" s="22" t="s">
        <v>391</v>
      </c>
      <c r="O356" s="22" t="s">
        <v>286</v>
      </c>
      <c r="P356" s="22" t="s">
        <v>287</v>
      </c>
      <c r="Q356" s="22">
        <v>0</v>
      </c>
      <c r="R356" s="22" t="s">
        <v>237</v>
      </c>
      <c r="S356" s="24">
        <f>IFERROR(INDEX(tablecost[رقم المركز],MATCH(Tabledaily[[#This Row],[مركـــــــزالتكلفــــــة]],tablecost[الاسم],0)),0)</f>
        <v>1</v>
      </c>
      <c r="T356" s="27">
        <f>DATE(Tabledaily[[#This Row],[السنــــة]],Tabledaily[[#This Row],[الشهــــر]],Tabledaily[[#This Row],[الـــــيوم]])</f>
        <v>46174</v>
      </c>
      <c r="U356" s="28">
        <v>46181.968807870369</v>
      </c>
      <c r="V356" s="22" t="s">
        <v>371</v>
      </c>
      <c r="W356" s="24">
        <f>YEAR(Tabledaily[[#This Row],[التاريخ]])</f>
        <v>2026</v>
      </c>
      <c r="X356" s="24">
        <f>MONTH(Tabledaily[[#This Row],[التاريخ]])</f>
        <v>6</v>
      </c>
      <c r="Y356" s="24">
        <f>DAY(Tabledaily[[#This Row],[التاريخ]])</f>
        <v>1</v>
      </c>
      <c r="Z35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v>
      </c>
      <c r="AA356" s="40" t="str">
        <f>IF(COUNTIF(TableDailyJournal[رقم العملية],Tabledaily[[#This Row],[رقم العملية]])&gt;1,"مرحل","غير مرحل")</f>
        <v>مرحل</v>
      </c>
    </row>
    <row r="357" spans="1:27" ht="22.9" customHeight="1" x14ac:dyDescent="0.55000000000000004">
      <c r="A357" s="39">
        <f t="shared" si="11"/>
        <v>355</v>
      </c>
      <c r="B357" s="23" t="s">
        <v>392</v>
      </c>
      <c r="C357" s="213" t="s">
        <v>387</v>
      </c>
      <c r="D357" s="22" t="s">
        <v>290</v>
      </c>
      <c r="E357" s="24">
        <f>IFERROR(INDEX(TableJudje[رقم الحساب],MATCH(Tabledaily[[#This Row],[الحســاب الدئـــن]],TableJudje[اسم الحساب],0)),0)</f>
        <v>11060202</v>
      </c>
      <c r="F357" s="22" t="s">
        <v>159</v>
      </c>
      <c r="G357" s="22" t="s">
        <v>393</v>
      </c>
      <c r="H357" s="24">
        <f>IFERROR(INDEX(TableJudje[رقم الحساب],MATCH(Tabledaily[[#This Row],[الحســاب المديــــن]],TableJudje[اسم الحساب],0)),0)</f>
        <v>31010101</v>
      </c>
      <c r="I357" s="22" t="s">
        <v>111</v>
      </c>
      <c r="J357" s="22" t="s">
        <v>238</v>
      </c>
      <c r="K357" s="25">
        <v>53000</v>
      </c>
      <c r="L357" s="23">
        <v>405</v>
      </c>
      <c r="M357" s="26">
        <f>IFERROR(Tabledaily[[#This Row],[المبلـــــــغ]]/Tabledaily[[#This Row],[سعــــــر
الصـــــرف]],"")</f>
        <v>130.8641975308642</v>
      </c>
      <c r="N357" s="22" t="s">
        <v>292</v>
      </c>
      <c r="O357" s="22" t="s">
        <v>286</v>
      </c>
      <c r="P357" s="22" t="s">
        <v>287</v>
      </c>
      <c r="Q357" s="22">
        <v>0</v>
      </c>
      <c r="R357" s="22" t="s">
        <v>237</v>
      </c>
      <c r="S357" s="24">
        <f>IFERROR(INDEX(tablecost[رقم المركز],MATCH(Tabledaily[[#This Row],[مركـــــــزالتكلفــــــة]],tablecost[الاسم],0)),0)</f>
        <v>1</v>
      </c>
      <c r="T357" s="27">
        <f>DATE(Tabledaily[[#This Row],[السنــــة]],Tabledaily[[#This Row],[الشهــــر]],Tabledaily[[#This Row],[الـــــيوم]])</f>
        <v>46174</v>
      </c>
      <c r="U357" s="28">
        <v>46181.966724537036</v>
      </c>
      <c r="V357" s="22" t="s">
        <v>293</v>
      </c>
      <c r="W357" s="24">
        <f>YEAR(Tabledaily[[#This Row],[التاريخ]])</f>
        <v>2026</v>
      </c>
      <c r="X357" s="24">
        <f>MONTH(Tabledaily[[#This Row],[التاريخ]])</f>
        <v>6</v>
      </c>
      <c r="Y357" s="24">
        <f>DAY(Tabledaily[[#This Row],[التاريخ]])</f>
        <v>1</v>
      </c>
      <c r="Z35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v>
      </c>
      <c r="AA357" s="40" t="str">
        <f>IF(COUNTIF(TableDailyJournal[رقم العملية],Tabledaily[[#This Row],[رقم العملية]])&gt;1,"مرحل","غير مرحل")</f>
        <v>مرحل</v>
      </c>
    </row>
    <row r="358" spans="1:27" ht="22.9" customHeight="1" x14ac:dyDescent="0.55000000000000004">
      <c r="A358" s="39">
        <f t="shared" si="11"/>
        <v>356</v>
      </c>
      <c r="B358" s="23" t="s">
        <v>394</v>
      </c>
      <c r="C358" s="213" t="s">
        <v>387</v>
      </c>
      <c r="D358" s="22" t="s">
        <v>290</v>
      </c>
      <c r="E358" s="24">
        <f>IFERROR(INDEX(TableJudje[رقم الحساب],MATCH(Tabledaily[[#This Row],[الحســاب الدئـــن]],TableJudje[اسم الحساب],0)),0)</f>
        <v>11060202</v>
      </c>
      <c r="F358" s="22" t="s">
        <v>159</v>
      </c>
      <c r="G358" s="22" t="s">
        <v>395</v>
      </c>
      <c r="H358" s="24">
        <f>IFERROR(INDEX(TableJudje[رقم الحساب],MATCH(Tabledaily[[#This Row],[الحســاب المديــــن]],TableJudje[اسم الحساب],0)),0)</f>
        <v>31010114</v>
      </c>
      <c r="I358" s="22" t="s">
        <v>121</v>
      </c>
      <c r="J358" s="22" t="s">
        <v>241</v>
      </c>
      <c r="K358" s="25">
        <v>1000</v>
      </c>
      <c r="L358" s="23">
        <v>1</v>
      </c>
      <c r="M358" s="26">
        <f>IFERROR(Tabledaily[[#This Row],[المبلـــــــغ]]/Tabledaily[[#This Row],[سعــــــر
الصـــــرف]],"")</f>
        <v>1000</v>
      </c>
      <c r="N358" s="22" t="s">
        <v>396</v>
      </c>
      <c r="O358" s="22" t="s">
        <v>286</v>
      </c>
      <c r="P358" s="22" t="s">
        <v>287</v>
      </c>
      <c r="Q358" s="22">
        <v>0</v>
      </c>
      <c r="R358" s="22" t="s">
        <v>237</v>
      </c>
      <c r="S358" s="24">
        <f>IFERROR(INDEX(tablecost[رقم المركز],MATCH(Tabledaily[[#This Row],[مركـــــــزالتكلفــــــة]],tablecost[الاسم],0)),0)</f>
        <v>1</v>
      </c>
      <c r="T358" s="27">
        <f>DATE(Tabledaily[[#This Row],[السنــــة]],Tabledaily[[#This Row],[الشهــــر]],Tabledaily[[#This Row],[الـــــيوم]])</f>
        <v>46174</v>
      </c>
      <c r="U358" s="28">
        <v>46181.964999999997</v>
      </c>
      <c r="V358" s="22" t="s">
        <v>371</v>
      </c>
      <c r="W358" s="24">
        <f>YEAR(Tabledaily[[#This Row],[التاريخ]])</f>
        <v>2026</v>
      </c>
      <c r="X358" s="24">
        <f>MONTH(Tabledaily[[#This Row],[التاريخ]])</f>
        <v>6</v>
      </c>
      <c r="Y358" s="24">
        <f>DAY(Tabledaily[[#This Row],[التاريخ]])</f>
        <v>1</v>
      </c>
      <c r="Z35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v>
      </c>
      <c r="AA358" s="40" t="str">
        <f>IF(COUNTIF(TableDailyJournal[رقم العملية],Tabledaily[[#This Row],[رقم العملية]])&gt;1,"مرحل","غير مرحل")</f>
        <v>مرحل</v>
      </c>
    </row>
    <row r="359" spans="1:27" ht="22.9" customHeight="1" thickBot="1" x14ac:dyDescent="0.6">
      <c r="A359" s="41">
        <f t="shared" si="11"/>
        <v>357</v>
      </c>
      <c r="B359" s="42" t="s">
        <v>397</v>
      </c>
      <c r="C359" s="216" t="s">
        <v>387</v>
      </c>
      <c r="D359" s="43" t="s">
        <v>290</v>
      </c>
      <c r="E359" s="44">
        <f>IFERROR(INDEX(TableJudje[رقم الحساب],MATCH(Tabledaily[[#This Row],[الحســاب الدئـــن]],TableJudje[اسم الحساب],0)),0)</f>
        <v>11060202</v>
      </c>
      <c r="F359" s="43" t="s">
        <v>159</v>
      </c>
      <c r="G359" s="43" t="s">
        <v>398</v>
      </c>
      <c r="H359" s="44">
        <f>IFERROR(INDEX(TableJudje[رقم الحساب],MATCH(Tabledaily[[#This Row],[الحســاب المديــــن]],TableJudje[اسم الحساب],0)),0)</f>
        <v>31010101</v>
      </c>
      <c r="I359" s="43" t="s">
        <v>111</v>
      </c>
      <c r="J359" s="43" t="s">
        <v>238</v>
      </c>
      <c r="K359" s="45">
        <v>40000</v>
      </c>
      <c r="L359" s="42">
        <v>405</v>
      </c>
      <c r="M359" s="46">
        <f>IFERROR(Tabledaily[[#This Row],[المبلـــــــغ]]/Tabledaily[[#This Row],[سعــــــر
الصـــــرف]],"")</f>
        <v>98.76543209876543</v>
      </c>
      <c r="N359" s="43" t="s">
        <v>399</v>
      </c>
      <c r="O359" s="43" t="s">
        <v>286</v>
      </c>
      <c r="P359" s="43" t="s">
        <v>287</v>
      </c>
      <c r="Q359" s="43">
        <v>0</v>
      </c>
      <c r="R359" s="43" t="s">
        <v>237</v>
      </c>
      <c r="S359" s="44">
        <f>IFERROR(INDEX(tablecost[رقم المركز],MATCH(Tabledaily[[#This Row],[مركـــــــزالتكلفــــــة]],tablecost[الاسم],0)),0)</f>
        <v>1</v>
      </c>
      <c r="T359" s="47">
        <f>DATE(Tabledaily[[#This Row],[السنــــة]],Tabledaily[[#This Row],[الشهــــر]],Tabledaily[[#This Row],[الـــــيوم]])</f>
        <v>46174</v>
      </c>
      <c r="U359" s="48">
        <v>46181.963993055557</v>
      </c>
      <c r="V359" s="43" t="s">
        <v>302</v>
      </c>
      <c r="W359" s="44">
        <f>YEAR(Tabledaily[[#This Row],[التاريخ]])</f>
        <v>2026</v>
      </c>
      <c r="X359" s="44">
        <f>MONTH(Tabledaily[[#This Row],[التاريخ]])</f>
        <v>6</v>
      </c>
      <c r="Y359" s="44">
        <f>DAY(Tabledaily[[#This Row],[التاريخ]])</f>
        <v>1</v>
      </c>
      <c r="Z35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v>
      </c>
      <c r="AA359" s="49" t="str">
        <f>IF(COUNTIF(TableDailyJournal[رقم العملية],Tabledaily[[#This Row],[رقم العملية]])&gt;1,"مرحل","غير مرحل")</f>
        <v>مرحل</v>
      </c>
    </row>
    <row r="360" spans="1:27" ht="22.9" customHeight="1" x14ac:dyDescent="0.55000000000000004">
      <c r="A360" s="22">
        <f t="shared" si="11"/>
        <v>358</v>
      </c>
      <c r="B360" s="23" t="s">
        <v>400</v>
      </c>
      <c r="C360" s="213" t="s">
        <v>387</v>
      </c>
      <c r="D360" s="22" t="s">
        <v>283</v>
      </c>
      <c r="E360" s="24">
        <f>IFERROR(INDEX(TableJudje[رقم الحساب],MATCH(Tabledaily[[#This Row],[الحســاب الدئـــن]],TableJudje[اسم الحساب],0)),0)</f>
        <v>11010101</v>
      </c>
      <c r="F360" s="22" t="s">
        <v>23</v>
      </c>
      <c r="G360" s="22" t="s">
        <v>284</v>
      </c>
      <c r="H360" s="24">
        <f>IFERROR(INDEX(TableJudje[رقم الحساب],MATCH(Tabledaily[[#This Row],[الحســاب المديــــن]],TableJudje[اسم الحساب],0)),0)</f>
        <v>11060202</v>
      </c>
      <c r="I360" s="22" t="s">
        <v>159</v>
      </c>
      <c r="J360" s="22" t="s">
        <v>241</v>
      </c>
      <c r="K360" s="25">
        <v>9980</v>
      </c>
      <c r="L360" s="23">
        <v>1</v>
      </c>
      <c r="M360" s="26">
        <f>IFERROR(Tabledaily[[#This Row],[المبلـــــــغ]]/Tabledaily[[#This Row],[سعــــــر
الصـــــرف]],"")</f>
        <v>9980</v>
      </c>
      <c r="N360" s="22" t="s">
        <v>285</v>
      </c>
      <c r="O360" s="22" t="s">
        <v>286</v>
      </c>
      <c r="P360" s="22" t="s">
        <v>287</v>
      </c>
      <c r="Q360" s="22">
        <v>0</v>
      </c>
      <c r="R360" s="22" t="s">
        <v>237</v>
      </c>
      <c r="S360" s="24">
        <f>IFERROR(INDEX(tablecost[رقم المركز],MATCH(Tabledaily[[#This Row],[مركـــــــزالتكلفــــــة]],tablecost[الاسم],0)),0)</f>
        <v>1</v>
      </c>
      <c r="T360" s="27">
        <f>DATE(Tabledaily[[#This Row],[السنــــة]],Tabledaily[[#This Row],[الشهــــر]],Tabledaily[[#This Row],[الـــــيوم]])</f>
        <v>46174</v>
      </c>
      <c r="U360" s="28">
        <v>46181.962523148148</v>
      </c>
      <c r="V360" s="22"/>
      <c r="W360" s="24">
        <f>YEAR(Tabledaily[[#This Row],[التاريخ]])</f>
        <v>2026</v>
      </c>
      <c r="X360" s="24">
        <f>MONTH(Tabledaily[[#This Row],[التاريخ]])</f>
        <v>6</v>
      </c>
      <c r="Y360" s="24">
        <f>DAY(Tabledaily[[#This Row],[التاريخ]])</f>
        <v>1</v>
      </c>
      <c r="Z36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عبدالمغني - عبدالمغني عبدالصمد - الفرقة الثالثة)  - استلام نقدي رقم 0  سند استلام - استلام عهدة بامر</v>
      </c>
      <c r="AA360" s="24" t="str">
        <f>IF(COUNTIF(TableDailyJournal[رقم العملية],Tabledaily[[#This Row],[رقم العملية]])&gt;1,"مرحل","غير مرحل")</f>
        <v>مرحل</v>
      </c>
    </row>
    <row r="361" spans="1:27" ht="22.9" customHeight="1" x14ac:dyDescent="0.55000000000000004">
      <c r="A361" s="22">
        <f t="shared" si="11"/>
        <v>359</v>
      </c>
      <c r="B361" s="23" t="s">
        <v>401</v>
      </c>
      <c r="C361" s="213" t="s">
        <v>387</v>
      </c>
      <c r="D361" s="22" t="s">
        <v>290</v>
      </c>
      <c r="E361" s="50">
        <f>IFERROR(INDEX(TableJudje[رقم الحساب],MATCH(Tabledaily[[#This Row],[الحســاب الدئـــن]],TableJudje[اسم الحساب],0)),0)</f>
        <v>11060202</v>
      </c>
      <c r="F361" s="22" t="s">
        <v>159</v>
      </c>
      <c r="G361" s="22" t="s">
        <v>373</v>
      </c>
      <c r="H361" s="24">
        <f>IFERROR(INDEX(TableJudje[رقم الحساب],MATCH(Tabledaily[[#This Row],[الحســاب المديــــن]],TableJudje[اسم الحساب],0)),0)</f>
        <v>31010101</v>
      </c>
      <c r="I361" s="22" t="s">
        <v>111</v>
      </c>
      <c r="J361" s="22" t="s">
        <v>238</v>
      </c>
      <c r="K361" s="25">
        <v>42000</v>
      </c>
      <c r="L361" s="23">
        <v>405</v>
      </c>
      <c r="M361" s="26">
        <f>IFERROR(Tabledaily[[#This Row],[المبلـــــــغ]]/Tabledaily[[#This Row],[سعــــــر
الصـــــرف]],"")</f>
        <v>103.70370370370371</v>
      </c>
      <c r="N361" s="22" t="s">
        <v>374</v>
      </c>
      <c r="O361" s="22" t="s">
        <v>312</v>
      </c>
      <c r="P361" s="22" t="s">
        <v>312</v>
      </c>
      <c r="Q361" s="22">
        <v>7</v>
      </c>
      <c r="R361" s="22" t="s">
        <v>237</v>
      </c>
      <c r="S361" s="24">
        <f>IFERROR(INDEX(tablecost[رقم المركز],MATCH(Tabledaily[[#This Row],[مركـــــــزالتكلفــــــة]],tablecost[الاسم],0)),0)</f>
        <v>1</v>
      </c>
      <c r="T361" s="27">
        <f>DATE(Tabledaily[[#This Row],[السنــــة]],Tabledaily[[#This Row],[الشهــــر]],Tabledaily[[#This Row],[الـــــيوم]])</f>
        <v>46174</v>
      </c>
      <c r="U361" s="28">
        <v>46181.947118055556</v>
      </c>
      <c r="V361" s="22"/>
      <c r="W361" s="24">
        <f>YEAR(Tabledaily[[#This Row],[التاريخ]])</f>
        <v>2026</v>
      </c>
      <c r="X361" s="24">
        <f>MONTH(Tabledaily[[#This Row],[التاريخ]])</f>
        <v>6</v>
      </c>
      <c r="Y361" s="24">
        <f>DAY(Tabledaily[[#This Row],[التاريخ]])</f>
        <v>1</v>
      </c>
      <c r="Z36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AA361" s="24" t="str">
        <f>IF(COUNTIF(TableDailyJournal[رقم العملية],Tabledaily[[#This Row],[رقم العملية]])&gt;1,"مرحل","غير مرحل")</f>
        <v>مرحل</v>
      </c>
    </row>
    <row r="362" spans="1:27" ht="22.9" customHeight="1" x14ac:dyDescent="0.55000000000000004">
      <c r="A362" s="22">
        <f t="shared" si="11"/>
        <v>360</v>
      </c>
      <c r="B362" s="23" t="s">
        <v>402</v>
      </c>
      <c r="C362" s="213" t="s">
        <v>387</v>
      </c>
      <c r="D362" s="22" t="s">
        <v>290</v>
      </c>
      <c r="E362" s="24">
        <f>IFERROR(INDEX(TableJudje[رقم الحساب],MATCH(Tabledaily[[#This Row],[الحســاب الدئـــن]],TableJudje[اسم الحساب],0)),0)</f>
        <v>11060202</v>
      </c>
      <c r="F362" s="22" t="s">
        <v>159</v>
      </c>
      <c r="G362" s="22" t="s">
        <v>403</v>
      </c>
      <c r="H362" s="24">
        <f>IFERROR(INDEX(TableJudje[رقم الحساب],MATCH(Tabledaily[[#This Row],[الحســاب المديــــن]],TableJudje[اسم الحساب],0)),0)</f>
        <v>31010101</v>
      </c>
      <c r="I362" s="22" t="s">
        <v>111</v>
      </c>
      <c r="J362" s="22" t="s">
        <v>238</v>
      </c>
      <c r="K362" s="25">
        <v>75000</v>
      </c>
      <c r="L362" s="23">
        <v>405</v>
      </c>
      <c r="M362" s="26">
        <f>IFERROR(Tabledaily[[#This Row],[المبلـــــــغ]]/Tabledaily[[#This Row],[سعــــــر
الصـــــرف]],"")</f>
        <v>185.18518518518519</v>
      </c>
      <c r="N362" s="22" t="s">
        <v>322</v>
      </c>
      <c r="O362" s="22" t="s">
        <v>312</v>
      </c>
      <c r="P362" s="22" t="s">
        <v>312</v>
      </c>
      <c r="Q362" s="22">
        <v>10</v>
      </c>
      <c r="R362" s="22" t="s">
        <v>237</v>
      </c>
      <c r="S362" s="24">
        <f>IFERROR(INDEX(tablecost[رقم المركز],MATCH(Tabledaily[[#This Row],[مركـــــــزالتكلفــــــة]],tablecost[الاسم],0)),0)</f>
        <v>1</v>
      </c>
      <c r="T362" s="27">
        <f>DATE(Tabledaily[[#This Row],[السنــــة]],Tabledaily[[#This Row],[الشهــــر]],Tabledaily[[#This Row],[الـــــيوم]])</f>
        <v>46174</v>
      </c>
      <c r="U362" s="28">
        <v>46181.945497685185</v>
      </c>
      <c r="V362" s="22"/>
      <c r="W362" s="24">
        <f>YEAR(Tabledaily[[#This Row],[التاريخ]])</f>
        <v>2026</v>
      </c>
      <c r="X362" s="24">
        <f>MONTH(Tabledaily[[#This Row],[التاريخ]])</f>
        <v>6</v>
      </c>
      <c r="Y362" s="24">
        <f>DAY(Tabledaily[[#This Row],[التاريخ]])</f>
        <v>1</v>
      </c>
      <c r="Z362"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اخرون - الفرقة الثالثة)  - كشف صرف رقم 10  كشف صرف - صرف الصرفة اليومية اخورن بامر</v>
      </c>
      <c r="AA362" s="24" t="str">
        <f>IF(COUNTIF(TableDailyJournal[رقم العملية],Tabledaily[[#This Row],[رقم العملية]])&gt;1,"مرحل","غير مرحل")</f>
        <v>مرحل</v>
      </c>
    </row>
    <row r="363" spans="1:27" ht="22.9" customHeight="1" x14ac:dyDescent="0.55000000000000004">
      <c r="A363" s="22">
        <f t="shared" si="11"/>
        <v>361</v>
      </c>
      <c r="B363" s="23" t="s">
        <v>404</v>
      </c>
      <c r="C363" s="213" t="s">
        <v>387</v>
      </c>
      <c r="D363" s="22" t="s">
        <v>290</v>
      </c>
      <c r="E363" s="24">
        <f>IFERROR(INDEX(TableJudje[رقم الحساب],MATCH(Tabledaily[[#This Row],[الحســاب الدئـــن]],TableJudje[اسم الحساب],0)),0)</f>
        <v>11060202</v>
      </c>
      <c r="F363" s="22" t="s">
        <v>159</v>
      </c>
      <c r="G363" s="22" t="s">
        <v>405</v>
      </c>
      <c r="H363" s="24">
        <f>IFERROR(INDEX(TableJudje[رقم الحساب],MATCH(Tabledaily[[#This Row],[الحســاب المديــــن]],TableJudje[اسم الحساب],0)),0)</f>
        <v>31010101</v>
      </c>
      <c r="I363" s="22" t="s">
        <v>111</v>
      </c>
      <c r="J363" s="22" t="s">
        <v>238</v>
      </c>
      <c r="K363" s="25">
        <v>75000</v>
      </c>
      <c r="L363" s="23">
        <v>405</v>
      </c>
      <c r="M363" s="26">
        <f>IFERROR(Tabledaily[[#This Row],[المبلـــــــغ]]/Tabledaily[[#This Row],[سعــــــر
الصـــــرف]],"")</f>
        <v>185.18518518518519</v>
      </c>
      <c r="N363" s="22" t="s">
        <v>325</v>
      </c>
      <c r="O363" s="22" t="s">
        <v>312</v>
      </c>
      <c r="P363" s="22" t="s">
        <v>312</v>
      </c>
      <c r="Q363" s="22">
        <v>7</v>
      </c>
      <c r="R363" s="22" t="s">
        <v>237</v>
      </c>
      <c r="S363" s="24">
        <f>IFERROR(INDEX(tablecost[رقم المركز],MATCH(Tabledaily[[#This Row],[مركـــــــزالتكلفــــــة]],tablecost[الاسم],0)),0)</f>
        <v>1</v>
      </c>
      <c r="T363" s="27">
        <f>DATE(Tabledaily[[#This Row],[السنــــة]],Tabledaily[[#This Row],[الشهــــر]],Tabledaily[[#This Row],[الـــــيوم]])</f>
        <v>46174</v>
      </c>
      <c r="U363" s="28">
        <v>46181.944780092592</v>
      </c>
      <c r="V363" s="22"/>
      <c r="W363" s="24">
        <f>YEAR(Tabledaily[[#This Row],[التاريخ]])</f>
        <v>2026</v>
      </c>
      <c r="X363" s="24">
        <f>MONTH(Tabledaily[[#This Row],[التاريخ]])</f>
        <v>6</v>
      </c>
      <c r="Y363" s="24">
        <f>DAY(Tabledaily[[#This Row],[التاريخ]])</f>
        <v>1</v>
      </c>
      <c r="Z363"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الضباط السابقين - الفرقة الثالثة)  - كشف صرف رقم 7  كشف صرف - صرف الصرفة اليومية ضباط سابقين لعدد 7 بامر</v>
      </c>
      <c r="AA363" s="24" t="str">
        <f>IF(COUNTIF(TableDailyJournal[رقم العملية],Tabledaily[[#This Row],[رقم العملية]])&gt;1,"مرحل","غير مرحل")</f>
        <v>مرحل</v>
      </c>
    </row>
    <row r="364" spans="1:27" ht="22.9" customHeight="1" x14ac:dyDescent="0.55000000000000004">
      <c r="A364" s="22">
        <f t="shared" si="11"/>
        <v>362</v>
      </c>
      <c r="B364" s="23" t="s">
        <v>406</v>
      </c>
      <c r="C364" s="213" t="s">
        <v>387</v>
      </c>
      <c r="D364" s="22" t="s">
        <v>290</v>
      </c>
      <c r="E364" s="24">
        <f>IFERROR(INDEX(TableJudje[رقم الحساب],MATCH(Tabledaily[[#This Row],[الحســاب الدئـــن]],TableJudje[اسم الحساب],0)),0)</f>
        <v>11060202</v>
      </c>
      <c r="F364" s="22" t="s">
        <v>159</v>
      </c>
      <c r="G364" s="22" t="s">
        <v>327</v>
      </c>
      <c r="H364" s="24">
        <f>IFERROR(INDEX(TableJudje[رقم الحساب],MATCH(Tabledaily[[#This Row],[الحســاب المديــــن]],TableJudje[اسم الحساب],0)),0)</f>
        <v>31010101</v>
      </c>
      <c r="I364" s="22" t="s">
        <v>111</v>
      </c>
      <c r="J364" s="22" t="s">
        <v>238</v>
      </c>
      <c r="K364" s="25">
        <v>32000</v>
      </c>
      <c r="L364" s="23">
        <v>405</v>
      </c>
      <c r="M364" s="26">
        <f>IFERROR(Tabledaily[[#This Row],[المبلـــــــغ]]/Tabledaily[[#This Row],[سعــــــر
الصـــــرف]],"")</f>
        <v>79.012345679012341</v>
      </c>
      <c r="N364" s="22" t="s">
        <v>328</v>
      </c>
      <c r="O364" s="22" t="s">
        <v>312</v>
      </c>
      <c r="P364" s="22" t="s">
        <v>312</v>
      </c>
      <c r="Q364" s="22">
        <v>5</v>
      </c>
      <c r="R364" s="22" t="s">
        <v>237</v>
      </c>
      <c r="S364" s="24">
        <f>IFERROR(INDEX(tablecost[رقم المركز],MATCH(Tabledaily[[#This Row],[مركـــــــزالتكلفــــــة]],tablecost[الاسم],0)),0)</f>
        <v>1</v>
      </c>
      <c r="T364" s="27">
        <f>DATE(Tabledaily[[#This Row],[السنــــة]],Tabledaily[[#This Row],[الشهــــر]],Tabledaily[[#This Row],[الـــــيوم]])</f>
        <v>46174</v>
      </c>
      <c r="U364" s="28">
        <v>46181.943506944444</v>
      </c>
      <c r="V364" s="22"/>
      <c r="W364" s="24">
        <f>YEAR(Tabledaily[[#This Row],[التاريخ]])</f>
        <v>2026</v>
      </c>
      <c r="X364" s="24">
        <f>MONTH(Tabledaily[[#This Row],[التاريخ]])</f>
        <v>6</v>
      </c>
      <c r="Y364" s="24">
        <f>DAY(Tabledaily[[#This Row],[التاريخ]])</f>
        <v>1</v>
      </c>
      <c r="Z364"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الطبية والمحاسبين - الفرقة الثالثة)  - كشف صرف رقم 5  كشف صرف - صرف الصرفة اليومية للطبية والمحاسبين لعدد 5 بامر</v>
      </c>
      <c r="AA364" s="24" t="str">
        <f>IF(COUNTIF(TableDailyJournal[رقم العملية],Tabledaily[[#This Row],[رقم العملية]])&gt;1,"مرحل","غير مرحل")</f>
        <v>مرحل</v>
      </c>
    </row>
    <row r="365" spans="1:27" ht="22.9" customHeight="1" x14ac:dyDescent="0.55000000000000004">
      <c r="A365" s="22">
        <f t="shared" si="11"/>
        <v>363</v>
      </c>
      <c r="B365" s="23" t="s">
        <v>407</v>
      </c>
      <c r="C365" s="213" t="s">
        <v>387</v>
      </c>
      <c r="D365" s="22" t="s">
        <v>290</v>
      </c>
      <c r="E365" s="24">
        <f>IFERROR(INDEX(TableJudje[رقم الحساب],MATCH(Tabledaily[[#This Row],[الحســاب الدئـــن]],TableJudje[اسم الحساب],0)),0)</f>
        <v>11060202</v>
      </c>
      <c r="F365" s="22" t="s">
        <v>159</v>
      </c>
      <c r="G365" s="22" t="s">
        <v>333</v>
      </c>
      <c r="H365" s="24">
        <f>IFERROR(INDEX(TableJudje[رقم الحساب],MATCH(Tabledaily[[#This Row],[الحســاب المديــــن]],TableJudje[اسم الحساب],0)),0)</f>
        <v>31010101</v>
      </c>
      <c r="I365" s="22" t="s">
        <v>111</v>
      </c>
      <c r="J365" s="22" t="s">
        <v>238</v>
      </c>
      <c r="K365" s="25">
        <v>65000</v>
      </c>
      <c r="L365" s="23">
        <v>405</v>
      </c>
      <c r="M365" s="26">
        <f>IFERROR(Tabledaily[[#This Row],[المبلـــــــغ]]/Tabledaily[[#This Row],[سعــــــر
الصـــــرف]],"")</f>
        <v>160.49382716049382</v>
      </c>
      <c r="N365" s="22" t="s">
        <v>334</v>
      </c>
      <c r="O365" s="22" t="s">
        <v>312</v>
      </c>
      <c r="P365" s="22" t="s">
        <v>312</v>
      </c>
      <c r="Q365" s="22">
        <v>4</v>
      </c>
      <c r="R365" s="22" t="s">
        <v>237</v>
      </c>
      <c r="S365" s="24">
        <f>IFERROR(INDEX(tablecost[رقم المركز],MATCH(Tabledaily[[#This Row],[مركـــــــزالتكلفــــــة]],tablecost[الاسم],0)),0)</f>
        <v>1</v>
      </c>
      <c r="T365" s="27">
        <f>DATE(Tabledaily[[#This Row],[السنــــة]],Tabledaily[[#This Row],[الشهــــر]],Tabledaily[[#This Row],[الـــــيوم]])</f>
        <v>46174</v>
      </c>
      <c r="U365" s="28">
        <v>46181.942083333335</v>
      </c>
      <c r="V365" s="22"/>
      <c r="W365" s="24">
        <f>YEAR(Tabledaily[[#This Row],[التاريخ]])</f>
        <v>2026</v>
      </c>
      <c r="X365" s="24">
        <f>MONTH(Tabledaily[[#This Row],[التاريخ]])</f>
        <v>6</v>
      </c>
      <c r="Y365" s="24">
        <f>DAY(Tabledaily[[#This Row],[التاريخ]])</f>
        <v>1</v>
      </c>
      <c r="Z365"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الاستخبارات - الفرقة الثالثة)  - كشف صرف رقم 4  كشف صرف - صرف الصرفة اليومية  الاستخبارات لعدد 4 بامر</v>
      </c>
      <c r="AA365" s="24" t="str">
        <f>IF(COUNTIF(TableDailyJournal[رقم العملية],Tabledaily[[#This Row],[رقم العملية]])&gt;1,"مرحل","غير مرحل")</f>
        <v>مرحل</v>
      </c>
    </row>
    <row r="366" spans="1:27" ht="22.9" customHeight="1" x14ac:dyDescent="0.55000000000000004">
      <c r="A366" s="22">
        <f t="shared" si="11"/>
        <v>364</v>
      </c>
      <c r="B366" s="23" t="s">
        <v>408</v>
      </c>
      <c r="C366" s="213" t="s">
        <v>387</v>
      </c>
      <c r="D366" s="22" t="s">
        <v>290</v>
      </c>
      <c r="E366" s="24">
        <f>IFERROR(INDEX(TableJudje[رقم الحساب],MATCH(Tabledaily[[#This Row],[الحســاب الدئـــن]],TableJudje[اسم الحساب],0)),0)</f>
        <v>11060202</v>
      </c>
      <c r="F366" s="22" t="s">
        <v>159</v>
      </c>
      <c r="G366" s="22" t="s">
        <v>336</v>
      </c>
      <c r="H366" s="24">
        <f>IFERROR(INDEX(TableJudje[رقم الحساب],MATCH(Tabledaily[[#This Row],[الحســاب المديــــن]],TableJudje[اسم الحساب],0)),0)</f>
        <v>31010101</v>
      </c>
      <c r="I366" s="22" t="s">
        <v>111</v>
      </c>
      <c r="J366" s="22" t="s">
        <v>238</v>
      </c>
      <c r="K366" s="25">
        <v>30000</v>
      </c>
      <c r="L366" s="23">
        <v>405</v>
      </c>
      <c r="M366" s="26">
        <f>IFERROR(Tabledaily[[#This Row],[المبلـــــــغ]]/Tabledaily[[#This Row],[سعــــــر
الصـــــرف]],"")</f>
        <v>74.074074074074076</v>
      </c>
      <c r="N366" s="22" t="s">
        <v>337</v>
      </c>
      <c r="O366" s="22" t="s">
        <v>312</v>
      </c>
      <c r="P366" s="22" t="s">
        <v>312</v>
      </c>
      <c r="Q366" s="22">
        <v>2</v>
      </c>
      <c r="R366" s="22" t="s">
        <v>237</v>
      </c>
      <c r="S366" s="24">
        <f>IFERROR(INDEX(tablecost[رقم المركز],MATCH(Tabledaily[[#This Row],[مركـــــــزالتكلفــــــة]],tablecost[الاسم],0)),0)</f>
        <v>1</v>
      </c>
      <c r="T366" s="27">
        <f>DATE(Tabledaily[[#This Row],[السنــــة]],Tabledaily[[#This Row],[الشهــــر]],Tabledaily[[#This Row],[الـــــيوم]])</f>
        <v>46174</v>
      </c>
      <c r="U366" s="28">
        <v>46181.940740740742</v>
      </c>
      <c r="V366" s="22"/>
      <c r="W366" s="24">
        <f>YEAR(Tabledaily[[#This Row],[التاريخ]])</f>
        <v>2026</v>
      </c>
      <c r="X366" s="24">
        <f>MONTH(Tabledaily[[#This Row],[التاريخ]])</f>
        <v>6</v>
      </c>
      <c r="Y366" s="24">
        <f>DAY(Tabledaily[[#This Row],[التاريخ]])</f>
        <v>1</v>
      </c>
      <c r="Z366"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البشرية و الصراف - الفرقة الثالثة)  - كشف صرف رقم 2  كشف صرف - صرف الصرفة اليومية  للبشرة والصراف عدد 2  بامر</v>
      </c>
      <c r="AA366" s="24" t="str">
        <f>IF(COUNTIF(TableDailyJournal[رقم العملية],Tabledaily[[#This Row],[رقم العملية]])&gt;1,"مرحل","غير مرحل")</f>
        <v>مرحل</v>
      </c>
    </row>
    <row r="367" spans="1:27" ht="22.9" customHeight="1" x14ac:dyDescent="0.55000000000000004">
      <c r="A367" s="22">
        <f t="shared" si="11"/>
        <v>365</v>
      </c>
      <c r="B367" s="23" t="s">
        <v>409</v>
      </c>
      <c r="C367" s="213" t="s">
        <v>387</v>
      </c>
      <c r="D367" s="22" t="s">
        <v>290</v>
      </c>
      <c r="E367" s="24">
        <f>IFERROR(INDEX(TableJudje[رقم الحساب],MATCH(Tabledaily[[#This Row],[الحســاب الدئـــن]],TableJudje[اسم الحساب],0)),0)</f>
        <v>11060202</v>
      </c>
      <c r="F367" s="22" t="s">
        <v>159</v>
      </c>
      <c r="G367" s="22" t="s">
        <v>339</v>
      </c>
      <c r="H367" s="24">
        <f>IFERROR(INDEX(TableJudje[رقم الحساب],MATCH(Tabledaily[[#This Row],[الحســاب المديــــن]],TableJudje[اسم الحساب],0)),0)</f>
        <v>31010101</v>
      </c>
      <c r="I367" s="22" t="s">
        <v>111</v>
      </c>
      <c r="J367" s="22" t="s">
        <v>238</v>
      </c>
      <c r="K367" s="25">
        <v>132000</v>
      </c>
      <c r="L367" s="23">
        <v>405</v>
      </c>
      <c r="M367" s="26">
        <f>IFERROR(Tabledaily[[#This Row],[المبلـــــــغ]]/Tabledaily[[#This Row],[سعــــــر
الصـــــرف]],"")</f>
        <v>325.92592592592592</v>
      </c>
      <c r="N367" s="22" t="s">
        <v>340</v>
      </c>
      <c r="O367" s="22" t="s">
        <v>312</v>
      </c>
      <c r="P367" s="22" t="s">
        <v>312</v>
      </c>
      <c r="Q367" s="22">
        <v>12</v>
      </c>
      <c r="R367" s="22" t="s">
        <v>237</v>
      </c>
      <c r="S367" s="24">
        <f>IFERROR(INDEX(tablecost[رقم المركز],MATCH(Tabledaily[[#This Row],[مركـــــــزالتكلفــــــة]],tablecost[الاسم],0)),0)</f>
        <v>1</v>
      </c>
      <c r="T367" s="27">
        <f>DATE(Tabledaily[[#This Row],[السنــــة]],Tabledaily[[#This Row],[الشهــــر]],Tabledaily[[#This Row],[الـــــيوم]])</f>
        <v>46174</v>
      </c>
      <c r="U367" s="28">
        <v>46181.939317129632</v>
      </c>
      <c r="V367" s="22"/>
      <c r="W367" s="24">
        <f>YEAR(Tabledaily[[#This Row],[التاريخ]])</f>
        <v>2026</v>
      </c>
      <c r="X367" s="24">
        <f>MONTH(Tabledaily[[#This Row],[التاريخ]])</f>
        <v>6</v>
      </c>
      <c r="Y367" s="24">
        <f>DAY(Tabledaily[[#This Row],[التاريخ]])</f>
        <v>1</v>
      </c>
      <c r="Z367"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الامداد - الفرقة الثالثة)  - كشف صرف رقم 12  كشف صرف - صرف الصرفة اليومية  لافراد الامداد لعدد 12  بامر</v>
      </c>
      <c r="AA367" s="24" t="str">
        <f>IF(COUNTIF(TableDailyJournal[رقم العملية],Tabledaily[[#This Row],[رقم العملية]])&gt;1,"مرحل","غير مرحل")</f>
        <v>مرحل</v>
      </c>
    </row>
    <row r="368" spans="1:27" ht="22.9" customHeight="1" x14ac:dyDescent="0.55000000000000004">
      <c r="A368" s="22">
        <f t="shared" si="11"/>
        <v>366</v>
      </c>
      <c r="B368" s="23" t="s">
        <v>410</v>
      </c>
      <c r="C368" s="213">
        <v>46174</v>
      </c>
      <c r="D368" s="22" t="s">
        <v>290</v>
      </c>
      <c r="E368" s="24">
        <f>IFERROR(INDEX(TableJudje[رقم الحساب],MATCH(Tabledaily[[#This Row],[الحســاب الدئـــن]],TableJudje[اسم الحساب],0)),0)</f>
        <v>11060202</v>
      </c>
      <c r="F368" s="22" t="s">
        <v>159</v>
      </c>
      <c r="G368" s="22" t="s">
        <v>342</v>
      </c>
      <c r="H368" s="24">
        <f>IFERROR(INDEX(TableJudje[رقم الحساب],MATCH(Tabledaily[[#This Row],[الحســاب المديــــن]],TableJudje[اسم الحساب],0)),0)</f>
        <v>31010101</v>
      </c>
      <c r="I368" s="22" t="s">
        <v>111</v>
      </c>
      <c r="J368" s="22" t="s">
        <v>238</v>
      </c>
      <c r="K368" s="25">
        <v>33000</v>
      </c>
      <c r="L368" s="23">
        <v>405</v>
      </c>
      <c r="M368" s="26">
        <f>IFERROR(Tabledaily[[#This Row],[المبلـــــــغ]]/Tabledaily[[#This Row],[سعــــــر
الصـــــرف]],"")</f>
        <v>81.481481481481481</v>
      </c>
      <c r="N368" s="22" t="s">
        <v>343</v>
      </c>
      <c r="O368" s="22" t="s">
        <v>312</v>
      </c>
      <c r="P368" s="22" t="s">
        <v>312</v>
      </c>
      <c r="Q368" s="22">
        <v>4</v>
      </c>
      <c r="R368" s="22" t="s">
        <v>237</v>
      </c>
      <c r="S368" s="24">
        <f>IFERROR(INDEX(tablecost[رقم المركز],MATCH(Tabledaily[[#This Row],[مركـــــــزالتكلفــــــة]],tablecost[الاسم],0)),0)</f>
        <v>1</v>
      </c>
      <c r="T368" s="27">
        <f>DATE(Tabledaily[[#This Row],[السنــــة]],Tabledaily[[#This Row],[الشهــــر]],Tabledaily[[#This Row],[الـــــيوم]])</f>
        <v>46174</v>
      </c>
      <c r="U368" s="28">
        <v>46181.937361111108</v>
      </c>
      <c r="V368" s="22"/>
      <c r="W368" s="24">
        <f>YEAR(Tabledaily[[#This Row],[التاريخ]])</f>
        <v>2026</v>
      </c>
      <c r="X368" s="24">
        <f>MONTH(Tabledaily[[#This Row],[التاريخ]])</f>
        <v>6</v>
      </c>
      <c r="Y368" s="24">
        <f>DAY(Tabledaily[[#This Row],[التاريخ]])</f>
        <v>1</v>
      </c>
      <c r="Z368"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(مصاريف  صرفة يومية للافراد  - السيطرة والاتصالات - الفرقة الثالثة)  - كشف صرف رقم 4  كشف صرف - صرف الصرفة اليومية للسيطرة والاتصالات لعدد 4  بامر</v>
      </c>
      <c r="AA368" s="24" t="str">
        <f>IF(COUNTIF(TableDailyJournal[رقم العملية],Tabledaily[[#This Row],[رقم العملية]])&gt;1,"مرحل","غير مرحل")</f>
        <v>مرحل</v>
      </c>
    </row>
    <row r="369" spans="1:27" ht="22.9" customHeight="1" x14ac:dyDescent="0.55000000000000004">
      <c r="A369" s="22">
        <f t="shared" si="11"/>
        <v>367</v>
      </c>
      <c r="B369" s="23" t="s">
        <v>411</v>
      </c>
      <c r="C369" s="213">
        <v>46174</v>
      </c>
      <c r="D369" s="22" t="s">
        <v>412</v>
      </c>
      <c r="E369" s="24">
        <f>IFERROR(INDEX(TableJudje[رقم الحساب],MATCH(Tabledaily[[#This Row],[الحســاب الدئـــن]],TableJudje[اسم الحساب],0)),0)</f>
        <v>23010102</v>
      </c>
      <c r="F369" s="22" t="s">
        <v>161</v>
      </c>
      <c r="G369" s="22" t="s">
        <v>413</v>
      </c>
      <c r="H369" s="24">
        <f>IFERROR(INDEX(TableJudje[رقم الحساب],MATCH(Tabledaily[[#This Row],[الحســاب المديــــن]],TableJudje[اسم الحساب],0)),0)</f>
        <v>11060202</v>
      </c>
      <c r="I369" s="22" t="s">
        <v>159</v>
      </c>
      <c r="J369" s="22" t="s">
        <v>238</v>
      </c>
      <c r="K369" s="25">
        <v>779500</v>
      </c>
      <c r="L369" s="23">
        <v>405</v>
      </c>
      <c r="M369" s="26">
        <f>IFERROR(Tabledaily[[#This Row],[المبلـــــــغ]]/Tabledaily[[#This Row],[سعــــــر
الصـــــرف]],"")</f>
        <v>1924.6913580246915</v>
      </c>
      <c r="N369" s="22" t="s">
        <v>285</v>
      </c>
      <c r="O369" s="22" t="s">
        <v>286</v>
      </c>
      <c r="P369" s="22" t="s">
        <v>287</v>
      </c>
      <c r="Q369" s="22">
        <v>0</v>
      </c>
      <c r="R369" s="22" t="s">
        <v>237</v>
      </c>
      <c r="S369" s="24">
        <f>IFERROR(INDEX(tablecost[رقم المركز],MATCH(Tabledaily[[#This Row],[مركـــــــزالتكلفــــــة]],tablecost[الاسم],0)),0)</f>
        <v>1</v>
      </c>
      <c r="T369" s="27">
        <f>DATE(Tabledaily[[#This Row],[السنــــة]],Tabledaily[[#This Row],[الشهــــر]],Tabledaily[[#This Row],[الـــــيوم]])</f>
        <v>46174</v>
      </c>
      <c r="U369" s="28">
        <v>46181.929594907408</v>
      </c>
      <c r="V369" s="22"/>
      <c r="W369" s="24">
        <f>YEAR(Tabledaily[[#This Row],[التاريخ]])</f>
        <v>2026</v>
      </c>
      <c r="X369" s="24">
        <f>MONTH(Tabledaily[[#This Row],[التاريخ]])</f>
        <v>6</v>
      </c>
      <c r="Y369" s="24">
        <f>DAY(Tabledaily[[#This Row],[التاريخ]])</f>
        <v>1</v>
      </c>
      <c r="Z369"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عبدالمغني - عبدالمغني عبدالصمد - الفرقة الثالثة)  - استلام نقدي رقم 0  سند استلام - اثبات رصد افتتاحي من 31 مايو 2026م بامر</v>
      </c>
      <c r="AA369" s="24" t="str">
        <f>IF(COUNTIF(TableDailyJournal[رقم العملية],Tabledaily[[#This Row],[رقم العملية]])&gt;1,"مرحل","غير مرحل")</f>
        <v>مرحل</v>
      </c>
    </row>
    <row r="370" spans="1:27" ht="22.9" customHeight="1" x14ac:dyDescent="0.55000000000000004">
      <c r="A370" s="22">
        <f t="shared" si="11"/>
        <v>368</v>
      </c>
      <c r="B370" s="23" t="s">
        <v>411</v>
      </c>
      <c r="C370" s="213" t="s">
        <v>387</v>
      </c>
      <c r="D370" s="22" t="s">
        <v>412</v>
      </c>
      <c r="E370" s="24">
        <f>IFERROR(INDEX(TableJudje[رقم الحساب],MATCH(Tabledaily[[#This Row],[الحســاب الدئـــن]],TableJudje[اسم الحساب],0)),0)</f>
        <v>23010102</v>
      </c>
      <c r="F370" s="22" t="s">
        <v>161</v>
      </c>
      <c r="G370" s="22" t="s">
        <v>413</v>
      </c>
      <c r="H370" s="24">
        <f>IFERROR(INDEX(TableJudje[رقم الحساب],MATCH(Tabledaily[[#This Row],[الحســاب المديــــن]],TableJudje[اسم الحساب],0)),0)</f>
        <v>11060202</v>
      </c>
      <c r="I370" s="22" t="s">
        <v>159</v>
      </c>
      <c r="J370" s="22" t="s">
        <v>238</v>
      </c>
      <c r="K370" s="25">
        <v>779500</v>
      </c>
      <c r="L370" s="23">
        <v>405</v>
      </c>
      <c r="M370" s="26">
        <f>IFERROR(Tabledaily[[#This Row],[المبلـــــــغ]]/Tabledaily[[#This Row],[سعــــــر
الصـــــرف]],"")</f>
        <v>1924.6913580246915</v>
      </c>
      <c r="N370" s="22" t="s">
        <v>285</v>
      </c>
      <c r="O370" s="22" t="s">
        <v>286</v>
      </c>
      <c r="P370" s="22" t="s">
        <v>287</v>
      </c>
      <c r="Q370" s="22">
        <v>0</v>
      </c>
      <c r="R370" s="22" t="s">
        <v>237</v>
      </c>
      <c r="S370" s="24">
        <f>IFERROR(INDEX(tablecost[رقم المركز],MATCH(Tabledaily[[#This Row],[مركـــــــزالتكلفــــــة]],tablecost[الاسم],0)),0)</f>
        <v>1</v>
      </c>
      <c r="T370" s="27">
        <f>DATE(Tabledaily[[#This Row],[السنــــة]],Tabledaily[[#This Row],[الشهــــر]],Tabledaily[[#This Row],[الـــــيوم]])</f>
        <v>46174</v>
      </c>
      <c r="U370" s="28">
        <v>46181.929594907408</v>
      </c>
      <c r="V370" s="22"/>
      <c r="W370" s="24">
        <f>YEAR(Tabledaily[[#This Row],[التاريخ]])</f>
        <v>2026</v>
      </c>
      <c r="X370" s="24">
        <f>MONTH(Tabledaily[[#This Row],[التاريخ]])</f>
        <v>6</v>
      </c>
      <c r="Y370" s="24">
        <f>DAY(Tabledaily[[#This Row],[التاريخ]])</f>
        <v>1</v>
      </c>
      <c r="Z370"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(عهدة عبدالمغني - عبدالمغني عبدالصمد - الفرقة الثالثة)  - استلام نقدي رقم 0  سند استلام - اثبات رصد افتتاحي من 31 مايو 2026م بامر</v>
      </c>
      <c r="AA370" s="24" t="str">
        <f>IF(COUNTIF(TableDailyJournal[رقم العملية],Tabledaily[[#This Row],[رقم العملية]])&gt;1,"مرحل","غير مرحل")</f>
        <v>مرحل</v>
      </c>
    </row>
    <row r="371" spans="1:27" ht="22.9" customHeight="1" x14ac:dyDescent="0.55000000000000004">
      <c r="A371" s="22">
        <f t="shared" si="11"/>
        <v>369</v>
      </c>
      <c r="B371" s="23">
        <v>0</v>
      </c>
      <c r="C371" s="213"/>
      <c r="D371" s="22"/>
      <c r="E371" s="24">
        <f>IFERROR(INDEX(TableJudje[رقم الحساب],MATCH(Tabledaily[[#This Row],[الحســاب الدئـــن]],TableJudje[اسم الحساب],0)),0)</f>
        <v>0</v>
      </c>
      <c r="F371" s="22"/>
      <c r="G371" s="22"/>
      <c r="H371" s="24">
        <f>IFERROR(INDEX(TableJudje[رقم الحساب],MATCH(Tabledaily[[#This Row],[الحســاب المديــــن]],TableJudje[اسم الحساب],0)),0)</f>
        <v>0</v>
      </c>
      <c r="I371" s="22"/>
      <c r="J371" s="22"/>
      <c r="K371" s="51"/>
      <c r="L371" s="23"/>
      <c r="M371" s="52" t="str">
        <f>IFERROR(Tabledaily[[#This Row],[المبلـــــــغ]]/Tabledaily[[#This Row],[سعــــــر
الصـــــرف]],"")</f>
        <v/>
      </c>
      <c r="N371" s="22"/>
      <c r="O371" s="22"/>
      <c r="P371" s="22"/>
      <c r="Q371" s="22"/>
      <c r="R371" s="22"/>
      <c r="S371" s="24">
        <f>IFERROR(INDEX(tablecost[رقم المركز],MATCH(Tabledaily[[#This Row],[مركـــــــزالتكلفــــــة]],tablecost[الاسم],0)),0)</f>
        <v>0</v>
      </c>
      <c r="T371" s="27">
        <f>DATE(Tabledaily[[#This Row],[السنــــة]],Tabledaily[[#This Row],[الشهــــر]],Tabledaily[[#This Row],[الـــــيوم]])</f>
        <v>0</v>
      </c>
      <c r="U371" s="22"/>
      <c r="V371" s="22"/>
      <c r="W371" s="24">
        <f>YEAR(Tabledaily[[#This Row],[التاريخ]])</f>
        <v>1900</v>
      </c>
      <c r="X371" s="24">
        <f>MONTH(Tabledaily[[#This Row],[التاريخ]])</f>
        <v>1</v>
      </c>
      <c r="Y371" s="24">
        <f>DAY(Tabledaily[[#This Row],[التاريخ]])</f>
        <v>0</v>
      </c>
      <c r="Z371" s="29" t="str">
        <f>"قيـد مقابـل:-" &amp;" "&amp;"("&amp;Tabledaily[[#This Row],[الحســاب المديــــن]]&amp;" - "&amp;Tabledaily[[#This Row],[المستفيــــــــد]]&amp;" - "&amp;Tabledaily[[#This Row],[مركـــــــزالتكلفــــــة]]&amp;")"&amp;" " &amp;" - "&amp;Tabledaily[[#This Row],[المــــرجـــــــــع]]&amp;" "&amp;"رقم"&amp;" "&amp;Tabledaily[[#This Row],[رقم المـــــرجـــع]]&amp;"  "&amp;Tabledaily[[#This Row],[اســـــــم المــــرجــــع]]&amp;" - "&amp;Tabledaily[[#This Row],[البيــــــــــــــــــــــــــــــــــــان]] &amp;" "&amp;"بامر"&amp;Tabledaily[[#This Row],[جهة الامر]]</f>
        <v>قيـد مقابـل:- ( -  - )  -  رقم    -  بامر</v>
      </c>
      <c r="AA371" s="24" t="str">
        <f>IF(COUNTIF(TableDailyJournal[رقم العملية],Tabledaily[[#This Row],[رقم العملية]])&gt;1,"مرحل","غير مرحل")</f>
        <v>غير مرحل</v>
      </c>
    </row>
  </sheetData>
  <mergeCells count="1">
    <mergeCell ref="E1:I1"/>
  </mergeCells>
  <hyperlinks>
    <hyperlink ref="A1" location="Home!A1" display="Home!A1" xr:uid="{1C3B53A5-9734-45D6-88BA-066E807471F6}"/>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D6BBE-A65D-4124-99E5-6CD2082C2FCD}">
  <dimension ref="A1:E138"/>
  <sheetViews>
    <sheetView rightToLeft="1" zoomScale="121" workbookViewId="0">
      <selection activeCell="A8" sqref="A8"/>
    </sheetView>
  </sheetViews>
  <sheetFormatPr defaultRowHeight="22.5" x14ac:dyDescent="0.5"/>
  <cols>
    <col min="1" max="1" width="34.62890625" customWidth="1"/>
    <col min="2" max="5" width="18.50390625" customWidth="1"/>
    <col min="6" max="6" width="17.05078125" bestFit="1" customWidth="1"/>
    <col min="7" max="7" width="16.51953125" bestFit="1" customWidth="1"/>
    <col min="8" max="8" width="23.39453125" bestFit="1" customWidth="1"/>
    <col min="9" max="9" width="22.734375" bestFit="1" customWidth="1"/>
  </cols>
  <sheetData>
    <row r="1" spans="1:5" ht="84" customHeight="1" x14ac:dyDescent="0.5"/>
    <row r="2" spans="1:5" ht="10.9" customHeight="1" x14ac:dyDescent="0.5"/>
    <row r="3" spans="1:5" hidden="1" x14ac:dyDescent="0.5">
      <c r="A3" s="137"/>
      <c r="B3" s="138" t="s">
        <v>510</v>
      </c>
      <c r="C3" s="137"/>
      <c r="D3" s="137"/>
      <c r="E3" s="137"/>
    </row>
    <row r="4" spans="1:5" x14ac:dyDescent="0.5">
      <c r="A4" s="137"/>
      <c r="B4" s="230" t="s">
        <v>241</v>
      </c>
      <c r="C4" s="231"/>
      <c r="D4" s="230" t="s">
        <v>238</v>
      </c>
      <c r="E4" s="231"/>
    </row>
    <row r="5" spans="1:5" x14ac:dyDescent="0.5">
      <c r="A5" s="138" t="s">
        <v>550</v>
      </c>
      <c r="B5" s="165" t="s">
        <v>20</v>
      </c>
      <c r="C5" s="165" t="s">
        <v>85</v>
      </c>
      <c r="D5" s="165" t="s">
        <v>20</v>
      </c>
      <c r="E5" s="165" t="s">
        <v>85</v>
      </c>
    </row>
    <row r="6" spans="1:5" x14ac:dyDescent="0.5">
      <c r="A6" s="136" t="s">
        <v>1243</v>
      </c>
      <c r="B6" s="166">
        <v>153200</v>
      </c>
      <c r="C6" s="166">
        <v>155200</v>
      </c>
      <c r="D6" s="166">
        <v>31676500</v>
      </c>
      <c r="E6" s="166">
        <v>37876500</v>
      </c>
    </row>
    <row r="7" spans="1:5" x14ac:dyDescent="0.5">
      <c r="A7" s="175" t="s">
        <v>1244</v>
      </c>
      <c r="B7" s="166">
        <v>153200</v>
      </c>
      <c r="C7" s="166">
        <v>155200</v>
      </c>
      <c r="D7" s="166">
        <v>31676500</v>
      </c>
      <c r="E7" s="166">
        <v>37876500</v>
      </c>
    </row>
    <row r="8" spans="1:5" x14ac:dyDescent="0.5">
      <c r="A8" s="201" t="s">
        <v>1245</v>
      </c>
      <c r="B8" s="166">
        <v>153200</v>
      </c>
      <c r="C8" s="166">
        <v>155200</v>
      </c>
      <c r="D8" s="166">
        <v>31676500</v>
      </c>
      <c r="E8" s="166">
        <v>37876500</v>
      </c>
    </row>
    <row r="9" spans="1:5" x14ac:dyDescent="0.5">
      <c r="A9" s="202">
        <v>46174</v>
      </c>
      <c r="B9" s="166">
        <v>10980</v>
      </c>
      <c r="C9" s="166">
        <v>10980</v>
      </c>
      <c r="D9" s="166">
        <v>1586500</v>
      </c>
      <c r="E9" s="166">
        <v>1586500</v>
      </c>
    </row>
    <row r="10" spans="1:5" x14ac:dyDescent="0.5">
      <c r="A10" s="203" t="s">
        <v>23</v>
      </c>
      <c r="B10" s="166">
        <v>0</v>
      </c>
      <c r="C10" s="166">
        <v>9980</v>
      </c>
      <c r="D10" s="166"/>
      <c r="E10" s="166"/>
    </row>
    <row r="11" spans="1:5" x14ac:dyDescent="0.5">
      <c r="A11" s="203" t="s">
        <v>161</v>
      </c>
      <c r="B11" s="166"/>
      <c r="C11" s="166"/>
      <c r="D11" s="166">
        <v>0</v>
      </c>
      <c r="E11" s="166">
        <v>779500</v>
      </c>
    </row>
    <row r="12" spans="1:5" x14ac:dyDescent="0.5">
      <c r="A12" s="203" t="s">
        <v>159</v>
      </c>
      <c r="B12" s="166">
        <v>9980</v>
      </c>
      <c r="C12" s="166">
        <v>1000</v>
      </c>
      <c r="D12" s="166">
        <v>779500</v>
      </c>
      <c r="E12" s="166">
        <v>807000</v>
      </c>
    </row>
    <row r="13" spans="1:5" x14ac:dyDescent="0.5">
      <c r="A13" s="203" t="s">
        <v>111</v>
      </c>
      <c r="B13" s="166"/>
      <c r="C13" s="166"/>
      <c r="D13" s="166">
        <v>807000</v>
      </c>
      <c r="E13" s="166">
        <v>0</v>
      </c>
    </row>
    <row r="14" spans="1:5" x14ac:dyDescent="0.5">
      <c r="A14" s="203" t="s">
        <v>121</v>
      </c>
      <c r="B14" s="166">
        <v>1000</v>
      </c>
      <c r="C14" s="166">
        <v>0</v>
      </c>
      <c r="D14" s="166"/>
      <c r="E14" s="166"/>
    </row>
    <row r="15" spans="1:5" x14ac:dyDescent="0.5">
      <c r="A15" s="202">
        <v>46175</v>
      </c>
      <c r="B15" s="166">
        <v>1500</v>
      </c>
      <c r="C15" s="166">
        <v>1500</v>
      </c>
      <c r="D15" s="166">
        <v>1607000</v>
      </c>
      <c r="E15" s="166">
        <v>1607000</v>
      </c>
    </row>
    <row r="16" spans="1:5" x14ac:dyDescent="0.5">
      <c r="A16" s="203" t="s">
        <v>159</v>
      </c>
      <c r="B16" s="166">
        <v>0</v>
      </c>
      <c r="C16" s="166">
        <v>1500</v>
      </c>
      <c r="D16" s="166">
        <v>0</v>
      </c>
      <c r="E16" s="166">
        <v>1607000</v>
      </c>
    </row>
    <row r="17" spans="1:5" x14ac:dyDescent="0.5">
      <c r="A17" s="203" t="s">
        <v>111</v>
      </c>
      <c r="B17" s="166"/>
      <c r="C17" s="166"/>
      <c r="D17" s="166">
        <v>737000</v>
      </c>
      <c r="E17" s="166">
        <v>0</v>
      </c>
    </row>
    <row r="18" spans="1:5" x14ac:dyDescent="0.5">
      <c r="A18" s="203" t="s">
        <v>164</v>
      </c>
      <c r="B18" s="166">
        <v>1500</v>
      </c>
      <c r="C18" s="166">
        <v>0</v>
      </c>
      <c r="D18" s="166">
        <v>500000</v>
      </c>
      <c r="E18" s="166">
        <v>0</v>
      </c>
    </row>
    <row r="19" spans="1:5" x14ac:dyDescent="0.5">
      <c r="A19" s="203" t="s">
        <v>121</v>
      </c>
      <c r="B19" s="166"/>
      <c r="C19" s="166"/>
      <c r="D19" s="166">
        <v>10000</v>
      </c>
      <c r="E19" s="166">
        <v>0</v>
      </c>
    </row>
    <row r="20" spans="1:5" x14ac:dyDescent="0.5">
      <c r="A20" s="203" t="s">
        <v>131</v>
      </c>
      <c r="B20" s="166"/>
      <c r="C20" s="166"/>
      <c r="D20" s="166">
        <v>20000</v>
      </c>
      <c r="E20" s="166">
        <v>0</v>
      </c>
    </row>
    <row r="21" spans="1:5" x14ac:dyDescent="0.5">
      <c r="A21" s="203" t="s">
        <v>115</v>
      </c>
      <c r="B21" s="166"/>
      <c r="C21" s="166"/>
      <c r="D21" s="166">
        <v>40000</v>
      </c>
      <c r="E21" s="166">
        <v>0</v>
      </c>
    </row>
    <row r="22" spans="1:5" x14ac:dyDescent="0.5">
      <c r="A22" s="203" t="s">
        <v>122</v>
      </c>
      <c r="B22" s="166"/>
      <c r="C22" s="166"/>
      <c r="D22" s="166">
        <v>300000</v>
      </c>
      <c r="E22" s="166">
        <v>0</v>
      </c>
    </row>
    <row r="23" spans="1:5" x14ac:dyDescent="0.5">
      <c r="A23" s="202">
        <v>46176</v>
      </c>
      <c r="B23" s="166">
        <v>11980</v>
      </c>
      <c r="C23" s="166">
        <v>11980</v>
      </c>
      <c r="D23" s="166">
        <v>3389000</v>
      </c>
      <c r="E23" s="166">
        <v>3389000</v>
      </c>
    </row>
    <row r="24" spans="1:5" x14ac:dyDescent="0.5">
      <c r="A24" s="203" t="s">
        <v>23</v>
      </c>
      <c r="B24" s="166">
        <v>0</v>
      </c>
      <c r="C24" s="166">
        <v>9980</v>
      </c>
      <c r="D24" s="166"/>
      <c r="E24" s="166"/>
    </row>
    <row r="25" spans="1:5" x14ac:dyDescent="0.5">
      <c r="A25" s="203" t="s">
        <v>160</v>
      </c>
      <c r="B25" s="166">
        <v>2000</v>
      </c>
      <c r="C25" s="166">
        <v>0</v>
      </c>
      <c r="D25" s="166"/>
      <c r="E25" s="166"/>
    </row>
    <row r="26" spans="1:5" x14ac:dyDescent="0.5">
      <c r="A26" s="203" t="s">
        <v>159</v>
      </c>
      <c r="B26" s="166">
        <v>9980</v>
      </c>
      <c r="C26" s="166">
        <v>2000</v>
      </c>
      <c r="D26" s="166">
        <v>0</v>
      </c>
      <c r="E26" s="166">
        <v>3389000</v>
      </c>
    </row>
    <row r="27" spans="1:5" x14ac:dyDescent="0.5">
      <c r="A27" s="203" t="s">
        <v>111</v>
      </c>
      <c r="B27" s="166"/>
      <c r="C27" s="166"/>
      <c r="D27" s="166">
        <v>640000</v>
      </c>
      <c r="E27" s="166">
        <v>0</v>
      </c>
    </row>
    <row r="28" spans="1:5" x14ac:dyDescent="0.5">
      <c r="A28" s="203" t="s">
        <v>164</v>
      </c>
      <c r="B28" s="166"/>
      <c r="C28" s="166"/>
      <c r="D28" s="166">
        <v>500000</v>
      </c>
      <c r="E28" s="166">
        <v>0</v>
      </c>
    </row>
    <row r="29" spans="1:5" x14ac:dyDescent="0.5">
      <c r="A29" s="203" t="s">
        <v>121</v>
      </c>
      <c r="B29" s="166"/>
      <c r="C29" s="166"/>
      <c r="D29" s="166">
        <v>196000</v>
      </c>
      <c r="E29" s="166">
        <v>0</v>
      </c>
    </row>
    <row r="30" spans="1:5" x14ac:dyDescent="0.5">
      <c r="A30" s="203" t="s">
        <v>134</v>
      </c>
      <c r="B30" s="166"/>
      <c r="C30" s="166"/>
      <c r="D30" s="166">
        <v>2025000</v>
      </c>
      <c r="E30" s="166">
        <v>0</v>
      </c>
    </row>
    <row r="31" spans="1:5" x14ac:dyDescent="0.5">
      <c r="A31" s="203" t="s">
        <v>112</v>
      </c>
      <c r="B31" s="166"/>
      <c r="C31" s="166"/>
      <c r="D31" s="166">
        <v>8000</v>
      </c>
      <c r="E31" s="166">
        <v>0</v>
      </c>
    </row>
    <row r="32" spans="1:5" x14ac:dyDescent="0.5">
      <c r="A32" s="203" t="s">
        <v>484</v>
      </c>
      <c r="B32" s="166"/>
      <c r="C32" s="166"/>
      <c r="D32" s="166">
        <v>20000</v>
      </c>
      <c r="E32" s="166">
        <v>0</v>
      </c>
    </row>
    <row r="33" spans="1:5" x14ac:dyDescent="0.5">
      <c r="A33" s="202">
        <v>46177</v>
      </c>
      <c r="B33" s="166">
        <v>14970</v>
      </c>
      <c r="C33" s="166">
        <v>14970</v>
      </c>
      <c r="D33" s="166">
        <v>3373000</v>
      </c>
      <c r="E33" s="166">
        <v>3373000</v>
      </c>
    </row>
    <row r="34" spans="1:5" x14ac:dyDescent="0.5">
      <c r="A34" s="203" t="s">
        <v>473</v>
      </c>
      <c r="B34" s="166"/>
      <c r="C34" s="166"/>
      <c r="D34" s="166">
        <v>60000</v>
      </c>
      <c r="E34" s="166">
        <v>0</v>
      </c>
    </row>
    <row r="35" spans="1:5" x14ac:dyDescent="0.5">
      <c r="A35" s="203" t="s">
        <v>23</v>
      </c>
      <c r="B35" s="166">
        <v>0</v>
      </c>
      <c r="C35" s="166">
        <v>14970</v>
      </c>
      <c r="D35" s="166"/>
      <c r="E35" s="166"/>
    </row>
    <row r="36" spans="1:5" x14ac:dyDescent="0.5">
      <c r="A36" s="203" t="s">
        <v>460</v>
      </c>
      <c r="B36" s="166"/>
      <c r="C36" s="166"/>
      <c r="D36" s="166">
        <v>700000</v>
      </c>
      <c r="E36" s="166">
        <v>0</v>
      </c>
    </row>
    <row r="37" spans="1:5" x14ac:dyDescent="0.5">
      <c r="A37" s="203" t="s">
        <v>159</v>
      </c>
      <c r="B37" s="166">
        <v>14970</v>
      </c>
      <c r="C37" s="166">
        <v>0</v>
      </c>
      <c r="D37" s="166">
        <v>0</v>
      </c>
      <c r="E37" s="166">
        <v>3373000</v>
      </c>
    </row>
    <row r="38" spans="1:5" x14ac:dyDescent="0.5">
      <c r="A38" s="203" t="s">
        <v>111</v>
      </c>
      <c r="B38" s="166"/>
      <c r="C38" s="166"/>
      <c r="D38" s="166">
        <v>1343000</v>
      </c>
      <c r="E38" s="166">
        <v>0</v>
      </c>
    </row>
    <row r="39" spans="1:5" x14ac:dyDescent="0.5">
      <c r="A39" s="203" t="s">
        <v>164</v>
      </c>
      <c r="B39" s="166"/>
      <c r="C39" s="166"/>
      <c r="D39" s="166">
        <v>360000</v>
      </c>
      <c r="E39" s="166">
        <v>0</v>
      </c>
    </row>
    <row r="40" spans="1:5" x14ac:dyDescent="0.5">
      <c r="A40" s="203" t="s">
        <v>121</v>
      </c>
      <c r="B40" s="166"/>
      <c r="C40" s="166"/>
      <c r="D40" s="166">
        <v>140000</v>
      </c>
      <c r="E40" s="166">
        <v>0</v>
      </c>
    </row>
    <row r="41" spans="1:5" x14ac:dyDescent="0.5">
      <c r="A41" s="203" t="s">
        <v>487</v>
      </c>
      <c r="B41" s="166"/>
      <c r="C41" s="166"/>
      <c r="D41" s="166">
        <v>420000</v>
      </c>
      <c r="E41" s="166">
        <v>0</v>
      </c>
    </row>
    <row r="42" spans="1:5" x14ac:dyDescent="0.5">
      <c r="A42" s="203" t="s">
        <v>112</v>
      </c>
      <c r="B42" s="166"/>
      <c r="C42" s="166"/>
      <c r="D42" s="166">
        <v>250000</v>
      </c>
      <c r="E42" s="166">
        <v>0</v>
      </c>
    </row>
    <row r="43" spans="1:5" x14ac:dyDescent="0.5">
      <c r="A43" s="203" t="s">
        <v>484</v>
      </c>
      <c r="B43" s="166"/>
      <c r="C43" s="166"/>
      <c r="D43" s="166">
        <v>100000</v>
      </c>
      <c r="E43" s="166">
        <v>0</v>
      </c>
    </row>
    <row r="44" spans="1:5" x14ac:dyDescent="0.5">
      <c r="A44" s="202">
        <v>46180</v>
      </c>
      <c r="B44" s="166">
        <v>9980</v>
      </c>
      <c r="C44" s="166">
        <v>9980</v>
      </c>
      <c r="D44" s="166">
        <v>2142500</v>
      </c>
      <c r="E44" s="166">
        <v>2142500</v>
      </c>
    </row>
    <row r="45" spans="1:5" x14ac:dyDescent="0.5">
      <c r="A45" s="203" t="s">
        <v>23</v>
      </c>
      <c r="B45" s="166">
        <v>0</v>
      </c>
      <c r="C45" s="166">
        <v>9980</v>
      </c>
      <c r="D45" s="166"/>
      <c r="E45" s="166"/>
    </row>
    <row r="46" spans="1:5" x14ac:dyDescent="0.5">
      <c r="A46" s="203" t="s">
        <v>513</v>
      </c>
      <c r="B46" s="166">
        <v>9980</v>
      </c>
      <c r="C46" s="166">
        <v>0</v>
      </c>
      <c r="D46" s="166">
        <v>1006500</v>
      </c>
      <c r="E46" s="166">
        <v>1136000</v>
      </c>
    </row>
    <row r="47" spans="1:5" x14ac:dyDescent="0.5">
      <c r="A47" s="203" t="s">
        <v>159</v>
      </c>
      <c r="B47" s="166"/>
      <c r="C47" s="166"/>
      <c r="D47" s="166">
        <v>0</v>
      </c>
      <c r="E47" s="166">
        <v>1006500</v>
      </c>
    </row>
    <row r="48" spans="1:5" x14ac:dyDescent="0.5">
      <c r="A48" s="203" t="s">
        <v>111</v>
      </c>
      <c r="B48" s="166"/>
      <c r="C48" s="166"/>
      <c r="D48" s="166">
        <v>733000</v>
      </c>
      <c r="E48" s="166">
        <v>0</v>
      </c>
    </row>
    <row r="49" spans="1:5" x14ac:dyDescent="0.5">
      <c r="A49" s="203" t="s">
        <v>121</v>
      </c>
      <c r="B49" s="166"/>
      <c r="C49" s="166"/>
      <c r="D49" s="166">
        <v>96000</v>
      </c>
      <c r="E49" s="166">
        <v>0</v>
      </c>
    </row>
    <row r="50" spans="1:5" x14ac:dyDescent="0.5">
      <c r="A50" s="203" t="s">
        <v>484</v>
      </c>
      <c r="B50" s="166"/>
      <c r="C50" s="166"/>
      <c r="D50" s="166">
        <v>107000</v>
      </c>
      <c r="E50" s="166">
        <v>0</v>
      </c>
    </row>
    <row r="51" spans="1:5" x14ac:dyDescent="0.5">
      <c r="A51" s="203" t="s">
        <v>122</v>
      </c>
      <c r="B51" s="166"/>
      <c r="C51" s="166"/>
      <c r="D51" s="166">
        <v>200000</v>
      </c>
      <c r="E51" s="166">
        <v>0</v>
      </c>
    </row>
    <row r="52" spans="1:5" x14ac:dyDescent="0.5">
      <c r="A52" s="202">
        <v>46181</v>
      </c>
      <c r="B52" s="166">
        <v>3000</v>
      </c>
      <c r="C52" s="166">
        <v>3000</v>
      </c>
      <c r="D52" s="166">
        <v>1124000</v>
      </c>
      <c r="E52" s="166">
        <v>1124000</v>
      </c>
    </row>
    <row r="53" spans="1:5" x14ac:dyDescent="0.5">
      <c r="A53" s="203" t="s">
        <v>23</v>
      </c>
      <c r="B53" s="166">
        <v>0</v>
      </c>
      <c r="C53" s="166">
        <v>3000</v>
      </c>
      <c r="D53" s="166"/>
      <c r="E53" s="166"/>
    </row>
    <row r="54" spans="1:5" x14ac:dyDescent="0.5">
      <c r="A54" s="203" t="s">
        <v>513</v>
      </c>
      <c r="B54" s="166">
        <v>3000</v>
      </c>
      <c r="C54" s="166">
        <v>0</v>
      </c>
      <c r="D54" s="166">
        <v>0</v>
      </c>
      <c r="E54" s="166">
        <v>1124000</v>
      </c>
    </row>
    <row r="55" spans="1:5" x14ac:dyDescent="0.5">
      <c r="A55" s="203" t="s">
        <v>111</v>
      </c>
      <c r="B55" s="166"/>
      <c r="C55" s="166"/>
      <c r="D55" s="166">
        <v>782000</v>
      </c>
      <c r="E55" s="166">
        <v>0</v>
      </c>
    </row>
    <row r="56" spans="1:5" x14ac:dyDescent="0.5">
      <c r="A56" s="203" t="s">
        <v>121</v>
      </c>
      <c r="B56" s="166"/>
      <c r="C56" s="166"/>
      <c r="D56" s="166">
        <v>62000</v>
      </c>
      <c r="E56" s="166">
        <v>0</v>
      </c>
    </row>
    <row r="57" spans="1:5" x14ac:dyDescent="0.5">
      <c r="A57" s="203" t="s">
        <v>487</v>
      </c>
      <c r="B57" s="166"/>
      <c r="C57" s="166"/>
      <c r="D57" s="166">
        <v>280000</v>
      </c>
      <c r="E57" s="166">
        <v>0</v>
      </c>
    </row>
    <row r="58" spans="1:5" x14ac:dyDescent="0.5">
      <c r="A58" s="202">
        <v>46182</v>
      </c>
      <c r="B58" s="166">
        <v>2600</v>
      </c>
      <c r="C58" s="166">
        <v>2600</v>
      </c>
      <c r="D58" s="166">
        <v>1058000</v>
      </c>
      <c r="E58" s="166">
        <v>1058000</v>
      </c>
    </row>
    <row r="59" spans="1:5" x14ac:dyDescent="0.5">
      <c r="A59" s="203" t="s">
        <v>513</v>
      </c>
      <c r="B59" s="166">
        <v>0</v>
      </c>
      <c r="C59" s="166">
        <v>2600</v>
      </c>
      <c r="D59" s="166">
        <v>0</v>
      </c>
      <c r="E59" s="166">
        <v>1058000</v>
      </c>
    </row>
    <row r="60" spans="1:5" x14ac:dyDescent="0.5">
      <c r="A60" s="203" t="s">
        <v>111</v>
      </c>
      <c r="B60" s="166"/>
      <c r="C60" s="166"/>
      <c r="D60" s="166">
        <v>838000</v>
      </c>
      <c r="E60" s="166">
        <v>0</v>
      </c>
    </row>
    <row r="61" spans="1:5" x14ac:dyDescent="0.5">
      <c r="A61" s="203" t="s">
        <v>121</v>
      </c>
      <c r="B61" s="166"/>
      <c r="C61" s="166"/>
      <c r="D61" s="166">
        <v>220000</v>
      </c>
      <c r="E61" s="166">
        <v>0</v>
      </c>
    </row>
    <row r="62" spans="1:5" x14ac:dyDescent="0.5">
      <c r="A62" s="203" t="s">
        <v>122</v>
      </c>
      <c r="B62" s="166">
        <v>600</v>
      </c>
      <c r="C62" s="166">
        <v>0</v>
      </c>
      <c r="D62" s="166"/>
      <c r="E62" s="166"/>
    </row>
    <row r="63" spans="1:5" x14ac:dyDescent="0.5">
      <c r="A63" s="203" t="s">
        <v>824</v>
      </c>
      <c r="B63" s="166">
        <v>2000</v>
      </c>
      <c r="C63" s="166">
        <v>0</v>
      </c>
      <c r="D63" s="166"/>
      <c r="E63" s="166"/>
    </row>
    <row r="64" spans="1:5" x14ac:dyDescent="0.5">
      <c r="A64" s="202">
        <v>46183</v>
      </c>
      <c r="B64" s="166"/>
      <c r="C64" s="166"/>
      <c r="D64" s="166">
        <v>853000</v>
      </c>
      <c r="E64" s="166">
        <v>853000</v>
      </c>
    </row>
    <row r="65" spans="1:5" x14ac:dyDescent="0.5">
      <c r="A65" s="203" t="s">
        <v>473</v>
      </c>
      <c r="B65" s="166"/>
      <c r="C65" s="166"/>
      <c r="D65" s="166">
        <v>30000</v>
      </c>
      <c r="E65" s="166">
        <v>0</v>
      </c>
    </row>
    <row r="66" spans="1:5" x14ac:dyDescent="0.5">
      <c r="A66" s="203" t="s">
        <v>513</v>
      </c>
      <c r="B66" s="166"/>
      <c r="C66" s="166"/>
      <c r="D66" s="166">
        <v>0</v>
      </c>
      <c r="E66" s="166">
        <v>853000</v>
      </c>
    </row>
    <row r="67" spans="1:5" x14ac:dyDescent="0.5">
      <c r="A67" s="203" t="s">
        <v>111</v>
      </c>
      <c r="B67" s="166"/>
      <c r="C67" s="166"/>
      <c r="D67" s="166">
        <v>802000</v>
      </c>
      <c r="E67" s="166">
        <v>0</v>
      </c>
    </row>
    <row r="68" spans="1:5" x14ac:dyDescent="0.5">
      <c r="A68" s="203" t="s">
        <v>121</v>
      </c>
      <c r="B68" s="166"/>
      <c r="C68" s="166"/>
      <c r="D68" s="166">
        <v>21000</v>
      </c>
      <c r="E68" s="166">
        <v>0</v>
      </c>
    </row>
    <row r="69" spans="1:5" x14ac:dyDescent="0.5">
      <c r="A69" s="202">
        <v>46184</v>
      </c>
      <c r="B69" s="166">
        <v>9980</v>
      </c>
      <c r="C69" s="166">
        <v>9980</v>
      </c>
      <c r="D69" s="166">
        <v>2043000</v>
      </c>
      <c r="E69" s="166">
        <v>2043000</v>
      </c>
    </row>
    <row r="70" spans="1:5" x14ac:dyDescent="0.5">
      <c r="A70" s="203" t="s">
        <v>473</v>
      </c>
      <c r="B70" s="166"/>
      <c r="C70" s="166"/>
      <c r="D70" s="166">
        <v>300000</v>
      </c>
      <c r="E70" s="166">
        <v>0</v>
      </c>
    </row>
    <row r="71" spans="1:5" x14ac:dyDescent="0.5">
      <c r="A71" s="203" t="s">
        <v>23</v>
      </c>
      <c r="B71" s="166">
        <v>0</v>
      </c>
      <c r="C71" s="166">
        <v>9980</v>
      </c>
      <c r="D71" s="166"/>
      <c r="E71" s="166"/>
    </row>
    <row r="72" spans="1:5" x14ac:dyDescent="0.5">
      <c r="A72" s="203" t="s">
        <v>513</v>
      </c>
      <c r="B72" s="166">
        <v>9980</v>
      </c>
      <c r="C72" s="166">
        <v>0</v>
      </c>
      <c r="D72" s="166">
        <v>0</v>
      </c>
      <c r="E72" s="166">
        <v>2043000</v>
      </c>
    </row>
    <row r="73" spans="1:5" x14ac:dyDescent="0.5">
      <c r="A73" s="203" t="s">
        <v>111</v>
      </c>
      <c r="B73" s="166"/>
      <c r="C73" s="166"/>
      <c r="D73" s="166">
        <v>1473000</v>
      </c>
      <c r="E73" s="166">
        <v>0</v>
      </c>
    </row>
    <row r="74" spans="1:5" x14ac:dyDescent="0.5">
      <c r="A74" s="203" t="s">
        <v>121</v>
      </c>
      <c r="B74" s="166"/>
      <c r="C74" s="166"/>
      <c r="D74" s="166">
        <v>200000</v>
      </c>
      <c r="E74" s="166">
        <v>0</v>
      </c>
    </row>
    <row r="75" spans="1:5" x14ac:dyDescent="0.5">
      <c r="A75" s="203" t="s">
        <v>112</v>
      </c>
      <c r="B75" s="166"/>
      <c r="C75" s="166"/>
      <c r="D75" s="166">
        <v>70000</v>
      </c>
      <c r="E75" s="166">
        <v>0</v>
      </c>
    </row>
    <row r="76" spans="1:5" x14ac:dyDescent="0.5">
      <c r="A76" s="202">
        <v>46185</v>
      </c>
      <c r="B76" s="166"/>
      <c r="C76" s="166"/>
      <c r="D76" s="166">
        <v>861000</v>
      </c>
      <c r="E76" s="166">
        <v>861000</v>
      </c>
    </row>
    <row r="77" spans="1:5" x14ac:dyDescent="0.5">
      <c r="A77" s="203" t="s">
        <v>473</v>
      </c>
      <c r="B77" s="166"/>
      <c r="C77" s="166"/>
      <c r="D77" s="166">
        <v>25000</v>
      </c>
      <c r="E77" s="166">
        <v>0</v>
      </c>
    </row>
    <row r="78" spans="1:5" x14ac:dyDescent="0.5">
      <c r="A78" s="203" t="s">
        <v>513</v>
      </c>
      <c r="B78" s="166"/>
      <c r="C78" s="166"/>
      <c r="D78" s="166">
        <v>0</v>
      </c>
      <c r="E78" s="166">
        <v>861000</v>
      </c>
    </row>
    <row r="79" spans="1:5" x14ac:dyDescent="0.5">
      <c r="A79" s="203" t="s">
        <v>111</v>
      </c>
      <c r="B79" s="166"/>
      <c r="C79" s="166"/>
      <c r="D79" s="166">
        <v>836000</v>
      </c>
      <c r="E79" s="166">
        <v>0</v>
      </c>
    </row>
    <row r="80" spans="1:5" x14ac:dyDescent="0.5">
      <c r="A80" s="202">
        <v>46186</v>
      </c>
      <c r="B80" s="166">
        <v>14970</v>
      </c>
      <c r="C80" s="166">
        <v>14970</v>
      </c>
      <c r="D80" s="166">
        <v>1193000</v>
      </c>
      <c r="E80" s="166">
        <v>1193000</v>
      </c>
    </row>
    <row r="81" spans="1:5" x14ac:dyDescent="0.5">
      <c r="A81" s="203" t="s">
        <v>473</v>
      </c>
      <c r="B81" s="166"/>
      <c r="C81" s="166"/>
      <c r="D81" s="166">
        <v>25000</v>
      </c>
      <c r="E81" s="166">
        <v>0</v>
      </c>
    </row>
    <row r="82" spans="1:5" x14ac:dyDescent="0.5">
      <c r="A82" s="203" t="s">
        <v>23</v>
      </c>
      <c r="B82" s="166">
        <v>0</v>
      </c>
      <c r="C82" s="166">
        <v>14970</v>
      </c>
      <c r="D82" s="166"/>
      <c r="E82" s="166"/>
    </row>
    <row r="83" spans="1:5" x14ac:dyDescent="0.5">
      <c r="A83" s="203" t="s">
        <v>513</v>
      </c>
      <c r="B83" s="166">
        <v>14970</v>
      </c>
      <c r="C83" s="166">
        <v>0</v>
      </c>
      <c r="D83" s="166">
        <v>0</v>
      </c>
      <c r="E83" s="166">
        <v>1193000</v>
      </c>
    </row>
    <row r="84" spans="1:5" x14ac:dyDescent="0.5">
      <c r="A84" s="203" t="s">
        <v>111</v>
      </c>
      <c r="B84" s="166"/>
      <c r="C84" s="166"/>
      <c r="D84" s="166">
        <v>868000</v>
      </c>
      <c r="E84" s="166">
        <v>0</v>
      </c>
    </row>
    <row r="85" spans="1:5" x14ac:dyDescent="0.5">
      <c r="A85" s="203" t="s">
        <v>122</v>
      </c>
      <c r="B85" s="166"/>
      <c r="C85" s="166"/>
      <c r="D85" s="166">
        <v>200000</v>
      </c>
      <c r="E85" s="166">
        <v>0</v>
      </c>
    </row>
    <row r="86" spans="1:5" x14ac:dyDescent="0.5">
      <c r="A86" s="203" t="s">
        <v>486</v>
      </c>
      <c r="B86" s="166"/>
      <c r="C86" s="166"/>
      <c r="D86" s="166">
        <v>100000</v>
      </c>
      <c r="E86" s="166">
        <v>0</v>
      </c>
    </row>
    <row r="87" spans="1:5" x14ac:dyDescent="0.5">
      <c r="A87" s="202">
        <v>46187</v>
      </c>
      <c r="B87" s="166">
        <v>3500</v>
      </c>
      <c r="C87" s="166">
        <v>3500</v>
      </c>
      <c r="D87" s="166">
        <v>1331000</v>
      </c>
      <c r="E87" s="166">
        <v>1331000</v>
      </c>
    </row>
    <row r="88" spans="1:5" x14ac:dyDescent="0.5">
      <c r="A88" s="203" t="s">
        <v>513</v>
      </c>
      <c r="B88" s="166">
        <v>0</v>
      </c>
      <c r="C88" s="166">
        <v>3500</v>
      </c>
      <c r="D88" s="166">
        <v>0</v>
      </c>
      <c r="E88" s="166">
        <v>1331000</v>
      </c>
    </row>
    <row r="89" spans="1:5" x14ac:dyDescent="0.5">
      <c r="A89" s="203" t="s">
        <v>111</v>
      </c>
      <c r="B89" s="166"/>
      <c r="C89" s="166"/>
      <c r="D89" s="166">
        <v>874000</v>
      </c>
      <c r="E89" s="166">
        <v>0</v>
      </c>
    </row>
    <row r="90" spans="1:5" x14ac:dyDescent="0.5">
      <c r="A90" s="203" t="s">
        <v>112</v>
      </c>
      <c r="B90" s="166"/>
      <c r="C90" s="166"/>
      <c r="D90" s="166">
        <v>449000</v>
      </c>
      <c r="E90" s="166">
        <v>0</v>
      </c>
    </row>
    <row r="91" spans="1:5" x14ac:dyDescent="0.5">
      <c r="A91" s="203" t="s">
        <v>760</v>
      </c>
      <c r="B91" s="166">
        <v>1500</v>
      </c>
      <c r="C91" s="166">
        <v>0</v>
      </c>
      <c r="D91" s="166"/>
      <c r="E91" s="166"/>
    </row>
    <row r="92" spans="1:5" x14ac:dyDescent="0.5">
      <c r="A92" s="203" t="s">
        <v>113</v>
      </c>
      <c r="B92" s="166"/>
      <c r="C92" s="166"/>
      <c r="D92" s="166">
        <v>8000</v>
      </c>
      <c r="E92" s="166">
        <v>0</v>
      </c>
    </row>
    <row r="93" spans="1:5" x14ac:dyDescent="0.5">
      <c r="A93" s="203" t="s">
        <v>770</v>
      </c>
      <c r="B93" s="166">
        <v>2000</v>
      </c>
      <c r="C93" s="166">
        <v>0</v>
      </c>
      <c r="D93" s="166"/>
      <c r="E93" s="166"/>
    </row>
    <row r="94" spans="1:5" x14ac:dyDescent="0.5">
      <c r="A94" s="202">
        <v>46188</v>
      </c>
      <c r="B94" s="166">
        <v>21100</v>
      </c>
      <c r="C94" s="166">
        <v>21100</v>
      </c>
      <c r="D94" s="166">
        <v>888000</v>
      </c>
      <c r="E94" s="166">
        <v>888000</v>
      </c>
    </row>
    <row r="95" spans="1:5" x14ac:dyDescent="0.5">
      <c r="A95" s="203" t="s">
        <v>23</v>
      </c>
      <c r="B95" s="166">
        <v>0</v>
      </c>
      <c r="C95" s="166">
        <v>19960</v>
      </c>
      <c r="D95" s="166"/>
      <c r="E95" s="166"/>
    </row>
    <row r="96" spans="1:5" x14ac:dyDescent="0.5">
      <c r="A96" s="203" t="s">
        <v>513</v>
      </c>
      <c r="B96" s="166">
        <v>19960</v>
      </c>
      <c r="C96" s="166">
        <v>1140</v>
      </c>
      <c r="D96" s="166">
        <v>0</v>
      </c>
      <c r="E96" s="166">
        <v>888000</v>
      </c>
    </row>
    <row r="97" spans="1:5" x14ac:dyDescent="0.5">
      <c r="A97" s="203" t="s">
        <v>111</v>
      </c>
      <c r="B97" s="166"/>
      <c r="C97" s="166"/>
      <c r="D97" s="166">
        <v>888000</v>
      </c>
      <c r="E97" s="166">
        <v>0</v>
      </c>
    </row>
    <row r="98" spans="1:5" x14ac:dyDescent="0.5">
      <c r="A98" s="203" t="s">
        <v>131</v>
      </c>
      <c r="B98" s="166">
        <v>140</v>
      </c>
      <c r="C98" s="166">
        <v>0</v>
      </c>
      <c r="D98" s="166"/>
      <c r="E98" s="166"/>
    </row>
    <row r="99" spans="1:5" x14ac:dyDescent="0.5">
      <c r="A99" s="203" t="s">
        <v>122</v>
      </c>
      <c r="B99" s="166">
        <v>1000</v>
      </c>
      <c r="C99" s="166">
        <v>0</v>
      </c>
      <c r="D99" s="166"/>
      <c r="E99" s="166"/>
    </row>
    <row r="100" spans="1:5" x14ac:dyDescent="0.5">
      <c r="A100" s="202">
        <v>46189</v>
      </c>
      <c r="B100" s="166">
        <v>0</v>
      </c>
      <c r="C100" s="166">
        <v>2000</v>
      </c>
      <c r="D100" s="166">
        <v>735000</v>
      </c>
      <c r="E100" s="166">
        <v>735000</v>
      </c>
    </row>
    <row r="101" spans="1:5" x14ac:dyDescent="0.5">
      <c r="A101" s="203" t="s">
        <v>513</v>
      </c>
      <c r="B101" s="166">
        <v>0</v>
      </c>
      <c r="C101" s="166">
        <v>2000</v>
      </c>
      <c r="D101" s="166">
        <v>0</v>
      </c>
      <c r="E101" s="166">
        <v>735000</v>
      </c>
    </row>
    <row r="102" spans="1:5" x14ac:dyDescent="0.5">
      <c r="A102" s="203" t="s">
        <v>111</v>
      </c>
      <c r="B102" s="166"/>
      <c r="C102" s="166"/>
      <c r="D102" s="166">
        <v>735000</v>
      </c>
      <c r="E102" s="166">
        <v>0</v>
      </c>
    </row>
    <row r="103" spans="1:5" x14ac:dyDescent="0.5">
      <c r="A103" s="203" t="s">
        <v>855</v>
      </c>
      <c r="B103" s="166">
        <v>0</v>
      </c>
      <c r="C103" s="166">
        <v>0</v>
      </c>
      <c r="D103" s="166"/>
      <c r="E103" s="166"/>
    </row>
    <row r="104" spans="1:5" x14ac:dyDescent="0.5">
      <c r="A104" s="202">
        <v>46190</v>
      </c>
      <c r="B104" s="166">
        <v>35140</v>
      </c>
      <c r="C104" s="166">
        <v>35140</v>
      </c>
      <c r="D104" s="166">
        <v>1929000</v>
      </c>
      <c r="E104" s="166">
        <v>8129000</v>
      </c>
    </row>
    <row r="105" spans="1:5" x14ac:dyDescent="0.5">
      <c r="A105" s="203" t="s">
        <v>23</v>
      </c>
      <c r="B105" s="166">
        <v>0</v>
      </c>
      <c r="C105" s="166">
        <v>29940</v>
      </c>
      <c r="D105" s="166">
        <v>0</v>
      </c>
      <c r="E105" s="166">
        <v>0</v>
      </c>
    </row>
    <row r="106" spans="1:5" x14ac:dyDescent="0.5">
      <c r="A106" s="203" t="s">
        <v>513</v>
      </c>
      <c r="B106" s="166">
        <v>34940</v>
      </c>
      <c r="C106" s="166">
        <v>200</v>
      </c>
      <c r="D106" s="166">
        <v>0</v>
      </c>
      <c r="E106" s="166">
        <v>8129000</v>
      </c>
    </row>
    <row r="107" spans="1:5" x14ac:dyDescent="0.5">
      <c r="A107" s="203" t="s">
        <v>111</v>
      </c>
      <c r="B107" s="166"/>
      <c r="C107" s="166"/>
      <c r="D107" s="166">
        <v>1604000</v>
      </c>
      <c r="E107" s="166">
        <v>0</v>
      </c>
    </row>
    <row r="108" spans="1:5" x14ac:dyDescent="0.5">
      <c r="A108" s="203" t="s">
        <v>112</v>
      </c>
      <c r="B108" s="166"/>
      <c r="C108" s="166"/>
      <c r="D108" s="166">
        <v>25000</v>
      </c>
      <c r="E108" s="166">
        <v>0</v>
      </c>
    </row>
    <row r="109" spans="1:5" x14ac:dyDescent="0.5">
      <c r="A109" s="203" t="s">
        <v>484</v>
      </c>
      <c r="B109" s="166">
        <v>200</v>
      </c>
      <c r="C109" s="166">
        <v>0</v>
      </c>
      <c r="D109" s="166">
        <v>300000</v>
      </c>
      <c r="E109" s="166">
        <v>0</v>
      </c>
    </row>
    <row r="110" spans="1:5" x14ac:dyDescent="0.5">
      <c r="A110" s="203" t="s">
        <v>855</v>
      </c>
      <c r="B110" s="166">
        <v>0</v>
      </c>
      <c r="C110" s="166">
        <v>5000</v>
      </c>
      <c r="D110" s="166"/>
      <c r="E110" s="166"/>
    </row>
    <row r="111" spans="1:5" x14ac:dyDescent="0.5">
      <c r="A111" s="202">
        <v>46191</v>
      </c>
      <c r="B111" s="166"/>
      <c r="C111" s="166"/>
      <c r="D111" s="166">
        <v>2151500</v>
      </c>
      <c r="E111" s="166">
        <v>2151500</v>
      </c>
    </row>
    <row r="112" spans="1:5" x14ac:dyDescent="0.5">
      <c r="A112" s="203" t="s">
        <v>513</v>
      </c>
      <c r="B112" s="166"/>
      <c r="C112" s="166"/>
      <c r="D112" s="166">
        <v>0</v>
      </c>
      <c r="E112" s="166">
        <v>2151500</v>
      </c>
    </row>
    <row r="113" spans="1:5" x14ac:dyDescent="0.5">
      <c r="A113" s="203" t="s">
        <v>111</v>
      </c>
      <c r="B113" s="166"/>
      <c r="C113" s="166"/>
      <c r="D113" s="166">
        <v>2000000</v>
      </c>
      <c r="E113" s="166">
        <v>0</v>
      </c>
    </row>
    <row r="114" spans="1:5" x14ac:dyDescent="0.5">
      <c r="A114" s="203" t="s">
        <v>115</v>
      </c>
      <c r="B114" s="166"/>
      <c r="C114" s="166"/>
      <c r="D114" s="166">
        <v>51500</v>
      </c>
      <c r="E114" s="166">
        <v>0</v>
      </c>
    </row>
    <row r="115" spans="1:5" x14ac:dyDescent="0.5">
      <c r="A115" s="203" t="s">
        <v>486</v>
      </c>
      <c r="B115" s="166"/>
      <c r="C115" s="166"/>
      <c r="D115" s="166">
        <v>100000</v>
      </c>
      <c r="E115" s="166">
        <v>0</v>
      </c>
    </row>
    <row r="116" spans="1:5" x14ac:dyDescent="0.5">
      <c r="A116" s="202">
        <v>46192</v>
      </c>
      <c r="B116" s="166">
        <v>13500</v>
      </c>
      <c r="C116" s="166">
        <v>13500</v>
      </c>
      <c r="D116" s="166">
        <v>2114000</v>
      </c>
      <c r="E116" s="166">
        <v>2114000</v>
      </c>
    </row>
    <row r="117" spans="1:5" x14ac:dyDescent="0.5">
      <c r="A117" s="203" t="s">
        <v>513</v>
      </c>
      <c r="B117" s="166">
        <v>0</v>
      </c>
      <c r="C117" s="166">
        <v>13500</v>
      </c>
      <c r="D117" s="166">
        <v>0</v>
      </c>
      <c r="E117" s="166">
        <v>2114000</v>
      </c>
    </row>
    <row r="118" spans="1:5" x14ac:dyDescent="0.5">
      <c r="A118" s="203" t="s">
        <v>111</v>
      </c>
      <c r="B118" s="166"/>
      <c r="C118" s="166"/>
      <c r="D118" s="166">
        <v>739000</v>
      </c>
      <c r="E118" s="166">
        <v>0</v>
      </c>
    </row>
    <row r="119" spans="1:5" x14ac:dyDescent="0.5">
      <c r="A119" s="203" t="s">
        <v>121</v>
      </c>
      <c r="B119" s="166">
        <v>500</v>
      </c>
      <c r="C119" s="166">
        <v>0</v>
      </c>
      <c r="D119" s="166"/>
      <c r="E119" s="166"/>
    </row>
    <row r="120" spans="1:5" x14ac:dyDescent="0.5">
      <c r="A120" s="203" t="s">
        <v>484</v>
      </c>
      <c r="B120" s="166">
        <v>1000</v>
      </c>
      <c r="C120" s="166">
        <v>0</v>
      </c>
      <c r="D120" s="166">
        <v>75000</v>
      </c>
      <c r="E120" s="166">
        <v>0</v>
      </c>
    </row>
    <row r="121" spans="1:5" x14ac:dyDescent="0.5">
      <c r="A121" s="203" t="s">
        <v>824</v>
      </c>
      <c r="B121" s="166"/>
      <c r="C121" s="166"/>
      <c r="D121" s="166">
        <v>800000</v>
      </c>
      <c r="E121" s="166">
        <v>0</v>
      </c>
    </row>
    <row r="122" spans="1:5" x14ac:dyDescent="0.5">
      <c r="A122" s="203" t="s">
        <v>855</v>
      </c>
      <c r="B122" s="166">
        <v>12000</v>
      </c>
      <c r="C122" s="166">
        <v>0</v>
      </c>
      <c r="D122" s="166">
        <v>500000</v>
      </c>
      <c r="E122" s="166">
        <v>0</v>
      </c>
    </row>
    <row r="123" spans="1:5" x14ac:dyDescent="0.5">
      <c r="A123" s="202">
        <v>46193</v>
      </c>
      <c r="B123" s="166"/>
      <c r="C123" s="166"/>
      <c r="D123" s="166">
        <v>844000</v>
      </c>
      <c r="E123" s="166">
        <v>844000</v>
      </c>
    </row>
    <row r="124" spans="1:5" x14ac:dyDescent="0.5">
      <c r="A124" s="203" t="s">
        <v>513</v>
      </c>
      <c r="B124" s="166"/>
      <c r="C124" s="166"/>
      <c r="D124" s="166">
        <v>0</v>
      </c>
      <c r="E124" s="166">
        <v>844000</v>
      </c>
    </row>
    <row r="125" spans="1:5" x14ac:dyDescent="0.5">
      <c r="A125" s="203" t="s">
        <v>111</v>
      </c>
      <c r="B125" s="166"/>
      <c r="C125" s="166"/>
      <c r="D125" s="166">
        <v>684000</v>
      </c>
      <c r="E125" s="166">
        <v>0</v>
      </c>
    </row>
    <row r="126" spans="1:5" x14ac:dyDescent="0.5">
      <c r="A126" s="203" t="s">
        <v>121</v>
      </c>
      <c r="B126" s="166"/>
      <c r="C126" s="166"/>
      <c r="D126" s="166">
        <v>60000</v>
      </c>
      <c r="E126" s="166">
        <v>0</v>
      </c>
    </row>
    <row r="127" spans="1:5" x14ac:dyDescent="0.5">
      <c r="A127" s="203" t="s">
        <v>487</v>
      </c>
      <c r="B127" s="166"/>
      <c r="C127" s="166"/>
      <c r="D127" s="166">
        <v>100000</v>
      </c>
      <c r="E127" s="166">
        <v>0</v>
      </c>
    </row>
    <row r="128" spans="1:5" x14ac:dyDescent="0.5">
      <c r="A128" s="202">
        <v>46194</v>
      </c>
      <c r="B128" s="166"/>
      <c r="C128" s="166"/>
      <c r="D128" s="166">
        <v>1942000</v>
      </c>
      <c r="E128" s="166">
        <v>1942000</v>
      </c>
    </row>
    <row r="129" spans="1:5" x14ac:dyDescent="0.5">
      <c r="A129" s="203" t="s">
        <v>513</v>
      </c>
      <c r="B129" s="166"/>
      <c r="C129" s="166"/>
      <c r="D129" s="166">
        <v>0</v>
      </c>
      <c r="E129" s="166">
        <v>1942000</v>
      </c>
    </row>
    <row r="130" spans="1:5" x14ac:dyDescent="0.5">
      <c r="A130" s="203" t="s">
        <v>111</v>
      </c>
      <c r="B130" s="166"/>
      <c r="C130" s="166"/>
      <c r="D130" s="166">
        <v>902000</v>
      </c>
      <c r="E130" s="166">
        <v>0</v>
      </c>
    </row>
    <row r="131" spans="1:5" x14ac:dyDescent="0.5">
      <c r="A131" s="203" t="s">
        <v>121</v>
      </c>
      <c r="B131" s="166"/>
      <c r="C131" s="166"/>
      <c r="D131" s="166">
        <v>560000</v>
      </c>
      <c r="E131" s="166">
        <v>0</v>
      </c>
    </row>
    <row r="132" spans="1:5" x14ac:dyDescent="0.5">
      <c r="A132" s="203" t="s">
        <v>487</v>
      </c>
      <c r="B132" s="166"/>
      <c r="C132" s="166"/>
      <c r="D132" s="166">
        <v>380000</v>
      </c>
      <c r="E132" s="166">
        <v>0</v>
      </c>
    </row>
    <row r="133" spans="1:5" x14ac:dyDescent="0.5">
      <c r="A133" s="203" t="s">
        <v>486</v>
      </c>
      <c r="B133" s="166"/>
      <c r="C133" s="166"/>
      <c r="D133" s="166">
        <v>100000</v>
      </c>
      <c r="E133" s="166">
        <v>0</v>
      </c>
    </row>
    <row r="134" spans="1:5" x14ac:dyDescent="0.5">
      <c r="A134" s="202">
        <v>46195</v>
      </c>
      <c r="B134" s="166"/>
      <c r="C134" s="166"/>
      <c r="D134" s="166">
        <v>512000</v>
      </c>
      <c r="E134" s="166">
        <v>512000</v>
      </c>
    </row>
    <row r="135" spans="1:5" x14ac:dyDescent="0.5">
      <c r="A135" s="203" t="s">
        <v>513</v>
      </c>
      <c r="B135" s="166"/>
      <c r="C135" s="166"/>
      <c r="D135" s="166">
        <v>0</v>
      </c>
      <c r="E135" s="166">
        <v>512000</v>
      </c>
    </row>
    <row r="136" spans="1:5" x14ac:dyDescent="0.5">
      <c r="A136" s="203" t="s">
        <v>111</v>
      </c>
      <c r="B136" s="166"/>
      <c r="C136" s="166"/>
      <c r="D136" s="166">
        <v>312000</v>
      </c>
      <c r="E136" s="166">
        <v>0</v>
      </c>
    </row>
    <row r="137" spans="1:5" x14ac:dyDescent="0.5">
      <c r="A137" s="203" t="s">
        <v>27</v>
      </c>
      <c r="B137" s="166"/>
      <c r="C137" s="166"/>
      <c r="D137" s="166">
        <v>200000</v>
      </c>
      <c r="E137" s="166">
        <v>0</v>
      </c>
    </row>
    <row r="138" spans="1:5" x14ac:dyDescent="0.5">
      <c r="A138" s="136" t="s">
        <v>509</v>
      </c>
      <c r="B138" s="166">
        <v>153200</v>
      </c>
      <c r="C138" s="166">
        <v>155200</v>
      </c>
      <c r="D138" s="166">
        <v>31676500</v>
      </c>
      <c r="E138" s="166">
        <v>37876500</v>
      </c>
    </row>
  </sheetData>
  <mergeCells count="2">
    <mergeCell ref="B4:C4"/>
    <mergeCell ref="D4:E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01E-5C28-43A1-B510-63EEAE36785A}">
  <sheetPr>
    <pageSetUpPr fitToPage="1"/>
  </sheetPr>
  <dimension ref="A1:E30"/>
  <sheetViews>
    <sheetView rightToLeft="1" topLeftCell="A5" zoomScale="58" workbookViewId="0">
      <selection activeCell="A20" sqref="A20"/>
    </sheetView>
  </sheetViews>
  <sheetFormatPr defaultRowHeight="36" x14ac:dyDescent="0.8"/>
  <cols>
    <col min="1" max="1" width="93.3203125" style="140" customWidth="1"/>
    <col min="2" max="5" width="47.0546875" style="140" customWidth="1"/>
    <col min="6" max="6" width="17.05078125" bestFit="1" customWidth="1"/>
    <col min="7" max="7" width="16.51953125" bestFit="1" customWidth="1"/>
    <col min="8" max="8" width="23.39453125" bestFit="1" customWidth="1"/>
    <col min="9" max="9" width="22.734375" bestFit="1" customWidth="1"/>
    <col min="10" max="10" width="16.390625" bestFit="1" customWidth="1"/>
    <col min="11" max="11" width="9.1171875" bestFit="1" customWidth="1"/>
    <col min="12" max="12" width="5.01953125" bestFit="1" customWidth="1"/>
    <col min="13" max="31" width="5.9453125" bestFit="1" customWidth="1"/>
    <col min="32" max="45" width="7.00390625" bestFit="1" customWidth="1"/>
    <col min="46" max="46" width="7.9296875" bestFit="1" customWidth="1"/>
    <col min="47" max="47" width="13.61328125" bestFit="1" customWidth="1"/>
    <col min="48" max="48" width="10.96875" bestFit="1" customWidth="1"/>
  </cols>
  <sheetData>
    <row r="1" spans="1:5" ht="87" customHeight="1" thickBot="1" x14ac:dyDescent="0.55000000000000004">
      <c r="A1" s="10" t="e" vm="1">
        <v>#VALUE!</v>
      </c>
      <c r="B1"/>
      <c r="C1"/>
      <c r="D1"/>
      <c r="E1"/>
    </row>
    <row r="2" spans="1:5" ht="60.6" customHeight="1" thickBot="1" x14ac:dyDescent="1">
      <c r="A2" s="141"/>
      <c r="B2" s="221" t="s">
        <v>511</v>
      </c>
      <c r="C2" s="222"/>
      <c r="D2" s="222"/>
      <c r="E2" s="223"/>
    </row>
    <row r="3" spans="1:5" ht="43.5" hidden="1" thickBot="1" x14ac:dyDescent="1">
      <c r="A3" s="150"/>
      <c r="B3" s="151" t="s">
        <v>510</v>
      </c>
      <c r="C3" s="152"/>
      <c r="D3" s="153"/>
      <c r="E3" s="154"/>
    </row>
    <row r="4" spans="1:5" s="139" customFormat="1" ht="43.5" thickBot="1" x14ac:dyDescent="1">
      <c r="A4" s="155"/>
      <c r="B4" s="217" t="s">
        <v>238</v>
      </c>
      <c r="C4" s="218"/>
      <c r="D4" s="219" t="s">
        <v>241</v>
      </c>
      <c r="E4" s="220"/>
    </row>
    <row r="5" spans="1:5" s="139" customFormat="1" ht="43.5" thickBot="1" x14ac:dyDescent="1">
      <c r="A5" s="156" t="s">
        <v>415</v>
      </c>
      <c r="B5" s="161" t="s">
        <v>20</v>
      </c>
      <c r="C5" s="162" t="s">
        <v>85</v>
      </c>
      <c r="D5" s="161" t="s">
        <v>20</v>
      </c>
      <c r="E5" s="162" t="s">
        <v>85</v>
      </c>
    </row>
    <row r="6" spans="1:5" s="139" customFormat="1" ht="42.75" x14ac:dyDescent="0.95">
      <c r="A6" s="157" t="s">
        <v>473</v>
      </c>
      <c r="B6" s="142">
        <v>440000</v>
      </c>
      <c r="C6" s="143">
        <v>0</v>
      </c>
      <c r="D6" s="143">
        <v>0</v>
      </c>
      <c r="E6" s="144">
        <v>0</v>
      </c>
    </row>
    <row r="7" spans="1:5" s="139" customFormat="1" ht="42.75" x14ac:dyDescent="0.95">
      <c r="A7" s="158" t="s">
        <v>23</v>
      </c>
      <c r="B7" s="145">
        <v>0</v>
      </c>
      <c r="C7" s="198">
        <v>0</v>
      </c>
      <c r="D7" s="198">
        <v>0</v>
      </c>
      <c r="E7" s="146">
        <v>122760</v>
      </c>
    </row>
    <row r="8" spans="1:5" s="139" customFormat="1" ht="43.5" thickBot="1" x14ac:dyDescent="1">
      <c r="A8" s="159" t="s">
        <v>161</v>
      </c>
      <c r="B8" s="145">
        <v>0</v>
      </c>
      <c r="C8" s="198">
        <v>779500</v>
      </c>
      <c r="D8" s="198">
        <v>0</v>
      </c>
      <c r="E8" s="146">
        <v>0</v>
      </c>
    </row>
    <row r="9" spans="1:5" s="139" customFormat="1" ht="42.75" x14ac:dyDescent="0.95">
      <c r="A9" s="167" t="s">
        <v>27</v>
      </c>
      <c r="B9" s="145">
        <v>200000</v>
      </c>
      <c r="C9" s="198">
        <v>0</v>
      </c>
      <c r="D9" s="198">
        <v>0</v>
      </c>
      <c r="E9" s="146">
        <v>0</v>
      </c>
    </row>
    <row r="10" spans="1:5" s="139" customFormat="1" ht="42.75" x14ac:dyDescent="0.95">
      <c r="A10" s="167" t="s">
        <v>760</v>
      </c>
      <c r="B10" s="145">
        <v>0</v>
      </c>
      <c r="C10" s="198">
        <v>0</v>
      </c>
      <c r="D10" s="198">
        <v>1500</v>
      </c>
      <c r="E10" s="146">
        <v>0</v>
      </c>
    </row>
    <row r="11" spans="1:5" s="139" customFormat="1" ht="43.5" thickBot="1" x14ac:dyDescent="1">
      <c r="A11" s="167" t="s">
        <v>770</v>
      </c>
      <c r="B11" s="145">
        <v>0</v>
      </c>
      <c r="C11" s="198">
        <v>0</v>
      </c>
      <c r="D11" s="198">
        <v>2000</v>
      </c>
      <c r="E11" s="146">
        <v>0</v>
      </c>
    </row>
    <row r="12" spans="1:5" s="139" customFormat="1" ht="43.5" thickBot="1" x14ac:dyDescent="1">
      <c r="A12" s="160" t="s">
        <v>160</v>
      </c>
      <c r="B12" s="145">
        <v>0</v>
      </c>
      <c r="C12" s="198">
        <v>0</v>
      </c>
      <c r="D12" s="198">
        <v>2000</v>
      </c>
      <c r="E12" s="146">
        <v>0</v>
      </c>
    </row>
    <row r="13" spans="1:5" s="139" customFormat="1" ht="43.5" thickBot="1" x14ac:dyDescent="1">
      <c r="A13" s="167" t="s">
        <v>824</v>
      </c>
      <c r="B13" s="145">
        <v>800000</v>
      </c>
      <c r="C13" s="198">
        <v>0</v>
      </c>
      <c r="D13" s="198">
        <v>2000</v>
      </c>
      <c r="E13" s="146">
        <v>0</v>
      </c>
    </row>
    <row r="14" spans="1:5" s="139" customFormat="1" ht="43.5" thickBot="1" x14ac:dyDescent="1">
      <c r="A14" s="160" t="s">
        <v>460</v>
      </c>
      <c r="B14" s="145">
        <v>700000</v>
      </c>
      <c r="C14" s="198">
        <v>0</v>
      </c>
      <c r="D14" s="198">
        <v>0</v>
      </c>
      <c r="E14" s="146">
        <v>0</v>
      </c>
    </row>
    <row r="15" spans="1:5" s="139" customFormat="1" ht="42.75" x14ac:dyDescent="0.95">
      <c r="A15" s="167" t="s">
        <v>513</v>
      </c>
      <c r="B15" s="145">
        <v>1006500</v>
      </c>
      <c r="C15" s="198">
        <v>26914500</v>
      </c>
      <c r="D15" s="198">
        <v>92830</v>
      </c>
      <c r="E15" s="146">
        <v>22940</v>
      </c>
    </row>
    <row r="16" spans="1:5" s="139" customFormat="1" ht="43.5" thickBot="1" x14ac:dyDescent="1">
      <c r="A16" s="167" t="s">
        <v>855</v>
      </c>
      <c r="B16" s="145">
        <v>500000</v>
      </c>
      <c r="C16" s="198">
        <v>0</v>
      </c>
      <c r="D16" s="198">
        <v>12000</v>
      </c>
      <c r="E16" s="146">
        <v>5000</v>
      </c>
    </row>
    <row r="17" spans="1:5" s="139" customFormat="1" ht="42.75" x14ac:dyDescent="0.95">
      <c r="A17" s="157" t="s">
        <v>159</v>
      </c>
      <c r="B17" s="145">
        <v>779500</v>
      </c>
      <c r="C17" s="198">
        <v>10182500</v>
      </c>
      <c r="D17" s="198">
        <v>34930</v>
      </c>
      <c r="E17" s="146">
        <v>4500</v>
      </c>
    </row>
    <row r="18" spans="1:5" s="139" customFormat="1" ht="42.75" x14ac:dyDescent="0.95">
      <c r="A18" s="158" t="s">
        <v>111</v>
      </c>
      <c r="B18" s="145">
        <v>18597000</v>
      </c>
      <c r="C18" s="198">
        <v>0</v>
      </c>
      <c r="D18" s="198">
        <v>0</v>
      </c>
      <c r="E18" s="146">
        <v>0</v>
      </c>
    </row>
    <row r="19" spans="1:5" s="139" customFormat="1" ht="42.75" x14ac:dyDescent="0.95">
      <c r="A19" s="158" t="s">
        <v>164</v>
      </c>
      <c r="B19" s="145">
        <v>1360000</v>
      </c>
      <c r="C19" s="198">
        <v>0</v>
      </c>
      <c r="D19" s="198">
        <v>1500</v>
      </c>
      <c r="E19" s="146">
        <v>0</v>
      </c>
    </row>
    <row r="20" spans="1:5" s="139" customFormat="1" ht="42.75" x14ac:dyDescent="0.95">
      <c r="A20" s="158" t="s">
        <v>121</v>
      </c>
      <c r="B20" s="145">
        <v>1565000</v>
      </c>
      <c r="C20" s="198">
        <v>0</v>
      </c>
      <c r="D20" s="198">
        <v>1500</v>
      </c>
      <c r="E20" s="146">
        <v>0</v>
      </c>
    </row>
    <row r="21" spans="1:5" s="139" customFormat="1" ht="42.75" x14ac:dyDescent="0.95">
      <c r="A21" s="158" t="s">
        <v>134</v>
      </c>
      <c r="B21" s="145">
        <v>2025000</v>
      </c>
      <c r="C21" s="198">
        <v>0</v>
      </c>
      <c r="D21" s="198">
        <v>0</v>
      </c>
      <c r="E21" s="146">
        <v>0</v>
      </c>
    </row>
    <row r="22" spans="1:5" ht="42.75" x14ac:dyDescent="0.95">
      <c r="A22" s="158" t="s">
        <v>487</v>
      </c>
      <c r="B22" s="145">
        <v>1180000</v>
      </c>
      <c r="C22" s="198">
        <v>0</v>
      </c>
      <c r="D22" s="198">
        <v>0</v>
      </c>
      <c r="E22" s="146">
        <v>0</v>
      </c>
    </row>
    <row r="23" spans="1:5" ht="42.75" x14ac:dyDescent="0.95">
      <c r="A23" s="158" t="s">
        <v>131</v>
      </c>
      <c r="B23" s="145">
        <v>20000</v>
      </c>
      <c r="C23" s="198">
        <v>0</v>
      </c>
      <c r="D23" s="198">
        <v>140</v>
      </c>
      <c r="E23" s="146">
        <v>0</v>
      </c>
    </row>
    <row r="24" spans="1:5" ht="42.75" x14ac:dyDescent="0.95">
      <c r="A24" s="158" t="s">
        <v>115</v>
      </c>
      <c r="B24" s="145">
        <v>91500</v>
      </c>
      <c r="C24" s="198">
        <v>0</v>
      </c>
      <c r="D24" s="198">
        <v>0</v>
      </c>
      <c r="E24" s="146">
        <v>0</v>
      </c>
    </row>
    <row r="25" spans="1:5" ht="43.5" thickBot="1" x14ac:dyDescent="1">
      <c r="A25" s="159" t="s">
        <v>112</v>
      </c>
      <c r="B25" s="145">
        <v>802000</v>
      </c>
      <c r="C25" s="198">
        <v>0</v>
      </c>
      <c r="D25" s="198">
        <v>0</v>
      </c>
      <c r="E25" s="146">
        <v>0</v>
      </c>
    </row>
    <row r="26" spans="1:5" ht="42.75" x14ac:dyDescent="0.95">
      <c r="A26" s="167" t="s">
        <v>486</v>
      </c>
      <c r="B26" s="145">
        <v>300000</v>
      </c>
      <c r="C26" s="198">
        <v>0</v>
      </c>
      <c r="D26" s="198">
        <v>0</v>
      </c>
      <c r="E26" s="146">
        <v>0</v>
      </c>
    </row>
    <row r="27" spans="1:5" ht="43.5" thickBot="1" x14ac:dyDescent="1">
      <c r="A27" s="167" t="s">
        <v>484</v>
      </c>
      <c r="B27" s="145">
        <v>602000</v>
      </c>
      <c r="C27" s="198">
        <v>0</v>
      </c>
      <c r="D27" s="198">
        <v>1200</v>
      </c>
      <c r="E27" s="146">
        <v>0</v>
      </c>
    </row>
    <row r="28" spans="1:5" ht="43.5" thickBot="1" x14ac:dyDescent="1">
      <c r="A28" s="160" t="s">
        <v>122</v>
      </c>
      <c r="B28" s="145">
        <v>700000</v>
      </c>
      <c r="C28" s="198">
        <v>0</v>
      </c>
      <c r="D28" s="198">
        <v>1600</v>
      </c>
      <c r="E28" s="146">
        <v>0</v>
      </c>
    </row>
    <row r="29" spans="1:5" ht="43.5" thickBot="1" x14ac:dyDescent="1">
      <c r="A29" s="167" t="s">
        <v>113</v>
      </c>
      <c r="B29" s="145">
        <v>8000</v>
      </c>
      <c r="C29" s="198">
        <v>0</v>
      </c>
      <c r="D29" s="198">
        <v>0</v>
      </c>
      <c r="E29" s="146">
        <v>0</v>
      </c>
    </row>
    <row r="30" spans="1:5" ht="43.5" thickBot="1" x14ac:dyDescent="1">
      <c r="A30" s="160" t="s">
        <v>509</v>
      </c>
      <c r="B30" s="147">
        <v>31676500</v>
      </c>
      <c r="C30" s="148">
        <v>37876500</v>
      </c>
      <c r="D30" s="148">
        <v>153200</v>
      </c>
      <c r="E30" s="149">
        <v>155200</v>
      </c>
    </row>
  </sheetData>
  <mergeCells count="3">
    <mergeCell ref="B4:C4"/>
    <mergeCell ref="D4:E4"/>
    <mergeCell ref="B2:E2"/>
  </mergeCells>
  <hyperlinks>
    <hyperlink ref="A1" location="Home!A1" display="Home!A1" xr:uid="{644D3DD1-DBD9-4B3E-81AB-422CB54A0208}"/>
  </hyperlinks>
  <pageMargins left="0.7" right="0.7" top="0.75" bottom="0.75" header="0.3" footer="0.3"/>
  <pageSetup paperSize="9" scale="46" fitToHeight="0" orientation="landscape"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A6B66-BB6E-4E95-96F3-BEED487EBB86}">
  <dimension ref="A3:J28"/>
  <sheetViews>
    <sheetView rightToLeft="1" workbookViewId="0">
      <selection activeCell="D10" sqref="D10"/>
    </sheetView>
  </sheetViews>
  <sheetFormatPr defaultRowHeight="22.5" x14ac:dyDescent="0.5"/>
  <cols>
    <col min="1" max="1" width="22.8671875" bestFit="1" customWidth="1"/>
    <col min="2" max="3" width="8.45703125" bestFit="1" customWidth="1"/>
    <col min="4" max="4" width="18.50390625" bestFit="1" customWidth="1"/>
  </cols>
  <sheetData>
    <row r="3" spans="1:10" s="204" customFormat="1" x14ac:dyDescent="0.5">
      <c r="A3" s="205" t="s">
        <v>550</v>
      </c>
      <c r="B3" s="204" t="s">
        <v>20</v>
      </c>
      <c r="C3" s="204" t="s">
        <v>85</v>
      </c>
    </row>
    <row r="4" spans="1:10" x14ac:dyDescent="0.5">
      <c r="A4" s="136" t="s">
        <v>473</v>
      </c>
      <c r="B4" s="178">
        <v>1086.4197530864199</v>
      </c>
      <c r="C4" s="178">
        <v>0</v>
      </c>
    </row>
    <row r="5" spans="1:10" x14ac:dyDescent="0.5">
      <c r="A5" s="136" t="s">
        <v>23</v>
      </c>
      <c r="B5" s="178">
        <v>0</v>
      </c>
      <c r="C5" s="178">
        <v>122760</v>
      </c>
    </row>
    <row r="6" spans="1:10" x14ac:dyDescent="0.5">
      <c r="A6" s="136" t="s">
        <v>161</v>
      </c>
      <c r="B6" s="178">
        <v>0</v>
      </c>
      <c r="C6" s="178">
        <v>1924.6913580246915</v>
      </c>
    </row>
    <row r="7" spans="1:10" x14ac:dyDescent="0.5">
      <c r="A7" s="136" t="s">
        <v>760</v>
      </c>
      <c r="B7" s="178">
        <v>1500</v>
      </c>
      <c r="C7" s="178">
        <v>0</v>
      </c>
    </row>
    <row r="8" spans="1:10" x14ac:dyDescent="0.5">
      <c r="A8" s="136" t="s">
        <v>770</v>
      </c>
      <c r="B8" s="178">
        <v>2000</v>
      </c>
      <c r="C8" s="178">
        <v>0</v>
      </c>
      <c r="J8" s="200"/>
    </row>
    <row r="9" spans="1:10" x14ac:dyDescent="0.5">
      <c r="A9" s="136" t="s">
        <v>160</v>
      </c>
      <c r="B9" s="178">
        <v>2000</v>
      </c>
      <c r="C9" s="178">
        <v>0</v>
      </c>
    </row>
    <row r="10" spans="1:10" x14ac:dyDescent="0.5">
      <c r="A10" s="136" t="s">
        <v>824</v>
      </c>
      <c r="B10" s="178">
        <v>3975.3086419753085</v>
      </c>
      <c r="C10" s="178">
        <v>0</v>
      </c>
    </row>
    <row r="11" spans="1:10" x14ac:dyDescent="0.5">
      <c r="A11" s="136" t="s">
        <v>460</v>
      </c>
      <c r="B11" s="178">
        <v>1728.3950617283951</v>
      </c>
      <c r="C11" s="178">
        <v>0</v>
      </c>
    </row>
    <row r="12" spans="1:10" x14ac:dyDescent="0.5">
      <c r="A12" s="136" t="s">
        <v>513</v>
      </c>
      <c r="B12" s="178">
        <v>95315.185185185182</v>
      </c>
      <c r="C12" s="178">
        <v>89395.555555555387</v>
      </c>
      <c r="D12" s="166">
        <f>GETPIVOTDATA("مدين",$A$3,"الحساب","عهدة عبدالحفيظ")-GETPIVOTDATA("دائن",$A$3,"الحساب","عهدة عبدالحفيظ")</f>
        <v>5919.6296296297951</v>
      </c>
    </row>
    <row r="13" spans="1:10" x14ac:dyDescent="0.5">
      <c r="A13" s="136" t="s">
        <v>855</v>
      </c>
      <c r="B13" s="178">
        <v>13234.567901234568</v>
      </c>
      <c r="C13" s="178">
        <v>5000</v>
      </c>
    </row>
    <row r="14" spans="1:10" x14ac:dyDescent="0.5">
      <c r="A14" s="136" t="s">
        <v>159</v>
      </c>
      <c r="B14" s="178">
        <v>36854.691358024691</v>
      </c>
      <c r="C14" s="178">
        <v>29641.975308641981</v>
      </c>
    </row>
    <row r="15" spans="1:10" x14ac:dyDescent="0.5">
      <c r="A15" s="136" t="s">
        <v>111</v>
      </c>
      <c r="B15" s="178">
        <v>45918.518518518453</v>
      </c>
      <c r="C15" s="178">
        <v>0</v>
      </c>
    </row>
    <row r="16" spans="1:10" x14ac:dyDescent="0.5">
      <c r="A16" s="136" t="s">
        <v>164</v>
      </c>
      <c r="B16" s="178">
        <v>4858.0246913580249</v>
      </c>
      <c r="C16" s="178">
        <v>0</v>
      </c>
    </row>
    <row r="17" spans="1:3" x14ac:dyDescent="0.5">
      <c r="A17" s="136" t="s">
        <v>121</v>
      </c>
      <c r="B17" s="178">
        <v>5364.1975308641977</v>
      </c>
      <c r="C17" s="178">
        <v>0</v>
      </c>
    </row>
    <row r="18" spans="1:3" x14ac:dyDescent="0.5">
      <c r="A18" s="136" t="s">
        <v>134</v>
      </c>
      <c r="B18" s="178">
        <v>5000</v>
      </c>
      <c r="C18" s="178">
        <v>0</v>
      </c>
    </row>
    <row r="19" spans="1:3" x14ac:dyDescent="0.5">
      <c r="A19" s="136" t="s">
        <v>487</v>
      </c>
      <c r="B19" s="178">
        <v>2913.5802469135797</v>
      </c>
      <c r="C19" s="178">
        <v>0</v>
      </c>
    </row>
    <row r="20" spans="1:3" x14ac:dyDescent="0.5">
      <c r="A20" s="136" t="s">
        <v>131</v>
      </c>
      <c r="B20" s="178">
        <v>189.38271604938271</v>
      </c>
      <c r="C20" s="178">
        <v>0</v>
      </c>
    </row>
    <row r="21" spans="1:3" x14ac:dyDescent="0.5">
      <c r="A21" s="136" t="s">
        <v>115</v>
      </c>
      <c r="B21" s="178">
        <v>225.92592592592592</v>
      </c>
      <c r="C21" s="178">
        <v>0</v>
      </c>
    </row>
    <row r="22" spans="1:3" x14ac:dyDescent="0.5">
      <c r="A22" s="136" t="s">
        <v>112</v>
      </c>
      <c r="B22" s="178">
        <v>1980.2469135802471</v>
      </c>
      <c r="C22" s="178">
        <v>0</v>
      </c>
    </row>
    <row r="23" spans="1:3" x14ac:dyDescent="0.5">
      <c r="A23" s="136" t="s">
        <v>486</v>
      </c>
      <c r="B23" s="178">
        <v>740.74074074074065</v>
      </c>
      <c r="C23" s="178">
        <v>0</v>
      </c>
    </row>
    <row r="24" spans="1:3" x14ac:dyDescent="0.5">
      <c r="A24" s="136" t="s">
        <v>484</v>
      </c>
      <c r="B24" s="178">
        <v>2686.4197530864199</v>
      </c>
      <c r="C24" s="178">
        <v>0</v>
      </c>
    </row>
    <row r="25" spans="1:3" x14ac:dyDescent="0.5">
      <c r="A25" s="136" t="s">
        <v>122</v>
      </c>
      <c r="B25" s="178">
        <v>3328.3950617283949</v>
      </c>
      <c r="C25" s="178">
        <v>0</v>
      </c>
    </row>
    <row r="26" spans="1:3" x14ac:dyDescent="0.5">
      <c r="A26" s="136" t="s">
        <v>113</v>
      </c>
      <c r="B26" s="178">
        <v>19.753086419753085</v>
      </c>
      <c r="C26" s="178">
        <v>0</v>
      </c>
    </row>
    <row r="27" spans="1:3" x14ac:dyDescent="0.5">
      <c r="A27" s="136" t="s">
        <v>27</v>
      </c>
      <c r="B27" s="178">
        <v>493.82716049382714</v>
      </c>
      <c r="C27" s="178">
        <v>0</v>
      </c>
    </row>
    <row r="28" spans="1:3" x14ac:dyDescent="0.5">
      <c r="A28" s="136" t="s">
        <v>509</v>
      </c>
      <c r="B28" s="178">
        <v>231413.58024691348</v>
      </c>
      <c r="C28" s="178">
        <v>248722.22222222207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3EF15-51AF-4D13-8222-4D2E86B9B713}">
  <sheetPr codeName="Daily_Journal"/>
  <dimension ref="B1:AB737"/>
  <sheetViews>
    <sheetView rightToLeft="1" topLeftCell="B4" zoomScale="96" workbookViewId="0">
      <selection activeCell="G8" sqref="G8"/>
    </sheetView>
  </sheetViews>
  <sheetFormatPr defaultColWidth="8.85546875" defaultRowHeight="13.5" x14ac:dyDescent="0.15"/>
  <cols>
    <col min="1" max="1" width="2.11328125" style="10" customWidth="1"/>
    <col min="2" max="2" width="11.1015625" style="10" customWidth="1"/>
    <col min="3" max="3" width="14.0078125" style="10" customWidth="1"/>
    <col min="4" max="4" width="15.46484375" style="10" customWidth="1"/>
    <col min="5" max="5" width="12.8203125" style="10" customWidth="1"/>
    <col min="6" max="6" width="19.4296875" style="10" customWidth="1"/>
    <col min="7" max="7" width="42.828125" style="10" bestFit="1" customWidth="1"/>
    <col min="8" max="8" width="76.53515625" style="10" customWidth="1"/>
    <col min="9" max="9" width="12.16015625" style="10" bestFit="1" customWidth="1"/>
    <col min="10" max="10" width="15.59765625" style="10" customWidth="1"/>
    <col min="11" max="11" width="25.24609375" style="10" customWidth="1"/>
    <col min="12" max="12" width="23.12890625" style="10" customWidth="1"/>
    <col min="13" max="13" width="30.796875" style="10" customWidth="1"/>
    <col min="14" max="14" width="27.2265625" style="10" bestFit="1" customWidth="1"/>
    <col min="15" max="15" width="23.12890625" style="10" bestFit="1" customWidth="1"/>
    <col min="16" max="16" width="12.29296875" style="10" bestFit="1" customWidth="1"/>
    <col min="17" max="17" width="22.3359375" style="10" bestFit="1" customWidth="1"/>
    <col min="18" max="18" width="15.19921875" style="10" bestFit="1" customWidth="1"/>
    <col min="19" max="19" width="17.18359375" style="10" customWidth="1"/>
    <col min="20" max="20" width="19.82421875" style="10" customWidth="1"/>
    <col min="21" max="21" width="25.90625" style="10" customWidth="1"/>
    <col min="22" max="22" width="31.72265625" style="10" customWidth="1"/>
    <col min="23" max="23" width="33.44140625" style="10" customWidth="1"/>
    <col min="24" max="24" width="17.4453125" style="10" bestFit="1" customWidth="1"/>
    <col min="25" max="25" width="19.296875" style="10" bestFit="1" customWidth="1"/>
    <col min="26" max="26" width="17.05078125" style="10" bestFit="1" customWidth="1"/>
    <col min="27" max="27" width="102.97265625" style="10" customWidth="1"/>
    <col min="28" max="28" width="47.0546875" style="10" customWidth="1"/>
    <col min="29" max="16384" width="8.85546875" style="10"/>
  </cols>
  <sheetData>
    <row r="1" spans="2:28" ht="9.6" customHeight="1" x14ac:dyDescent="0.15"/>
    <row r="2" spans="2:28" ht="33.75" x14ac:dyDescent="0.75">
      <c r="B2" s="10" t="e" vm="2">
        <v>#VALUE!</v>
      </c>
      <c r="G2" s="232" t="s">
        <v>414</v>
      </c>
      <c r="H2" s="232"/>
      <c r="I2" s="232"/>
      <c r="J2" s="232"/>
      <c r="K2" s="232"/>
      <c r="L2" s="232"/>
      <c r="M2" s="233"/>
      <c r="N2" s="233"/>
    </row>
    <row r="3" spans="2:28" ht="45.6" customHeight="1" x14ac:dyDescent="0.55000000000000004">
      <c r="B3" s="53" t="s">
        <v>255</v>
      </c>
      <c r="C3" s="54" t="s">
        <v>256</v>
      </c>
      <c r="D3" s="54" t="s">
        <v>257</v>
      </c>
      <c r="E3" s="54" t="s">
        <v>258</v>
      </c>
      <c r="F3" s="54" t="s">
        <v>1</v>
      </c>
      <c r="G3" s="54" t="s">
        <v>415</v>
      </c>
      <c r="H3" s="55" t="s">
        <v>416</v>
      </c>
      <c r="I3" s="54" t="s">
        <v>263</v>
      </c>
      <c r="J3" s="56" t="s">
        <v>265</v>
      </c>
      <c r="K3" s="56" t="s">
        <v>417</v>
      </c>
      <c r="L3" s="56" t="s">
        <v>418</v>
      </c>
      <c r="M3" s="56" t="s">
        <v>419</v>
      </c>
      <c r="N3" s="56" t="s">
        <v>420</v>
      </c>
      <c r="O3" s="54" t="s">
        <v>267</v>
      </c>
      <c r="P3" s="54" t="s">
        <v>268</v>
      </c>
      <c r="Q3" s="54" t="s">
        <v>269</v>
      </c>
      <c r="R3" s="54" t="s">
        <v>270</v>
      </c>
      <c r="S3" s="54" t="s">
        <v>271</v>
      </c>
      <c r="T3" s="54" t="s">
        <v>272</v>
      </c>
      <c r="U3" s="54" t="s">
        <v>421</v>
      </c>
      <c r="V3" s="54" t="s">
        <v>274</v>
      </c>
      <c r="W3" s="57" t="s">
        <v>422</v>
      </c>
      <c r="X3" s="54" t="s">
        <v>276</v>
      </c>
      <c r="Y3" s="54" t="s">
        <v>277</v>
      </c>
      <c r="Z3" s="54" t="s">
        <v>278</v>
      </c>
      <c r="AA3" s="54" t="s">
        <v>423</v>
      </c>
      <c r="AB3" s="54" t="s">
        <v>275</v>
      </c>
    </row>
    <row r="4" spans="2:28" ht="40.15" customHeight="1" x14ac:dyDescent="0.55000000000000004">
      <c r="B4" s="58">
        <f>ROW()-4</f>
        <v>0</v>
      </c>
      <c r="C4" s="59" t="s">
        <v>411</v>
      </c>
      <c r="D4" s="60">
        <f>INDEX(Tabledaily[date],MATCH(TableDailyJournal[[#This Row],[رقم العملية]],Tabledaily[رقم العملية],0))</f>
        <v>46174</v>
      </c>
      <c r="E4" s="58" t="str">
        <f>INDEX(Tabledaily[نوع العمليــة],MATCH(TableDailyJournal[[#This Row],[رقم العملية]],Tabledaily[رقم العملية],0))</f>
        <v>قيد يومية</v>
      </c>
      <c r="F4" s="58">
        <f>IFERROR(INDEX(TableJudje[رقم الحساب],MATCH(TableDailyJournal[[#This Row],[الحساب]],TableJudje[اسم الحساب],0)),0)</f>
        <v>11060202</v>
      </c>
      <c r="G4" s="58" t="s">
        <v>159</v>
      </c>
      <c r="H4"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اثبات رصد افتتاحي من 31 مايو 2026م بامر</v>
      </c>
      <c r="I4" s="60" t="str">
        <f>INDEX(Tabledaily[العملـــة],MATCH(TableDailyJournal[[#This Row],[رقم العملية]],Tabledaily[رقم العملية],0))</f>
        <v>ريال يمني</v>
      </c>
      <c r="J4" s="59">
        <f>IFERROR(INDEX(Tabledaily[سعــــــر
الصـــــرف],MATCH(C4,Tabledaily[رقم العملية],0)),1)</f>
        <v>405</v>
      </c>
      <c r="K4" s="123" cm="1">
        <f t="array" ref="K4">IFERROR(INDEX(Tabledaily[المبلـــــــغ],MATCH(1,(TableDailyJournal[[#This Row],[رقم العملية]]=Tabledaily[رقم العملية])*(TableDailyJournal[[#This Row],[الحساب]]=Tabledaily[الحســاب المديــــن]),0)),0)</f>
        <v>779500</v>
      </c>
      <c r="L4" s="124" cm="1">
        <f t="array" ref="L4">IFERROR(INDEX(Tabledaily[المبلـــــــغ],MATCH(1,(TableDailyJournal[[#This Row],[رقم العملية]]=Tabledaily[رقم العملية])*(TableDailyJournal[[#This Row],[الحساب]]=Tabledaily[الحســاب الدئـــن]),0)),0)</f>
        <v>0</v>
      </c>
      <c r="M4" s="62">
        <f>IFERROR(TableDailyJournal[[#This Row],[المبلغ مدين]]/TableDailyJournal[[#This Row],[سعــــــر
الصـــــرف]],0)</f>
        <v>1924.6913580246915</v>
      </c>
      <c r="N4" s="62">
        <f>IFERROR(TableDailyJournal[[#This Row],[المبلغ دائن]]/TableDailyJournal[[#This Row],[سعــــــر
الصـــــرف]],0)</f>
        <v>0</v>
      </c>
      <c r="O4" s="121" t="str">
        <f>INDEX(Tabledaily[المستفيــــــــد],MATCH(TableDailyJournal[[#This Row],[رقم العملية]],Tabledaily[رقم العملية],0))</f>
        <v>عبدالمغني عبدالصمد</v>
      </c>
      <c r="P4" s="121" t="str">
        <f>INDEX(Tabledaily[المــــرجـــــــــع],MATCH(TableDailyJournal[[#This Row],[رقم العملية]],Tabledaily[رقم العملية],0))</f>
        <v>استلام نقدي</v>
      </c>
      <c r="Q4" s="121" t="str">
        <f>INDEX(Tabledaily[اســـــــم المــــرجــــع],MATCH(TableDailyJournal[[#This Row],[رقم العملية]],Tabledaily[رقم العملية],0))</f>
        <v>سند استلام</v>
      </c>
      <c r="R4" s="121">
        <f>INDEX(Tabledaily[رقم المـــــرجـــع],MATCH(TableDailyJournal[[#This Row],[رقم العملية]],Tabledaily[رقم العملية],0))</f>
        <v>0</v>
      </c>
      <c r="S4" s="121" t="str">
        <f>INDEX(Tabledaily[مركـــــــزالتكلفــــــة],MATCH(TableDailyJournal[[#This Row],[رقم العملية]],Tabledaily[رقم العملية],0))</f>
        <v>الفرقة الثالثة</v>
      </c>
      <c r="T4" s="121">
        <f>IFERROR(INDEX(tablecost[رقم المركز],MATCH(TableDailyJournal[[#This Row],[مركـــــــزالتكلفــــــة]],tablecost[الاسم],0)),0)</f>
        <v>1</v>
      </c>
      <c r="U4" s="122">
        <f>IFERROR(DATE(TableDailyJournal[[#This Row],[السنــــة]],TableDailyJournal[[#This Row],[الشهــــر]],TableDailyJournal[[#This Row],[الـــــيوم]]),"01-01-2026")</f>
        <v>46174</v>
      </c>
      <c r="V4" s="125">
        <f>INDEX(Tabledaily[تاريخ الإضافة],MATCH(TableDailyJournal[[#This Row],[رقم العملية]],Tabledaily[رقم العملية],0))</f>
        <v>46181.929594907408</v>
      </c>
      <c r="W4" s="58">
        <v>0</v>
      </c>
      <c r="X4" s="58">
        <f>IFERROR(YEAR(TableDailyJournal[[#This Row],[التاريخ]]),"")</f>
        <v>2026</v>
      </c>
      <c r="Y4" s="58">
        <f>IFERROR(MONTH(TableDailyJournal[[#This Row],[التاريخ]]),"")</f>
        <v>6</v>
      </c>
      <c r="Z4" s="58">
        <f>IFERROR(DAY(TableDailyJournal[[#This Row],[التاريخ]]),"")</f>
        <v>1</v>
      </c>
      <c r="AA4"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اثبات رصد افتتاحي من 31 مايو 2026م بامر</v>
      </c>
      <c r="AB4" s="58">
        <f>INDEX(Tabledaily[جهة الامر],MATCH(TableDailyJournal[[#This Row],[رقم العملية]],Tabledaily[رقم العملية],0))</f>
        <v>0</v>
      </c>
    </row>
    <row r="5" spans="2:28" ht="45.75" x14ac:dyDescent="0.55000000000000004">
      <c r="B5" s="58">
        <f>ROW()-4</f>
        <v>1</v>
      </c>
      <c r="C5" s="59" t="s">
        <v>411</v>
      </c>
      <c r="D5" s="60">
        <f>INDEX(Tabledaily[date],MATCH(TableDailyJournal[[#This Row],[رقم العملية]],Tabledaily[رقم العملية],0))</f>
        <v>46174</v>
      </c>
      <c r="E5" s="58" t="str">
        <f>INDEX(Tabledaily[نوع العمليــة],MATCH(TableDailyJournal[[#This Row],[رقم العملية]],Tabledaily[رقم العملية],0))</f>
        <v>قيد يومية</v>
      </c>
      <c r="F5" s="58">
        <f>IFERROR(INDEX(TableJudje[رقم الحساب],MATCH(TableDailyJournal[[#This Row],[الحساب]],TableJudje[اسم الحساب],0)),0)</f>
        <v>23010102</v>
      </c>
      <c r="G5" s="58" t="s">
        <v>161</v>
      </c>
      <c r="H5"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اثبات رصد افتتاحي من 31 مايو 2026م بامر</v>
      </c>
      <c r="I5" s="60" t="str">
        <f>INDEX(Tabledaily[العملـــة],MATCH(TableDailyJournal[[#This Row],[رقم العملية]],Tabledaily[رقم العملية],0))</f>
        <v>ريال يمني</v>
      </c>
      <c r="J5" s="59">
        <f>IFERROR(INDEX(Tabledaily[سعــــــر
الصـــــرف],MATCH(C5,Tabledaily[رقم العملية],0)),1)</f>
        <v>405</v>
      </c>
      <c r="K5" s="123" cm="1">
        <f t="array" ref="K5">IFERROR(INDEX(Tabledaily[المبلـــــــغ],MATCH(1,(TableDailyJournal[[#This Row],[رقم العملية]]=Tabledaily[رقم العملية])*(TableDailyJournal[[#This Row],[الحساب]]=Tabledaily[الحســاب المديــــن]),0)),0)</f>
        <v>0</v>
      </c>
      <c r="L5" s="124" cm="1">
        <f t="array" ref="L5">IFERROR(INDEX(Tabledaily[المبلـــــــغ],MATCH(1,(TableDailyJournal[[#This Row],[رقم العملية]]=Tabledaily[رقم العملية])*(TableDailyJournal[[#This Row],[الحساب]]=Tabledaily[الحســاب الدئـــن]),0)),0)</f>
        <v>779500</v>
      </c>
      <c r="M5" s="62">
        <f>IFERROR(TableDailyJournal[[#This Row],[المبلغ مدين]]/TableDailyJournal[[#This Row],[سعــــــر
الصـــــرف]],0)</f>
        <v>0</v>
      </c>
      <c r="N5" s="62">
        <f>IFERROR(TableDailyJournal[[#This Row],[المبلغ دائن]]/TableDailyJournal[[#This Row],[سعــــــر
الصـــــرف]],0)</f>
        <v>1924.6913580246915</v>
      </c>
      <c r="O5" s="121" t="str">
        <f>INDEX(Tabledaily[المستفيــــــــد],MATCH(TableDailyJournal[[#This Row],[رقم العملية]],Tabledaily[رقم العملية],0))</f>
        <v>عبدالمغني عبدالصمد</v>
      </c>
      <c r="P5" s="121" t="str">
        <f>INDEX(Tabledaily[المــــرجـــــــــع],MATCH(TableDailyJournal[[#This Row],[رقم العملية]],Tabledaily[رقم العملية],0))</f>
        <v>استلام نقدي</v>
      </c>
      <c r="Q5" s="121" t="str">
        <f>INDEX(Tabledaily[اســـــــم المــــرجــــع],MATCH(TableDailyJournal[[#This Row],[رقم العملية]],Tabledaily[رقم العملية],0))</f>
        <v>سند استلام</v>
      </c>
      <c r="R5" s="121">
        <f>INDEX(Tabledaily[رقم المـــــرجـــع],MATCH(TableDailyJournal[[#This Row],[رقم العملية]],Tabledaily[رقم العملية],0))</f>
        <v>0</v>
      </c>
      <c r="S5" s="121" t="str">
        <f>INDEX(Tabledaily[مركـــــــزالتكلفــــــة],MATCH(TableDailyJournal[[#This Row],[رقم العملية]],Tabledaily[رقم العملية],0))</f>
        <v>الفرقة الثالثة</v>
      </c>
      <c r="T5" s="121">
        <f>IFERROR(INDEX(tablecost[رقم المركز],MATCH(TableDailyJournal[[#This Row],[مركـــــــزالتكلفــــــة]],tablecost[الاسم],0)),0)</f>
        <v>1</v>
      </c>
      <c r="U5" s="122">
        <f>IFERROR(DATE(TableDailyJournal[[#This Row],[السنــــة]],TableDailyJournal[[#This Row],[الشهــــر]],TableDailyJournal[[#This Row],[الـــــيوم]]),"01-01-2026")</f>
        <v>46174</v>
      </c>
      <c r="V5" s="125">
        <f>INDEX(Tabledaily[تاريخ الإضافة],MATCH(TableDailyJournal[[#This Row],[رقم العملية]],Tabledaily[رقم العملية],0))</f>
        <v>46181.929594907408</v>
      </c>
      <c r="W5" s="58">
        <v>0</v>
      </c>
      <c r="X5" s="58">
        <f>IFERROR(YEAR(TableDailyJournal[[#This Row],[التاريخ]]),"")</f>
        <v>2026</v>
      </c>
      <c r="Y5" s="58">
        <f>IFERROR(MONTH(TableDailyJournal[[#This Row],[التاريخ]]),"")</f>
        <v>6</v>
      </c>
      <c r="Z5" s="58">
        <f>IFERROR(DAY(TableDailyJournal[[#This Row],[التاريخ]]),"")</f>
        <v>1</v>
      </c>
      <c r="AA5"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اثبات رصد افتتاحي من 31 مايو 2026م بامر</v>
      </c>
      <c r="AB5" s="58">
        <f>INDEX(Tabledaily[جهة الامر],MATCH(TableDailyJournal[[#This Row],[رقم العملية]],Tabledaily[رقم العملية],0))</f>
        <v>0</v>
      </c>
    </row>
    <row r="6" spans="2:28" ht="45.75" x14ac:dyDescent="0.55000000000000004">
      <c r="B6" s="58">
        <f t="shared" ref="B6:B69" si="0">ROW()-4</f>
        <v>2</v>
      </c>
      <c r="C6" s="59" t="s">
        <v>410</v>
      </c>
      <c r="D6" s="60">
        <f>INDEX(Tabledaily[date],MATCH(TableDailyJournal[[#This Row],[رقم العملية]],Tabledaily[رقم العملية],0))</f>
        <v>46174</v>
      </c>
      <c r="E6" s="58" t="str">
        <f>INDEX(Tabledaily[نوع العمليــة],MATCH(TableDailyJournal[[#This Row],[رقم العملية]],Tabledaily[رقم العملية],0))</f>
        <v>قيد عهده</v>
      </c>
      <c r="F6" s="58">
        <f>IFERROR(INDEX(TableJudje[رقم الحساب],MATCH(TableDailyJournal[[#This Row],[الحساب]],TableJudje[اسم الحساب],0)),0)</f>
        <v>31010101</v>
      </c>
      <c r="G6" s="58" t="s">
        <v>111</v>
      </c>
      <c r="H6"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I6" s="60" t="str">
        <f>INDEX(Tabledaily[العملـــة],MATCH(TableDailyJournal[[#This Row],[رقم العملية]],Tabledaily[رقم العملية],0))</f>
        <v>ريال يمني</v>
      </c>
      <c r="J6" s="59">
        <f>IFERROR(INDEX(Tabledaily[سعــــــر
الصـــــرف],MATCH(C6,Tabledaily[رقم العملية],0)),1)</f>
        <v>405</v>
      </c>
      <c r="K6" s="123" cm="1">
        <f t="array" ref="K6">IFERROR(INDEX(Tabledaily[المبلـــــــغ],MATCH(1,(TableDailyJournal[[#This Row],[رقم العملية]]=Tabledaily[رقم العملية])*(TableDailyJournal[[#This Row],[الحساب]]=Tabledaily[الحســاب المديــــن]),0)),0)</f>
        <v>33000</v>
      </c>
      <c r="L6" s="124" cm="1">
        <f t="array" ref="L6">IFERROR(INDEX(Tabledaily[المبلـــــــغ],MATCH(1,(TableDailyJournal[[#This Row],[رقم العملية]]=Tabledaily[رقم العملية])*(TableDailyJournal[[#This Row],[الحساب]]=Tabledaily[الحســاب الدئـــن]),0)),0)</f>
        <v>0</v>
      </c>
      <c r="M6" s="62">
        <f>IFERROR(TableDailyJournal[[#This Row],[المبلغ مدين]]/TableDailyJournal[[#This Row],[سعــــــر
الصـــــرف]],0)</f>
        <v>81.481481481481481</v>
      </c>
      <c r="N6" s="62">
        <f>IFERROR(TableDailyJournal[[#This Row],[المبلغ دائن]]/TableDailyJournal[[#This Row],[سعــــــر
الصـــــرف]],0)</f>
        <v>0</v>
      </c>
      <c r="O6" s="121" t="str">
        <f>INDEX(Tabledaily[المستفيــــــــد],MATCH(TableDailyJournal[[#This Row],[رقم العملية]],Tabledaily[رقم العملية],0))</f>
        <v>السيطرة والاتصالات</v>
      </c>
      <c r="P6" s="121" t="str">
        <f>INDEX(Tabledaily[المــــرجـــــــــع],MATCH(TableDailyJournal[[#This Row],[رقم العملية]],Tabledaily[رقم العملية],0))</f>
        <v>كشف صرف</v>
      </c>
      <c r="Q6" s="121" t="str">
        <f>INDEX(Tabledaily[اســـــــم المــــرجــــع],MATCH(TableDailyJournal[[#This Row],[رقم العملية]],Tabledaily[رقم العملية],0))</f>
        <v>كشف صرف</v>
      </c>
      <c r="R6" s="121">
        <f>INDEX(Tabledaily[رقم المـــــرجـــع],MATCH(TableDailyJournal[[#This Row],[رقم العملية]],Tabledaily[رقم العملية],0))</f>
        <v>4</v>
      </c>
      <c r="S6" s="121" t="str">
        <f>INDEX(Tabledaily[مركـــــــزالتكلفــــــة],MATCH(TableDailyJournal[[#This Row],[رقم العملية]],Tabledaily[رقم العملية],0))</f>
        <v>الفرقة الثالثة</v>
      </c>
      <c r="T6" s="121">
        <f>IFERROR(INDEX(tablecost[رقم المركز],MATCH(TableDailyJournal[[#This Row],[مركـــــــزالتكلفــــــة]],tablecost[الاسم],0)),0)</f>
        <v>1</v>
      </c>
      <c r="U6" s="122">
        <f>IFERROR(DATE(TableDailyJournal[[#This Row],[السنــــة]],TableDailyJournal[[#This Row],[الشهــــر]],TableDailyJournal[[#This Row],[الـــــيوم]]),"01-01-2026")</f>
        <v>46174</v>
      </c>
      <c r="V6" s="125">
        <f>INDEX(Tabledaily[تاريخ الإضافة],MATCH(TableDailyJournal[[#This Row],[رقم العملية]],Tabledaily[رقم العملية],0))</f>
        <v>46181.937361111108</v>
      </c>
      <c r="W6" s="58">
        <v>0</v>
      </c>
      <c r="X6" s="58">
        <f>IFERROR(YEAR(TableDailyJournal[[#This Row],[التاريخ]]),"")</f>
        <v>2026</v>
      </c>
      <c r="Y6" s="58">
        <f>IFERROR(MONTH(TableDailyJournal[[#This Row],[التاريخ]]),"")</f>
        <v>6</v>
      </c>
      <c r="Z6" s="58">
        <f>IFERROR(DAY(TableDailyJournal[[#This Row],[التاريخ]]),"")</f>
        <v>1</v>
      </c>
      <c r="AA6"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AB6" s="58">
        <f>INDEX(Tabledaily[جهة الامر],MATCH(TableDailyJournal[[#This Row],[رقم العملية]],Tabledaily[رقم العملية],0))</f>
        <v>0</v>
      </c>
    </row>
    <row r="7" spans="2:28" ht="45.75" x14ac:dyDescent="0.55000000000000004">
      <c r="B7" s="58">
        <f t="shared" si="0"/>
        <v>3</v>
      </c>
      <c r="C7" s="59" t="s">
        <v>410</v>
      </c>
      <c r="D7" s="60">
        <f>INDEX(Tabledaily[date],MATCH(TableDailyJournal[[#This Row],[رقم العملية]],Tabledaily[رقم العملية],0))</f>
        <v>46174</v>
      </c>
      <c r="E7" s="58" t="str">
        <f>INDEX(Tabledaily[نوع العمليــة],MATCH(TableDailyJournal[[#This Row],[رقم العملية]],Tabledaily[رقم العملية],0))</f>
        <v>قيد عهده</v>
      </c>
      <c r="F7" s="58">
        <f>IFERROR(INDEX(TableJudje[رقم الحساب],MATCH(TableDailyJournal[[#This Row],[الحساب]],TableJudje[اسم الحساب],0)),0)</f>
        <v>11060202</v>
      </c>
      <c r="G7" s="58" t="s">
        <v>159</v>
      </c>
      <c r="H7"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I7" s="60" t="str">
        <f>INDEX(Tabledaily[العملـــة],MATCH(TableDailyJournal[[#This Row],[رقم العملية]],Tabledaily[رقم العملية],0))</f>
        <v>ريال يمني</v>
      </c>
      <c r="J7" s="59">
        <f>IFERROR(INDEX(Tabledaily[سعــــــر
الصـــــرف],MATCH(C7,Tabledaily[رقم العملية],0)),1)</f>
        <v>405</v>
      </c>
      <c r="K7" s="123" cm="1">
        <f t="array" ref="K7">IFERROR(INDEX(Tabledaily[المبلـــــــغ],MATCH(1,(TableDailyJournal[[#This Row],[رقم العملية]]=Tabledaily[رقم العملية])*(TableDailyJournal[[#This Row],[الحساب]]=Tabledaily[الحســاب المديــــن]),0)),0)</f>
        <v>0</v>
      </c>
      <c r="L7" s="124" cm="1">
        <f t="array" ref="L7">IFERROR(INDEX(Tabledaily[المبلـــــــغ],MATCH(1,(TableDailyJournal[[#This Row],[رقم العملية]]=Tabledaily[رقم العملية])*(TableDailyJournal[[#This Row],[الحساب]]=Tabledaily[الحســاب الدئـــن]),0)),0)</f>
        <v>33000</v>
      </c>
      <c r="M7" s="62">
        <f>IFERROR(TableDailyJournal[[#This Row],[المبلغ مدين]]/TableDailyJournal[[#This Row],[سعــــــر
الصـــــرف]],0)</f>
        <v>0</v>
      </c>
      <c r="N7" s="62">
        <f>IFERROR(TableDailyJournal[[#This Row],[المبلغ دائن]]/TableDailyJournal[[#This Row],[سعــــــر
الصـــــرف]],0)</f>
        <v>81.481481481481481</v>
      </c>
      <c r="O7" s="121" t="str">
        <f>INDEX(Tabledaily[المستفيــــــــد],MATCH(TableDailyJournal[[#This Row],[رقم العملية]],Tabledaily[رقم العملية],0))</f>
        <v>السيطرة والاتصالات</v>
      </c>
      <c r="P7" s="121" t="str">
        <f>INDEX(Tabledaily[المــــرجـــــــــع],MATCH(TableDailyJournal[[#This Row],[رقم العملية]],Tabledaily[رقم العملية],0))</f>
        <v>كشف صرف</v>
      </c>
      <c r="Q7" s="121" t="str">
        <f>INDEX(Tabledaily[اســـــــم المــــرجــــع],MATCH(TableDailyJournal[[#This Row],[رقم العملية]],Tabledaily[رقم العملية],0))</f>
        <v>كشف صرف</v>
      </c>
      <c r="R7" s="121">
        <f>INDEX(Tabledaily[رقم المـــــرجـــع],MATCH(TableDailyJournal[[#This Row],[رقم العملية]],Tabledaily[رقم العملية],0))</f>
        <v>4</v>
      </c>
      <c r="S7" s="121" t="str">
        <f>INDEX(Tabledaily[مركـــــــزالتكلفــــــة],MATCH(TableDailyJournal[[#This Row],[رقم العملية]],Tabledaily[رقم العملية],0))</f>
        <v>الفرقة الثالثة</v>
      </c>
      <c r="T7" s="121">
        <f>IFERROR(INDEX(tablecost[رقم المركز],MATCH(TableDailyJournal[[#This Row],[مركـــــــزالتكلفــــــة]],tablecost[الاسم],0)),0)</f>
        <v>1</v>
      </c>
      <c r="U7" s="122">
        <f>IFERROR(DATE(TableDailyJournal[[#This Row],[السنــــة]],TableDailyJournal[[#This Row],[الشهــــر]],TableDailyJournal[[#This Row],[الـــــيوم]]),"01-01-2026")</f>
        <v>46174</v>
      </c>
      <c r="V7" s="125">
        <f>INDEX(Tabledaily[تاريخ الإضافة],MATCH(TableDailyJournal[[#This Row],[رقم العملية]],Tabledaily[رقم العملية],0))</f>
        <v>46181.937361111108</v>
      </c>
      <c r="W7" s="58">
        <v>0</v>
      </c>
      <c r="X7" s="58">
        <f>IFERROR(YEAR(TableDailyJournal[[#This Row],[التاريخ]]),"")</f>
        <v>2026</v>
      </c>
      <c r="Y7" s="58">
        <f>IFERROR(MONTH(TableDailyJournal[[#This Row],[التاريخ]]),"")</f>
        <v>6</v>
      </c>
      <c r="Z7" s="58">
        <f>IFERROR(DAY(TableDailyJournal[[#This Row],[التاريخ]]),"")</f>
        <v>1</v>
      </c>
      <c r="AA7"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AB7" s="58">
        <f>INDEX(Tabledaily[جهة الامر],MATCH(TableDailyJournal[[#This Row],[رقم العملية]],Tabledaily[رقم العملية],0))</f>
        <v>0</v>
      </c>
    </row>
    <row r="8" spans="2:28" ht="45.75" x14ac:dyDescent="0.55000000000000004">
      <c r="B8" s="58">
        <f t="shared" si="0"/>
        <v>4</v>
      </c>
      <c r="C8" s="59" t="s">
        <v>409</v>
      </c>
      <c r="D8" s="60">
        <f>INDEX(Tabledaily[date],MATCH(TableDailyJournal[[#This Row],[رقم العملية]],Tabledaily[رقم العملية],0))</f>
        <v>46174</v>
      </c>
      <c r="E8" s="58" t="str">
        <f>INDEX(Tabledaily[نوع العمليــة],MATCH(TableDailyJournal[[#This Row],[رقم العملية]],Tabledaily[رقم العملية],0))</f>
        <v>قيد عهده</v>
      </c>
      <c r="F8" s="58">
        <f>IFERROR(INDEX(TableJudje[رقم الحساب],MATCH(TableDailyJournal[[#This Row],[الحساب]],TableJudje[اسم الحساب],0)),0)</f>
        <v>31010101</v>
      </c>
      <c r="G8" s="58" t="s">
        <v>111</v>
      </c>
      <c r="H8" s="61"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I8" s="60" t="str">
        <f>INDEX(Tabledaily[العملـــة],MATCH(TableDailyJournal[[#This Row],[رقم العملية]],Tabledaily[رقم العملية],0))</f>
        <v>ريال يمني</v>
      </c>
      <c r="J8" s="59">
        <f>IFERROR(INDEX(Tabledaily[سعــــــر
الصـــــرف],MATCH(C8,Tabledaily[رقم العملية],0)),1)</f>
        <v>405</v>
      </c>
      <c r="K8" s="123" cm="1">
        <f t="array" ref="K8">IFERROR(INDEX(Tabledaily[المبلـــــــغ],MATCH(1,(TableDailyJournal[[#This Row],[رقم العملية]]=Tabledaily[رقم العملية])*(TableDailyJournal[[#This Row],[الحساب]]=Tabledaily[الحســاب المديــــن]),0)),0)</f>
        <v>132000</v>
      </c>
      <c r="L8" s="124" cm="1">
        <f t="array" ref="L8">IFERROR(INDEX(Tabledaily[المبلـــــــغ],MATCH(1,(TableDailyJournal[[#This Row],[رقم العملية]]=Tabledaily[رقم العملية])*(TableDailyJournal[[#This Row],[الحساب]]=Tabledaily[الحســاب الدئـــن]),0)),0)</f>
        <v>0</v>
      </c>
      <c r="M8" s="62">
        <f>IFERROR(TableDailyJournal[[#This Row],[المبلغ مدين]]/TableDailyJournal[[#This Row],[سعــــــر
الصـــــرف]],0)</f>
        <v>325.92592592592592</v>
      </c>
      <c r="N8" s="62">
        <f>IFERROR(TableDailyJournal[[#This Row],[المبلغ دائن]]/TableDailyJournal[[#This Row],[سعــــــر
الصـــــرف]],0)</f>
        <v>0</v>
      </c>
      <c r="O8" s="121" t="str">
        <f>INDEX(Tabledaily[المستفيــــــــد],MATCH(TableDailyJournal[[#This Row],[رقم العملية]],Tabledaily[رقم العملية],0))</f>
        <v>الامداد</v>
      </c>
      <c r="P8" s="121" t="str">
        <f>INDEX(Tabledaily[المــــرجـــــــــع],MATCH(TableDailyJournal[[#This Row],[رقم العملية]],Tabledaily[رقم العملية],0))</f>
        <v>كشف صرف</v>
      </c>
      <c r="Q8" s="121" t="str">
        <f>INDEX(Tabledaily[اســـــــم المــــرجــــع],MATCH(TableDailyJournal[[#This Row],[رقم العملية]],Tabledaily[رقم العملية],0))</f>
        <v>كشف صرف</v>
      </c>
      <c r="R8" s="121">
        <f>INDEX(Tabledaily[رقم المـــــرجـــع],MATCH(TableDailyJournal[[#This Row],[رقم العملية]],Tabledaily[رقم العملية],0))</f>
        <v>12</v>
      </c>
      <c r="S8" s="121" t="str">
        <f>INDEX(Tabledaily[مركـــــــزالتكلفــــــة],MATCH(TableDailyJournal[[#This Row],[رقم العملية]],Tabledaily[رقم العملية],0))</f>
        <v>الفرقة الثالثة</v>
      </c>
      <c r="T8" s="121">
        <f>IFERROR(INDEX(tablecost[رقم المركز],MATCH(TableDailyJournal[[#This Row],[مركـــــــزالتكلفــــــة]],tablecost[الاسم],0)),0)</f>
        <v>1</v>
      </c>
      <c r="U8" s="122">
        <f>IFERROR(DATE(TableDailyJournal[[#This Row],[السنــــة]],TableDailyJournal[[#This Row],[الشهــــر]],TableDailyJournal[[#This Row],[الـــــيوم]]),"01-01-2026")</f>
        <v>46174</v>
      </c>
      <c r="V8" s="125">
        <f>INDEX(Tabledaily[تاريخ الإضافة],MATCH(TableDailyJournal[[#This Row],[رقم العملية]],Tabledaily[رقم العملية],0))</f>
        <v>46181.939317129632</v>
      </c>
      <c r="W8" s="58">
        <v>0</v>
      </c>
      <c r="X8" s="58">
        <f>IFERROR(YEAR(TableDailyJournal[[#This Row],[التاريخ]]),"")</f>
        <v>2026</v>
      </c>
      <c r="Y8" s="58">
        <f>IFERROR(MONTH(TableDailyJournal[[#This Row],[التاريخ]]),"")</f>
        <v>6</v>
      </c>
      <c r="Z8" s="58">
        <f>IFERROR(DAY(TableDailyJournal[[#This Row],[التاريخ]]),"")</f>
        <v>1</v>
      </c>
      <c r="AA8" s="126"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AB8" s="58">
        <f>INDEX(Tabledaily[جهة الامر],MATCH(TableDailyJournal[[#This Row],[رقم العملية]],Tabledaily[رقم العملية],0))</f>
        <v>0</v>
      </c>
    </row>
    <row r="9" spans="2:28" ht="45.75" x14ac:dyDescent="0.55000000000000004">
      <c r="B9" s="58">
        <f t="shared" si="0"/>
        <v>5</v>
      </c>
      <c r="C9" s="59" t="s">
        <v>409</v>
      </c>
      <c r="D9" s="60">
        <f>INDEX(Tabledaily[date],MATCH(TableDailyJournal[[#This Row],[رقم العملية]],Tabledaily[رقم العملية],0))</f>
        <v>46174</v>
      </c>
      <c r="E9" s="58" t="str">
        <f>INDEX(Tabledaily[نوع العمليــة],MATCH(TableDailyJournal[[#This Row],[رقم العملية]],Tabledaily[رقم العملية],0))</f>
        <v>قيد عهده</v>
      </c>
      <c r="F9" s="58">
        <f>IFERROR(INDEX(TableJudje[رقم الحساب],MATCH(TableDailyJournal[[#This Row],[الحساب]],TableJudje[اسم الحساب],0)),0)</f>
        <v>11060202</v>
      </c>
      <c r="G9" s="58" t="s">
        <v>159</v>
      </c>
      <c r="H9" s="61"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I9" s="60" t="str">
        <f>INDEX(Tabledaily[العملـــة],MATCH(TableDailyJournal[[#This Row],[رقم العملية]],Tabledaily[رقم العملية],0))</f>
        <v>ريال يمني</v>
      </c>
      <c r="J9" s="59">
        <f>IFERROR(INDEX(Tabledaily[سعــــــر
الصـــــرف],MATCH(C9,Tabledaily[رقم العملية],0)),1)</f>
        <v>405</v>
      </c>
      <c r="K9" s="123" cm="1">
        <f t="array" ref="K9">IFERROR(INDEX(Tabledaily[المبلـــــــغ],MATCH(1,(TableDailyJournal[[#This Row],[رقم العملية]]=Tabledaily[رقم العملية])*(TableDailyJournal[[#This Row],[الحساب]]=Tabledaily[الحســاب المديــــن]),0)),0)</f>
        <v>0</v>
      </c>
      <c r="L9" s="124" cm="1">
        <f t="array" ref="L9">IFERROR(INDEX(Tabledaily[المبلـــــــغ],MATCH(1,(TableDailyJournal[[#This Row],[رقم العملية]]=Tabledaily[رقم العملية])*(TableDailyJournal[[#This Row],[الحساب]]=Tabledaily[الحســاب الدئـــن]),0)),0)</f>
        <v>132000</v>
      </c>
      <c r="M9" s="62">
        <f>IFERROR(TableDailyJournal[[#This Row],[المبلغ مدين]]/TableDailyJournal[[#This Row],[سعــــــر
الصـــــرف]],0)</f>
        <v>0</v>
      </c>
      <c r="N9" s="62">
        <f>IFERROR(TableDailyJournal[[#This Row],[المبلغ دائن]]/TableDailyJournal[[#This Row],[سعــــــر
الصـــــرف]],0)</f>
        <v>325.92592592592592</v>
      </c>
      <c r="O9" s="121" t="str">
        <f>INDEX(Tabledaily[المستفيــــــــد],MATCH(TableDailyJournal[[#This Row],[رقم العملية]],Tabledaily[رقم العملية],0))</f>
        <v>الامداد</v>
      </c>
      <c r="P9" s="121" t="str">
        <f>INDEX(Tabledaily[المــــرجـــــــــع],MATCH(TableDailyJournal[[#This Row],[رقم العملية]],Tabledaily[رقم العملية],0))</f>
        <v>كشف صرف</v>
      </c>
      <c r="Q9" s="121" t="str">
        <f>INDEX(Tabledaily[اســـــــم المــــرجــــع],MATCH(TableDailyJournal[[#This Row],[رقم العملية]],Tabledaily[رقم العملية],0))</f>
        <v>كشف صرف</v>
      </c>
      <c r="R9" s="121">
        <f>INDEX(Tabledaily[رقم المـــــرجـــع],MATCH(TableDailyJournal[[#This Row],[رقم العملية]],Tabledaily[رقم العملية],0))</f>
        <v>12</v>
      </c>
      <c r="S9" s="121" t="str">
        <f>INDEX(Tabledaily[مركـــــــزالتكلفــــــة],MATCH(TableDailyJournal[[#This Row],[رقم العملية]],Tabledaily[رقم العملية],0))</f>
        <v>الفرقة الثالثة</v>
      </c>
      <c r="T9" s="121">
        <f>IFERROR(INDEX(tablecost[رقم المركز],MATCH(TableDailyJournal[[#This Row],[مركـــــــزالتكلفــــــة]],tablecost[الاسم],0)),0)</f>
        <v>1</v>
      </c>
      <c r="U9" s="122">
        <f>IFERROR(DATE(TableDailyJournal[[#This Row],[السنــــة]],TableDailyJournal[[#This Row],[الشهــــر]],TableDailyJournal[[#This Row],[الـــــيوم]]),"01-01-2026")</f>
        <v>46174</v>
      </c>
      <c r="V9" s="125">
        <f>INDEX(Tabledaily[تاريخ الإضافة],MATCH(TableDailyJournal[[#This Row],[رقم العملية]],Tabledaily[رقم العملية],0))</f>
        <v>46181.939317129632</v>
      </c>
      <c r="W9" s="58">
        <v>0</v>
      </c>
      <c r="X9" s="58">
        <f>IFERROR(YEAR(TableDailyJournal[[#This Row],[التاريخ]]),"")</f>
        <v>2026</v>
      </c>
      <c r="Y9" s="58">
        <f>IFERROR(MONTH(TableDailyJournal[[#This Row],[التاريخ]]),"")</f>
        <v>6</v>
      </c>
      <c r="Z9" s="58">
        <f>IFERROR(DAY(TableDailyJournal[[#This Row],[التاريخ]]),"")</f>
        <v>1</v>
      </c>
      <c r="AA9" s="126"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AB9" s="58">
        <f>INDEX(Tabledaily[جهة الامر],MATCH(TableDailyJournal[[#This Row],[رقم العملية]],Tabledaily[رقم العملية],0))</f>
        <v>0</v>
      </c>
    </row>
    <row r="10" spans="2:28" ht="45.75" x14ac:dyDescent="0.55000000000000004">
      <c r="B10" s="58">
        <f t="shared" si="0"/>
        <v>6</v>
      </c>
      <c r="C10" s="59" t="s">
        <v>408</v>
      </c>
      <c r="D10" s="60">
        <f>INDEX(Tabledaily[date],MATCH(TableDailyJournal[[#This Row],[رقم العملية]],Tabledaily[رقم العملية],0))</f>
        <v>46174</v>
      </c>
      <c r="E10" s="58" t="str">
        <f>INDEX(Tabledaily[نوع العمليــة],MATCH(TableDailyJournal[[#This Row],[رقم العملية]],Tabledaily[رقم العملية],0))</f>
        <v>قيد عهده</v>
      </c>
      <c r="F10" s="58">
        <f>IFERROR(INDEX(TableJudje[رقم الحساب],MATCH(TableDailyJournal[[#This Row],[الحساب]],TableJudje[اسم الحساب],0)),0)</f>
        <v>31010101</v>
      </c>
      <c r="G10" s="58" t="s">
        <v>111</v>
      </c>
      <c r="H10"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I10" s="60" t="str">
        <f>INDEX(Tabledaily[العملـــة],MATCH(TableDailyJournal[[#This Row],[رقم العملية]],Tabledaily[رقم العملية],0))</f>
        <v>ريال يمني</v>
      </c>
      <c r="J10" s="59">
        <f>IFERROR(INDEX(Tabledaily[سعــــــر
الصـــــرف],MATCH(C10,Tabledaily[رقم العملية],0)),1)</f>
        <v>405</v>
      </c>
      <c r="K10" s="123" cm="1">
        <f t="array" ref="K10">IFERROR(INDEX(Tabledaily[المبلـــــــغ],MATCH(1,(TableDailyJournal[[#This Row],[رقم العملية]]=Tabledaily[رقم العملية])*(TableDailyJournal[[#This Row],[الحساب]]=Tabledaily[الحســاب المديــــن]),0)),0)</f>
        <v>30000</v>
      </c>
      <c r="L10" s="124" cm="1">
        <f t="array" ref="L10">IFERROR(INDEX(Tabledaily[المبلـــــــغ],MATCH(1,(TableDailyJournal[[#This Row],[رقم العملية]]=Tabledaily[رقم العملية])*(TableDailyJournal[[#This Row],[الحساب]]=Tabledaily[الحســاب الدئـــن]),0)),0)</f>
        <v>0</v>
      </c>
      <c r="M10" s="62">
        <f>IFERROR(TableDailyJournal[[#This Row],[المبلغ مدين]]/TableDailyJournal[[#This Row],[سعــــــر
الصـــــرف]],0)</f>
        <v>74.074074074074076</v>
      </c>
      <c r="N10" s="62">
        <f>IFERROR(TableDailyJournal[[#This Row],[المبلغ دائن]]/TableDailyJournal[[#This Row],[سعــــــر
الصـــــرف]],0)</f>
        <v>0</v>
      </c>
      <c r="O10" s="121" t="str">
        <f>INDEX(Tabledaily[المستفيــــــــد],MATCH(TableDailyJournal[[#This Row],[رقم العملية]],Tabledaily[رقم العملية],0))</f>
        <v>البشرية و الصراف</v>
      </c>
      <c r="P10" s="121" t="str">
        <f>INDEX(Tabledaily[المــــرجـــــــــع],MATCH(TableDailyJournal[[#This Row],[رقم العملية]],Tabledaily[رقم العملية],0))</f>
        <v>كشف صرف</v>
      </c>
      <c r="Q10" s="121" t="str">
        <f>INDEX(Tabledaily[اســـــــم المــــرجــــع],MATCH(TableDailyJournal[[#This Row],[رقم العملية]],Tabledaily[رقم العملية],0))</f>
        <v>كشف صرف</v>
      </c>
      <c r="R10" s="121">
        <f>INDEX(Tabledaily[رقم المـــــرجـــع],MATCH(TableDailyJournal[[#This Row],[رقم العملية]],Tabledaily[رقم العملية],0))</f>
        <v>2</v>
      </c>
      <c r="S10" s="121" t="str">
        <f>INDEX(Tabledaily[مركـــــــزالتكلفــــــة],MATCH(TableDailyJournal[[#This Row],[رقم العملية]],Tabledaily[رقم العملية],0))</f>
        <v>الفرقة الثالثة</v>
      </c>
      <c r="T10" s="121">
        <f>IFERROR(INDEX(tablecost[رقم المركز],MATCH(TableDailyJournal[[#This Row],[مركـــــــزالتكلفــــــة]],tablecost[الاسم],0)),0)</f>
        <v>1</v>
      </c>
      <c r="U10" s="122">
        <f>IFERROR(DATE(TableDailyJournal[[#This Row],[السنــــة]],TableDailyJournal[[#This Row],[الشهــــر]],TableDailyJournal[[#This Row],[الـــــيوم]]),"01-01-2026")</f>
        <v>46174</v>
      </c>
      <c r="V10" s="125">
        <f>INDEX(Tabledaily[تاريخ الإضافة],MATCH(TableDailyJournal[[#This Row],[رقم العملية]],Tabledaily[رقم العملية],0))</f>
        <v>46181.940740740742</v>
      </c>
      <c r="W10" s="58">
        <v>0</v>
      </c>
      <c r="X10" s="58">
        <f>IFERROR(YEAR(TableDailyJournal[[#This Row],[التاريخ]]),"")</f>
        <v>2026</v>
      </c>
      <c r="Y10" s="58">
        <f>IFERROR(MONTH(TableDailyJournal[[#This Row],[التاريخ]]),"")</f>
        <v>6</v>
      </c>
      <c r="Z10" s="58">
        <f>IFERROR(DAY(TableDailyJournal[[#This Row],[التاريخ]]),"")</f>
        <v>1</v>
      </c>
      <c r="AA10"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AB10" s="58">
        <f>INDEX(Tabledaily[جهة الامر],MATCH(TableDailyJournal[[#This Row],[رقم العملية]],Tabledaily[رقم العملية],0))</f>
        <v>0</v>
      </c>
    </row>
    <row r="11" spans="2:28" ht="45.75" x14ac:dyDescent="0.55000000000000004">
      <c r="B11" s="58">
        <f t="shared" si="0"/>
        <v>7</v>
      </c>
      <c r="C11" s="59" t="s">
        <v>408</v>
      </c>
      <c r="D11" s="60">
        <f>INDEX(Tabledaily[date],MATCH(TableDailyJournal[[#This Row],[رقم العملية]],Tabledaily[رقم العملية],0))</f>
        <v>46174</v>
      </c>
      <c r="E11" s="58" t="str">
        <f>INDEX(Tabledaily[نوع العمليــة],MATCH(TableDailyJournal[[#This Row],[رقم العملية]],Tabledaily[رقم العملية],0))</f>
        <v>قيد عهده</v>
      </c>
      <c r="F11" s="58">
        <f>IFERROR(INDEX(TableJudje[رقم الحساب],MATCH(TableDailyJournal[[#This Row],[الحساب]],TableJudje[اسم الحساب],0)),0)</f>
        <v>11060202</v>
      </c>
      <c r="G11" s="58" t="s">
        <v>159</v>
      </c>
      <c r="H11"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I11" s="60" t="str">
        <f>INDEX(Tabledaily[العملـــة],MATCH(TableDailyJournal[[#This Row],[رقم العملية]],Tabledaily[رقم العملية],0))</f>
        <v>ريال يمني</v>
      </c>
      <c r="J11" s="59">
        <f>IFERROR(INDEX(Tabledaily[سعــــــر
الصـــــرف],MATCH(C11,Tabledaily[رقم العملية],0)),1)</f>
        <v>405</v>
      </c>
      <c r="K11" s="123" cm="1">
        <f t="array" ref="K11">IFERROR(INDEX(Tabledaily[المبلـــــــغ],MATCH(1,(TableDailyJournal[[#This Row],[رقم العملية]]=Tabledaily[رقم العملية])*(TableDailyJournal[[#This Row],[الحساب]]=Tabledaily[الحســاب المديــــن]),0)),0)</f>
        <v>0</v>
      </c>
      <c r="L11" s="124" cm="1">
        <f t="array" ref="L11">IFERROR(INDEX(Tabledaily[المبلـــــــغ],MATCH(1,(TableDailyJournal[[#This Row],[رقم العملية]]=Tabledaily[رقم العملية])*(TableDailyJournal[[#This Row],[الحساب]]=Tabledaily[الحســاب الدئـــن]),0)),0)</f>
        <v>30000</v>
      </c>
      <c r="M11" s="62">
        <f>IFERROR(TableDailyJournal[[#This Row],[المبلغ مدين]]/TableDailyJournal[[#This Row],[سعــــــر
الصـــــرف]],0)</f>
        <v>0</v>
      </c>
      <c r="N11" s="62">
        <f>IFERROR(TableDailyJournal[[#This Row],[المبلغ دائن]]/TableDailyJournal[[#This Row],[سعــــــر
الصـــــرف]],0)</f>
        <v>74.074074074074076</v>
      </c>
      <c r="O11" s="121" t="str">
        <f>INDEX(Tabledaily[المستفيــــــــد],MATCH(TableDailyJournal[[#This Row],[رقم العملية]],Tabledaily[رقم العملية],0))</f>
        <v>البشرية و الصراف</v>
      </c>
      <c r="P11" s="121" t="str">
        <f>INDEX(Tabledaily[المــــرجـــــــــع],MATCH(TableDailyJournal[[#This Row],[رقم العملية]],Tabledaily[رقم العملية],0))</f>
        <v>كشف صرف</v>
      </c>
      <c r="Q11" s="121" t="str">
        <f>INDEX(Tabledaily[اســـــــم المــــرجــــع],MATCH(TableDailyJournal[[#This Row],[رقم العملية]],Tabledaily[رقم العملية],0))</f>
        <v>كشف صرف</v>
      </c>
      <c r="R11" s="121">
        <f>INDEX(Tabledaily[رقم المـــــرجـــع],MATCH(TableDailyJournal[[#This Row],[رقم العملية]],Tabledaily[رقم العملية],0))</f>
        <v>2</v>
      </c>
      <c r="S11" s="121" t="str">
        <f>INDEX(Tabledaily[مركـــــــزالتكلفــــــة],MATCH(TableDailyJournal[[#This Row],[رقم العملية]],Tabledaily[رقم العملية],0))</f>
        <v>الفرقة الثالثة</v>
      </c>
      <c r="T11" s="121">
        <f>IFERROR(INDEX(tablecost[رقم المركز],MATCH(TableDailyJournal[[#This Row],[مركـــــــزالتكلفــــــة]],tablecost[الاسم],0)),0)</f>
        <v>1</v>
      </c>
      <c r="U11" s="122">
        <f>IFERROR(DATE(TableDailyJournal[[#This Row],[السنــــة]],TableDailyJournal[[#This Row],[الشهــــر]],TableDailyJournal[[#This Row],[الـــــيوم]]),"01-01-2026")</f>
        <v>46174</v>
      </c>
      <c r="V11" s="125">
        <f>INDEX(Tabledaily[تاريخ الإضافة],MATCH(TableDailyJournal[[#This Row],[رقم العملية]],Tabledaily[رقم العملية],0))</f>
        <v>46181.940740740742</v>
      </c>
      <c r="W11" s="58">
        <v>0</v>
      </c>
      <c r="X11" s="58">
        <f>IFERROR(YEAR(TableDailyJournal[[#This Row],[التاريخ]]),"")</f>
        <v>2026</v>
      </c>
      <c r="Y11" s="58">
        <f>IFERROR(MONTH(TableDailyJournal[[#This Row],[التاريخ]]),"")</f>
        <v>6</v>
      </c>
      <c r="Z11" s="58">
        <f>IFERROR(DAY(TableDailyJournal[[#This Row],[التاريخ]]),"")</f>
        <v>1</v>
      </c>
      <c r="AA11"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AB11" s="58">
        <f>INDEX(Tabledaily[جهة الامر],MATCH(TableDailyJournal[[#This Row],[رقم العملية]],Tabledaily[رقم العملية],0))</f>
        <v>0</v>
      </c>
    </row>
    <row r="12" spans="2:28" ht="45.75" x14ac:dyDescent="0.55000000000000004">
      <c r="B12" s="58">
        <f t="shared" si="0"/>
        <v>8</v>
      </c>
      <c r="C12" s="59" t="s">
        <v>407</v>
      </c>
      <c r="D12" s="60">
        <f>INDEX(Tabledaily[date],MATCH(TableDailyJournal[[#This Row],[رقم العملية]],Tabledaily[رقم العملية],0))</f>
        <v>46174</v>
      </c>
      <c r="E12" s="58" t="str">
        <f>INDEX(Tabledaily[نوع العمليــة],MATCH(TableDailyJournal[[#This Row],[رقم العملية]],Tabledaily[رقم العملية],0))</f>
        <v>قيد عهده</v>
      </c>
      <c r="F12" s="58">
        <f>IFERROR(INDEX(TableJudje[رقم الحساب],MATCH(TableDailyJournal[[#This Row],[الحساب]],TableJudje[اسم الحساب],0)),0)</f>
        <v>31010101</v>
      </c>
      <c r="G12" s="58" t="s">
        <v>111</v>
      </c>
      <c r="H12"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I12" s="60" t="str">
        <f>INDEX(Tabledaily[العملـــة],MATCH(TableDailyJournal[[#This Row],[رقم العملية]],Tabledaily[رقم العملية],0))</f>
        <v>ريال يمني</v>
      </c>
      <c r="J12" s="59">
        <f>IFERROR(INDEX(Tabledaily[سعــــــر
الصـــــرف],MATCH(C12,Tabledaily[رقم العملية],0)),1)</f>
        <v>405</v>
      </c>
      <c r="K12" s="123" cm="1">
        <f t="array" ref="K12">IFERROR(INDEX(Tabledaily[المبلـــــــغ],MATCH(1,(TableDailyJournal[[#This Row],[رقم العملية]]=Tabledaily[رقم العملية])*(TableDailyJournal[[#This Row],[الحساب]]=Tabledaily[الحســاب المديــــن]),0)),0)</f>
        <v>65000</v>
      </c>
      <c r="L12" s="124" cm="1">
        <f t="array" ref="L12">IFERROR(INDEX(Tabledaily[المبلـــــــغ],MATCH(1,(TableDailyJournal[[#This Row],[رقم العملية]]=Tabledaily[رقم العملية])*(TableDailyJournal[[#This Row],[الحساب]]=Tabledaily[الحســاب الدئـــن]),0)),0)</f>
        <v>0</v>
      </c>
      <c r="M12" s="62">
        <f>IFERROR(TableDailyJournal[[#This Row],[المبلغ مدين]]/TableDailyJournal[[#This Row],[سعــــــر
الصـــــرف]],0)</f>
        <v>160.49382716049382</v>
      </c>
      <c r="N12" s="62">
        <f>IFERROR(TableDailyJournal[[#This Row],[المبلغ دائن]]/TableDailyJournal[[#This Row],[سعــــــر
الصـــــرف]],0)</f>
        <v>0</v>
      </c>
      <c r="O12" s="121" t="str">
        <f>INDEX(Tabledaily[المستفيــــــــد],MATCH(TableDailyJournal[[#This Row],[رقم العملية]],Tabledaily[رقم العملية],0))</f>
        <v>الاستخبارات</v>
      </c>
      <c r="P12" s="121" t="str">
        <f>INDEX(Tabledaily[المــــرجـــــــــع],MATCH(TableDailyJournal[[#This Row],[رقم العملية]],Tabledaily[رقم العملية],0))</f>
        <v>كشف صرف</v>
      </c>
      <c r="Q12" s="121" t="str">
        <f>INDEX(Tabledaily[اســـــــم المــــرجــــع],MATCH(TableDailyJournal[[#This Row],[رقم العملية]],Tabledaily[رقم العملية],0))</f>
        <v>كشف صرف</v>
      </c>
      <c r="R12" s="121">
        <f>INDEX(Tabledaily[رقم المـــــرجـــع],MATCH(TableDailyJournal[[#This Row],[رقم العملية]],Tabledaily[رقم العملية],0))</f>
        <v>4</v>
      </c>
      <c r="S12" s="121" t="str">
        <f>INDEX(Tabledaily[مركـــــــزالتكلفــــــة],MATCH(TableDailyJournal[[#This Row],[رقم العملية]],Tabledaily[رقم العملية],0))</f>
        <v>الفرقة الثالثة</v>
      </c>
      <c r="T12" s="121">
        <f>IFERROR(INDEX(tablecost[رقم المركز],MATCH(TableDailyJournal[[#This Row],[مركـــــــزالتكلفــــــة]],tablecost[الاسم],0)),0)</f>
        <v>1</v>
      </c>
      <c r="U12" s="122">
        <f>IFERROR(DATE(TableDailyJournal[[#This Row],[السنــــة]],TableDailyJournal[[#This Row],[الشهــــر]],TableDailyJournal[[#This Row],[الـــــيوم]]),"01-01-2026")</f>
        <v>46174</v>
      </c>
      <c r="V12" s="125">
        <f>INDEX(Tabledaily[تاريخ الإضافة],MATCH(TableDailyJournal[[#This Row],[رقم العملية]],Tabledaily[رقم العملية],0))</f>
        <v>46181.942083333335</v>
      </c>
      <c r="W12" s="58">
        <v>0</v>
      </c>
      <c r="X12" s="58">
        <f>IFERROR(YEAR(TableDailyJournal[[#This Row],[التاريخ]]),"")</f>
        <v>2026</v>
      </c>
      <c r="Y12" s="58">
        <f>IFERROR(MONTH(TableDailyJournal[[#This Row],[التاريخ]]),"")</f>
        <v>6</v>
      </c>
      <c r="Z12" s="58">
        <f>IFERROR(DAY(TableDailyJournal[[#This Row],[التاريخ]]),"")</f>
        <v>1</v>
      </c>
      <c r="AA12"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AB12" s="58">
        <f>INDEX(Tabledaily[جهة الامر],MATCH(TableDailyJournal[[#This Row],[رقم العملية]],Tabledaily[رقم العملية],0))</f>
        <v>0</v>
      </c>
    </row>
    <row r="13" spans="2:28" ht="45.75" x14ac:dyDescent="0.55000000000000004">
      <c r="B13" s="58">
        <f t="shared" si="0"/>
        <v>9</v>
      </c>
      <c r="C13" s="59" t="s">
        <v>407</v>
      </c>
      <c r="D13" s="60">
        <f>INDEX(Tabledaily[date],MATCH(TableDailyJournal[[#This Row],[رقم العملية]],Tabledaily[رقم العملية],0))</f>
        <v>46174</v>
      </c>
      <c r="E13" s="58" t="str">
        <f>INDEX(Tabledaily[نوع العمليــة],MATCH(TableDailyJournal[[#This Row],[رقم العملية]],Tabledaily[رقم العملية],0))</f>
        <v>قيد عهده</v>
      </c>
      <c r="F13" s="58">
        <f>IFERROR(INDEX(TableJudje[رقم الحساب],MATCH(TableDailyJournal[[#This Row],[الحساب]],TableJudje[اسم الحساب],0)),0)</f>
        <v>11060202</v>
      </c>
      <c r="G13" s="58" t="s">
        <v>159</v>
      </c>
      <c r="H13"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I13" s="60" t="str">
        <f>INDEX(Tabledaily[العملـــة],MATCH(TableDailyJournal[[#This Row],[رقم العملية]],Tabledaily[رقم العملية],0))</f>
        <v>ريال يمني</v>
      </c>
      <c r="J13" s="59">
        <f>IFERROR(INDEX(Tabledaily[سعــــــر
الصـــــرف],MATCH(C13,Tabledaily[رقم العملية],0)),1)</f>
        <v>405</v>
      </c>
      <c r="K13" s="123" cm="1">
        <f t="array" ref="K13">IFERROR(INDEX(Tabledaily[المبلـــــــغ],MATCH(1,(TableDailyJournal[[#This Row],[رقم العملية]]=Tabledaily[رقم العملية])*(TableDailyJournal[[#This Row],[الحساب]]=Tabledaily[الحســاب المديــــن]),0)),0)</f>
        <v>0</v>
      </c>
      <c r="L13" s="124" cm="1">
        <f t="array" ref="L13">IFERROR(INDEX(Tabledaily[المبلـــــــغ],MATCH(1,(TableDailyJournal[[#This Row],[رقم العملية]]=Tabledaily[رقم العملية])*(TableDailyJournal[[#This Row],[الحساب]]=Tabledaily[الحســاب الدئـــن]),0)),0)</f>
        <v>65000</v>
      </c>
      <c r="M13" s="62">
        <f>IFERROR(TableDailyJournal[[#This Row],[المبلغ مدين]]/TableDailyJournal[[#This Row],[سعــــــر
الصـــــرف]],0)</f>
        <v>0</v>
      </c>
      <c r="N13" s="62">
        <f>IFERROR(TableDailyJournal[[#This Row],[المبلغ دائن]]/TableDailyJournal[[#This Row],[سعــــــر
الصـــــرف]],0)</f>
        <v>160.49382716049382</v>
      </c>
      <c r="O13" s="121" t="str">
        <f>INDEX(Tabledaily[المستفيــــــــد],MATCH(TableDailyJournal[[#This Row],[رقم العملية]],Tabledaily[رقم العملية],0))</f>
        <v>الاستخبارات</v>
      </c>
      <c r="P13" s="121" t="str">
        <f>INDEX(Tabledaily[المــــرجـــــــــع],MATCH(TableDailyJournal[[#This Row],[رقم العملية]],Tabledaily[رقم العملية],0))</f>
        <v>كشف صرف</v>
      </c>
      <c r="Q13" s="121" t="str">
        <f>INDEX(Tabledaily[اســـــــم المــــرجــــع],MATCH(TableDailyJournal[[#This Row],[رقم العملية]],Tabledaily[رقم العملية],0))</f>
        <v>كشف صرف</v>
      </c>
      <c r="R13" s="121">
        <f>INDEX(Tabledaily[رقم المـــــرجـــع],MATCH(TableDailyJournal[[#This Row],[رقم العملية]],Tabledaily[رقم العملية],0))</f>
        <v>4</v>
      </c>
      <c r="S13" s="121" t="str">
        <f>INDEX(Tabledaily[مركـــــــزالتكلفــــــة],MATCH(TableDailyJournal[[#This Row],[رقم العملية]],Tabledaily[رقم العملية],0))</f>
        <v>الفرقة الثالثة</v>
      </c>
      <c r="T13" s="121">
        <f>IFERROR(INDEX(tablecost[رقم المركز],MATCH(TableDailyJournal[[#This Row],[مركـــــــزالتكلفــــــة]],tablecost[الاسم],0)),0)</f>
        <v>1</v>
      </c>
      <c r="U13" s="122">
        <f>IFERROR(DATE(TableDailyJournal[[#This Row],[السنــــة]],TableDailyJournal[[#This Row],[الشهــــر]],TableDailyJournal[[#This Row],[الـــــيوم]]),"01-01-2026")</f>
        <v>46174</v>
      </c>
      <c r="V13" s="125">
        <f>INDEX(Tabledaily[تاريخ الإضافة],MATCH(TableDailyJournal[[#This Row],[رقم العملية]],Tabledaily[رقم العملية],0))</f>
        <v>46181.942083333335</v>
      </c>
      <c r="W13" s="58">
        <v>0</v>
      </c>
      <c r="X13" s="58">
        <f>IFERROR(YEAR(TableDailyJournal[[#This Row],[التاريخ]]),"")</f>
        <v>2026</v>
      </c>
      <c r="Y13" s="58">
        <f>IFERROR(MONTH(TableDailyJournal[[#This Row],[التاريخ]]),"")</f>
        <v>6</v>
      </c>
      <c r="Z13" s="58">
        <f>IFERROR(DAY(TableDailyJournal[[#This Row],[التاريخ]]),"")</f>
        <v>1</v>
      </c>
      <c r="AA13"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AB13" s="58">
        <f>INDEX(Tabledaily[جهة الامر],MATCH(TableDailyJournal[[#This Row],[رقم العملية]],Tabledaily[رقم العملية],0))</f>
        <v>0</v>
      </c>
    </row>
    <row r="14" spans="2:28" ht="45.75" x14ac:dyDescent="0.55000000000000004">
      <c r="B14" s="58">
        <f t="shared" si="0"/>
        <v>10</v>
      </c>
      <c r="C14" s="59" t="s">
        <v>406</v>
      </c>
      <c r="D14" s="60">
        <f>INDEX(Tabledaily[date],MATCH(TableDailyJournal[[#This Row],[رقم العملية]],Tabledaily[رقم العملية],0))</f>
        <v>46174</v>
      </c>
      <c r="E14" s="58" t="str">
        <f>INDEX(Tabledaily[نوع العمليــة],MATCH(TableDailyJournal[[#This Row],[رقم العملية]],Tabledaily[رقم العملية],0))</f>
        <v>قيد عهده</v>
      </c>
      <c r="F14" s="58">
        <f>IFERROR(INDEX(TableJudje[رقم الحساب],MATCH(TableDailyJournal[[#This Row],[الحساب]],TableJudje[اسم الحساب],0)),0)</f>
        <v>31010101</v>
      </c>
      <c r="G14" s="58" t="s">
        <v>111</v>
      </c>
      <c r="H14"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I14" s="60" t="str">
        <f>INDEX(Tabledaily[العملـــة],MATCH(TableDailyJournal[[#This Row],[رقم العملية]],Tabledaily[رقم العملية],0))</f>
        <v>ريال يمني</v>
      </c>
      <c r="J14" s="59">
        <f>IFERROR(INDEX(Tabledaily[سعــــــر
الصـــــرف],MATCH(C14,Tabledaily[رقم العملية],0)),1)</f>
        <v>405</v>
      </c>
      <c r="K14" s="123" cm="1">
        <f t="array" ref="K14">IFERROR(INDEX(Tabledaily[المبلـــــــغ],MATCH(1,(TableDailyJournal[[#This Row],[رقم العملية]]=Tabledaily[رقم العملية])*(TableDailyJournal[[#This Row],[الحساب]]=Tabledaily[الحســاب المديــــن]),0)),0)</f>
        <v>32000</v>
      </c>
      <c r="L14" s="124" cm="1">
        <f t="array" ref="L14">IFERROR(INDEX(Tabledaily[المبلـــــــغ],MATCH(1,(TableDailyJournal[[#This Row],[رقم العملية]]=Tabledaily[رقم العملية])*(TableDailyJournal[[#This Row],[الحساب]]=Tabledaily[الحســاب الدئـــن]),0)),0)</f>
        <v>0</v>
      </c>
      <c r="M14" s="62">
        <f>IFERROR(TableDailyJournal[[#This Row],[المبلغ مدين]]/TableDailyJournal[[#This Row],[سعــــــر
الصـــــرف]],0)</f>
        <v>79.012345679012341</v>
      </c>
      <c r="N14" s="62">
        <f>IFERROR(TableDailyJournal[[#This Row],[المبلغ دائن]]/TableDailyJournal[[#This Row],[سعــــــر
الصـــــرف]],0)</f>
        <v>0</v>
      </c>
      <c r="O14" s="121" t="str">
        <f>INDEX(Tabledaily[المستفيــــــــد],MATCH(TableDailyJournal[[#This Row],[رقم العملية]],Tabledaily[رقم العملية],0))</f>
        <v>الطبية والمحاسبين</v>
      </c>
      <c r="P14" s="121" t="str">
        <f>INDEX(Tabledaily[المــــرجـــــــــع],MATCH(TableDailyJournal[[#This Row],[رقم العملية]],Tabledaily[رقم العملية],0))</f>
        <v>كشف صرف</v>
      </c>
      <c r="Q14" s="121" t="str">
        <f>INDEX(Tabledaily[اســـــــم المــــرجــــع],MATCH(TableDailyJournal[[#This Row],[رقم العملية]],Tabledaily[رقم العملية],0))</f>
        <v>كشف صرف</v>
      </c>
      <c r="R14" s="121">
        <f>INDEX(Tabledaily[رقم المـــــرجـــع],MATCH(TableDailyJournal[[#This Row],[رقم العملية]],Tabledaily[رقم العملية],0))</f>
        <v>5</v>
      </c>
      <c r="S14" s="121" t="str">
        <f>INDEX(Tabledaily[مركـــــــزالتكلفــــــة],MATCH(TableDailyJournal[[#This Row],[رقم العملية]],Tabledaily[رقم العملية],0))</f>
        <v>الفرقة الثالثة</v>
      </c>
      <c r="T14" s="121">
        <f>IFERROR(INDEX(tablecost[رقم المركز],MATCH(TableDailyJournal[[#This Row],[مركـــــــزالتكلفــــــة]],tablecost[الاسم],0)),0)</f>
        <v>1</v>
      </c>
      <c r="U14" s="122">
        <f>IFERROR(DATE(TableDailyJournal[[#This Row],[السنــــة]],TableDailyJournal[[#This Row],[الشهــــر]],TableDailyJournal[[#This Row],[الـــــيوم]]),"01-01-2026")</f>
        <v>46174</v>
      </c>
      <c r="V14" s="125">
        <f>INDEX(Tabledaily[تاريخ الإضافة],MATCH(TableDailyJournal[[#This Row],[رقم العملية]],Tabledaily[رقم العملية],0))</f>
        <v>46181.943506944444</v>
      </c>
      <c r="W14" s="58">
        <v>0</v>
      </c>
      <c r="X14" s="58">
        <f>IFERROR(YEAR(TableDailyJournal[[#This Row],[التاريخ]]),"")</f>
        <v>2026</v>
      </c>
      <c r="Y14" s="58">
        <f>IFERROR(MONTH(TableDailyJournal[[#This Row],[التاريخ]]),"")</f>
        <v>6</v>
      </c>
      <c r="Z14" s="58">
        <f>IFERROR(DAY(TableDailyJournal[[#This Row],[التاريخ]]),"")</f>
        <v>1</v>
      </c>
      <c r="AA14"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AB14" s="58">
        <f>INDEX(Tabledaily[جهة الامر],MATCH(TableDailyJournal[[#This Row],[رقم العملية]],Tabledaily[رقم العملية],0))</f>
        <v>0</v>
      </c>
    </row>
    <row r="15" spans="2:28" ht="45.75" x14ac:dyDescent="0.55000000000000004">
      <c r="B15" s="58">
        <f t="shared" si="0"/>
        <v>11</v>
      </c>
      <c r="C15" s="59" t="s">
        <v>406</v>
      </c>
      <c r="D15" s="60">
        <f>INDEX(Tabledaily[date],MATCH(TableDailyJournal[[#This Row],[رقم العملية]],Tabledaily[رقم العملية],0))</f>
        <v>46174</v>
      </c>
      <c r="E15" s="58" t="str">
        <f>INDEX(Tabledaily[نوع العمليــة],MATCH(TableDailyJournal[[#This Row],[رقم العملية]],Tabledaily[رقم العملية],0))</f>
        <v>قيد عهده</v>
      </c>
      <c r="F15" s="58">
        <f>IFERROR(INDEX(TableJudje[رقم الحساب],MATCH(TableDailyJournal[[#This Row],[الحساب]],TableJudje[اسم الحساب],0)),0)</f>
        <v>11060202</v>
      </c>
      <c r="G15" s="58" t="s">
        <v>159</v>
      </c>
      <c r="H15"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I15" s="60" t="str">
        <f>INDEX(Tabledaily[العملـــة],MATCH(TableDailyJournal[[#This Row],[رقم العملية]],Tabledaily[رقم العملية],0))</f>
        <v>ريال يمني</v>
      </c>
      <c r="J15" s="59">
        <f>IFERROR(INDEX(Tabledaily[سعــــــر
الصـــــرف],MATCH(C15,Tabledaily[رقم العملية],0)),1)</f>
        <v>405</v>
      </c>
      <c r="K15" s="123" cm="1">
        <f t="array" ref="K15">IFERROR(INDEX(Tabledaily[المبلـــــــغ],MATCH(1,(TableDailyJournal[[#This Row],[رقم العملية]]=Tabledaily[رقم العملية])*(TableDailyJournal[[#This Row],[الحساب]]=Tabledaily[الحســاب المديــــن]),0)),0)</f>
        <v>0</v>
      </c>
      <c r="L15" s="124" cm="1">
        <f t="array" ref="L15">IFERROR(INDEX(Tabledaily[المبلـــــــغ],MATCH(1,(TableDailyJournal[[#This Row],[رقم العملية]]=Tabledaily[رقم العملية])*(TableDailyJournal[[#This Row],[الحساب]]=Tabledaily[الحســاب الدئـــن]),0)),0)</f>
        <v>32000</v>
      </c>
      <c r="M15" s="62">
        <f>IFERROR(TableDailyJournal[[#This Row],[المبلغ مدين]]/TableDailyJournal[[#This Row],[سعــــــر
الصـــــرف]],0)</f>
        <v>0</v>
      </c>
      <c r="N15" s="62">
        <f>IFERROR(TableDailyJournal[[#This Row],[المبلغ دائن]]/TableDailyJournal[[#This Row],[سعــــــر
الصـــــرف]],0)</f>
        <v>79.012345679012341</v>
      </c>
      <c r="O15" s="121" t="str">
        <f>INDEX(Tabledaily[المستفيــــــــد],MATCH(TableDailyJournal[[#This Row],[رقم العملية]],Tabledaily[رقم العملية],0))</f>
        <v>الطبية والمحاسبين</v>
      </c>
      <c r="P15" s="121" t="str">
        <f>INDEX(Tabledaily[المــــرجـــــــــع],MATCH(TableDailyJournal[[#This Row],[رقم العملية]],Tabledaily[رقم العملية],0))</f>
        <v>كشف صرف</v>
      </c>
      <c r="Q15" s="121" t="str">
        <f>INDEX(Tabledaily[اســـــــم المــــرجــــع],MATCH(TableDailyJournal[[#This Row],[رقم العملية]],Tabledaily[رقم العملية],0))</f>
        <v>كشف صرف</v>
      </c>
      <c r="R15" s="121">
        <f>INDEX(Tabledaily[رقم المـــــرجـــع],MATCH(TableDailyJournal[[#This Row],[رقم العملية]],Tabledaily[رقم العملية],0))</f>
        <v>5</v>
      </c>
      <c r="S15" s="121" t="str">
        <f>INDEX(Tabledaily[مركـــــــزالتكلفــــــة],MATCH(TableDailyJournal[[#This Row],[رقم العملية]],Tabledaily[رقم العملية],0))</f>
        <v>الفرقة الثالثة</v>
      </c>
      <c r="T15" s="121">
        <f>IFERROR(INDEX(tablecost[رقم المركز],MATCH(TableDailyJournal[[#This Row],[مركـــــــزالتكلفــــــة]],tablecost[الاسم],0)),0)</f>
        <v>1</v>
      </c>
      <c r="U15" s="122">
        <f>IFERROR(DATE(TableDailyJournal[[#This Row],[السنــــة]],TableDailyJournal[[#This Row],[الشهــــر]],TableDailyJournal[[#This Row],[الـــــيوم]]),"01-01-2026")</f>
        <v>46174</v>
      </c>
      <c r="V15" s="125">
        <f>INDEX(Tabledaily[تاريخ الإضافة],MATCH(TableDailyJournal[[#This Row],[رقم العملية]],Tabledaily[رقم العملية],0))</f>
        <v>46181.943506944444</v>
      </c>
      <c r="W15" s="58">
        <v>0</v>
      </c>
      <c r="X15" s="58">
        <f>IFERROR(YEAR(TableDailyJournal[[#This Row],[التاريخ]]),"")</f>
        <v>2026</v>
      </c>
      <c r="Y15" s="58">
        <f>IFERROR(MONTH(TableDailyJournal[[#This Row],[التاريخ]]),"")</f>
        <v>6</v>
      </c>
      <c r="Z15" s="58">
        <f>IFERROR(DAY(TableDailyJournal[[#This Row],[التاريخ]]),"")</f>
        <v>1</v>
      </c>
      <c r="AA15"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AB15" s="58">
        <f>INDEX(Tabledaily[جهة الامر],MATCH(TableDailyJournal[[#This Row],[رقم العملية]],Tabledaily[رقم العملية],0))</f>
        <v>0</v>
      </c>
    </row>
    <row r="16" spans="2:28" ht="45.75" x14ac:dyDescent="0.55000000000000004">
      <c r="B16" s="58">
        <f t="shared" si="0"/>
        <v>12</v>
      </c>
      <c r="C16" s="59" t="s">
        <v>404</v>
      </c>
      <c r="D16" s="60">
        <f>INDEX(Tabledaily[date],MATCH(TableDailyJournal[[#This Row],[رقم العملية]],Tabledaily[رقم العملية],0))</f>
        <v>46174</v>
      </c>
      <c r="E16" s="58" t="str">
        <f>INDEX(Tabledaily[نوع العمليــة],MATCH(TableDailyJournal[[#This Row],[رقم العملية]],Tabledaily[رقم العملية],0))</f>
        <v>قيد عهده</v>
      </c>
      <c r="F16" s="58">
        <f>IFERROR(INDEX(TableJudje[رقم الحساب],MATCH(TableDailyJournal[[#This Row],[الحساب]],TableJudje[اسم الحساب],0)),0)</f>
        <v>31010101</v>
      </c>
      <c r="G16" s="58" t="s">
        <v>111</v>
      </c>
      <c r="H16"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7  كشف صرف - صرف الصرفة اليومية ضباط سابقين لعدد 7 بامر</v>
      </c>
      <c r="I16" s="60" t="str">
        <f>INDEX(Tabledaily[العملـــة],MATCH(TableDailyJournal[[#This Row],[رقم العملية]],Tabledaily[رقم العملية],0))</f>
        <v>ريال يمني</v>
      </c>
      <c r="J16" s="59">
        <f>IFERROR(INDEX(Tabledaily[سعــــــر
الصـــــرف],MATCH(C16,Tabledaily[رقم العملية],0)),1)</f>
        <v>405</v>
      </c>
      <c r="K16" s="123" cm="1">
        <f t="array" ref="K16">IFERROR(INDEX(Tabledaily[المبلـــــــغ],MATCH(1,(TableDailyJournal[[#This Row],[رقم العملية]]=Tabledaily[رقم العملية])*(TableDailyJournal[[#This Row],[الحساب]]=Tabledaily[الحســاب المديــــن]),0)),0)</f>
        <v>75000</v>
      </c>
      <c r="L16" s="124" cm="1">
        <f t="array" ref="L16">IFERROR(INDEX(Tabledaily[المبلـــــــغ],MATCH(1,(TableDailyJournal[[#This Row],[رقم العملية]]=Tabledaily[رقم العملية])*(TableDailyJournal[[#This Row],[الحساب]]=Tabledaily[الحســاب الدئـــن]),0)),0)</f>
        <v>0</v>
      </c>
      <c r="M16" s="62">
        <f>IFERROR(TableDailyJournal[[#This Row],[المبلغ مدين]]/TableDailyJournal[[#This Row],[سعــــــر
الصـــــرف]],0)</f>
        <v>185.18518518518519</v>
      </c>
      <c r="N16" s="62">
        <f>IFERROR(TableDailyJournal[[#This Row],[المبلغ دائن]]/TableDailyJournal[[#This Row],[سعــــــر
الصـــــرف]],0)</f>
        <v>0</v>
      </c>
      <c r="O16" s="121" t="str">
        <f>INDEX(Tabledaily[المستفيــــــــد],MATCH(TableDailyJournal[[#This Row],[رقم العملية]],Tabledaily[رقم العملية],0))</f>
        <v>الضباط السابقين</v>
      </c>
      <c r="P16" s="121" t="str">
        <f>INDEX(Tabledaily[المــــرجـــــــــع],MATCH(TableDailyJournal[[#This Row],[رقم العملية]],Tabledaily[رقم العملية],0))</f>
        <v>كشف صرف</v>
      </c>
      <c r="Q16" s="121" t="str">
        <f>INDEX(Tabledaily[اســـــــم المــــرجــــع],MATCH(TableDailyJournal[[#This Row],[رقم العملية]],Tabledaily[رقم العملية],0))</f>
        <v>كشف صرف</v>
      </c>
      <c r="R16" s="121">
        <f>INDEX(Tabledaily[رقم المـــــرجـــع],MATCH(TableDailyJournal[[#This Row],[رقم العملية]],Tabledaily[رقم العملية],0))</f>
        <v>7</v>
      </c>
      <c r="S16" s="121" t="str">
        <f>INDEX(Tabledaily[مركـــــــزالتكلفــــــة],MATCH(TableDailyJournal[[#This Row],[رقم العملية]],Tabledaily[رقم العملية],0))</f>
        <v>الفرقة الثالثة</v>
      </c>
      <c r="T16" s="121">
        <f>IFERROR(INDEX(tablecost[رقم المركز],MATCH(TableDailyJournal[[#This Row],[مركـــــــزالتكلفــــــة]],tablecost[الاسم],0)),0)</f>
        <v>1</v>
      </c>
      <c r="U16" s="122">
        <f>IFERROR(DATE(TableDailyJournal[[#This Row],[السنــــة]],TableDailyJournal[[#This Row],[الشهــــر]],TableDailyJournal[[#This Row],[الـــــيوم]]),"01-01-2026")</f>
        <v>46174</v>
      </c>
      <c r="V16" s="125">
        <f>INDEX(Tabledaily[تاريخ الإضافة],MATCH(TableDailyJournal[[#This Row],[رقم العملية]],Tabledaily[رقم العملية],0))</f>
        <v>46181.944780092592</v>
      </c>
      <c r="W16" s="58">
        <v>0</v>
      </c>
      <c r="X16" s="58">
        <f>IFERROR(YEAR(TableDailyJournal[[#This Row],[التاريخ]]),"")</f>
        <v>2026</v>
      </c>
      <c r="Y16" s="58">
        <f>IFERROR(MONTH(TableDailyJournal[[#This Row],[التاريخ]]),"")</f>
        <v>6</v>
      </c>
      <c r="Z16" s="58">
        <f>IFERROR(DAY(TableDailyJournal[[#This Row],[التاريخ]]),"")</f>
        <v>1</v>
      </c>
      <c r="AA16"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7  كشف صرف - صرف الصرفة اليومية ضباط سابقين لعدد 7 بامر</v>
      </c>
      <c r="AB16" s="58">
        <f>INDEX(Tabledaily[جهة الامر],MATCH(TableDailyJournal[[#This Row],[رقم العملية]],Tabledaily[رقم العملية],0))</f>
        <v>0</v>
      </c>
    </row>
    <row r="17" spans="2:28" ht="45.75" x14ac:dyDescent="0.55000000000000004">
      <c r="B17" s="58">
        <f t="shared" si="0"/>
        <v>13</v>
      </c>
      <c r="C17" s="59" t="s">
        <v>404</v>
      </c>
      <c r="D17" s="60">
        <f>INDEX(Tabledaily[date],MATCH(TableDailyJournal[[#This Row],[رقم العملية]],Tabledaily[رقم العملية],0))</f>
        <v>46174</v>
      </c>
      <c r="E17" s="58" t="str">
        <f>INDEX(Tabledaily[نوع العمليــة],MATCH(TableDailyJournal[[#This Row],[رقم العملية]],Tabledaily[رقم العملية],0))</f>
        <v>قيد عهده</v>
      </c>
      <c r="F17" s="58">
        <f>IFERROR(INDEX(TableJudje[رقم الحساب],MATCH(TableDailyJournal[[#This Row],[الحساب]],TableJudje[اسم الحساب],0)),0)</f>
        <v>11060202</v>
      </c>
      <c r="G17" s="58" t="s">
        <v>159</v>
      </c>
      <c r="H17"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7  كشف صرف - صرف الصرفة اليومية ضباط سابقين لعدد 7 بامر</v>
      </c>
      <c r="I17" s="60" t="str">
        <f>INDEX(Tabledaily[العملـــة],MATCH(TableDailyJournal[[#This Row],[رقم العملية]],Tabledaily[رقم العملية],0))</f>
        <v>ريال يمني</v>
      </c>
      <c r="J17" s="59">
        <f>IFERROR(INDEX(Tabledaily[سعــــــر
الصـــــرف],MATCH(C17,Tabledaily[رقم العملية],0)),1)</f>
        <v>405</v>
      </c>
      <c r="K17" s="123" cm="1">
        <f t="array" ref="K17">IFERROR(INDEX(Tabledaily[المبلـــــــغ],MATCH(1,(TableDailyJournal[[#This Row],[رقم العملية]]=Tabledaily[رقم العملية])*(TableDailyJournal[[#This Row],[الحساب]]=Tabledaily[الحســاب المديــــن]),0)),0)</f>
        <v>0</v>
      </c>
      <c r="L17" s="124" cm="1">
        <f t="array" ref="L17">IFERROR(INDEX(Tabledaily[المبلـــــــغ],MATCH(1,(TableDailyJournal[[#This Row],[رقم العملية]]=Tabledaily[رقم العملية])*(TableDailyJournal[[#This Row],[الحساب]]=Tabledaily[الحســاب الدئـــن]),0)),0)</f>
        <v>75000</v>
      </c>
      <c r="M17" s="62">
        <f>IFERROR(TableDailyJournal[[#This Row],[المبلغ مدين]]/TableDailyJournal[[#This Row],[سعــــــر
الصـــــرف]],0)</f>
        <v>0</v>
      </c>
      <c r="N17" s="62">
        <f>IFERROR(TableDailyJournal[[#This Row],[المبلغ دائن]]/TableDailyJournal[[#This Row],[سعــــــر
الصـــــرف]],0)</f>
        <v>185.18518518518519</v>
      </c>
      <c r="O17" s="121" t="str">
        <f>INDEX(Tabledaily[المستفيــــــــد],MATCH(TableDailyJournal[[#This Row],[رقم العملية]],Tabledaily[رقم العملية],0))</f>
        <v>الضباط السابقين</v>
      </c>
      <c r="P17" s="121" t="str">
        <f>INDEX(Tabledaily[المــــرجـــــــــع],MATCH(TableDailyJournal[[#This Row],[رقم العملية]],Tabledaily[رقم العملية],0))</f>
        <v>كشف صرف</v>
      </c>
      <c r="Q17" s="121" t="str">
        <f>INDEX(Tabledaily[اســـــــم المــــرجــــع],MATCH(TableDailyJournal[[#This Row],[رقم العملية]],Tabledaily[رقم العملية],0))</f>
        <v>كشف صرف</v>
      </c>
      <c r="R17" s="121">
        <f>INDEX(Tabledaily[رقم المـــــرجـــع],MATCH(TableDailyJournal[[#This Row],[رقم العملية]],Tabledaily[رقم العملية],0))</f>
        <v>7</v>
      </c>
      <c r="S17" s="121" t="str">
        <f>INDEX(Tabledaily[مركـــــــزالتكلفــــــة],MATCH(TableDailyJournal[[#This Row],[رقم العملية]],Tabledaily[رقم العملية],0))</f>
        <v>الفرقة الثالثة</v>
      </c>
      <c r="T17" s="121">
        <f>IFERROR(INDEX(tablecost[رقم المركز],MATCH(TableDailyJournal[[#This Row],[مركـــــــزالتكلفــــــة]],tablecost[الاسم],0)),0)</f>
        <v>1</v>
      </c>
      <c r="U17" s="122">
        <f>IFERROR(DATE(TableDailyJournal[[#This Row],[السنــــة]],TableDailyJournal[[#This Row],[الشهــــر]],TableDailyJournal[[#This Row],[الـــــيوم]]),"01-01-2026")</f>
        <v>46174</v>
      </c>
      <c r="V17" s="125">
        <f>INDEX(Tabledaily[تاريخ الإضافة],MATCH(TableDailyJournal[[#This Row],[رقم العملية]],Tabledaily[رقم العملية],0))</f>
        <v>46181.944780092592</v>
      </c>
      <c r="W17" s="58">
        <v>0</v>
      </c>
      <c r="X17" s="58">
        <f>IFERROR(YEAR(TableDailyJournal[[#This Row],[التاريخ]]),"")</f>
        <v>2026</v>
      </c>
      <c r="Y17" s="58">
        <f>IFERROR(MONTH(TableDailyJournal[[#This Row],[التاريخ]]),"")</f>
        <v>6</v>
      </c>
      <c r="Z17" s="58">
        <f>IFERROR(DAY(TableDailyJournal[[#This Row],[التاريخ]]),"")</f>
        <v>1</v>
      </c>
      <c r="AA17"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7  كشف صرف - صرف الصرفة اليومية ضباط سابقين لعدد 7 بامر</v>
      </c>
      <c r="AB17" s="58">
        <f>INDEX(Tabledaily[جهة الامر],MATCH(TableDailyJournal[[#This Row],[رقم العملية]],Tabledaily[رقم العملية],0))</f>
        <v>0</v>
      </c>
    </row>
    <row r="18" spans="2:28" ht="45.75" x14ac:dyDescent="0.55000000000000004">
      <c r="B18" s="58">
        <f t="shared" si="0"/>
        <v>14</v>
      </c>
      <c r="C18" s="59" t="s">
        <v>402</v>
      </c>
      <c r="D18" s="60">
        <f>INDEX(Tabledaily[date],MATCH(TableDailyJournal[[#This Row],[رقم العملية]],Tabledaily[رقم العملية],0))</f>
        <v>46174</v>
      </c>
      <c r="E18" s="58" t="str">
        <f>INDEX(Tabledaily[نوع العمليــة],MATCH(TableDailyJournal[[#This Row],[رقم العملية]],Tabledaily[رقم العملية],0))</f>
        <v>قيد عهده</v>
      </c>
      <c r="F18" s="58">
        <f>IFERROR(INDEX(TableJudje[رقم الحساب],MATCH(TableDailyJournal[[#This Row],[الحساب]],TableJudje[اسم الحساب],0)),0)</f>
        <v>31010101</v>
      </c>
      <c r="G18" s="58" t="s">
        <v>111</v>
      </c>
      <c r="H18" s="61" t="str">
        <f>INDEX(Tabledaily[المرجع البياني],MATCH(TableDailyJournal[[#This Row],[رقم العملية]],Tabledaily[رقم العملية],0))</f>
        <v>قيـد مقابـل:- (مصاريف  صرفة يومية للافراد  - اخرون - الفرقة الثالثة)  - كشف صرف رقم 10  كشف صرف - صرف الصرفة اليومية اخورن بامر</v>
      </c>
      <c r="I18" s="60" t="str">
        <f>INDEX(Tabledaily[العملـــة],MATCH(TableDailyJournal[[#This Row],[رقم العملية]],Tabledaily[رقم العملية],0))</f>
        <v>ريال يمني</v>
      </c>
      <c r="J18" s="59">
        <f>IFERROR(INDEX(Tabledaily[سعــــــر
الصـــــرف],MATCH(C18,Tabledaily[رقم العملية],0)),1)</f>
        <v>405</v>
      </c>
      <c r="K18" s="123" cm="1">
        <f t="array" ref="K18">IFERROR(INDEX(Tabledaily[المبلـــــــغ],MATCH(1,(TableDailyJournal[[#This Row],[رقم العملية]]=Tabledaily[رقم العملية])*(TableDailyJournal[[#This Row],[الحساب]]=Tabledaily[الحســاب المديــــن]),0)),0)</f>
        <v>75000</v>
      </c>
      <c r="L18" s="124" cm="1">
        <f t="array" ref="L18">IFERROR(INDEX(Tabledaily[المبلـــــــغ],MATCH(1,(TableDailyJournal[[#This Row],[رقم العملية]]=Tabledaily[رقم العملية])*(TableDailyJournal[[#This Row],[الحساب]]=Tabledaily[الحســاب الدئـــن]),0)),0)</f>
        <v>0</v>
      </c>
      <c r="M18" s="62">
        <f>IFERROR(TableDailyJournal[[#This Row],[المبلغ مدين]]/TableDailyJournal[[#This Row],[سعــــــر
الصـــــرف]],0)</f>
        <v>185.18518518518519</v>
      </c>
      <c r="N18" s="62">
        <f>IFERROR(TableDailyJournal[[#This Row],[المبلغ دائن]]/TableDailyJournal[[#This Row],[سعــــــر
الصـــــرف]],0)</f>
        <v>0</v>
      </c>
      <c r="O18" s="121" t="str">
        <f>INDEX(Tabledaily[المستفيــــــــد],MATCH(TableDailyJournal[[#This Row],[رقم العملية]],Tabledaily[رقم العملية],0))</f>
        <v>اخرون</v>
      </c>
      <c r="P18" s="121" t="str">
        <f>INDEX(Tabledaily[المــــرجـــــــــع],MATCH(TableDailyJournal[[#This Row],[رقم العملية]],Tabledaily[رقم العملية],0))</f>
        <v>كشف صرف</v>
      </c>
      <c r="Q18" s="121" t="str">
        <f>INDEX(Tabledaily[اســـــــم المــــرجــــع],MATCH(TableDailyJournal[[#This Row],[رقم العملية]],Tabledaily[رقم العملية],0))</f>
        <v>كشف صرف</v>
      </c>
      <c r="R18" s="121">
        <f>INDEX(Tabledaily[رقم المـــــرجـــع],MATCH(TableDailyJournal[[#This Row],[رقم العملية]],Tabledaily[رقم العملية],0))</f>
        <v>10</v>
      </c>
      <c r="S18" s="121" t="str">
        <f>INDEX(Tabledaily[مركـــــــزالتكلفــــــة],MATCH(TableDailyJournal[[#This Row],[رقم العملية]],Tabledaily[رقم العملية],0))</f>
        <v>الفرقة الثالثة</v>
      </c>
      <c r="T18" s="121">
        <f>IFERROR(INDEX(tablecost[رقم المركز],MATCH(TableDailyJournal[[#This Row],[مركـــــــزالتكلفــــــة]],tablecost[الاسم],0)),0)</f>
        <v>1</v>
      </c>
      <c r="U18" s="122">
        <f>IFERROR(DATE(TableDailyJournal[[#This Row],[السنــــة]],TableDailyJournal[[#This Row],[الشهــــر]],TableDailyJournal[[#This Row],[الـــــيوم]]),"01-01-2026")</f>
        <v>46174</v>
      </c>
      <c r="V18" s="125">
        <f>INDEX(Tabledaily[تاريخ الإضافة],MATCH(TableDailyJournal[[#This Row],[رقم العملية]],Tabledaily[رقم العملية],0))</f>
        <v>46181.945497685185</v>
      </c>
      <c r="W18" s="58">
        <v>0</v>
      </c>
      <c r="X18" s="58">
        <f>IFERROR(YEAR(TableDailyJournal[[#This Row],[التاريخ]]),"")</f>
        <v>2026</v>
      </c>
      <c r="Y18" s="58">
        <f>IFERROR(MONTH(TableDailyJournal[[#This Row],[التاريخ]]),"")</f>
        <v>6</v>
      </c>
      <c r="Z18" s="58">
        <f>IFERROR(DAY(TableDailyJournal[[#This Row],[التاريخ]]),"")</f>
        <v>1</v>
      </c>
      <c r="AA18" s="126" t="str">
        <f>INDEX(Tabledaily[المرجع البياني],MATCH(TableDailyJournal[[#This Row],[رقم العملية]],Tabledaily[رقم العملية],0))</f>
        <v>قيـد مقابـل:- (مصاريف  صرفة يومية للافراد  - اخرون - الفرقة الثالثة)  - كشف صرف رقم 10  كشف صرف - صرف الصرفة اليومية اخورن بامر</v>
      </c>
      <c r="AB18" s="58">
        <f>INDEX(Tabledaily[جهة الامر],MATCH(TableDailyJournal[[#This Row],[رقم العملية]],Tabledaily[رقم العملية],0))</f>
        <v>0</v>
      </c>
    </row>
    <row r="19" spans="2:28" ht="45.75" x14ac:dyDescent="0.55000000000000004">
      <c r="B19" s="58">
        <f t="shared" si="0"/>
        <v>15</v>
      </c>
      <c r="C19" s="59" t="s">
        <v>402</v>
      </c>
      <c r="D19" s="60">
        <f>INDEX(Tabledaily[date],MATCH(TableDailyJournal[[#This Row],[رقم العملية]],Tabledaily[رقم العملية],0))</f>
        <v>46174</v>
      </c>
      <c r="E19" s="58" t="str">
        <f>INDEX(Tabledaily[نوع العمليــة],MATCH(TableDailyJournal[[#This Row],[رقم العملية]],Tabledaily[رقم العملية],0))</f>
        <v>قيد عهده</v>
      </c>
      <c r="F19" s="58">
        <f>IFERROR(INDEX(TableJudje[رقم الحساب],MATCH(TableDailyJournal[[#This Row],[الحساب]],TableJudje[اسم الحساب],0)),0)</f>
        <v>11060202</v>
      </c>
      <c r="G19" s="58" t="s">
        <v>159</v>
      </c>
      <c r="H19" s="61" t="str">
        <f>INDEX(Tabledaily[المرجع البياني],MATCH(TableDailyJournal[[#This Row],[رقم العملية]],Tabledaily[رقم العملية],0))</f>
        <v>قيـد مقابـل:- (مصاريف  صرفة يومية للافراد  - اخرون - الفرقة الثالثة)  - كشف صرف رقم 10  كشف صرف - صرف الصرفة اليومية اخورن بامر</v>
      </c>
      <c r="I19" s="60" t="str">
        <f>INDEX(Tabledaily[العملـــة],MATCH(TableDailyJournal[[#This Row],[رقم العملية]],Tabledaily[رقم العملية],0))</f>
        <v>ريال يمني</v>
      </c>
      <c r="J19" s="59">
        <f>IFERROR(INDEX(Tabledaily[سعــــــر
الصـــــرف],MATCH(C19,Tabledaily[رقم العملية],0)),1)</f>
        <v>405</v>
      </c>
      <c r="K19" s="123" cm="1">
        <f t="array" ref="K19">IFERROR(INDEX(Tabledaily[المبلـــــــغ],MATCH(1,(TableDailyJournal[[#This Row],[رقم العملية]]=Tabledaily[رقم العملية])*(TableDailyJournal[[#This Row],[الحساب]]=Tabledaily[الحســاب المديــــن]),0)),0)</f>
        <v>0</v>
      </c>
      <c r="L19" s="124" cm="1">
        <f t="array" ref="L19">IFERROR(INDEX(Tabledaily[المبلـــــــغ],MATCH(1,(TableDailyJournal[[#This Row],[رقم العملية]]=Tabledaily[رقم العملية])*(TableDailyJournal[[#This Row],[الحساب]]=Tabledaily[الحســاب الدئـــن]),0)),0)</f>
        <v>75000</v>
      </c>
      <c r="M19" s="62">
        <f>IFERROR(TableDailyJournal[[#This Row],[المبلغ مدين]]/TableDailyJournal[[#This Row],[سعــــــر
الصـــــرف]],0)</f>
        <v>0</v>
      </c>
      <c r="N19" s="62">
        <f>IFERROR(TableDailyJournal[[#This Row],[المبلغ دائن]]/TableDailyJournal[[#This Row],[سعــــــر
الصـــــرف]],0)</f>
        <v>185.18518518518519</v>
      </c>
      <c r="O19" s="121" t="str">
        <f>INDEX(Tabledaily[المستفيــــــــد],MATCH(TableDailyJournal[[#This Row],[رقم العملية]],Tabledaily[رقم العملية],0))</f>
        <v>اخرون</v>
      </c>
      <c r="P19" s="121" t="str">
        <f>INDEX(Tabledaily[المــــرجـــــــــع],MATCH(TableDailyJournal[[#This Row],[رقم العملية]],Tabledaily[رقم العملية],0))</f>
        <v>كشف صرف</v>
      </c>
      <c r="Q19" s="121" t="str">
        <f>INDEX(Tabledaily[اســـــــم المــــرجــــع],MATCH(TableDailyJournal[[#This Row],[رقم العملية]],Tabledaily[رقم العملية],0))</f>
        <v>كشف صرف</v>
      </c>
      <c r="R19" s="121">
        <f>INDEX(Tabledaily[رقم المـــــرجـــع],MATCH(TableDailyJournal[[#This Row],[رقم العملية]],Tabledaily[رقم العملية],0))</f>
        <v>10</v>
      </c>
      <c r="S19" s="121" t="str">
        <f>INDEX(Tabledaily[مركـــــــزالتكلفــــــة],MATCH(TableDailyJournal[[#This Row],[رقم العملية]],Tabledaily[رقم العملية],0))</f>
        <v>الفرقة الثالثة</v>
      </c>
      <c r="T19" s="121">
        <f>IFERROR(INDEX(tablecost[رقم المركز],MATCH(TableDailyJournal[[#This Row],[مركـــــــزالتكلفــــــة]],tablecost[الاسم],0)),0)</f>
        <v>1</v>
      </c>
      <c r="U19" s="122">
        <f>IFERROR(DATE(TableDailyJournal[[#This Row],[السنــــة]],TableDailyJournal[[#This Row],[الشهــــر]],TableDailyJournal[[#This Row],[الـــــيوم]]),"01-01-2026")</f>
        <v>46174</v>
      </c>
      <c r="V19" s="125">
        <f>INDEX(Tabledaily[تاريخ الإضافة],MATCH(TableDailyJournal[[#This Row],[رقم العملية]],Tabledaily[رقم العملية],0))</f>
        <v>46181.945497685185</v>
      </c>
      <c r="W19" s="58">
        <v>0</v>
      </c>
      <c r="X19" s="58">
        <f>IFERROR(YEAR(TableDailyJournal[[#This Row],[التاريخ]]),"")</f>
        <v>2026</v>
      </c>
      <c r="Y19" s="58">
        <f>IFERROR(MONTH(TableDailyJournal[[#This Row],[التاريخ]]),"")</f>
        <v>6</v>
      </c>
      <c r="Z19" s="58">
        <f>IFERROR(DAY(TableDailyJournal[[#This Row],[التاريخ]]),"")</f>
        <v>1</v>
      </c>
      <c r="AA19" s="126" t="str">
        <f>INDEX(Tabledaily[المرجع البياني],MATCH(TableDailyJournal[[#This Row],[رقم العملية]],Tabledaily[رقم العملية],0))</f>
        <v>قيـد مقابـل:- (مصاريف  صرفة يومية للافراد  - اخرون - الفرقة الثالثة)  - كشف صرف رقم 10  كشف صرف - صرف الصرفة اليومية اخورن بامر</v>
      </c>
      <c r="AB19" s="58">
        <f>INDEX(Tabledaily[جهة الامر],MATCH(TableDailyJournal[[#This Row],[رقم العملية]],Tabledaily[رقم العملية],0))</f>
        <v>0</v>
      </c>
    </row>
    <row r="20" spans="2:28" ht="67.5" x14ac:dyDescent="0.55000000000000004">
      <c r="B20" s="58">
        <f t="shared" si="0"/>
        <v>16</v>
      </c>
      <c r="C20" s="59" t="s">
        <v>401</v>
      </c>
      <c r="D20" s="60">
        <f>INDEX(Tabledaily[date],MATCH(TableDailyJournal[[#This Row],[رقم العملية]],Tabledaily[رقم العملية],0))</f>
        <v>46174</v>
      </c>
      <c r="E20" s="58" t="str">
        <f>INDEX(Tabledaily[نوع العمليــة],MATCH(TableDailyJournal[[#This Row],[رقم العملية]],Tabledaily[رقم العملية],0))</f>
        <v>قيد عهده</v>
      </c>
      <c r="F20" s="58">
        <f>IFERROR(INDEX(TableJudje[رقم الحساب],MATCH(TableDailyJournal[[#This Row],[الحساب]],TableJudje[اسم الحساب],0)),0)</f>
        <v>31010101</v>
      </c>
      <c r="G20" s="58" t="s">
        <v>111</v>
      </c>
      <c r="H20"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I20" s="60" t="str">
        <f>INDEX(Tabledaily[العملـــة],MATCH(TableDailyJournal[[#This Row],[رقم العملية]],Tabledaily[رقم العملية],0))</f>
        <v>ريال يمني</v>
      </c>
      <c r="J20" s="59">
        <f>IFERROR(INDEX(Tabledaily[سعــــــر
الصـــــرف],MATCH(C20,Tabledaily[رقم العملية],0)),1)</f>
        <v>405</v>
      </c>
      <c r="K20" s="123" cm="1">
        <f t="array" ref="K20">IFERROR(INDEX(Tabledaily[المبلـــــــغ],MATCH(1,(TableDailyJournal[[#This Row],[رقم العملية]]=Tabledaily[رقم العملية])*(TableDailyJournal[[#This Row],[الحساب]]=Tabledaily[الحســاب المديــــن]),0)),0)</f>
        <v>42000</v>
      </c>
      <c r="L20" s="124" cm="1">
        <f t="array" ref="L20">IFERROR(INDEX(Tabledaily[المبلـــــــغ],MATCH(1,(TableDailyJournal[[#This Row],[رقم العملية]]=Tabledaily[رقم العملية])*(TableDailyJournal[[#This Row],[الحساب]]=Tabledaily[الحســاب الدئـــن]),0)),0)</f>
        <v>0</v>
      </c>
      <c r="M20" s="62">
        <f>IFERROR(TableDailyJournal[[#This Row],[المبلغ مدين]]/TableDailyJournal[[#This Row],[سعــــــر
الصـــــرف]],0)</f>
        <v>103.70370370370371</v>
      </c>
      <c r="N20" s="62">
        <f>IFERROR(TableDailyJournal[[#This Row],[المبلغ دائن]]/TableDailyJournal[[#This Row],[سعــــــر
الصـــــرف]],0)</f>
        <v>0</v>
      </c>
      <c r="O20" s="121" t="str">
        <f>INDEX(Tabledaily[المستفيــــــــد],MATCH(TableDailyJournal[[#This Row],[رقم العملية]],Tabledaily[رقم العملية],0))</f>
        <v>افراد طقم اللواء السابع مرافقين</v>
      </c>
      <c r="P20" s="121" t="str">
        <f>INDEX(Tabledaily[المــــرجـــــــــع],MATCH(TableDailyJournal[[#This Row],[رقم العملية]],Tabledaily[رقم العملية],0))</f>
        <v>كشف صرف</v>
      </c>
      <c r="Q20" s="121" t="str">
        <f>INDEX(Tabledaily[اســـــــم المــــرجــــع],MATCH(TableDailyJournal[[#This Row],[رقم العملية]],Tabledaily[رقم العملية],0))</f>
        <v>كشف صرف</v>
      </c>
      <c r="R20" s="121">
        <f>INDEX(Tabledaily[رقم المـــــرجـــع],MATCH(TableDailyJournal[[#This Row],[رقم العملية]],Tabledaily[رقم العملية],0))</f>
        <v>7</v>
      </c>
      <c r="S20" s="121" t="str">
        <f>INDEX(Tabledaily[مركـــــــزالتكلفــــــة],MATCH(TableDailyJournal[[#This Row],[رقم العملية]],Tabledaily[رقم العملية],0))</f>
        <v>الفرقة الثالثة</v>
      </c>
      <c r="T20" s="121">
        <f>IFERROR(INDEX(tablecost[رقم المركز],MATCH(TableDailyJournal[[#This Row],[مركـــــــزالتكلفــــــة]],tablecost[الاسم],0)),0)</f>
        <v>1</v>
      </c>
      <c r="U20" s="122">
        <f>IFERROR(DATE(TableDailyJournal[[#This Row],[السنــــة]],TableDailyJournal[[#This Row],[الشهــــر]],TableDailyJournal[[#This Row],[الـــــيوم]]),"01-01-2026")</f>
        <v>46174</v>
      </c>
      <c r="V20" s="125">
        <f>INDEX(Tabledaily[تاريخ الإضافة],MATCH(TableDailyJournal[[#This Row],[رقم العملية]],Tabledaily[رقم العملية],0))</f>
        <v>46181.947118055556</v>
      </c>
      <c r="W20" s="58">
        <v>0</v>
      </c>
      <c r="X20" s="58">
        <f>IFERROR(YEAR(TableDailyJournal[[#This Row],[التاريخ]]),"")</f>
        <v>2026</v>
      </c>
      <c r="Y20" s="58">
        <f>IFERROR(MONTH(TableDailyJournal[[#This Row],[التاريخ]]),"")</f>
        <v>6</v>
      </c>
      <c r="Z20" s="58">
        <f>IFERROR(DAY(TableDailyJournal[[#This Row],[التاريخ]]),"")</f>
        <v>1</v>
      </c>
      <c r="AA20"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AB20" s="58">
        <f>INDEX(Tabledaily[جهة الامر],MATCH(TableDailyJournal[[#This Row],[رقم العملية]],Tabledaily[رقم العملية],0))</f>
        <v>0</v>
      </c>
    </row>
    <row r="21" spans="2:28" ht="67.5" x14ac:dyDescent="0.55000000000000004">
      <c r="B21" s="58">
        <f t="shared" si="0"/>
        <v>17</v>
      </c>
      <c r="C21" s="59" t="s">
        <v>401</v>
      </c>
      <c r="D21" s="60">
        <f>INDEX(Tabledaily[date],MATCH(TableDailyJournal[[#This Row],[رقم العملية]],Tabledaily[رقم العملية],0))</f>
        <v>46174</v>
      </c>
      <c r="E21" s="58" t="str">
        <f>INDEX(Tabledaily[نوع العمليــة],MATCH(TableDailyJournal[[#This Row],[رقم العملية]],Tabledaily[رقم العملية],0))</f>
        <v>قيد عهده</v>
      </c>
      <c r="F21" s="58">
        <f>IFERROR(INDEX(TableJudje[رقم الحساب],MATCH(TableDailyJournal[[#This Row],[الحساب]],TableJudje[اسم الحساب],0)),0)</f>
        <v>11060202</v>
      </c>
      <c r="G21" s="58" t="s">
        <v>159</v>
      </c>
      <c r="H21"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I21" s="60" t="str">
        <f>INDEX(Tabledaily[العملـــة],MATCH(TableDailyJournal[[#This Row],[رقم العملية]],Tabledaily[رقم العملية],0))</f>
        <v>ريال يمني</v>
      </c>
      <c r="J21" s="59">
        <f>IFERROR(INDEX(Tabledaily[سعــــــر
الصـــــرف],MATCH(C21,Tabledaily[رقم العملية],0)),1)</f>
        <v>405</v>
      </c>
      <c r="K21" s="123" cm="1">
        <f t="array" ref="K21">IFERROR(INDEX(Tabledaily[المبلـــــــغ],MATCH(1,(TableDailyJournal[[#This Row],[رقم العملية]]=Tabledaily[رقم العملية])*(TableDailyJournal[[#This Row],[الحساب]]=Tabledaily[الحســاب المديــــن]),0)),0)</f>
        <v>0</v>
      </c>
      <c r="L21" s="124" cm="1">
        <f t="array" ref="L21">IFERROR(INDEX(Tabledaily[المبلـــــــغ],MATCH(1,(TableDailyJournal[[#This Row],[رقم العملية]]=Tabledaily[رقم العملية])*(TableDailyJournal[[#This Row],[الحساب]]=Tabledaily[الحســاب الدئـــن]),0)),0)</f>
        <v>42000</v>
      </c>
      <c r="M21" s="62">
        <f>IFERROR(TableDailyJournal[[#This Row],[المبلغ مدين]]/TableDailyJournal[[#This Row],[سعــــــر
الصـــــرف]],0)</f>
        <v>0</v>
      </c>
      <c r="N21" s="62">
        <f>IFERROR(TableDailyJournal[[#This Row],[المبلغ دائن]]/TableDailyJournal[[#This Row],[سعــــــر
الصـــــرف]],0)</f>
        <v>103.70370370370371</v>
      </c>
      <c r="O21" s="121" t="str">
        <f>INDEX(Tabledaily[المستفيــــــــد],MATCH(TableDailyJournal[[#This Row],[رقم العملية]],Tabledaily[رقم العملية],0))</f>
        <v>افراد طقم اللواء السابع مرافقين</v>
      </c>
      <c r="P21" s="121" t="str">
        <f>INDEX(Tabledaily[المــــرجـــــــــع],MATCH(TableDailyJournal[[#This Row],[رقم العملية]],Tabledaily[رقم العملية],0))</f>
        <v>كشف صرف</v>
      </c>
      <c r="Q21" s="121" t="str">
        <f>INDEX(Tabledaily[اســـــــم المــــرجــــع],MATCH(TableDailyJournal[[#This Row],[رقم العملية]],Tabledaily[رقم العملية],0))</f>
        <v>كشف صرف</v>
      </c>
      <c r="R21" s="121">
        <f>INDEX(Tabledaily[رقم المـــــرجـــع],MATCH(TableDailyJournal[[#This Row],[رقم العملية]],Tabledaily[رقم العملية],0))</f>
        <v>7</v>
      </c>
      <c r="S21" s="121" t="str">
        <f>INDEX(Tabledaily[مركـــــــزالتكلفــــــة],MATCH(TableDailyJournal[[#This Row],[رقم العملية]],Tabledaily[رقم العملية],0))</f>
        <v>الفرقة الثالثة</v>
      </c>
      <c r="T21" s="121">
        <f>IFERROR(INDEX(tablecost[رقم المركز],MATCH(TableDailyJournal[[#This Row],[مركـــــــزالتكلفــــــة]],tablecost[الاسم],0)),0)</f>
        <v>1</v>
      </c>
      <c r="U21" s="122">
        <f>IFERROR(DATE(TableDailyJournal[[#This Row],[السنــــة]],TableDailyJournal[[#This Row],[الشهــــر]],TableDailyJournal[[#This Row],[الـــــيوم]]),"01-01-2026")</f>
        <v>46174</v>
      </c>
      <c r="V21" s="125">
        <f>INDEX(Tabledaily[تاريخ الإضافة],MATCH(TableDailyJournal[[#This Row],[رقم العملية]],Tabledaily[رقم العملية],0))</f>
        <v>46181.947118055556</v>
      </c>
      <c r="W21" s="58">
        <v>0</v>
      </c>
      <c r="X21" s="58">
        <f>IFERROR(YEAR(TableDailyJournal[[#This Row],[التاريخ]]),"")</f>
        <v>2026</v>
      </c>
      <c r="Y21" s="58">
        <f>IFERROR(MONTH(TableDailyJournal[[#This Row],[التاريخ]]),"")</f>
        <v>6</v>
      </c>
      <c r="Z21" s="58">
        <f>IFERROR(DAY(TableDailyJournal[[#This Row],[التاريخ]]),"")</f>
        <v>1</v>
      </c>
      <c r="AA21"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AB21" s="58">
        <f>INDEX(Tabledaily[جهة الامر],MATCH(TableDailyJournal[[#This Row],[رقم العملية]],Tabledaily[رقم العملية],0))</f>
        <v>0</v>
      </c>
    </row>
    <row r="22" spans="2:28" ht="45.75" x14ac:dyDescent="0.55000000000000004">
      <c r="B22" s="58">
        <f t="shared" si="0"/>
        <v>18</v>
      </c>
      <c r="C22" s="59" t="s">
        <v>400</v>
      </c>
      <c r="D22" s="60">
        <f>INDEX(Tabledaily[date],MATCH(TableDailyJournal[[#This Row],[رقم العملية]],Tabledaily[رقم العملية],0))</f>
        <v>46174</v>
      </c>
      <c r="E22" s="58" t="str">
        <f>INDEX(Tabledaily[نوع العمليــة],MATCH(TableDailyJournal[[#This Row],[رقم العملية]],Tabledaily[رقم العملية],0))</f>
        <v>قبض عهدة</v>
      </c>
      <c r="F22" s="58">
        <f>IFERROR(INDEX(TableJudje[رقم الحساب],MATCH(TableDailyJournal[[#This Row],[الحساب]],TableJudje[اسم الحساب],0)),0)</f>
        <v>11060202</v>
      </c>
      <c r="G22" s="58" t="s">
        <v>159</v>
      </c>
      <c r="H22"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I22" s="60" t="str">
        <f>INDEX(Tabledaily[العملـــة],MATCH(TableDailyJournal[[#This Row],[رقم العملية]],Tabledaily[رقم العملية],0))</f>
        <v>ريال سعودي</v>
      </c>
      <c r="J22" s="59">
        <f>IFERROR(INDEX(Tabledaily[سعــــــر
الصـــــرف],MATCH(C22,Tabledaily[رقم العملية],0)),1)</f>
        <v>1</v>
      </c>
      <c r="K22" s="123" cm="1">
        <f t="array" ref="K22">IFERROR(INDEX(Tabledaily[المبلـــــــغ],MATCH(1,(TableDailyJournal[[#This Row],[رقم العملية]]=Tabledaily[رقم العملية])*(TableDailyJournal[[#This Row],[الحساب]]=Tabledaily[الحســاب المديــــن]),0)),0)</f>
        <v>9980</v>
      </c>
      <c r="L22" s="124" cm="1">
        <f t="array" ref="L22">IFERROR(INDEX(Tabledaily[المبلـــــــغ],MATCH(1,(TableDailyJournal[[#This Row],[رقم العملية]]=Tabledaily[رقم العملية])*(TableDailyJournal[[#This Row],[الحساب]]=Tabledaily[الحســاب الدئـــن]),0)),0)</f>
        <v>0</v>
      </c>
      <c r="M22" s="62">
        <f>IFERROR(TableDailyJournal[[#This Row],[المبلغ مدين]]/TableDailyJournal[[#This Row],[سعــــــر
الصـــــرف]],0)</f>
        <v>9980</v>
      </c>
      <c r="N22" s="62">
        <f>IFERROR(TableDailyJournal[[#This Row],[المبلغ دائن]]/TableDailyJournal[[#This Row],[سعــــــر
الصـــــرف]],0)</f>
        <v>0</v>
      </c>
      <c r="O22" s="121" t="str">
        <f>INDEX(Tabledaily[المستفيــــــــد],MATCH(TableDailyJournal[[#This Row],[رقم العملية]],Tabledaily[رقم العملية],0))</f>
        <v>عبدالمغني عبدالصمد</v>
      </c>
      <c r="P22" s="121" t="str">
        <f>INDEX(Tabledaily[المــــرجـــــــــع],MATCH(TableDailyJournal[[#This Row],[رقم العملية]],Tabledaily[رقم العملية],0))</f>
        <v>استلام نقدي</v>
      </c>
      <c r="Q22" s="121" t="str">
        <f>INDEX(Tabledaily[اســـــــم المــــرجــــع],MATCH(TableDailyJournal[[#This Row],[رقم العملية]],Tabledaily[رقم العملية],0))</f>
        <v>سند استلام</v>
      </c>
      <c r="R22" s="121">
        <f>INDEX(Tabledaily[رقم المـــــرجـــع],MATCH(TableDailyJournal[[#This Row],[رقم العملية]],Tabledaily[رقم العملية],0))</f>
        <v>0</v>
      </c>
      <c r="S22" s="121" t="str">
        <f>INDEX(Tabledaily[مركـــــــزالتكلفــــــة],MATCH(TableDailyJournal[[#This Row],[رقم العملية]],Tabledaily[رقم العملية],0))</f>
        <v>الفرقة الثالثة</v>
      </c>
      <c r="T22" s="121">
        <f>IFERROR(INDEX(tablecost[رقم المركز],MATCH(TableDailyJournal[[#This Row],[مركـــــــزالتكلفــــــة]],tablecost[الاسم],0)),0)</f>
        <v>1</v>
      </c>
      <c r="U22" s="122">
        <f>IFERROR(DATE(TableDailyJournal[[#This Row],[السنــــة]],TableDailyJournal[[#This Row],[الشهــــر]],TableDailyJournal[[#This Row],[الـــــيوم]]),"01-01-2026")</f>
        <v>46174</v>
      </c>
      <c r="V22" s="125">
        <f>INDEX(Tabledaily[تاريخ الإضافة],MATCH(TableDailyJournal[[#This Row],[رقم العملية]],Tabledaily[رقم العملية],0))</f>
        <v>46181.962523148148</v>
      </c>
      <c r="W22" s="58">
        <v>0</v>
      </c>
      <c r="X22" s="58">
        <f>IFERROR(YEAR(TableDailyJournal[[#This Row],[التاريخ]]),"")</f>
        <v>2026</v>
      </c>
      <c r="Y22" s="58">
        <f>IFERROR(MONTH(TableDailyJournal[[#This Row],[التاريخ]]),"")</f>
        <v>6</v>
      </c>
      <c r="Z22" s="58">
        <f>IFERROR(DAY(TableDailyJournal[[#This Row],[التاريخ]]),"")</f>
        <v>1</v>
      </c>
      <c r="AA22"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AB22" s="58">
        <f>INDEX(Tabledaily[جهة الامر],MATCH(TableDailyJournal[[#This Row],[رقم العملية]],Tabledaily[رقم العملية],0))</f>
        <v>0</v>
      </c>
    </row>
    <row r="23" spans="2:28" ht="45.75" x14ac:dyDescent="0.55000000000000004">
      <c r="B23" s="58">
        <f t="shared" si="0"/>
        <v>19</v>
      </c>
      <c r="C23" s="59" t="s">
        <v>400</v>
      </c>
      <c r="D23" s="60">
        <f>INDEX(Tabledaily[date],MATCH(TableDailyJournal[[#This Row],[رقم العملية]],Tabledaily[رقم العملية],0))</f>
        <v>46174</v>
      </c>
      <c r="E23" s="58" t="str">
        <f>INDEX(Tabledaily[نوع العمليــة],MATCH(TableDailyJournal[[#This Row],[رقم العملية]],Tabledaily[رقم العملية],0))</f>
        <v>قبض عهدة</v>
      </c>
      <c r="F23" s="58">
        <f>IFERROR(INDEX(TableJudje[رقم الحساب],MATCH(TableDailyJournal[[#This Row],[الحساب]],TableJudje[اسم الحساب],0)),0)</f>
        <v>11010101</v>
      </c>
      <c r="G23" s="58" t="s">
        <v>23</v>
      </c>
      <c r="H23"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I23" s="60" t="str">
        <f>INDEX(Tabledaily[العملـــة],MATCH(TableDailyJournal[[#This Row],[رقم العملية]],Tabledaily[رقم العملية],0))</f>
        <v>ريال سعودي</v>
      </c>
      <c r="J23" s="59">
        <f>IFERROR(INDEX(Tabledaily[سعــــــر
الصـــــرف],MATCH(C23,Tabledaily[رقم العملية],0)),1)</f>
        <v>1</v>
      </c>
      <c r="K23" s="123" cm="1">
        <f t="array" ref="K23">IFERROR(INDEX(Tabledaily[المبلـــــــغ],MATCH(1,(TableDailyJournal[[#This Row],[رقم العملية]]=Tabledaily[رقم العملية])*(TableDailyJournal[[#This Row],[الحساب]]=Tabledaily[الحســاب المديــــن]),0)),0)</f>
        <v>0</v>
      </c>
      <c r="L23" s="124" cm="1">
        <f t="array" ref="L23">IFERROR(INDEX(Tabledaily[المبلـــــــغ],MATCH(1,(TableDailyJournal[[#This Row],[رقم العملية]]=Tabledaily[رقم العملية])*(TableDailyJournal[[#This Row],[الحساب]]=Tabledaily[الحســاب الدئـــن]),0)),0)</f>
        <v>9980</v>
      </c>
      <c r="M23" s="62">
        <f>IFERROR(TableDailyJournal[[#This Row],[المبلغ مدين]]/TableDailyJournal[[#This Row],[سعــــــر
الصـــــرف]],0)</f>
        <v>0</v>
      </c>
      <c r="N23" s="62">
        <f>IFERROR(TableDailyJournal[[#This Row],[المبلغ دائن]]/TableDailyJournal[[#This Row],[سعــــــر
الصـــــرف]],0)</f>
        <v>9980</v>
      </c>
      <c r="O23" s="121" t="str">
        <f>INDEX(Tabledaily[المستفيــــــــد],MATCH(TableDailyJournal[[#This Row],[رقم العملية]],Tabledaily[رقم العملية],0))</f>
        <v>عبدالمغني عبدالصمد</v>
      </c>
      <c r="P23" s="121" t="str">
        <f>INDEX(Tabledaily[المــــرجـــــــــع],MATCH(TableDailyJournal[[#This Row],[رقم العملية]],Tabledaily[رقم العملية],0))</f>
        <v>استلام نقدي</v>
      </c>
      <c r="Q23" s="121" t="str">
        <f>INDEX(Tabledaily[اســـــــم المــــرجــــع],MATCH(TableDailyJournal[[#This Row],[رقم العملية]],Tabledaily[رقم العملية],0))</f>
        <v>سند استلام</v>
      </c>
      <c r="R23" s="121">
        <f>INDEX(Tabledaily[رقم المـــــرجـــع],MATCH(TableDailyJournal[[#This Row],[رقم العملية]],Tabledaily[رقم العملية],0))</f>
        <v>0</v>
      </c>
      <c r="S23" s="121" t="str">
        <f>INDEX(Tabledaily[مركـــــــزالتكلفــــــة],MATCH(TableDailyJournal[[#This Row],[رقم العملية]],Tabledaily[رقم العملية],0))</f>
        <v>الفرقة الثالثة</v>
      </c>
      <c r="T23" s="121">
        <f>IFERROR(INDEX(tablecost[رقم المركز],MATCH(TableDailyJournal[[#This Row],[مركـــــــزالتكلفــــــة]],tablecost[الاسم],0)),0)</f>
        <v>1</v>
      </c>
      <c r="U23" s="122">
        <f>IFERROR(DATE(TableDailyJournal[[#This Row],[السنــــة]],TableDailyJournal[[#This Row],[الشهــــر]],TableDailyJournal[[#This Row],[الـــــيوم]]),"01-01-2026")</f>
        <v>46174</v>
      </c>
      <c r="V23" s="125">
        <f>INDEX(Tabledaily[تاريخ الإضافة],MATCH(TableDailyJournal[[#This Row],[رقم العملية]],Tabledaily[رقم العملية],0))</f>
        <v>46181.962523148148</v>
      </c>
      <c r="W23" s="58">
        <v>0</v>
      </c>
      <c r="X23" s="58">
        <f>IFERROR(YEAR(TableDailyJournal[[#This Row],[التاريخ]]),"")</f>
        <v>2026</v>
      </c>
      <c r="Y23" s="58">
        <f>IFERROR(MONTH(TableDailyJournal[[#This Row],[التاريخ]]),"")</f>
        <v>6</v>
      </c>
      <c r="Z23" s="58">
        <f>IFERROR(DAY(TableDailyJournal[[#This Row],[التاريخ]]),"")</f>
        <v>1</v>
      </c>
      <c r="AA23"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AB23" s="58">
        <f>INDEX(Tabledaily[جهة الامر],MATCH(TableDailyJournal[[#This Row],[رقم العملية]],Tabledaily[رقم العملية],0))</f>
        <v>0</v>
      </c>
    </row>
    <row r="24" spans="2:28" ht="67.5" x14ac:dyDescent="0.55000000000000004">
      <c r="B24" s="58">
        <f t="shared" si="0"/>
        <v>20</v>
      </c>
      <c r="C24" s="59" t="s">
        <v>397</v>
      </c>
      <c r="D24" s="60">
        <f>INDEX(Tabledaily[date],MATCH(TableDailyJournal[[#This Row],[رقم العملية]],Tabledaily[رقم العملية],0))</f>
        <v>46174</v>
      </c>
      <c r="E24" s="58" t="str">
        <f>INDEX(Tabledaily[نوع العمليــة],MATCH(TableDailyJournal[[#This Row],[رقم العملية]],Tabledaily[رقم العملية],0))</f>
        <v>قيد عهده</v>
      </c>
      <c r="F24" s="58">
        <f>IFERROR(INDEX(TableJudje[رقم الحساب],MATCH(TableDailyJournal[[#This Row],[الحساب]],TableJudje[اسم الحساب],0)),0)</f>
        <v>31010101</v>
      </c>
      <c r="G24" s="58" t="s">
        <v>111</v>
      </c>
      <c r="H24" s="61" t="str">
        <f>INDEX(Tabledaily[المرجع البياني],MATCH(TableDailyJournal[[#This Row],[رقم العملية]],Tabledaily[رقم العملية],0))</f>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v>
      </c>
      <c r="I24" s="60" t="str">
        <f>INDEX(Tabledaily[العملـــة],MATCH(TableDailyJournal[[#This Row],[رقم العملية]],Tabledaily[رقم العملية],0))</f>
        <v>ريال يمني</v>
      </c>
      <c r="J24" s="59">
        <f>IFERROR(INDEX(Tabledaily[سعــــــر
الصـــــرف],MATCH(C24,Tabledaily[رقم العملية],0)),1)</f>
        <v>405</v>
      </c>
      <c r="K24" s="123" cm="1">
        <f t="array" ref="K24">IFERROR(INDEX(Tabledaily[المبلـــــــغ],MATCH(1,(TableDailyJournal[[#This Row],[رقم العملية]]=Tabledaily[رقم العملية])*(TableDailyJournal[[#This Row],[الحساب]]=Tabledaily[الحســاب المديــــن]),0)),0)</f>
        <v>40000</v>
      </c>
      <c r="L24" s="124" cm="1">
        <f t="array" ref="L24">IFERROR(INDEX(Tabledaily[المبلـــــــغ],MATCH(1,(TableDailyJournal[[#This Row],[رقم العملية]]=Tabledaily[رقم العملية])*(TableDailyJournal[[#This Row],[الحساب]]=Tabledaily[الحســاب الدئـــن]),0)),0)</f>
        <v>0</v>
      </c>
      <c r="M24" s="62">
        <f>IFERROR(TableDailyJournal[[#This Row],[المبلغ مدين]]/TableDailyJournal[[#This Row],[سعــــــر
الصـــــرف]],0)</f>
        <v>98.76543209876543</v>
      </c>
      <c r="N24" s="62">
        <f>IFERROR(TableDailyJournal[[#This Row],[المبلغ دائن]]/TableDailyJournal[[#This Row],[سعــــــر
الصـــــرف]],0)</f>
        <v>0</v>
      </c>
      <c r="O24" s="121" t="str">
        <f>INDEX(Tabledaily[المستفيــــــــد],MATCH(TableDailyJournal[[#This Row],[رقم العملية]],Tabledaily[رقم العملية],0))</f>
        <v>حسام طه غانم مقبل</v>
      </c>
      <c r="P24" s="121" t="str">
        <f>INDEX(Tabledaily[المــــرجـــــــــع],MATCH(TableDailyJournal[[#This Row],[رقم العملية]],Tabledaily[رقم العملية],0))</f>
        <v>استلام نقدي</v>
      </c>
      <c r="Q24" s="121" t="str">
        <f>INDEX(Tabledaily[اســـــــم المــــرجــــع],MATCH(TableDailyJournal[[#This Row],[رقم العملية]],Tabledaily[رقم العملية],0))</f>
        <v>سند استلام</v>
      </c>
      <c r="R24" s="121">
        <f>INDEX(Tabledaily[رقم المـــــرجـــع],MATCH(TableDailyJournal[[#This Row],[رقم العملية]],Tabledaily[رقم العملية],0))</f>
        <v>0</v>
      </c>
      <c r="S24" s="121" t="str">
        <f>INDEX(Tabledaily[مركـــــــزالتكلفــــــة],MATCH(TableDailyJournal[[#This Row],[رقم العملية]],Tabledaily[رقم العملية],0))</f>
        <v>الفرقة الثالثة</v>
      </c>
      <c r="T24" s="121">
        <f>IFERROR(INDEX(tablecost[رقم المركز],MATCH(TableDailyJournal[[#This Row],[مركـــــــزالتكلفــــــة]],tablecost[الاسم],0)),0)</f>
        <v>1</v>
      </c>
      <c r="U24" s="122">
        <f>IFERROR(DATE(TableDailyJournal[[#This Row],[السنــــة]],TableDailyJournal[[#This Row],[الشهــــر]],TableDailyJournal[[#This Row],[الـــــيوم]]),"01-01-2026")</f>
        <v>46174</v>
      </c>
      <c r="V24" s="125">
        <f>INDEX(Tabledaily[تاريخ الإضافة],MATCH(TableDailyJournal[[#This Row],[رقم العملية]],Tabledaily[رقم العملية],0))</f>
        <v>46181.963993055557</v>
      </c>
      <c r="W24" s="58" t="s">
        <v>302</v>
      </c>
      <c r="X24" s="58">
        <f>IFERROR(YEAR(TableDailyJournal[[#This Row],[التاريخ]]),"")</f>
        <v>2026</v>
      </c>
      <c r="Y24" s="58">
        <f>IFERROR(MONTH(TableDailyJournal[[#This Row],[التاريخ]]),"")</f>
        <v>6</v>
      </c>
      <c r="Z24" s="58">
        <f>IFERROR(DAY(TableDailyJournal[[#This Row],[التاريخ]]),"")</f>
        <v>1</v>
      </c>
      <c r="AA24" s="126" t="str">
        <f>INDEX(Tabledaily[المرجع البياني],MATCH(TableDailyJournal[[#This Row],[رقم العملية]],Tabledaily[رقم العملية],0))</f>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v>
      </c>
      <c r="AB24" s="58" t="str">
        <f>INDEX(Tabledaily[جهة الامر],MATCH(TableDailyJournal[[#This Row],[رقم العملية]],Tabledaily[رقم العملية],0))</f>
        <v>مدير  مكتب القائد</v>
      </c>
    </row>
    <row r="25" spans="2:28" ht="67.5" x14ac:dyDescent="0.55000000000000004">
      <c r="B25" s="58">
        <f t="shared" si="0"/>
        <v>21</v>
      </c>
      <c r="C25" s="59" t="s">
        <v>397</v>
      </c>
      <c r="D25" s="60">
        <f>INDEX(Tabledaily[date],MATCH(TableDailyJournal[[#This Row],[رقم العملية]],Tabledaily[رقم العملية],0))</f>
        <v>46174</v>
      </c>
      <c r="E25" s="58" t="str">
        <f>INDEX(Tabledaily[نوع العمليــة],MATCH(TableDailyJournal[[#This Row],[رقم العملية]],Tabledaily[رقم العملية],0))</f>
        <v>قيد عهده</v>
      </c>
      <c r="F25" s="58">
        <f>IFERROR(INDEX(TableJudje[رقم الحساب],MATCH(TableDailyJournal[[#This Row],[الحساب]],TableJudje[اسم الحساب],0)),0)</f>
        <v>11060202</v>
      </c>
      <c r="G25" s="58" t="s">
        <v>159</v>
      </c>
      <c r="H25" s="61" t="str">
        <f>INDEX(Tabledaily[المرجع البياني],MATCH(TableDailyJournal[[#This Row],[رقم العملية]],Tabledaily[رقم العملية],0))</f>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v>
      </c>
      <c r="I25" s="60" t="str">
        <f>INDEX(Tabledaily[العملـــة],MATCH(TableDailyJournal[[#This Row],[رقم العملية]],Tabledaily[رقم العملية],0))</f>
        <v>ريال يمني</v>
      </c>
      <c r="J25" s="59">
        <f>IFERROR(INDEX(Tabledaily[سعــــــر
الصـــــرف],MATCH(C25,Tabledaily[رقم العملية],0)),1)</f>
        <v>405</v>
      </c>
      <c r="K25" s="123" cm="1">
        <f t="array" ref="K25">IFERROR(INDEX(Tabledaily[المبلـــــــغ],MATCH(1,(TableDailyJournal[[#This Row],[رقم العملية]]=Tabledaily[رقم العملية])*(TableDailyJournal[[#This Row],[الحساب]]=Tabledaily[الحســاب المديــــن]),0)),0)</f>
        <v>0</v>
      </c>
      <c r="L25" s="124" cm="1">
        <f t="array" ref="L25">IFERROR(INDEX(Tabledaily[المبلـــــــغ],MATCH(1,(TableDailyJournal[[#This Row],[رقم العملية]]=Tabledaily[رقم العملية])*(TableDailyJournal[[#This Row],[الحساب]]=Tabledaily[الحســاب الدئـــن]),0)),0)</f>
        <v>40000</v>
      </c>
      <c r="M25" s="62">
        <f>IFERROR(TableDailyJournal[[#This Row],[المبلغ مدين]]/TableDailyJournal[[#This Row],[سعــــــر
الصـــــرف]],0)</f>
        <v>0</v>
      </c>
      <c r="N25" s="62">
        <f>IFERROR(TableDailyJournal[[#This Row],[المبلغ دائن]]/TableDailyJournal[[#This Row],[سعــــــر
الصـــــرف]],0)</f>
        <v>98.76543209876543</v>
      </c>
      <c r="O25" s="121" t="str">
        <f>INDEX(Tabledaily[المستفيــــــــد],MATCH(TableDailyJournal[[#This Row],[رقم العملية]],Tabledaily[رقم العملية],0))</f>
        <v>حسام طه غانم مقبل</v>
      </c>
      <c r="P25" s="121" t="str">
        <f>INDEX(Tabledaily[المــــرجـــــــــع],MATCH(TableDailyJournal[[#This Row],[رقم العملية]],Tabledaily[رقم العملية],0))</f>
        <v>استلام نقدي</v>
      </c>
      <c r="Q25" s="121" t="str">
        <f>INDEX(Tabledaily[اســـــــم المــــرجــــع],MATCH(TableDailyJournal[[#This Row],[رقم العملية]],Tabledaily[رقم العملية],0))</f>
        <v>سند استلام</v>
      </c>
      <c r="R25" s="121">
        <f>INDEX(Tabledaily[رقم المـــــرجـــع],MATCH(TableDailyJournal[[#This Row],[رقم العملية]],Tabledaily[رقم العملية],0))</f>
        <v>0</v>
      </c>
      <c r="S25" s="121" t="str">
        <f>INDEX(Tabledaily[مركـــــــزالتكلفــــــة],MATCH(TableDailyJournal[[#This Row],[رقم العملية]],Tabledaily[رقم العملية],0))</f>
        <v>الفرقة الثالثة</v>
      </c>
      <c r="T25" s="121">
        <f>IFERROR(INDEX(tablecost[رقم المركز],MATCH(TableDailyJournal[[#This Row],[مركـــــــزالتكلفــــــة]],tablecost[الاسم],0)),0)</f>
        <v>1</v>
      </c>
      <c r="U25" s="122">
        <f>IFERROR(DATE(TableDailyJournal[[#This Row],[السنــــة]],TableDailyJournal[[#This Row],[الشهــــر]],TableDailyJournal[[#This Row],[الـــــيوم]]),"01-01-2026")</f>
        <v>46174</v>
      </c>
      <c r="V25" s="125">
        <f>INDEX(Tabledaily[تاريخ الإضافة],MATCH(TableDailyJournal[[#This Row],[رقم العملية]],Tabledaily[رقم العملية],0))</f>
        <v>46181.963993055557</v>
      </c>
      <c r="W25" s="58" t="s">
        <v>302</v>
      </c>
      <c r="X25" s="58">
        <f>IFERROR(YEAR(TableDailyJournal[[#This Row],[التاريخ]]),"")</f>
        <v>2026</v>
      </c>
      <c r="Y25" s="58">
        <f>IFERROR(MONTH(TableDailyJournal[[#This Row],[التاريخ]]),"")</f>
        <v>6</v>
      </c>
      <c r="Z25" s="58">
        <f>IFERROR(DAY(TableDailyJournal[[#This Row],[التاريخ]]),"")</f>
        <v>1</v>
      </c>
      <c r="AA25" s="126" t="str">
        <f>INDEX(Tabledaily[المرجع البياني],MATCH(TableDailyJournal[[#This Row],[رقم العملية]],Tabledaily[رقم العملية],0))</f>
        <v>قيـد مقابـل:- (مصاريف  صرفة يومية للافراد  - حسام طه غانم مقبل - الفرقة الثالثة)  - استلام نقدي رقم 0  سند استلام - مصاريف متاخرة للفترة من 20 مايو الى 23 مايو توجيه مدير المكتب بامرمدير  مكتب القائد</v>
      </c>
      <c r="AB25" s="58" t="str">
        <f>INDEX(Tabledaily[جهة الامر],MATCH(TableDailyJournal[[#This Row],[رقم العملية]],Tabledaily[رقم العملية],0))</f>
        <v>مدير  مكتب القائد</v>
      </c>
    </row>
    <row r="26" spans="2:28" ht="45.75" x14ac:dyDescent="0.55000000000000004">
      <c r="B26" s="58">
        <f t="shared" si="0"/>
        <v>22</v>
      </c>
      <c r="C26" s="59" t="s">
        <v>394</v>
      </c>
      <c r="D26" s="60">
        <f>INDEX(Tabledaily[date],MATCH(TableDailyJournal[[#This Row],[رقم العملية]],Tabledaily[رقم العملية],0))</f>
        <v>46174</v>
      </c>
      <c r="E26" s="58" t="str">
        <f>INDEX(Tabledaily[نوع العمليــة],MATCH(TableDailyJournal[[#This Row],[رقم العملية]],Tabledaily[رقم العملية],0))</f>
        <v>قيد عهده</v>
      </c>
      <c r="F26" s="58">
        <f>IFERROR(INDEX(TableJudje[رقم الحساب],MATCH(TableDailyJournal[[#This Row],[الحساب]],TableJudje[اسم الحساب],0)),0)</f>
        <v>31010114</v>
      </c>
      <c r="G26" s="58" t="s">
        <v>121</v>
      </c>
      <c r="H26" s="61" t="str">
        <f>INDEX(Tabledaily[المرجع البياني],MATCH(TableDailyJournal[[#This Row],[رقم العملية]],Tabledaily[رقم العملية],0))</f>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v>
      </c>
      <c r="I26" s="60" t="str">
        <f>INDEX(Tabledaily[العملـــة],MATCH(TableDailyJournal[[#This Row],[رقم العملية]],Tabledaily[رقم العملية],0))</f>
        <v>ريال سعودي</v>
      </c>
      <c r="J26" s="59">
        <f>IFERROR(INDEX(Tabledaily[سعــــــر
الصـــــرف],MATCH(C26,Tabledaily[رقم العملية],0)),1)</f>
        <v>1</v>
      </c>
      <c r="K26" s="123" cm="1">
        <f t="array" ref="K26">IFERROR(INDEX(Tabledaily[المبلـــــــغ],MATCH(1,(TableDailyJournal[[#This Row],[رقم العملية]]=Tabledaily[رقم العملية])*(TableDailyJournal[[#This Row],[الحساب]]=Tabledaily[الحســاب المديــــن]),0)),0)</f>
        <v>1000</v>
      </c>
      <c r="L26" s="124" cm="1">
        <f t="array" ref="L26">IFERROR(INDEX(Tabledaily[المبلـــــــغ],MATCH(1,(TableDailyJournal[[#This Row],[رقم العملية]]=Tabledaily[رقم العملية])*(TableDailyJournal[[#This Row],[الحساب]]=Tabledaily[الحســاب الدئـــن]),0)),0)</f>
        <v>0</v>
      </c>
      <c r="M26" s="62">
        <f>IFERROR(TableDailyJournal[[#This Row],[المبلغ مدين]]/TableDailyJournal[[#This Row],[سعــــــر
الصـــــرف]],0)</f>
        <v>1000</v>
      </c>
      <c r="N26" s="62">
        <f>IFERROR(TableDailyJournal[[#This Row],[المبلغ دائن]]/TableDailyJournal[[#This Row],[سعــــــر
الصـــــرف]],0)</f>
        <v>0</v>
      </c>
      <c r="O26" s="121" t="str">
        <f>INDEX(Tabledaily[المستفيــــــــد],MATCH(TableDailyJournal[[#This Row],[رقم العملية]],Tabledaily[رقم العملية],0))</f>
        <v>محمد اليوسفي</v>
      </c>
      <c r="P26" s="121" t="str">
        <f>INDEX(Tabledaily[المــــرجـــــــــع],MATCH(TableDailyJournal[[#This Row],[رقم العملية]],Tabledaily[رقم العملية],0))</f>
        <v>استلام نقدي</v>
      </c>
      <c r="Q26" s="121" t="str">
        <f>INDEX(Tabledaily[اســـــــم المــــرجــــع],MATCH(TableDailyJournal[[#This Row],[رقم العملية]],Tabledaily[رقم العملية],0))</f>
        <v>سند استلام</v>
      </c>
      <c r="R26" s="121">
        <f>INDEX(Tabledaily[رقم المـــــرجـــع],MATCH(TableDailyJournal[[#This Row],[رقم العملية]],Tabledaily[رقم العملية],0))</f>
        <v>0</v>
      </c>
      <c r="S26" s="121" t="str">
        <f>INDEX(Tabledaily[مركـــــــزالتكلفــــــة],MATCH(TableDailyJournal[[#This Row],[رقم العملية]],Tabledaily[رقم العملية],0))</f>
        <v>الفرقة الثالثة</v>
      </c>
      <c r="T26" s="121">
        <f>IFERROR(INDEX(tablecost[رقم المركز],MATCH(TableDailyJournal[[#This Row],[مركـــــــزالتكلفــــــة]],tablecost[الاسم],0)),0)</f>
        <v>1</v>
      </c>
      <c r="U26" s="122">
        <f>IFERROR(DATE(TableDailyJournal[[#This Row],[السنــــة]],TableDailyJournal[[#This Row],[الشهــــر]],TableDailyJournal[[#This Row],[الـــــيوم]]),"01-01-2026")</f>
        <v>46174</v>
      </c>
      <c r="V26" s="125">
        <f>INDEX(Tabledaily[تاريخ الإضافة],MATCH(TableDailyJournal[[#This Row],[رقم العملية]],Tabledaily[رقم العملية],0))</f>
        <v>46181.964999999997</v>
      </c>
      <c r="W26" s="58" t="s">
        <v>371</v>
      </c>
      <c r="X26" s="58">
        <f>IFERROR(YEAR(TableDailyJournal[[#This Row],[التاريخ]]),"")</f>
        <v>2026</v>
      </c>
      <c r="Y26" s="58">
        <f>IFERROR(MONTH(TableDailyJournal[[#This Row],[التاريخ]]),"")</f>
        <v>6</v>
      </c>
      <c r="Z26" s="58">
        <f>IFERROR(DAY(TableDailyJournal[[#This Row],[التاريخ]]),"")</f>
        <v>1</v>
      </c>
      <c r="AA26" s="126" t="str">
        <f>INDEX(Tabledaily[المرجع البياني],MATCH(TableDailyJournal[[#This Row],[رقم العملية]],Tabledaily[رقم العملية],0))</f>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v>
      </c>
      <c r="AB26" s="58" t="str">
        <f>INDEX(Tabledaily[جهة الامر],MATCH(TableDailyJournal[[#This Row],[رقم العملية]],Tabledaily[رقم العملية],0))</f>
        <v>أسامة رزيق</v>
      </c>
    </row>
    <row r="27" spans="2:28" ht="45.75" x14ac:dyDescent="0.55000000000000004">
      <c r="B27" s="58">
        <f t="shared" si="0"/>
        <v>23</v>
      </c>
      <c r="C27" s="59" t="s">
        <v>394</v>
      </c>
      <c r="D27" s="60">
        <f>INDEX(Tabledaily[date],MATCH(TableDailyJournal[[#This Row],[رقم العملية]],Tabledaily[رقم العملية],0))</f>
        <v>46174</v>
      </c>
      <c r="E27" s="58" t="str">
        <f>INDEX(Tabledaily[نوع العمليــة],MATCH(TableDailyJournal[[#This Row],[رقم العملية]],Tabledaily[رقم العملية],0))</f>
        <v>قيد عهده</v>
      </c>
      <c r="F27" s="58">
        <f>IFERROR(INDEX(TableJudje[رقم الحساب],MATCH(TableDailyJournal[[#This Row],[الحساب]],TableJudje[اسم الحساب],0)),0)</f>
        <v>11060202</v>
      </c>
      <c r="G27" s="58" t="s">
        <v>159</v>
      </c>
      <c r="H27" s="61" t="str">
        <f>INDEX(Tabledaily[المرجع البياني],MATCH(TableDailyJournal[[#This Row],[رقم العملية]],Tabledaily[رقم العملية],0))</f>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v>
      </c>
      <c r="I27" s="60" t="str">
        <f>INDEX(Tabledaily[العملـــة],MATCH(TableDailyJournal[[#This Row],[رقم العملية]],Tabledaily[رقم العملية],0))</f>
        <v>ريال سعودي</v>
      </c>
      <c r="J27" s="59">
        <f>IFERROR(INDEX(Tabledaily[سعــــــر
الصـــــرف],MATCH(C27,Tabledaily[رقم العملية],0)),1)</f>
        <v>1</v>
      </c>
      <c r="K27" s="123" cm="1">
        <f t="array" ref="K27">IFERROR(INDEX(Tabledaily[المبلـــــــغ],MATCH(1,(TableDailyJournal[[#This Row],[رقم العملية]]=Tabledaily[رقم العملية])*(TableDailyJournal[[#This Row],[الحساب]]=Tabledaily[الحســاب المديــــن]),0)),0)</f>
        <v>0</v>
      </c>
      <c r="L27" s="124" cm="1">
        <f t="array" ref="L27">IFERROR(INDEX(Tabledaily[المبلـــــــغ],MATCH(1,(TableDailyJournal[[#This Row],[رقم العملية]]=Tabledaily[رقم العملية])*(TableDailyJournal[[#This Row],[الحساب]]=Tabledaily[الحســاب الدئـــن]),0)),0)</f>
        <v>1000</v>
      </c>
      <c r="M27" s="62">
        <f>IFERROR(TableDailyJournal[[#This Row],[المبلغ مدين]]/TableDailyJournal[[#This Row],[سعــــــر
الصـــــرف]],0)</f>
        <v>0</v>
      </c>
      <c r="N27" s="62">
        <f>IFERROR(TableDailyJournal[[#This Row],[المبلغ دائن]]/TableDailyJournal[[#This Row],[سعــــــر
الصـــــرف]],0)</f>
        <v>1000</v>
      </c>
      <c r="O27" s="121" t="str">
        <f>INDEX(Tabledaily[المستفيــــــــد],MATCH(TableDailyJournal[[#This Row],[رقم العملية]],Tabledaily[رقم العملية],0))</f>
        <v>محمد اليوسفي</v>
      </c>
      <c r="P27" s="121" t="str">
        <f>INDEX(Tabledaily[المــــرجـــــــــع],MATCH(TableDailyJournal[[#This Row],[رقم العملية]],Tabledaily[رقم العملية],0))</f>
        <v>استلام نقدي</v>
      </c>
      <c r="Q27" s="121" t="str">
        <f>INDEX(Tabledaily[اســـــــم المــــرجــــع],MATCH(TableDailyJournal[[#This Row],[رقم العملية]],Tabledaily[رقم العملية],0))</f>
        <v>سند استلام</v>
      </c>
      <c r="R27" s="121">
        <f>INDEX(Tabledaily[رقم المـــــرجـــع],MATCH(TableDailyJournal[[#This Row],[رقم العملية]],Tabledaily[رقم العملية],0))</f>
        <v>0</v>
      </c>
      <c r="S27" s="121" t="str">
        <f>INDEX(Tabledaily[مركـــــــزالتكلفــــــة],MATCH(TableDailyJournal[[#This Row],[رقم العملية]],Tabledaily[رقم العملية],0))</f>
        <v>الفرقة الثالثة</v>
      </c>
      <c r="T27" s="121">
        <f>IFERROR(INDEX(tablecost[رقم المركز],MATCH(TableDailyJournal[[#This Row],[مركـــــــزالتكلفــــــة]],tablecost[الاسم],0)),0)</f>
        <v>1</v>
      </c>
      <c r="U27" s="122">
        <f>IFERROR(DATE(TableDailyJournal[[#This Row],[السنــــة]],TableDailyJournal[[#This Row],[الشهــــر]],TableDailyJournal[[#This Row],[الـــــيوم]]),"01-01-2026")</f>
        <v>46174</v>
      </c>
      <c r="V27" s="125">
        <f>INDEX(Tabledaily[تاريخ الإضافة],MATCH(TableDailyJournal[[#This Row],[رقم العملية]],Tabledaily[رقم العملية],0))</f>
        <v>46181.964999999997</v>
      </c>
      <c r="W27" s="58" t="s">
        <v>371</v>
      </c>
      <c r="X27" s="58">
        <f>IFERROR(YEAR(TableDailyJournal[[#This Row],[التاريخ]]),"")</f>
        <v>2026</v>
      </c>
      <c r="Y27" s="58">
        <f>IFERROR(MONTH(TableDailyJournal[[#This Row],[التاريخ]]),"")</f>
        <v>6</v>
      </c>
      <c r="Z27" s="58">
        <f>IFERROR(DAY(TableDailyJournal[[#This Row],[التاريخ]]),"")</f>
        <v>1</v>
      </c>
      <c r="AA27" s="126" t="str">
        <f>INDEX(Tabledaily[المرجع البياني],MATCH(TableDailyJournal[[#This Row],[رقم العملية]],Tabledaily[رقم العملية],0))</f>
        <v>قيـد مقابـل:- (مصاريف حوافز ومكافئات  - محمد اليوسفي - الفرقة الثالثة)  - استلام نقدي رقم 0  سند استلام - مصاريف حافز للاخ محمد اليوسفي توجيه اسامة رزيق بامرأسامة رزيق</v>
      </c>
      <c r="AB27" s="58" t="str">
        <f>INDEX(Tabledaily[جهة الامر],MATCH(TableDailyJournal[[#This Row],[رقم العملية]],Tabledaily[رقم العملية],0))</f>
        <v>أسامة رزيق</v>
      </c>
    </row>
    <row r="28" spans="2:28" ht="67.5" x14ac:dyDescent="0.55000000000000004">
      <c r="B28" s="58">
        <f t="shared" si="0"/>
        <v>24</v>
      </c>
      <c r="C28" s="59" t="s">
        <v>392</v>
      </c>
      <c r="D28" s="60">
        <f>INDEX(Tabledaily[date],MATCH(TableDailyJournal[[#This Row],[رقم العملية]],Tabledaily[رقم العملية],0))</f>
        <v>46174</v>
      </c>
      <c r="E28" s="58" t="str">
        <f>INDEX(Tabledaily[نوع العمليــة],MATCH(TableDailyJournal[[#This Row],[رقم العملية]],Tabledaily[رقم العملية],0))</f>
        <v>قيد عهده</v>
      </c>
      <c r="F28" s="58">
        <f>IFERROR(INDEX(TableJudje[رقم الحساب],MATCH(TableDailyJournal[[#This Row],[الحساب]],TableJudje[اسم الحساب],0)),0)</f>
        <v>31010101</v>
      </c>
      <c r="G28" s="58" t="s">
        <v>111</v>
      </c>
      <c r="H28" s="61" t="str">
        <f>INDEX(Tabledaily[المرجع البياني],MATCH(TableDailyJournal[[#This Row],[رقم العملية]],Tabledaily[رقم العملية],0))</f>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v>
      </c>
      <c r="I28" s="60" t="str">
        <f>INDEX(Tabledaily[العملـــة],MATCH(TableDailyJournal[[#This Row],[رقم العملية]],Tabledaily[رقم العملية],0))</f>
        <v>ريال يمني</v>
      </c>
      <c r="J28" s="59">
        <f>IFERROR(INDEX(Tabledaily[سعــــــر
الصـــــرف],MATCH(C28,Tabledaily[رقم العملية],0)),1)</f>
        <v>405</v>
      </c>
      <c r="K28" s="123" cm="1">
        <f t="array" ref="K28">IFERROR(INDEX(Tabledaily[المبلـــــــغ],MATCH(1,(TableDailyJournal[[#This Row],[رقم العملية]]=Tabledaily[رقم العملية])*(TableDailyJournal[[#This Row],[الحساب]]=Tabledaily[الحســاب المديــــن]),0)),0)</f>
        <v>53000</v>
      </c>
      <c r="L28" s="124" cm="1">
        <f t="array" ref="L28">IFERROR(INDEX(Tabledaily[المبلـــــــغ],MATCH(1,(TableDailyJournal[[#This Row],[رقم العملية]]=Tabledaily[رقم العملية])*(TableDailyJournal[[#This Row],[الحساب]]=Tabledaily[الحســاب الدئـــن]),0)),0)</f>
        <v>0</v>
      </c>
      <c r="M28" s="62">
        <f>IFERROR(TableDailyJournal[[#This Row],[المبلغ مدين]]/TableDailyJournal[[#This Row],[سعــــــر
الصـــــرف]],0)</f>
        <v>130.8641975308642</v>
      </c>
      <c r="N28" s="62">
        <f>IFERROR(TableDailyJournal[[#This Row],[المبلغ دائن]]/TableDailyJournal[[#This Row],[سعــــــر
الصـــــرف]],0)</f>
        <v>0</v>
      </c>
      <c r="O28" s="121" t="str">
        <f>INDEX(Tabledaily[المستفيــــــــد],MATCH(TableDailyJournal[[#This Row],[رقم العملية]],Tabledaily[رقم العملية],0))</f>
        <v>جمال مسدوس</v>
      </c>
      <c r="P28" s="121" t="str">
        <f>INDEX(Tabledaily[المــــرجـــــــــع],MATCH(TableDailyJournal[[#This Row],[رقم العملية]],Tabledaily[رقم العملية],0))</f>
        <v>استلام نقدي</v>
      </c>
      <c r="Q28" s="121" t="str">
        <f>INDEX(Tabledaily[اســـــــم المــــرجــــع],MATCH(TableDailyJournal[[#This Row],[رقم العملية]],Tabledaily[رقم العملية],0))</f>
        <v>سند استلام</v>
      </c>
      <c r="R28" s="121">
        <f>INDEX(Tabledaily[رقم المـــــرجـــع],MATCH(TableDailyJournal[[#This Row],[رقم العملية]],Tabledaily[رقم العملية],0))</f>
        <v>0</v>
      </c>
      <c r="S28" s="121" t="str">
        <f>INDEX(Tabledaily[مركـــــــزالتكلفــــــة],MATCH(TableDailyJournal[[#This Row],[رقم العملية]],Tabledaily[رقم العملية],0))</f>
        <v>الفرقة الثالثة</v>
      </c>
      <c r="T28" s="121">
        <f>IFERROR(INDEX(tablecost[رقم المركز],MATCH(TableDailyJournal[[#This Row],[مركـــــــزالتكلفــــــة]],tablecost[الاسم],0)),0)</f>
        <v>1</v>
      </c>
      <c r="U28" s="122">
        <f>IFERROR(DATE(TableDailyJournal[[#This Row],[السنــــة]],TableDailyJournal[[#This Row],[الشهــــر]],TableDailyJournal[[#This Row],[الـــــيوم]]),"01-01-2026")</f>
        <v>46174</v>
      </c>
      <c r="V28" s="125">
        <f>INDEX(Tabledaily[تاريخ الإضافة],MATCH(TableDailyJournal[[#This Row],[رقم العملية]],Tabledaily[رقم العملية],0))</f>
        <v>46181.966724537036</v>
      </c>
      <c r="W28" s="58" t="s">
        <v>293</v>
      </c>
      <c r="X28" s="58">
        <f>IFERROR(YEAR(TableDailyJournal[[#This Row],[التاريخ]]),"")</f>
        <v>2026</v>
      </c>
      <c r="Y28" s="58">
        <f>IFERROR(MONTH(TableDailyJournal[[#This Row],[التاريخ]]),"")</f>
        <v>6</v>
      </c>
      <c r="Z28" s="58">
        <f>IFERROR(DAY(TableDailyJournal[[#This Row],[التاريخ]]),"")</f>
        <v>1</v>
      </c>
      <c r="AA28" s="126" t="str">
        <f>INDEX(Tabledaily[المرجع البياني],MATCH(TableDailyJournal[[#This Row],[رقم العملية]],Tabledaily[رقم العملية],0))</f>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v>
      </c>
      <c r="AB28" s="58" t="str">
        <f>INDEX(Tabledaily[جهة الامر],MATCH(TableDailyJournal[[#This Row],[رقم العملية]],Tabledaily[رقم العملية],0))</f>
        <v>الأركان جمال مسدوس</v>
      </c>
    </row>
    <row r="29" spans="2:28" ht="67.5" x14ac:dyDescent="0.55000000000000004">
      <c r="B29" s="58">
        <f t="shared" si="0"/>
        <v>25</v>
      </c>
      <c r="C29" s="59" t="s">
        <v>392</v>
      </c>
      <c r="D29" s="60">
        <f>INDEX(Tabledaily[date],MATCH(TableDailyJournal[[#This Row],[رقم العملية]],Tabledaily[رقم العملية],0))</f>
        <v>46174</v>
      </c>
      <c r="E29" s="58" t="str">
        <f>INDEX(Tabledaily[نوع العمليــة],MATCH(TableDailyJournal[[#This Row],[رقم العملية]],Tabledaily[رقم العملية],0))</f>
        <v>قيد عهده</v>
      </c>
      <c r="F29" s="58">
        <f>IFERROR(INDEX(TableJudje[رقم الحساب],MATCH(TableDailyJournal[[#This Row],[الحساب]],TableJudje[اسم الحساب],0)),0)</f>
        <v>11060202</v>
      </c>
      <c r="G29" s="58" t="s">
        <v>159</v>
      </c>
      <c r="H29" s="61" t="str">
        <f>INDEX(Tabledaily[المرجع البياني],MATCH(TableDailyJournal[[#This Row],[رقم العملية]],Tabledaily[رقم العملية],0))</f>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v>
      </c>
      <c r="I29" s="60" t="str">
        <f>INDEX(Tabledaily[العملـــة],MATCH(TableDailyJournal[[#This Row],[رقم العملية]],Tabledaily[رقم العملية],0))</f>
        <v>ريال يمني</v>
      </c>
      <c r="J29" s="59">
        <f>IFERROR(INDEX(Tabledaily[سعــــــر
الصـــــرف],MATCH(C29,Tabledaily[رقم العملية],0)),1)</f>
        <v>405</v>
      </c>
      <c r="K29" s="123" cm="1">
        <f t="array" ref="K29">IFERROR(INDEX(Tabledaily[المبلـــــــغ],MATCH(1,(TableDailyJournal[[#This Row],[رقم العملية]]=Tabledaily[رقم العملية])*(TableDailyJournal[[#This Row],[الحساب]]=Tabledaily[الحســاب المديــــن]),0)),0)</f>
        <v>0</v>
      </c>
      <c r="L29" s="124" cm="1">
        <f t="array" ref="L29">IFERROR(INDEX(Tabledaily[المبلـــــــغ],MATCH(1,(TableDailyJournal[[#This Row],[رقم العملية]]=Tabledaily[رقم العملية])*(TableDailyJournal[[#This Row],[الحساب]]=Tabledaily[الحســاب الدئـــن]),0)),0)</f>
        <v>53000</v>
      </c>
      <c r="M29" s="62">
        <f>IFERROR(TableDailyJournal[[#This Row],[المبلغ مدين]]/TableDailyJournal[[#This Row],[سعــــــر
الصـــــرف]],0)</f>
        <v>0</v>
      </c>
      <c r="N29" s="62">
        <f>IFERROR(TableDailyJournal[[#This Row],[المبلغ دائن]]/TableDailyJournal[[#This Row],[سعــــــر
الصـــــرف]],0)</f>
        <v>130.8641975308642</v>
      </c>
      <c r="O29" s="121" t="str">
        <f>INDEX(Tabledaily[المستفيــــــــد],MATCH(TableDailyJournal[[#This Row],[رقم العملية]],Tabledaily[رقم العملية],0))</f>
        <v>جمال مسدوس</v>
      </c>
      <c r="P29" s="121" t="str">
        <f>INDEX(Tabledaily[المــــرجـــــــــع],MATCH(TableDailyJournal[[#This Row],[رقم العملية]],Tabledaily[رقم العملية],0))</f>
        <v>استلام نقدي</v>
      </c>
      <c r="Q29" s="121" t="str">
        <f>INDEX(Tabledaily[اســـــــم المــــرجــــع],MATCH(TableDailyJournal[[#This Row],[رقم العملية]],Tabledaily[رقم العملية],0))</f>
        <v>سند استلام</v>
      </c>
      <c r="R29" s="121">
        <f>INDEX(Tabledaily[رقم المـــــرجـــع],MATCH(TableDailyJournal[[#This Row],[رقم العملية]],Tabledaily[رقم العملية],0))</f>
        <v>0</v>
      </c>
      <c r="S29" s="121" t="str">
        <f>INDEX(Tabledaily[مركـــــــزالتكلفــــــة],MATCH(TableDailyJournal[[#This Row],[رقم العملية]],Tabledaily[رقم العملية],0))</f>
        <v>الفرقة الثالثة</v>
      </c>
      <c r="T29" s="121">
        <f>IFERROR(INDEX(tablecost[رقم المركز],MATCH(TableDailyJournal[[#This Row],[مركـــــــزالتكلفــــــة]],tablecost[الاسم],0)),0)</f>
        <v>1</v>
      </c>
      <c r="U29" s="122">
        <f>IFERROR(DATE(TableDailyJournal[[#This Row],[السنــــة]],TableDailyJournal[[#This Row],[الشهــــر]],TableDailyJournal[[#This Row],[الـــــيوم]]),"01-01-2026")</f>
        <v>46174</v>
      </c>
      <c r="V29" s="125">
        <f>INDEX(Tabledaily[تاريخ الإضافة],MATCH(TableDailyJournal[[#This Row],[رقم العملية]],Tabledaily[رقم العملية],0))</f>
        <v>46181.966724537036</v>
      </c>
      <c r="W29" s="58" t="s">
        <v>293</v>
      </c>
      <c r="X29" s="58">
        <f>IFERROR(YEAR(TableDailyJournal[[#This Row],[التاريخ]]),"")</f>
        <v>2026</v>
      </c>
      <c r="Y29" s="58">
        <f>IFERROR(MONTH(TableDailyJournal[[#This Row],[التاريخ]]),"")</f>
        <v>6</v>
      </c>
      <c r="Z29" s="58">
        <f>IFERROR(DAY(TableDailyJournal[[#This Row],[التاريخ]]),"")</f>
        <v>1</v>
      </c>
      <c r="AA29" s="126" t="str">
        <f>INDEX(Tabledaily[المرجع البياني],MATCH(TableDailyJournal[[#This Row],[رقم العملية]],Tabledaily[رقم العملية],0))</f>
        <v>قيـد مقابـل:- (مصاريف  صرفة يومية للافراد  - جمال مسدوس - الفرقة الثالثة)  - استلام نقدي رقم 0  سند استلام - مصاريف للاركان جمال مسدوس وضيافة المدفعي توجيه جمال مسدوس بامرالأركان جمال مسدوس</v>
      </c>
      <c r="AB29" s="58" t="str">
        <f>INDEX(Tabledaily[جهة الامر],MATCH(TableDailyJournal[[#This Row],[رقم العملية]],Tabledaily[رقم العملية],0))</f>
        <v>الأركان جمال مسدوس</v>
      </c>
    </row>
    <row r="30" spans="2:28" ht="45.75" x14ac:dyDescent="0.55000000000000004">
      <c r="B30" s="58">
        <f t="shared" si="0"/>
        <v>26</v>
      </c>
      <c r="C30" s="59" t="s">
        <v>389</v>
      </c>
      <c r="D30" s="60">
        <f>INDEX(Tabledaily[date],MATCH(TableDailyJournal[[#This Row],[رقم العملية]],Tabledaily[رقم العملية],0))</f>
        <v>46174</v>
      </c>
      <c r="E30" s="58" t="str">
        <f>INDEX(Tabledaily[نوع العمليــة],MATCH(TableDailyJournal[[#This Row],[رقم العملية]],Tabledaily[رقم العملية],0))</f>
        <v>قيد عهده</v>
      </c>
      <c r="F30" s="58">
        <f>IFERROR(INDEX(TableJudje[رقم الحساب],MATCH(TableDailyJournal[[#This Row],[الحساب]],TableJudje[اسم الحساب],0)),0)</f>
        <v>31010101</v>
      </c>
      <c r="G30" s="58" t="s">
        <v>111</v>
      </c>
      <c r="H30" s="61" t="str">
        <f>INDEX(Tabledaily[المرجع البياني],MATCH(TableDailyJournal[[#This Row],[رقم العملية]],Tabledaily[رقم العملية],0))</f>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v>
      </c>
      <c r="I30" s="60" t="str">
        <f>INDEX(Tabledaily[العملـــة],MATCH(TableDailyJournal[[#This Row],[رقم العملية]],Tabledaily[رقم العملية],0))</f>
        <v>ريال يمني</v>
      </c>
      <c r="J30" s="59">
        <f>IFERROR(INDEX(Tabledaily[سعــــــر
الصـــــرف],MATCH(C30,Tabledaily[رقم العملية],0)),1)</f>
        <v>405</v>
      </c>
      <c r="K30" s="123" cm="1">
        <f t="array" ref="K30">IFERROR(INDEX(Tabledaily[المبلـــــــغ],MATCH(1,(TableDailyJournal[[#This Row],[رقم العملية]]=Tabledaily[رقم العملية])*(TableDailyJournal[[#This Row],[الحساب]]=Tabledaily[الحســاب المديــــن]),0)),0)</f>
        <v>50000</v>
      </c>
      <c r="L30" s="124" cm="1">
        <f t="array" ref="L30">IFERROR(INDEX(Tabledaily[المبلـــــــغ],MATCH(1,(TableDailyJournal[[#This Row],[رقم العملية]]=Tabledaily[رقم العملية])*(TableDailyJournal[[#This Row],[الحساب]]=Tabledaily[الحســاب الدئـــن]),0)),0)</f>
        <v>0</v>
      </c>
      <c r="M30" s="62">
        <f>IFERROR(TableDailyJournal[[#This Row],[المبلغ مدين]]/TableDailyJournal[[#This Row],[سعــــــر
الصـــــرف]],0)</f>
        <v>123.45679012345678</v>
      </c>
      <c r="N30" s="62">
        <f>IFERROR(TableDailyJournal[[#This Row],[المبلغ دائن]]/TableDailyJournal[[#This Row],[سعــــــر
الصـــــرف]],0)</f>
        <v>0</v>
      </c>
      <c r="O30" s="121" t="str">
        <f>INDEX(Tabledaily[المستفيــــــــد],MATCH(TableDailyJournal[[#This Row],[رقم العملية]],Tabledaily[رقم العملية],0))</f>
        <v>عمال الكهرباء يزد وماجد</v>
      </c>
      <c r="P30" s="121" t="str">
        <f>INDEX(Tabledaily[المــــرجـــــــــع],MATCH(TableDailyJournal[[#This Row],[رقم العملية]],Tabledaily[رقم العملية],0))</f>
        <v>استلام نقدي</v>
      </c>
      <c r="Q30" s="121" t="str">
        <f>INDEX(Tabledaily[اســـــــم المــــرجــــع],MATCH(TableDailyJournal[[#This Row],[رقم العملية]],Tabledaily[رقم العملية],0))</f>
        <v>سند استلام</v>
      </c>
      <c r="R30" s="121">
        <f>INDEX(Tabledaily[رقم المـــــرجـــع],MATCH(TableDailyJournal[[#This Row],[رقم العملية]],Tabledaily[رقم العملية],0))</f>
        <v>0</v>
      </c>
      <c r="S30" s="121" t="str">
        <f>INDEX(Tabledaily[مركـــــــزالتكلفــــــة],MATCH(TableDailyJournal[[#This Row],[رقم العملية]],Tabledaily[رقم العملية],0))</f>
        <v>الفرقة الثالثة</v>
      </c>
      <c r="T30" s="121">
        <f>IFERROR(INDEX(tablecost[رقم المركز],MATCH(TableDailyJournal[[#This Row],[مركـــــــزالتكلفــــــة]],tablecost[الاسم],0)),0)</f>
        <v>1</v>
      </c>
      <c r="U30" s="122">
        <f>IFERROR(DATE(TableDailyJournal[[#This Row],[السنــــة]],TableDailyJournal[[#This Row],[الشهــــر]],TableDailyJournal[[#This Row],[الـــــيوم]]),"01-01-2026")</f>
        <v>46174</v>
      </c>
      <c r="V30" s="125">
        <f>INDEX(Tabledaily[تاريخ الإضافة],MATCH(TableDailyJournal[[#This Row],[رقم العملية]],Tabledaily[رقم العملية],0))</f>
        <v>46181.968807870369</v>
      </c>
      <c r="W30" s="58" t="s">
        <v>371</v>
      </c>
      <c r="X30" s="58">
        <f>IFERROR(YEAR(TableDailyJournal[[#This Row],[التاريخ]]),"")</f>
        <v>2026</v>
      </c>
      <c r="Y30" s="58">
        <f>IFERROR(MONTH(TableDailyJournal[[#This Row],[التاريخ]]),"")</f>
        <v>6</v>
      </c>
      <c r="Z30" s="58">
        <f>IFERROR(DAY(TableDailyJournal[[#This Row],[التاريخ]]),"")</f>
        <v>1</v>
      </c>
      <c r="AA30" s="126" t="str">
        <f>INDEX(Tabledaily[المرجع البياني],MATCH(TableDailyJournal[[#This Row],[رقم العملية]],Tabledaily[رقم العملية],0))</f>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v>
      </c>
      <c r="AB30" s="58" t="str">
        <f>INDEX(Tabledaily[جهة الامر],MATCH(TableDailyJournal[[#This Row],[رقم العملية]],Tabledaily[رقم العملية],0))</f>
        <v>أسامة رزيق</v>
      </c>
    </row>
    <row r="31" spans="2:28" ht="45.75" x14ac:dyDescent="0.55000000000000004">
      <c r="B31" s="58">
        <f t="shared" si="0"/>
        <v>27</v>
      </c>
      <c r="C31" s="59" t="s">
        <v>389</v>
      </c>
      <c r="D31" s="60">
        <f>INDEX(Tabledaily[date],MATCH(TableDailyJournal[[#This Row],[رقم العملية]],Tabledaily[رقم العملية],0))</f>
        <v>46174</v>
      </c>
      <c r="E31" s="58" t="str">
        <f>INDEX(Tabledaily[نوع العمليــة],MATCH(TableDailyJournal[[#This Row],[رقم العملية]],Tabledaily[رقم العملية],0))</f>
        <v>قيد عهده</v>
      </c>
      <c r="F31" s="58">
        <f>IFERROR(INDEX(TableJudje[رقم الحساب],MATCH(TableDailyJournal[[#This Row],[الحساب]],TableJudje[اسم الحساب],0)),0)</f>
        <v>11060202</v>
      </c>
      <c r="G31" s="58" t="s">
        <v>159</v>
      </c>
      <c r="H31" s="61" t="str">
        <f>INDEX(Tabledaily[المرجع البياني],MATCH(TableDailyJournal[[#This Row],[رقم العملية]],Tabledaily[رقم العملية],0))</f>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v>
      </c>
      <c r="I31" s="60" t="str">
        <f>INDEX(Tabledaily[العملـــة],MATCH(TableDailyJournal[[#This Row],[رقم العملية]],Tabledaily[رقم العملية],0))</f>
        <v>ريال يمني</v>
      </c>
      <c r="J31" s="59">
        <f>IFERROR(INDEX(Tabledaily[سعــــــر
الصـــــرف],MATCH(C31,Tabledaily[رقم العملية],0)),1)</f>
        <v>405</v>
      </c>
      <c r="K31" s="123" cm="1">
        <f t="array" ref="K31">IFERROR(INDEX(Tabledaily[المبلـــــــغ],MATCH(1,(TableDailyJournal[[#This Row],[رقم العملية]]=Tabledaily[رقم العملية])*(TableDailyJournal[[#This Row],[الحساب]]=Tabledaily[الحســاب المديــــن]),0)),0)</f>
        <v>0</v>
      </c>
      <c r="L31" s="124" cm="1">
        <f t="array" ref="L31">IFERROR(INDEX(Tabledaily[المبلـــــــغ],MATCH(1,(TableDailyJournal[[#This Row],[رقم العملية]]=Tabledaily[رقم العملية])*(TableDailyJournal[[#This Row],[الحساب]]=Tabledaily[الحســاب الدئـــن]),0)),0)</f>
        <v>50000</v>
      </c>
      <c r="M31" s="62">
        <f>IFERROR(TableDailyJournal[[#This Row],[المبلغ مدين]]/TableDailyJournal[[#This Row],[سعــــــر
الصـــــرف]],0)</f>
        <v>0</v>
      </c>
      <c r="N31" s="62">
        <f>IFERROR(TableDailyJournal[[#This Row],[المبلغ دائن]]/TableDailyJournal[[#This Row],[سعــــــر
الصـــــرف]],0)</f>
        <v>123.45679012345678</v>
      </c>
      <c r="O31" s="121" t="str">
        <f>INDEX(Tabledaily[المستفيــــــــد],MATCH(TableDailyJournal[[#This Row],[رقم العملية]],Tabledaily[رقم العملية],0))</f>
        <v>عمال الكهرباء يزد وماجد</v>
      </c>
      <c r="P31" s="121" t="str">
        <f>INDEX(Tabledaily[المــــرجـــــــــع],MATCH(TableDailyJournal[[#This Row],[رقم العملية]],Tabledaily[رقم العملية],0))</f>
        <v>استلام نقدي</v>
      </c>
      <c r="Q31" s="121" t="str">
        <f>INDEX(Tabledaily[اســـــــم المــــرجــــع],MATCH(TableDailyJournal[[#This Row],[رقم العملية]],Tabledaily[رقم العملية],0))</f>
        <v>سند استلام</v>
      </c>
      <c r="R31" s="121">
        <f>INDEX(Tabledaily[رقم المـــــرجـــع],MATCH(TableDailyJournal[[#This Row],[رقم العملية]],Tabledaily[رقم العملية],0))</f>
        <v>0</v>
      </c>
      <c r="S31" s="121" t="str">
        <f>INDEX(Tabledaily[مركـــــــزالتكلفــــــة],MATCH(TableDailyJournal[[#This Row],[رقم العملية]],Tabledaily[رقم العملية],0))</f>
        <v>الفرقة الثالثة</v>
      </c>
      <c r="T31" s="121">
        <f>IFERROR(INDEX(tablecost[رقم المركز],MATCH(TableDailyJournal[[#This Row],[مركـــــــزالتكلفــــــة]],tablecost[الاسم],0)),0)</f>
        <v>1</v>
      </c>
      <c r="U31" s="122">
        <f>IFERROR(DATE(TableDailyJournal[[#This Row],[السنــــة]],TableDailyJournal[[#This Row],[الشهــــر]],TableDailyJournal[[#This Row],[الـــــيوم]]),"01-01-2026")</f>
        <v>46174</v>
      </c>
      <c r="V31" s="125">
        <f>INDEX(Tabledaily[تاريخ الإضافة],MATCH(TableDailyJournal[[#This Row],[رقم العملية]],Tabledaily[رقم العملية],0))</f>
        <v>46181.968807870369</v>
      </c>
      <c r="W31" s="58" t="s">
        <v>371</v>
      </c>
      <c r="X31" s="58">
        <f>IFERROR(YEAR(TableDailyJournal[[#This Row],[التاريخ]]),"")</f>
        <v>2026</v>
      </c>
      <c r="Y31" s="58">
        <f>IFERROR(MONTH(TableDailyJournal[[#This Row],[التاريخ]]),"")</f>
        <v>6</v>
      </c>
      <c r="Z31" s="58">
        <f>IFERROR(DAY(TableDailyJournal[[#This Row],[التاريخ]]),"")</f>
        <v>1</v>
      </c>
      <c r="AA31" s="126" t="str">
        <f>INDEX(Tabledaily[المرجع البياني],MATCH(TableDailyJournal[[#This Row],[رقم العملية]],Tabledaily[رقم العملية],0))</f>
        <v>قيـد مقابـل:- (مصاريف  صرفة يومية للافراد  - عمال الكهرباء يزد وماجد - الفرقة الثالثة)  - استلام نقدي رقم 0  سند استلام - مصاريف لعمال الكهرباء امر اسامه رزيق بامرأسامة رزيق</v>
      </c>
      <c r="AB31" s="58" t="str">
        <f>INDEX(Tabledaily[جهة الامر],MATCH(TableDailyJournal[[#This Row],[رقم العملية]],Tabledaily[رقم العملية],0))</f>
        <v>أسامة رزيق</v>
      </c>
    </row>
    <row r="32" spans="2:28" ht="45.75" x14ac:dyDescent="0.55000000000000004">
      <c r="B32" s="58">
        <f t="shared" si="0"/>
        <v>28</v>
      </c>
      <c r="C32" s="59" t="s">
        <v>386</v>
      </c>
      <c r="D32" s="60">
        <f>INDEX(Tabledaily[date],MATCH(TableDailyJournal[[#This Row],[رقم العملية]],Tabledaily[رقم العملية],0))</f>
        <v>46174</v>
      </c>
      <c r="E32" s="58" t="str">
        <f>INDEX(Tabledaily[نوع العمليــة],MATCH(TableDailyJournal[[#This Row],[رقم العملية]],Tabledaily[رقم العملية],0))</f>
        <v>قيد عهده</v>
      </c>
      <c r="F32" s="58">
        <f>IFERROR(INDEX(TableJudje[رقم الحساب],MATCH(TableDailyJournal[[#This Row],[الحساب]],TableJudje[اسم الحساب],0)),0)</f>
        <v>31010101</v>
      </c>
      <c r="G32" s="58" t="s">
        <v>111</v>
      </c>
      <c r="H32"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45  كشف صرف - مصاريف يومية سرية اللواء السادس عدد 45 بامرالقائد</v>
      </c>
      <c r="I32" s="60" t="str">
        <f>INDEX(Tabledaily[العملـــة],MATCH(TableDailyJournal[[#This Row],[رقم العملية]],Tabledaily[رقم العملية],0))</f>
        <v>ريال يمني</v>
      </c>
      <c r="J32" s="59">
        <f>IFERROR(INDEX(Tabledaily[سعــــــر
الصـــــرف],MATCH(C32,Tabledaily[رقم العملية],0)),1)</f>
        <v>405</v>
      </c>
      <c r="K32" s="123" cm="1">
        <f t="array" ref="K32">IFERROR(INDEX(Tabledaily[المبلـــــــغ],MATCH(1,(TableDailyJournal[[#This Row],[رقم العملية]]=Tabledaily[رقم العملية])*(TableDailyJournal[[#This Row],[الحساب]]=Tabledaily[الحســاب المديــــن]),0)),0)</f>
        <v>180000</v>
      </c>
      <c r="L32" s="124" cm="1">
        <f t="array" ref="L32">IFERROR(INDEX(Tabledaily[المبلـــــــغ],MATCH(1,(TableDailyJournal[[#This Row],[رقم العملية]]=Tabledaily[رقم العملية])*(TableDailyJournal[[#This Row],[الحساب]]=Tabledaily[الحســاب الدئـــن]),0)),0)</f>
        <v>0</v>
      </c>
      <c r="M32" s="62">
        <f>IFERROR(TableDailyJournal[[#This Row],[المبلغ مدين]]/TableDailyJournal[[#This Row],[سعــــــر
الصـــــرف]],0)</f>
        <v>444.44444444444446</v>
      </c>
      <c r="N32" s="62">
        <f>IFERROR(TableDailyJournal[[#This Row],[المبلغ دائن]]/TableDailyJournal[[#This Row],[سعــــــر
الصـــــرف]],0)</f>
        <v>0</v>
      </c>
      <c r="O32" s="121" t="str">
        <f>INDEX(Tabledaily[المستفيــــــــد],MATCH(TableDailyJournal[[#This Row],[رقم العملية]],Tabledaily[رقم العملية],0))</f>
        <v>سرية اللواء السادس</v>
      </c>
      <c r="P32" s="121" t="str">
        <f>INDEX(Tabledaily[المــــرجـــــــــع],MATCH(TableDailyJournal[[#This Row],[رقم العملية]],Tabledaily[رقم العملية],0))</f>
        <v>كشف صرف</v>
      </c>
      <c r="Q32" s="121" t="str">
        <f>INDEX(Tabledaily[اســـــــم المــــرجــــع],MATCH(TableDailyJournal[[#This Row],[رقم العملية]],Tabledaily[رقم العملية],0))</f>
        <v>كشف صرف</v>
      </c>
      <c r="R32" s="121">
        <f>INDEX(Tabledaily[رقم المـــــرجـــع],MATCH(TableDailyJournal[[#This Row],[رقم العملية]],Tabledaily[رقم العملية],0))</f>
        <v>45</v>
      </c>
      <c r="S32" s="121" t="str">
        <f>INDEX(Tabledaily[مركـــــــزالتكلفــــــة],MATCH(TableDailyJournal[[#This Row],[رقم العملية]],Tabledaily[رقم العملية],0))</f>
        <v>اللواء السادس</v>
      </c>
      <c r="T32" s="121">
        <f>IFERROR(INDEX(tablecost[رقم المركز],MATCH(TableDailyJournal[[#This Row],[مركـــــــزالتكلفــــــة]],tablecost[الاسم],0)),0)</f>
        <v>7</v>
      </c>
      <c r="U32" s="122">
        <f>IFERROR(DATE(TableDailyJournal[[#This Row],[السنــــة]],TableDailyJournal[[#This Row],[الشهــــر]],TableDailyJournal[[#This Row],[الـــــيوم]]),"01-01-2026")</f>
        <v>46174</v>
      </c>
      <c r="V32" s="125">
        <f>INDEX(Tabledaily[تاريخ الإضافة],MATCH(TableDailyJournal[[#This Row],[رقم العملية]],Tabledaily[رقم العملية],0))</f>
        <v>46181.96980324074</v>
      </c>
      <c r="W32" s="58" t="s">
        <v>313</v>
      </c>
      <c r="X32" s="58">
        <f>IFERROR(YEAR(TableDailyJournal[[#This Row],[التاريخ]]),"")</f>
        <v>2026</v>
      </c>
      <c r="Y32" s="58">
        <f>IFERROR(MONTH(TableDailyJournal[[#This Row],[التاريخ]]),"")</f>
        <v>6</v>
      </c>
      <c r="Z32" s="58">
        <f>IFERROR(DAY(TableDailyJournal[[#This Row],[التاريخ]]),"")</f>
        <v>1</v>
      </c>
      <c r="AA32"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45  كشف صرف - مصاريف يومية سرية اللواء السادس عدد 45 بامرالقائد</v>
      </c>
      <c r="AB32" s="58" t="str">
        <f>INDEX(Tabledaily[جهة الامر],MATCH(TableDailyJournal[[#This Row],[رقم العملية]],Tabledaily[رقم العملية],0))</f>
        <v>القائد</v>
      </c>
    </row>
    <row r="33" spans="2:28" ht="45.75" x14ac:dyDescent="0.55000000000000004">
      <c r="B33" s="58">
        <f t="shared" si="0"/>
        <v>29</v>
      </c>
      <c r="C33" s="59" t="s">
        <v>386</v>
      </c>
      <c r="D33" s="60">
        <f>INDEX(Tabledaily[date],MATCH(TableDailyJournal[[#This Row],[رقم العملية]],Tabledaily[رقم العملية],0))</f>
        <v>46174</v>
      </c>
      <c r="E33" s="58" t="str">
        <f>INDEX(Tabledaily[نوع العمليــة],MATCH(TableDailyJournal[[#This Row],[رقم العملية]],Tabledaily[رقم العملية],0))</f>
        <v>قيد عهده</v>
      </c>
      <c r="F33" s="58">
        <f>IFERROR(INDEX(TableJudje[رقم الحساب],MATCH(TableDailyJournal[[#This Row],[الحساب]],TableJudje[اسم الحساب],0)),0)</f>
        <v>11060202</v>
      </c>
      <c r="G33" s="58" t="s">
        <v>159</v>
      </c>
      <c r="H33"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45  كشف صرف - مصاريف يومية سرية اللواء السادس عدد 45 بامرالقائد</v>
      </c>
      <c r="I33" s="60" t="str">
        <f>INDEX(Tabledaily[العملـــة],MATCH(TableDailyJournal[[#This Row],[رقم العملية]],Tabledaily[رقم العملية],0))</f>
        <v>ريال يمني</v>
      </c>
      <c r="J33" s="59">
        <f>IFERROR(INDEX(Tabledaily[سعــــــر
الصـــــرف],MATCH(C33,Tabledaily[رقم العملية],0)),1)</f>
        <v>405</v>
      </c>
      <c r="K33" s="123" cm="1">
        <f t="array" ref="K33">IFERROR(INDEX(Tabledaily[المبلـــــــغ],MATCH(1,(TableDailyJournal[[#This Row],[رقم العملية]]=Tabledaily[رقم العملية])*(TableDailyJournal[[#This Row],[الحساب]]=Tabledaily[الحســاب المديــــن]),0)),0)</f>
        <v>0</v>
      </c>
      <c r="L33" s="124" cm="1">
        <f t="array" ref="L33">IFERROR(INDEX(Tabledaily[المبلـــــــغ],MATCH(1,(TableDailyJournal[[#This Row],[رقم العملية]]=Tabledaily[رقم العملية])*(TableDailyJournal[[#This Row],[الحساب]]=Tabledaily[الحســاب الدئـــن]),0)),0)</f>
        <v>180000</v>
      </c>
      <c r="M33" s="62">
        <f>IFERROR(TableDailyJournal[[#This Row],[المبلغ مدين]]/TableDailyJournal[[#This Row],[سعــــــر
الصـــــرف]],0)</f>
        <v>0</v>
      </c>
      <c r="N33" s="62">
        <f>IFERROR(TableDailyJournal[[#This Row],[المبلغ دائن]]/TableDailyJournal[[#This Row],[سعــــــر
الصـــــرف]],0)</f>
        <v>444.44444444444446</v>
      </c>
      <c r="O33" s="121" t="str">
        <f>INDEX(Tabledaily[المستفيــــــــد],MATCH(TableDailyJournal[[#This Row],[رقم العملية]],Tabledaily[رقم العملية],0))</f>
        <v>سرية اللواء السادس</v>
      </c>
      <c r="P33" s="121" t="str">
        <f>INDEX(Tabledaily[المــــرجـــــــــع],MATCH(TableDailyJournal[[#This Row],[رقم العملية]],Tabledaily[رقم العملية],0))</f>
        <v>كشف صرف</v>
      </c>
      <c r="Q33" s="121" t="str">
        <f>INDEX(Tabledaily[اســـــــم المــــرجــــع],MATCH(TableDailyJournal[[#This Row],[رقم العملية]],Tabledaily[رقم العملية],0))</f>
        <v>كشف صرف</v>
      </c>
      <c r="R33" s="121">
        <f>INDEX(Tabledaily[رقم المـــــرجـــع],MATCH(TableDailyJournal[[#This Row],[رقم العملية]],Tabledaily[رقم العملية],0))</f>
        <v>45</v>
      </c>
      <c r="S33" s="121" t="str">
        <f>INDEX(Tabledaily[مركـــــــزالتكلفــــــة],MATCH(TableDailyJournal[[#This Row],[رقم العملية]],Tabledaily[رقم العملية],0))</f>
        <v>اللواء السادس</v>
      </c>
      <c r="T33" s="121">
        <f>IFERROR(INDEX(tablecost[رقم المركز],MATCH(TableDailyJournal[[#This Row],[مركـــــــزالتكلفــــــة]],tablecost[الاسم],0)),0)</f>
        <v>7</v>
      </c>
      <c r="U33" s="122">
        <f>IFERROR(DATE(TableDailyJournal[[#This Row],[السنــــة]],TableDailyJournal[[#This Row],[الشهــــر]],TableDailyJournal[[#This Row],[الـــــيوم]]),"01-01-2026")</f>
        <v>46174</v>
      </c>
      <c r="V33" s="125">
        <f>INDEX(Tabledaily[تاريخ الإضافة],MATCH(TableDailyJournal[[#This Row],[رقم العملية]],Tabledaily[رقم العملية],0))</f>
        <v>46181.96980324074</v>
      </c>
      <c r="W33" s="58" t="s">
        <v>313</v>
      </c>
      <c r="X33" s="58">
        <f>IFERROR(YEAR(TableDailyJournal[[#This Row],[التاريخ]]),"")</f>
        <v>2026</v>
      </c>
      <c r="Y33" s="58">
        <f>IFERROR(MONTH(TableDailyJournal[[#This Row],[التاريخ]]),"")</f>
        <v>6</v>
      </c>
      <c r="Z33" s="58">
        <f>IFERROR(DAY(TableDailyJournal[[#This Row],[التاريخ]]),"")</f>
        <v>1</v>
      </c>
      <c r="AA33"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45  كشف صرف - مصاريف يومية سرية اللواء السادس عدد 45 بامرالقائد</v>
      </c>
      <c r="AB33" s="58" t="str">
        <f>INDEX(Tabledaily[جهة الامر],MATCH(TableDailyJournal[[#This Row],[رقم العملية]],Tabledaily[رقم العملية],0))</f>
        <v>القائد</v>
      </c>
    </row>
    <row r="34" spans="2:28" ht="45.75" x14ac:dyDescent="0.55000000000000004">
      <c r="B34" s="58">
        <f t="shared" si="0"/>
        <v>30</v>
      </c>
      <c r="C34" s="59" t="s">
        <v>385</v>
      </c>
      <c r="D34" s="60">
        <f>INDEX(Tabledaily[date],MATCH(TableDailyJournal[[#This Row],[رقم العملية]],Tabledaily[رقم العملية],0))</f>
        <v>46175</v>
      </c>
      <c r="E34" s="58" t="str">
        <f>INDEX(Tabledaily[نوع العمليــة],MATCH(TableDailyJournal[[#This Row],[رقم العملية]],Tabledaily[رقم العملية],0))</f>
        <v>قيد عهده</v>
      </c>
      <c r="F34" s="58">
        <f>IFERROR(INDEX(TableJudje[رقم الحساب],MATCH(TableDailyJournal[[#This Row],[الحساب]],TableJudje[اسم الحساب],0)),0)</f>
        <v>31010101</v>
      </c>
      <c r="G34" s="58" t="s">
        <v>111</v>
      </c>
      <c r="H34"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I34" s="60" t="str">
        <f>INDEX(Tabledaily[العملـــة],MATCH(TableDailyJournal[[#This Row],[رقم العملية]],Tabledaily[رقم العملية],0))</f>
        <v>ريال يمني</v>
      </c>
      <c r="J34" s="59">
        <f>IFERROR(INDEX(Tabledaily[سعــــــر
الصـــــرف],MATCH(C34,Tabledaily[رقم العملية],0)),1)</f>
        <v>405</v>
      </c>
      <c r="K34" s="123" cm="1">
        <f t="array" ref="K34">IFERROR(INDEX(Tabledaily[المبلـــــــغ],MATCH(1,(TableDailyJournal[[#This Row],[رقم العملية]]=Tabledaily[رقم العملية])*(TableDailyJournal[[#This Row],[الحساب]]=Tabledaily[الحســاب المديــــن]),0)),0)</f>
        <v>33000</v>
      </c>
      <c r="L34" s="124" cm="1">
        <f t="array" ref="L34">IFERROR(INDEX(Tabledaily[المبلـــــــغ],MATCH(1,(TableDailyJournal[[#This Row],[رقم العملية]]=Tabledaily[رقم العملية])*(TableDailyJournal[[#This Row],[الحساب]]=Tabledaily[الحســاب الدئـــن]),0)),0)</f>
        <v>0</v>
      </c>
      <c r="M34" s="62">
        <f>IFERROR(TableDailyJournal[[#This Row],[المبلغ مدين]]/TableDailyJournal[[#This Row],[سعــــــر
الصـــــرف]],0)</f>
        <v>81.481481481481481</v>
      </c>
      <c r="N34" s="62">
        <f>IFERROR(TableDailyJournal[[#This Row],[المبلغ دائن]]/TableDailyJournal[[#This Row],[سعــــــر
الصـــــرف]],0)</f>
        <v>0</v>
      </c>
      <c r="O34" s="121" t="str">
        <f>INDEX(Tabledaily[المستفيــــــــد],MATCH(TableDailyJournal[[#This Row],[رقم العملية]],Tabledaily[رقم العملية],0))</f>
        <v>السيطرة والاتصالات</v>
      </c>
      <c r="P34" s="121" t="str">
        <f>INDEX(Tabledaily[المــــرجـــــــــع],MATCH(TableDailyJournal[[#This Row],[رقم العملية]],Tabledaily[رقم العملية],0))</f>
        <v>كشف صرف</v>
      </c>
      <c r="Q34" s="121" t="str">
        <f>INDEX(Tabledaily[اســـــــم المــــرجــــع],MATCH(TableDailyJournal[[#This Row],[رقم العملية]],Tabledaily[رقم العملية],0))</f>
        <v>كشف صرف</v>
      </c>
      <c r="R34" s="121">
        <f>INDEX(Tabledaily[رقم المـــــرجـــع],MATCH(TableDailyJournal[[#This Row],[رقم العملية]],Tabledaily[رقم العملية],0))</f>
        <v>4</v>
      </c>
      <c r="S34" s="121" t="str">
        <f>INDEX(Tabledaily[مركـــــــزالتكلفــــــة],MATCH(TableDailyJournal[[#This Row],[رقم العملية]],Tabledaily[رقم العملية],0))</f>
        <v>الفرقة الثالثة</v>
      </c>
      <c r="T34" s="121">
        <f>IFERROR(INDEX(tablecost[رقم المركز],MATCH(TableDailyJournal[[#This Row],[مركـــــــزالتكلفــــــة]],tablecost[الاسم],0)),0)</f>
        <v>1</v>
      </c>
      <c r="U34" s="122">
        <f>IFERROR(DATE(TableDailyJournal[[#This Row],[السنــــة]],TableDailyJournal[[#This Row],[الشهــــر]],TableDailyJournal[[#This Row],[الـــــيوم]]),"01-01-2026")</f>
        <v>46175</v>
      </c>
      <c r="V34" s="125">
        <f>INDEX(Tabledaily[تاريخ الإضافة],MATCH(TableDailyJournal[[#This Row],[رقم العملية]],Tabledaily[رقم العملية],0))</f>
        <v>46182.001157407409</v>
      </c>
      <c r="W34" s="58">
        <v>0</v>
      </c>
      <c r="X34" s="58">
        <f>IFERROR(YEAR(TableDailyJournal[[#This Row],[التاريخ]]),"")</f>
        <v>2026</v>
      </c>
      <c r="Y34" s="58">
        <f>IFERROR(MONTH(TableDailyJournal[[#This Row],[التاريخ]]),"")</f>
        <v>6</v>
      </c>
      <c r="Z34" s="58">
        <f>IFERROR(DAY(TableDailyJournal[[#This Row],[التاريخ]]),"")</f>
        <v>2</v>
      </c>
      <c r="AA34"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AB34" s="58">
        <f>INDEX(Tabledaily[جهة الامر],MATCH(TableDailyJournal[[#This Row],[رقم العملية]],Tabledaily[رقم العملية],0))</f>
        <v>0</v>
      </c>
    </row>
    <row r="35" spans="2:28" ht="45.75" x14ac:dyDescent="0.55000000000000004">
      <c r="B35" s="58">
        <f t="shared" si="0"/>
        <v>31</v>
      </c>
      <c r="C35" s="59" t="s">
        <v>385</v>
      </c>
      <c r="D35" s="60">
        <f>INDEX(Tabledaily[date],MATCH(TableDailyJournal[[#This Row],[رقم العملية]],Tabledaily[رقم العملية],0))</f>
        <v>46175</v>
      </c>
      <c r="E35" s="58" t="str">
        <f>INDEX(Tabledaily[نوع العمليــة],MATCH(TableDailyJournal[[#This Row],[رقم العملية]],Tabledaily[رقم العملية],0))</f>
        <v>قيد عهده</v>
      </c>
      <c r="F35" s="58">
        <f>IFERROR(INDEX(TableJudje[رقم الحساب],MATCH(TableDailyJournal[[#This Row],[الحساب]],TableJudje[اسم الحساب],0)),0)</f>
        <v>11060202</v>
      </c>
      <c r="G35" s="58" t="s">
        <v>159</v>
      </c>
      <c r="H35"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I35" s="60" t="str">
        <f>INDEX(Tabledaily[العملـــة],MATCH(TableDailyJournal[[#This Row],[رقم العملية]],Tabledaily[رقم العملية],0))</f>
        <v>ريال يمني</v>
      </c>
      <c r="J35" s="59">
        <f>IFERROR(INDEX(Tabledaily[سعــــــر
الصـــــرف],MATCH(C35,Tabledaily[رقم العملية],0)),1)</f>
        <v>405</v>
      </c>
      <c r="K35" s="123" cm="1">
        <f t="array" ref="K35">IFERROR(INDEX(Tabledaily[المبلـــــــغ],MATCH(1,(TableDailyJournal[[#This Row],[رقم العملية]]=Tabledaily[رقم العملية])*(TableDailyJournal[[#This Row],[الحساب]]=Tabledaily[الحســاب المديــــن]),0)),0)</f>
        <v>0</v>
      </c>
      <c r="L35" s="124" cm="1">
        <f t="array" ref="L35">IFERROR(INDEX(Tabledaily[المبلـــــــغ],MATCH(1,(TableDailyJournal[[#This Row],[رقم العملية]]=Tabledaily[رقم العملية])*(TableDailyJournal[[#This Row],[الحساب]]=Tabledaily[الحســاب الدئـــن]),0)),0)</f>
        <v>33000</v>
      </c>
      <c r="M35" s="62">
        <f>IFERROR(TableDailyJournal[[#This Row],[المبلغ مدين]]/TableDailyJournal[[#This Row],[سعــــــر
الصـــــرف]],0)</f>
        <v>0</v>
      </c>
      <c r="N35" s="62">
        <f>IFERROR(TableDailyJournal[[#This Row],[المبلغ دائن]]/TableDailyJournal[[#This Row],[سعــــــر
الصـــــرف]],0)</f>
        <v>81.481481481481481</v>
      </c>
      <c r="O35" s="121" t="str">
        <f>INDEX(Tabledaily[المستفيــــــــد],MATCH(TableDailyJournal[[#This Row],[رقم العملية]],Tabledaily[رقم العملية],0))</f>
        <v>السيطرة والاتصالات</v>
      </c>
      <c r="P35" s="121" t="str">
        <f>INDEX(Tabledaily[المــــرجـــــــــع],MATCH(TableDailyJournal[[#This Row],[رقم العملية]],Tabledaily[رقم العملية],0))</f>
        <v>كشف صرف</v>
      </c>
      <c r="Q35" s="121" t="str">
        <f>INDEX(Tabledaily[اســـــــم المــــرجــــع],MATCH(TableDailyJournal[[#This Row],[رقم العملية]],Tabledaily[رقم العملية],0))</f>
        <v>كشف صرف</v>
      </c>
      <c r="R35" s="121">
        <f>INDEX(Tabledaily[رقم المـــــرجـــع],MATCH(TableDailyJournal[[#This Row],[رقم العملية]],Tabledaily[رقم العملية],0))</f>
        <v>4</v>
      </c>
      <c r="S35" s="121" t="str">
        <f>INDEX(Tabledaily[مركـــــــزالتكلفــــــة],MATCH(TableDailyJournal[[#This Row],[رقم العملية]],Tabledaily[رقم العملية],0))</f>
        <v>الفرقة الثالثة</v>
      </c>
      <c r="T35" s="121">
        <f>IFERROR(INDEX(tablecost[رقم المركز],MATCH(TableDailyJournal[[#This Row],[مركـــــــزالتكلفــــــة]],tablecost[الاسم],0)),0)</f>
        <v>1</v>
      </c>
      <c r="U35" s="122">
        <f>IFERROR(DATE(TableDailyJournal[[#This Row],[السنــــة]],TableDailyJournal[[#This Row],[الشهــــر]],TableDailyJournal[[#This Row],[الـــــيوم]]),"01-01-2026")</f>
        <v>46175</v>
      </c>
      <c r="V35" s="125">
        <f>INDEX(Tabledaily[تاريخ الإضافة],MATCH(TableDailyJournal[[#This Row],[رقم العملية]],Tabledaily[رقم العملية],0))</f>
        <v>46182.001157407409</v>
      </c>
      <c r="W35" s="58">
        <v>0</v>
      </c>
      <c r="X35" s="58">
        <f>IFERROR(YEAR(TableDailyJournal[[#This Row],[التاريخ]]),"")</f>
        <v>2026</v>
      </c>
      <c r="Y35" s="58">
        <f>IFERROR(MONTH(TableDailyJournal[[#This Row],[التاريخ]]),"")</f>
        <v>6</v>
      </c>
      <c r="Z35" s="58">
        <f>IFERROR(DAY(TableDailyJournal[[#This Row],[التاريخ]]),"")</f>
        <v>2</v>
      </c>
      <c r="AA35"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AB35" s="58">
        <f>INDEX(Tabledaily[جهة الامر],MATCH(TableDailyJournal[[#This Row],[رقم العملية]],Tabledaily[رقم العملية],0))</f>
        <v>0</v>
      </c>
    </row>
    <row r="36" spans="2:28" ht="45.75" x14ac:dyDescent="0.55000000000000004">
      <c r="B36" s="58">
        <f t="shared" si="0"/>
        <v>32</v>
      </c>
      <c r="C36" s="59" t="s">
        <v>383</v>
      </c>
      <c r="D36" s="60">
        <f>INDEX(Tabledaily[date],MATCH(TableDailyJournal[[#This Row],[رقم العملية]],Tabledaily[رقم العملية],0))</f>
        <v>46175</v>
      </c>
      <c r="E36" s="58" t="str">
        <f>INDEX(Tabledaily[نوع العمليــة],MATCH(TableDailyJournal[[#This Row],[رقم العملية]],Tabledaily[رقم العملية],0))</f>
        <v>قيد عهده</v>
      </c>
      <c r="F36" s="58">
        <f>IFERROR(INDEX(TableJudje[رقم الحساب],MATCH(TableDailyJournal[[#This Row],[الحساب]],TableJudje[اسم الحساب],0)),0)</f>
        <v>31010101</v>
      </c>
      <c r="G36" s="58" t="s">
        <v>111</v>
      </c>
      <c r="H36" s="61"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فرد بامر</v>
      </c>
      <c r="I36" s="60" t="str">
        <f>INDEX(Tabledaily[العملـــة],MATCH(TableDailyJournal[[#This Row],[رقم العملية]],Tabledaily[رقم العملية],0))</f>
        <v>ريال يمني</v>
      </c>
      <c r="J36" s="59">
        <f>IFERROR(INDEX(Tabledaily[سعــــــر
الصـــــرف],MATCH(C36,Tabledaily[رقم العملية],0)),1)</f>
        <v>405</v>
      </c>
      <c r="K36" s="123" cm="1">
        <f t="array" ref="K36">IFERROR(INDEX(Tabledaily[المبلـــــــغ],MATCH(1,(TableDailyJournal[[#This Row],[رقم العملية]]=Tabledaily[رقم العملية])*(TableDailyJournal[[#This Row],[الحساب]]=Tabledaily[الحســاب المديــــن]),0)),0)</f>
        <v>132000</v>
      </c>
      <c r="L36" s="124" cm="1">
        <f t="array" ref="L36">IFERROR(INDEX(Tabledaily[المبلـــــــغ],MATCH(1,(TableDailyJournal[[#This Row],[رقم العملية]]=Tabledaily[رقم العملية])*(TableDailyJournal[[#This Row],[الحساب]]=Tabledaily[الحســاب الدئـــن]),0)),0)</f>
        <v>0</v>
      </c>
      <c r="M36" s="62">
        <f>IFERROR(TableDailyJournal[[#This Row],[المبلغ مدين]]/TableDailyJournal[[#This Row],[سعــــــر
الصـــــرف]],0)</f>
        <v>325.92592592592592</v>
      </c>
      <c r="N36" s="62">
        <f>IFERROR(TableDailyJournal[[#This Row],[المبلغ دائن]]/TableDailyJournal[[#This Row],[سعــــــر
الصـــــرف]],0)</f>
        <v>0</v>
      </c>
      <c r="O36" s="121" t="str">
        <f>INDEX(Tabledaily[المستفيــــــــد],MATCH(TableDailyJournal[[#This Row],[رقم العملية]],Tabledaily[رقم العملية],0))</f>
        <v>الامداد</v>
      </c>
      <c r="P36" s="121" t="str">
        <f>INDEX(Tabledaily[المــــرجـــــــــع],MATCH(TableDailyJournal[[#This Row],[رقم العملية]],Tabledaily[رقم العملية],0))</f>
        <v>كشف صرف</v>
      </c>
      <c r="Q36" s="121" t="str">
        <f>INDEX(Tabledaily[اســـــــم المــــرجــــع],MATCH(TableDailyJournal[[#This Row],[رقم العملية]],Tabledaily[رقم العملية],0))</f>
        <v>كشف صرف</v>
      </c>
      <c r="R36" s="121">
        <f>INDEX(Tabledaily[رقم المـــــرجـــع],MATCH(TableDailyJournal[[#This Row],[رقم العملية]],Tabledaily[رقم العملية],0))</f>
        <v>12</v>
      </c>
      <c r="S36" s="121" t="str">
        <f>INDEX(Tabledaily[مركـــــــزالتكلفــــــة],MATCH(TableDailyJournal[[#This Row],[رقم العملية]],Tabledaily[رقم العملية],0))</f>
        <v>الفرقة الثالثة</v>
      </c>
      <c r="T36" s="121">
        <f>IFERROR(INDEX(tablecost[رقم المركز],MATCH(TableDailyJournal[[#This Row],[مركـــــــزالتكلفــــــة]],tablecost[الاسم],0)),0)</f>
        <v>1</v>
      </c>
      <c r="U36" s="122">
        <f>IFERROR(DATE(TableDailyJournal[[#This Row],[السنــــة]],TableDailyJournal[[#This Row],[الشهــــر]],TableDailyJournal[[#This Row],[الـــــيوم]]),"01-01-2026")</f>
        <v>46175</v>
      </c>
      <c r="V36" s="125">
        <f>INDEX(Tabledaily[تاريخ الإضافة],MATCH(TableDailyJournal[[#This Row],[رقم العملية]],Tabledaily[رقم العملية],0))</f>
        <v>46182.002442129633</v>
      </c>
      <c r="W36" s="58">
        <v>0</v>
      </c>
      <c r="X36" s="58">
        <f>IFERROR(YEAR(TableDailyJournal[[#This Row],[التاريخ]]),"")</f>
        <v>2026</v>
      </c>
      <c r="Y36" s="58">
        <f>IFERROR(MONTH(TableDailyJournal[[#This Row],[التاريخ]]),"")</f>
        <v>6</v>
      </c>
      <c r="Z36" s="58">
        <f>IFERROR(DAY(TableDailyJournal[[#This Row],[التاريخ]]),"")</f>
        <v>2</v>
      </c>
      <c r="AA36" s="126"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فرد بامر</v>
      </c>
      <c r="AB36" s="58">
        <f>INDEX(Tabledaily[جهة الامر],MATCH(TableDailyJournal[[#This Row],[رقم العملية]],Tabledaily[رقم العملية],0))</f>
        <v>0</v>
      </c>
    </row>
    <row r="37" spans="2:28" ht="45.75" x14ac:dyDescent="0.55000000000000004">
      <c r="B37" s="58">
        <f t="shared" si="0"/>
        <v>33</v>
      </c>
      <c r="C37" s="59" t="s">
        <v>383</v>
      </c>
      <c r="D37" s="60">
        <f>INDEX(Tabledaily[date],MATCH(TableDailyJournal[[#This Row],[رقم العملية]],Tabledaily[رقم العملية],0))</f>
        <v>46175</v>
      </c>
      <c r="E37" s="58" t="str">
        <f>INDEX(Tabledaily[نوع العمليــة],MATCH(TableDailyJournal[[#This Row],[رقم العملية]],Tabledaily[رقم العملية],0))</f>
        <v>قيد عهده</v>
      </c>
      <c r="F37" s="58">
        <f>IFERROR(INDEX(TableJudje[رقم الحساب],MATCH(TableDailyJournal[[#This Row],[الحساب]],TableJudje[اسم الحساب],0)),0)</f>
        <v>11060202</v>
      </c>
      <c r="G37" s="58" t="s">
        <v>159</v>
      </c>
      <c r="H37" s="61"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فرد بامر</v>
      </c>
      <c r="I37" s="60" t="str">
        <f>INDEX(Tabledaily[العملـــة],MATCH(TableDailyJournal[[#This Row],[رقم العملية]],Tabledaily[رقم العملية],0))</f>
        <v>ريال يمني</v>
      </c>
      <c r="J37" s="59">
        <f>IFERROR(INDEX(Tabledaily[سعــــــر
الصـــــرف],MATCH(C37,Tabledaily[رقم العملية],0)),1)</f>
        <v>405</v>
      </c>
      <c r="K37" s="123" cm="1">
        <f t="array" ref="K37">IFERROR(INDEX(Tabledaily[المبلـــــــغ],MATCH(1,(TableDailyJournal[[#This Row],[رقم العملية]]=Tabledaily[رقم العملية])*(TableDailyJournal[[#This Row],[الحساب]]=Tabledaily[الحســاب المديــــن]),0)),0)</f>
        <v>0</v>
      </c>
      <c r="L37" s="124" cm="1">
        <f t="array" ref="L37">IFERROR(INDEX(Tabledaily[المبلـــــــغ],MATCH(1,(TableDailyJournal[[#This Row],[رقم العملية]]=Tabledaily[رقم العملية])*(TableDailyJournal[[#This Row],[الحساب]]=Tabledaily[الحســاب الدئـــن]),0)),0)</f>
        <v>132000</v>
      </c>
      <c r="M37" s="62">
        <f>IFERROR(TableDailyJournal[[#This Row],[المبلغ مدين]]/TableDailyJournal[[#This Row],[سعــــــر
الصـــــرف]],0)</f>
        <v>0</v>
      </c>
      <c r="N37" s="62">
        <f>IFERROR(TableDailyJournal[[#This Row],[المبلغ دائن]]/TableDailyJournal[[#This Row],[سعــــــر
الصـــــرف]],0)</f>
        <v>325.92592592592592</v>
      </c>
      <c r="O37" s="121" t="str">
        <f>INDEX(Tabledaily[المستفيــــــــد],MATCH(TableDailyJournal[[#This Row],[رقم العملية]],Tabledaily[رقم العملية],0))</f>
        <v>الامداد</v>
      </c>
      <c r="P37" s="121" t="str">
        <f>INDEX(Tabledaily[المــــرجـــــــــع],MATCH(TableDailyJournal[[#This Row],[رقم العملية]],Tabledaily[رقم العملية],0))</f>
        <v>كشف صرف</v>
      </c>
      <c r="Q37" s="121" t="str">
        <f>INDEX(Tabledaily[اســـــــم المــــرجــــع],MATCH(TableDailyJournal[[#This Row],[رقم العملية]],Tabledaily[رقم العملية],0))</f>
        <v>كشف صرف</v>
      </c>
      <c r="R37" s="121">
        <f>INDEX(Tabledaily[رقم المـــــرجـــع],MATCH(TableDailyJournal[[#This Row],[رقم العملية]],Tabledaily[رقم العملية],0))</f>
        <v>12</v>
      </c>
      <c r="S37" s="121" t="str">
        <f>INDEX(Tabledaily[مركـــــــزالتكلفــــــة],MATCH(TableDailyJournal[[#This Row],[رقم العملية]],Tabledaily[رقم العملية],0))</f>
        <v>الفرقة الثالثة</v>
      </c>
      <c r="T37" s="121">
        <f>IFERROR(INDEX(tablecost[رقم المركز],MATCH(TableDailyJournal[[#This Row],[مركـــــــزالتكلفــــــة]],tablecost[الاسم],0)),0)</f>
        <v>1</v>
      </c>
      <c r="U37" s="122">
        <f>IFERROR(DATE(TableDailyJournal[[#This Row],[السنــــة]],TableDailyJournal[[#This Row],[الشهــــر]],TableDailyJournal[[#This Row],[الـــــيوم]]),"01-01-2026")</f>
        <v>46175</v>
      </c>
      <c r="V37" s="125">
        <f>INDEX(Tabledaily[تاريخ الإضافة],MATCH(TableDailyJournal[[#This Row],[رقم العملية]],Tabledaily[رقم العملية],0))</f>
        <v>46182.002442129633</v>
      </c>
      <c r="W37" s="58">
        <v>0</v>
      </c>
      <c r="X37" s="58">
        <f>IFERROR(YEAR(TableDailyJournal[[#This Row],[التاريخ]]),"")</f>
        <v>2026</v>
      </c>
      <c r="Y37" s="58">
        <f>IFERROR(MONTH(TableDailyJournal[[#This Row],[التاريخ]]),"")</f>
        <v>6</v>
      </c>
      <c r="Z37" s="58">
        <f>IFERROR(DAY(TableDailyJournal[[#This Row],[التاريخ]]),"")</f>
        <v>2</v>
      </c>
      <c r="AA37" s="126"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فرد بامر</v>
      </c>
      <c r="AB37" s="58">
        <f>INDEX(Tabledaily[جهة الامر],MATCH(TableDailyJournal[[#This Row],[رقم العملية]],Tabledaily[رقم العملية],0))</f>
        <v>0</v>
      </c>
    </row>
    <row r="38" spans="2:28" ht="45.75" x14ac:dyDescent="0.55000000000000004">
      <c r="B38" s="58">
        <f t="shared" si="0"/>
        <v>34</v>
      </c>
      <c r="C38" s="59" t="s">
        <v>382</v>
      </c>
      <c r="D38" s="60">
        <f>INDEX(Tabledaily[date],MATCH(TableDailyJournal[[#This Row],[رقم العملية]],Tabledaily[رقم العملية],0))</f>
        <v>46175</v>
      </c>
      <c r="E38" s="58" t="str">
        <f>INDEX(Tabledaily[نوع العمليــة],MATCH(TableDailyJournal[[#This Row],[رقم العملية]],Tabledaily[رقم العملية],0))</f>
        <v>قيد عهده</v>
      </c>
      <c r="F38" s="58">
        <f>IFERROR(INDEX(TableJudje[رقم الحساب],MATCH(TableDailyJournal[[#This Row],[الحساب]],TableJudje[اسم الحساب],0)),0)</f>
        <v>31010101</v>
      </c>
      <c r="G38" s="58" t="s">
        <v>111</v>
      </c>
      <c r="H38"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I38" s="60" t="str">
        <f>INDEX(Tabledaily[العملـــة],MATCH(TableDailyJournal[[#This Row],[رقم العملية]],Tabledaily[رقم العملية],0))</f>
        <v>ريال يمني</v>
      </c>
      <c r="J38" s="59">
        <f>IFERROR(INDEX(Tabledaily[سعــــــر
الصـــــرف],MATCH(C38,Tabledaily[رقم العملية],0)),1)</f>
        <v>405</v>
      </c>
      <c r="K38" s="123" cm="1">
        <f t="array" ref="K38">IFERROR(INDEX(Tabledaily[المبلـــــــغ],MATCH(1,(TableDailyJournal[[#This Row],[رقم العملية]]=Tabledaily[رقم العملية])*(TableDailyJournal[[#This Row],[الحساب]]=Tabledaily[الحســاب المديــــن]),0)),0)</f>
        <v>30000</v>
      </c>
      <c r="L38" s="124" cm="1">
        <f t="array" ref="L38">IFERROR(INDEX(Tabledaily[المبلـــــــغ],MATCH(1,(TableDailyJournal[[#This Row],[رقم العملية]]=Tabledaily[رقم العملية])*(TableDailyJournal[[#This Row],[الحساب]]=Tabledaily[الحســاب الدئـــن]),0)),0)</f>
        <v>0</v>
      </c>
      <c r="M38" s="62">
        <f>IFERROR(TableDailyJournal[[#This Row],[المبلغ مدين]]/TableDailyJournal[[#This Row],[سعــــــر
الصـــــرف]],0)</f>
        <v>74.074074074074076</v>
      </c>
      <c r="N38" s="62">
        <f>IFERROR(TableDailyJournal[[#This Row],[المبلغ دائن]]/TableDailyJournal[[#This Row],[سعــــــر
الصـــــرف]],0)</f>
        <v>0</v>
      </c>
      <c r="O38" s="121" t="str">
        <f>INDEX(Tabledaily[المستفيــــــــد],MATCH(TableDailyJournal[[#This Row],[رقم العملية]],Tabledaily[رقم العملية],0))</f>
        <v>البشرية و الصراف</v>
      </c>
      <c r="P38" s="121" t="str">
        <f>INDEX(Tabledaily[المــــرجـــــــــع],MATCH(TableDailyJournal[[#This Row],[رقم العملية]],Tabledaily[رقم العملية],0))</f>
        <v>كشف صرف</v>
      </c>
      <c r="Q38" s="121" t="str">
        <f>INDEX(Tabledaily[اســـــــم المــــرجــــع],MATCH(TableDailyJournal[[#This Row],[رقم العملية]],Tabledaily[رقم العملية],0))</f>
        <v>كشف صرف</v>
      </c>
      <c r="R38" s="121">
        <f>INDEX(Tabledaily[رقم المـــــرجـــع],MATCH(TableDailyJournal[[#This Row],[رقم العملية]],Tabledaily[رقم العملية],0))</f>
        <v>2</v>
      </c>
      <c r="S38" s="121" t="str">
        <f>INDEX(Tabledaily[مركـــــــزالتكلفــــــة],MATCH(TableDailyJournal[[#This Row],[رقم العملية]],Tabledaily[رقم العملية],0))</f>
        <v>الفرقة الثالثة</v>
      </c>
      <c r="T38" s="121">
        <f>IFERROR(INDEX(tablecost[رقم المركز],MATCH(TableDailyJournal[[#This Row],[مركـــــــزالتكلفــــــة]],tablecost[الاسم],0)),0)</f>
        <v>1</v>
      </c>
      <c r="U38" s="122">
        <f>IFERROR(DATE(TableDailyJournal[[#This Row],[السنــــة]],TableDailyJournal[[#This Row],[الشهــــر]],TableDailyJournal[[#This Row],[الـــــيوم]]),"01-01-2026")</f>
        <v>46175</v>
      </c>
      <c r="V38" s="125">
        <f>INDEX(Tabledaily[تاريخ الإضافة],MATCH(TableDailyJournal[[#This Row],[رقم العملية]],Tabledaily[رقم العملية],0))</f>
        <v>46182.004236111112</v>
      </c>
      <c r="W38" s="58">
        <v>0</v>
      </c>
      <c r="X38" s="58">
        <f>IFERROR(YEAR(TableDailyJournal[[#This Row],[التاريخ]]),"")</f>
        <v>2026</v>
      </c>
      <c r="Y38" s="58">
        <f>IFERROR(MONTH(TableDailyJournal[[#This Row],[التاريخ]]),"")</f>
        <v>6</v>
      </c>
      <c r="Z38" s="58">
        <f>IFERROR(DAY(TableDailyJournal[[#This Row],[التاريخ]]),"")</f>
        <v>2</v>
      </c>
      <c r="AA38"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AB38" s="58">
        <f>INDEX(Tabledaily[جهة الامر],MATCH(TableDailyJournal[[#This Row],[رقم العملية]],Tabledaily[رقم العملية],0))</f>
        <v>0</v>
      </c>
    </row>
    <row r="39" spans="2:28" ht="45.75" x14ac:dyDescent="0.55000000000000004">
      <c r="B39" s="58">
        <f t="shared" si="0"/>
        <v>35</v>
      </c>
      <c r="C39" s="59" t="s">
        <v>382</v>
      </c>
      <c r="D39" s="60">
        <f>INDEX(Tabledaily[date],MATCH(TableDailyJournal[[#This Row],[رقم العملية]],Tabledaily[رقم العملية],0))</f>
        <v>46175</v>
      </c>
      <c r="E39" s="58" t="str">
        <f>INDEX(Tabledaily[نوع العمليــة],MATCH(TableDailyJournal[[#This Row],[رقم العملية]],Tabledaily[رقم العملية],0))</f>
        <v>قيد عهده</v>
      </c>
      <c r="F39" s="58">
        <f>IFERROR(INDEX(TableJudje[رقم الحساب],MATCH(TableDailyJournal[[#This Row],[الحساب]],TableJudje[اسم الحساب],0)),0)</f>
        <v>11060202</v>
      </c>
      <c r="G39" s="58" t="s">
        <v>159</v>
      </c>
      <c r="H39"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I39" s="60" t="str">
        <f>INDEX(Tabledaily[العملـــة],MATCH(TableDailyJournal[[#This Row],[رقم العملية]],Tabledaily[رقم العملية],0))</f>
        <v>ريال يمني</v>
      </c>
      <c r="J39" s="59">
        <f>IFERROR(INDEX(Tabledaily[سعــــــر
الصـــــرف],MATCH(C39,Tabledaily[رقم العملية],0)),1)</f>
        <v>405</v>
      </c>
      <c r="K39" s="123" cm="1">
        <f t="array" ref="K39">IFERROR(INDEX(Tabledaily[المبلـــــــغ],MATCH(1,(TableDailyJournal[[#This Row],[رقم العملية]]=Tabledaily[رقم العملية])*(TableDailyJournal[[#This Row],[الحساب]]=Tabledaily[الحســاب المديــــن]),0)),0)</f>
        <v>0</v>
      </c>
      <c r="L39" s="124" cm="1">
        <f t="array" ref="L39">IFERROR(INDEX(Tabledaily[المبلـــــــغ],MATCH(1,(TableDailyJournal[[#This Row],[رقم العملية]]=Tabledaily[رقم العملية])*(TableDailyJournal[[#This Row],[الحساب]]=Tabledaily[الحســاب الدئـــن]),0)),0)</f>
        <v>30000</v>
      </c>
      <c r="M39" s="62">
        <f>IFERROR(TableDailyJournal[[#This Row],[المبلغ مدين]]/TableDailyJournal[[#This Row],[سعــــــر
الصـــــرف]],0)</f>
        <v>0</v>
      </c>
      <c r="N39" s="62">
        <f>IFERROR(TableDailyJournal[[#This Row],[المبلغ دائن]]/TableDailyJournal[[#This Row],[سعــــــر
الصـــــرف]],0)</f>
        <v>74.074074074074076</v>
      </c>
      <c r="O39" s="121" t="str">
        <f>INDEX(Tabledaily[المستفيــــــــد],MATCH(TableDailyJournal[[#This Row],[رقم العملية]],Tabledaily[رقم العملية],0))</f>
        <v>البشرية و الصراف</v>
      </c>
      <c r="P39" s="121" t="str">
        <f>INDEX(Tabledaily[المــــرجـــــــــع],MATCH(TableDailyJournal[[#This Row],[رقم العملية]],Tabledaily[رقم العملية],0))</f>
        <v>كشف صرف</v>
      </c>
      <c r="Q39" s="121" t="str">
        <f>INDEX(Tabledaily[اســـــــم المــــرجــــع],MATCH(TableDailyJournal[[#This Row],[رقم العملية]],Tabledaily[رقم العملية],0))</f>
        <v>كشف صرف</v>
      </c>
      <c r="R39" s="121">
        <f>INDEX(Tabledaily[رقم المـــــرجـــع],MATCH(TableDailyJournal[[#This Row],[رقم العملية]],Tabledaily[رقم العملية],0))</f>
        <v>2</v>
      </c>
      <c r="S39" s="121" t="str">
        <f>INDEX(Tabledaily[مركـــــــزالتكلفــــــة],MATCH(TableDailyJournal[[#This Row],[رقم العملية]],Tabledaily[رقم العملية],0))</f>
        <v>الفرقة الثالثة</v>
      </c>
      <c r="T39" s="121">
        <f>IFERROR(INDEX(tablecost[رقم المركز],MATCH(TableDailyJournal[[#This Row],[مركـــــــزالتكلفــــــة]],tablecost[الاسم],0)),0)</f>
        <v>1</v>
      </c>
      <c r="U39" s="122">
        <f>IFERROR(DATE(TableDailyJournal[[#This Row],[السنــــة]],TableDailyJournal[[#This Row],[الشهــــر]],TableDailyJournal[[#This Row],[الـــــيوم]]),"01-01-2026")</f>
        <v>46175</v>
      </c>
      <c r="V39" s="125">
        <f>INDEX(Tabledaily[تاريخ الإضافة],MATCH(TableDailyJournal[[#This Row],[رقم العملية]],Tabledaily[رقم العملية],0))</f>
        <v>46182.004236111112</v>
      </c>
      <c r="W39" s="58">
        <v>0</v>
      </c>
      <c r="X39" s="58">
        <f>IFERROR(YEAR(TableDailyJournal[[#This Row],[التاريخ]]),"")</f>
        <v>2026</v>
      </c>
      <c r="Y39" s="58">
        <f>IFERROR(MONTH(TableDailyJournal[[#This Row],[التاريخ]]),"")</f>
        <v>6</v>
      </c>
      <c r="Z39" s="58">
        <f>IFERROR(DAY(TableDailyJournal[[#This Row],[التاريخ]]),"")</f>
        <v>2</v>
      </c>
      <c r="AA39"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AB39" s="58">
        <f>INDEX(Tabledaily[جهة الامر],MATCH(TableDailyJournal[[#This Row],[رقم العملية]],Tabledaily[رقم العملية],0))</f>
        <v>0</v>
      </c>
    </row>
    <row r="40" spans="2:28" ht="45.75" x14ac:dyDescent="0.55000000000000004">
      <c r="B40" s="58">
        <f t="shared" si="0"/>
        <v>36</v>
      </c>
      <c r="C40" s="59" t="s">
        <v>381</v>
      </c>
      <c r="D40" s="60">
        <f>INDEX(Tabledaily[date],MATCH(TableDailyJournal[[#This Row],[رقم العملية]],Tabledaily[رقم العملية],0))</f>
        <v>46175</v>
      </c>
      <c r="E40" s="58" t="str">
        <f>INDEX(Tabledaily[نوع العمليــة],MATCH(TableDailyJournal[[#This Row],[رقم العملية]],Tabledaily[رقم العملية],0))</f>
        <v>قيد عهده</v>
      </c>
      <c r="F40" s="58">
        <f>IFERROR(INDEX(TableJudje[رقم الحساب],MATCH(TableDailyJournal[[#This Row],[الحساب]],TableJudje[اسم الحساب],0)),0)</f>
        <v>31010101</v>
      </c>
      <c r="G40" s="58" t="s">
        <v>111</v>
      </c>
      <c r="H40"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I40" s="60" t="str">
        <f>INDEX(Tabledaily[العملـــة],MATCH(TableDailyJournal[[#This Row],[رقم العملية]],Tabledaily[رقم العملية],0))</f>
        <v>ريال يمني</v>
      </c>
      <c r="J40" s="59">
        <f>IFERROR(INDEX(Tabledaily[سعــــــر
الصـــــرف],MATCH(C40,Tabledaily[رقم العملية],0)),1)</f>
        <v>405</v>
      </c>
      <c r="K40" s="123" cm="1">
        <f t="array" ref="K40">IFERROR(INDEX(Tabledaily[المبلـــــــغ],MATCH(1,(TableDailyJournal[[#This Row],[رقم العملية]]=Tabledaily[رقم العملية])*(TableDailyJournal[[#This Row],[الحساب]]=Tabledaily[الحســاب المديــــن]),0)),0)</f>
        <v>65000</v>
      </c>
      <c r="L40" s="124" cm="1">
        <f t="array" ref="L40">IFERROR(INDEX(Tabledaily[المبلـــــــغ],MATCH(1,(TableDailyJournal[[#This Row],[رقم العملية]]=Tabledaily[رقم العملية])*(TableDailyJournal[[#This Row],[الحساب]]=Tabledaily[الحســاب الدئـــن]),0)),0)</f>
        <v>0</v>
      </c>
      <c r="M40" s="62">
        <f>IFERROR(TableDailyJournal[[#This Row],[المبلغ مدين]]/TableDailyJournal[[#This Row],[سعــــــر
الصـــــرف]],0)</f>
        <v>160.49382716049382</v>
      </c>
      <c r="N40" s="62">
        <f>IFERROR(TableDailyJournal[[#This Row],[المبلغ دائن]]/TableDailyJournal[[#This Row],[سعــــــر
الصـــــرف]],0)</f>
        <v>0</v>
      </c>
      <c r="O40" s="121" t="str">
        <f>INDEX(Tabledaily[المستفيــــــــد],MATCH(TableDailyJournal[[#This Row],[رقم العملية]],Tabledaily[رقم العملية],0))</f>
        <v>الاستخبارات</v>
      </c>
      <c r="P40" s="121" t="str">
        <f>INDEX(Tabledaily[المــــرجـــــــــع],MATCH(TableDailyJournal[[#This Row],[رقم العملية]],Tabledaily[رقم العملية],0))</f>
        <v>كشف صرف</v>
      </c>
      <c r="Q40" s="121" t="str">
        <f>INDEX(Tabledaily[اســـــــم المــــرجــــع],MATCH(TableDailyJournal[[#This Row],[رقم العملية]],Tabledaily[رقم العملية],0))</f>
        <v>كشف صرف</v>
      </c>
      <c r="R40" s="121">
        <f>INDEX(Tabledaily[رقم المـــــرجـــع],MATCH(TableDailyJournal[[#This Row],[رقم العملية]],Tabledaily[رقم العملية],0))</f>
        <v>4</v>
      </c>
      <c r="S40" s="121" t="str">
        <f>INDEX(Tabledaily[مركـــــــزالتكلفــــــة],MATCH(TableDailyJournal[[#This Row],[رقم العملية]],Tabledaily[رقم العملية],0))</f>
        <v>الفرقة الثالثة</v>
      </c>
      <c r="T40" s="121">
        <f>IFERROR(INDEX(tablecost[رقم المركز],MATCH(TableDailyJournal[[#This Row],[مركـــــــزالتكلفــــــة]],tablecost[الاسم],0)),0)</f>
        <v>1</v>
      </c>
      <c r="U40" s="122">
        <f>IFERROR(DATE(TableDailyJournal[[#This Row],[السنــــة]],TableDailyJournal[[#This Row],[الشهــــر]],TableDailyJournal[[#This Row],[الـــــيوم]]),"01-01-2026")</f>
        <v>46175</v>
      </c>
      <c r="V40" s="125">
        <f>INDEX(Tabledaily[تاريخ الإضافة],MATCH(TableDailyJournal[[#This Row],[رقم العملية]],Tabledaily[رقم العملية],0))</f>
        <v>46182.013391203705</v>
      </c>
      <c r="W40" s="58">
        <v>0</v>
      </c>
      <c r="X40" s="58">
        <f>IFERROR(YEAR(TableDailyJournal[[#This Row],[التاريخ]]),"")</f>
        <v>2026</v>
      </c>
      <c r="Y40" s="58">
        <f>IFERROR(MONTH(TableDailyJournal[[#This Row],[التاريخ]]),"")</f>
        <v>6</v>
      </c>
      <c r="Z40" s="58">
        <f>IFERROR(DAY(TableDailyJournal[[#This Row],[التاريخ]]),"")</f>
        <v>2</v>
      </c>
      <c r="AA40"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AB40" s="58">
        <f>INDEX(Tabledaily[جهة الامر],MATCH(TableDailyJournal[[#This Row],[رقم العملية]],Tabledaily[رقم العملية],0))</f>
        <v>0</v>
      </c>
    </row>
    <row r="41" spans="2:28" ht="45.75" x14ac:dyDescent="0.55000000000000004">
      <c r="B41" s="58">
        <f t="shared" si="0"/>
        <v>37</v>
      </c>
      <c r="C41" s="59" t="s">
        <v>381</v>
      </c>
      <c r="D41" s="60">
        <f>INDEX(Tabledaily[date],MATCH(TableDailyJournal[[#This Row],[رقم العملية]],Tabledaily[رقم العملية],0))</f>
        <v>46175</v>
      </c>
      <c r="E41" s="58" t="str">
        <f>INDEX(Tabledaily[نوع العمليــة],MATCH(TableDailyJournal[[#This Row],[رقم العملية]],Tabledaily[رقم العملية],0))</f>
        <v>قيد عهده</v>
      </c>
      <c r="F41" s="58">
        <f>IFERROR(INDEX(TableJudje[رقم الحساب],MATCH(TableDailyJournal[[#This Row],[الحساب]],TableJudje[اسم الحساب],0)),0)</f>
        <v>11060202</v>
      </c>
      <c r="G41" s="58" t="s">
        <v>159</v>
      </c>
      <c r="H41"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I41" s="60" t="str">
        <f>INDEX(Tabledaily[العملـــة],MATCH(TableDailyJournal[[#This Row],[رقم العملية]],Tabledaily[رقم العملية],0))</f>
        <v>ريال يمني</v>
      </c>
      <c r="J41" s="59">
        <f>IFERROR(INDEX(Tabledaily[سعــــــر
الصـــــرف],MATCH(C41,Tabledaily[رقم العملية],0)),1)</f>
        <v>405</v>
      </c>
      <c r="K41" s="123" cm="1">
        <f t="array" ref="K41">IFERROR(INDEX(Tabledaily[المبلـــــــغ],MATCH(1,(TableDailyJournal[[#This Row],[رقم العملية]]=Tabledaily[رقم العملية])*(TableDailyJournal[[#This Row],[الحساب]]=Tabledaily[الحســاب المديــــن]),0)),0)</f>
        <v>0</v>
      </c>
      <c r="L41" s="124" cm="1">
        <f t="array" ref="L41">IFERROR(INDEX(Tabledaily[المبلـــــــغ],MATCH(1,(TableDailyJournal[[#This Row],[رقم العملية]]=Tabledaily[رقم العملية])*(TableDailyJournal[[#This Row],[الحساب]]=Tabledaily[الحســاب الدئـــن]),0)),0)</f>
        <v>65000</v>
      </c>
      <c r="M41" s="62">
        <f>IFERROR(TableDailyJournal[[#This Row],[المبلغ مدين]]/TableDailyJournal[[#This Row],[سعــــــر
الصـــــرف]],0)</f>
        <v>0</v>
      </c>
      <c r="N41" s="62">
        <f>IFERROR(TableDailyJournal[[#This Row],[المبلغ دائن]]/TableDailyJournal[[#This Row],[سعــــــر
الصـــــرف]],0)</f>
        <v>160.49382716049382</v>
      </c>
      <c r="O41" s="121" t="str">
        <f>INDEX(Tabledaily[المستفيــــــــد],MATCH(TableDailyJournal[[#This Row],[رقم العملية]],Tabledaily[رقم العملية],0))</f>
        <v>الاستخبارات</v>
      </c>
      <c r="P41" s="121" t="str">
        <f>INDEX(Tabledaily[المــــرجـــــــــع],MATCH(TableDailyJournal[[#This Row],[رقم العملية]],Tabledaily[رقم العملية],0))</f>
        <v>كشف صرف</v>
      </c>
      <c r="Q41" s="121" t="str">
        <f>INDEX(Tabledaily[اســـــــم المــــرجــــع],MATCH(TableDailyJournal[[#This Row],[رقم العملية]],Tabledaily[رقم العملية],0))</f>
        <v>كشف صرف</v>
      </c>
      <c r="R41" s="121">
        <f>INDEX(Tabledaily[رقم المـــــرجـــع],MATCH(TableDailyJournal[[#This Row],[رقم العملية]],Tabledaily[رقم العملية],0))</f>
        <v>4</v>
      </c>
      <c r="S41" s="121" t="str">
        <f>INDEX(Tabledaily[مركـــــــزالتكلفــــــة],MATCH(TableDailyJournal[[#This Row],[رقم العملية]],Tabledaily[رقم العملية],0))</f>
        <v>الفرقة الثالثة</v>
      </c>
      <c r="T41" s="121">
        <f>IFERROR(INDEX(tablecost[رقم المركز],MATCH(TableDailyJournal[[#This Row],[مركـــــــزالتكلفــــــة]],tablecost[الاسم],0)),0)</f>
        <v>1</v>
      </c>
      <c r="U41" s="122">
        <f>IFERROR(DATE(TableDailyJournal[[#This Row],[السنــــة]],TableDailyJournal[[#This Row],[الشهــــر]],TableDailyJournal[[#This Row],[الـــــيوم]]),"01-01-2026")</f>
        <v>46175</v>
      </c>
      <c r="V41" s="125">
        <f>INDEX(Tabledaily[تاريخ الإضافة],MATCH(TableDailyJournal[[#This Row],[رقم العملية]],Tabledaily[رقم العملية],0))</f>
        <v>46182.013391203705</v>
      </c>
      <c r="W41" s="58">
        <v>0</v>
      </c>
      <c r="X41" s="58">
        <f>IFERROR(YEAR(TableDailyJournal[[#This Row],[التاريخ]]),"")</f>
        <v>2026</v>
      </c>
      <c r="Y41" s="58">
        <f>IFERROR(MONTH(TableDailyJournal[[#This Row],[التاريخ]]),"")</f>
        <v>6</v>
      </c>
      <c r="Z41" s="58">
        <f>IFERROR(DAY(TableDailyJournal[[#This Row],[التاريخ]]),"")</f>
        <v>2</v>
      </c>
      <c r="AA41"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AB41" s="58">
        <f>INDEX(Tabledaily[جهة الامر],MATCH(TableDailyJournal[[#This Row],[رقم العملية]],Tabledaily[رقم العملية],0))</f>
        <v>0</v>
      </c>
    </row>
    <row r="42" spans="2:28" ht="45.75" x14ac:dyDescent="0.55000000000000004">
      <c r="B42" s="58">
        <f t="shared" si="0"/>
        <v>38</v>
      </c>
      <c r="C42" s="59" t="s">
        <v>379</v>
      </c>
      <c r="D42" s="60">
        <f>INDEX(Tabledaily[date],MATCH(TableDailyJournal[[#This Row],[رقم العملية]],Tabledaily[رقم العملية],0))</f>
        <v>46175</v>
      </c>
      <c r="E42" s="58" t="str">
        <f>INDEX(Tabledaily[نوع العمليــة],MATCH(TableDailyJournal[[#This Row],[رقم العملية]],Tabledaily[رقم العملية],0))</f>
        <v>قيد عهده</v>
      </c>
      <c r="F42" s="58">
        <f>IFERROR(INDEX(TableJudje[رقم الحساب],MATCH(TableDailyJournal[[#This Row],[الحساب]],TableJudje[اسم الحساب],0)),0)</f>
        <v>31010101</v>
      </c>
      <c r="G42" s="58" t="s">
        <v>111</v>
      </c>
      <c r="H42"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صررف صرفة يومية للمستشارين والمساعدين 3 بامر</v>
      </c>
      <c r="I42" s="60" t="str">
        <f>INDEX(Tabledaily[العملـــة],MATCH(TableDailyJournal[[#This Row],[رقم العملية]],Tabledaily[رقم العملية],0))</f>
        <v>ريال يمني</v>
      </c>
      <c r="J42" s="59">
        <f>IFERROR(INDEX(Tabledaily[سعــــــر
الصـــــرف],MATCH(C42,Tabledaily[رقم العملية],0)),1)</f>
        <v>405</v>
      </c>
      <c r="K42" s="123" cm="1">
        <f t="array" ref="K42">IFERROR(INDEX(Tabledaily[المبلـــــــغ],MATCH(1,(TableDailyJournal[[#This Row],[رقم العملية]]=Tabledaily[رقم العملية])*(TableDailyJournal[[#This Row],[الحساب]]=Tabledaily[الحســاب المديــــن]),0)),0)</f>
        <v>30000</v>
      </c>
      <c r="L42" s="124" cm="1">
        <f t="array" ref="L42">IFERROR(INDEX(Tabledaily[المبلـــــــغ],MATCH(1,(TableDailyJournal[[#This Row],[رقم العملية]]=Tabledaily[رقم العملية])*(TableDailyJournal[[#This Row],[الحساب]]=Tabledaily[الحســاب الدئـــن]),0)),0)</f>
        <v>0</v>
      </c>
      <c r="M42" s="62">
        <f>IFERROR(TableDailyJournal[[#This Row],[المبلغ مدين]]/TableDailyJournal[[#This Row],[سعــــــر
الصـــــرف]],0)</f>
        <v>74.074074074074076</v>
      </c>
      <c r="N42" s="62">
        <f>IFERROR(TableDailyJournal[[#This Row],[المبلغ دائن]]/TableDailyJournal[[#This Row],[سعــــــر
الصـــــرف]],0)</f>
        <v>0</v>
      </c>
      <c r="O42" s="121" t="str">
        <f>INDEX(Tabledaily[المستفيــــــــد],MATCH(TableDailyJournal[[#This Row],[رقم العملية]],Tabledaily[رقم العملية],0))</f>
        <v>المستشارين والمساعدين</v>
      </c>
      <c r="P42" s="121" t="str">
        <f>INDEX(Tabledaily[المــــرجـــــــــع],MATCH(TableDailyJournal[[#This Row],[رقم العملية]],Tabledaily[رقم العملية],0))</f>
        <v>كشف صرف</v>
      </c>
      <c r="Q42" s="121" t="str">
        <f>INDEX(Tabledaily[اســـــــم المــــرجــــع],MATCH(TableDailyJournal[[#This Row],[رقم العملية]],Tabledaily[رقم العملية],0))</f>
        <v>كشف صرف</v>
      </c>
      <c r="R42" s="121">
        <f>INDEX(Tabledaily[رقم المـــــرجـــع],MATCH(TableDailyJournal[[#This Row],[رقم العملية]],Tabledaily[رقم العملية],0))</f>
        <v>3</v>
      </c>
      <c r="S42" s="121" t="str">
        <f>INDEX(Tabledaily[مركـــــــزالتكلفــــــة],MATCH(TableDailyJournal[[#This Row],[رقم العملية]],Tabledaily[رقم العملية],0))</f>
        <v>الفرقة الثالثة</v>
      </c>
      <c r="T42" s="121">
        <f>IFERROR(INDEX(tablecost[رقم المركز],MATCH(TableDailyJournal[[#This Row],[مركـــــــزالتكلفــــــة]],tablecost[الاسم],0)),0)</f>
        <v>1</v>
      </c>
      <c r="U42" s="122">
        <f>IFERROR(DATE(TableDailyJournal[[#This Row],[السنــــة]],TableDailyJournal[[#This Row],[الشهــــر]],TableDailyJournal[[#This Row],[الـــــيوم]]),"01-01-2026")</f>
        <v>46175</v>
      </c>
      <c r="V42" s="125">
        <f>INDEX(Tabledaily[تاريخ الإضافة],MATCH(TableDailyJournal[[#This Row],[رقم العملية]],Tabledaily[رقم العملية],0))</f>
        <v>46182.018229166664</v>
      </c>
      <c r="W42" s="58">
        <v>0</v>
      </c>
      <c r="X42" s="58">
        <f>IFERROR(YEAR(TableDailyJournal[[#This Row],[التاريخ]]),"")</f>
        <v>2026</v>
      </c>
      <c r="Y42" s="58">
        <f>IFERROR(MONTH(TableDailyJournal[[#This Row],[التاريخ]]),"")</f>
        <v>6</v>
      </c>
      <c r="Z42" s="58">
        <f>IFERROR(DAY(TableDailyJournal[[#This Row],[التاريخ]]),"")</f>
        <v>2</v>
      </c>
      <c r="AA42"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صررف صرفة يومية للمستشارين والمساعدين 3 بامر</v>
      </c>
      <c r="AB42" s="58">
        <f>INDEX(Tabledaily[جهة الامر],MATCH(TableDailyJournal[[#This Row],[رقم العملية]],Tabledaily[رقم العملية],0))</f>
        <v>0</v>
      </c>
    </row>
    <row r="43" spans="2:28" ht="45.75" x14ac:dyDescent="0.55000000000000004">
      <c r="B43" s="58">
        <f t="shared" si="0"/>
        <v>39</v>
      </c>
      <c r="C43" s="59" t="s">
        <v>379</v>
      </c>
      <c r="D43" s="60">
        <f>INDEX(Tabledaily[date],MATCH(TableDailyJournal[[#This Row],[رقم العملية]],Tabledaily[رقم العملية],0))</f>
        <v>46175</v>
      </c>
      <c r="E43" s="58" t="str">
        <f>INDEX(Tabledaily[نوع العمليــة],MATCH(TableDailyJournal[[#This Row],[رقم العملية]],Tabledaily[رقم العملية],0))</f>
        <v>قيد عهده</v>
      </c>
      <c r="F43" s="58">
        <f>IFERROR(INDEX(TableJudje[رقم الحساب],MATCH(TableDailyJournal[[#This Row],[الحساب]],TableJudje[اسم الحساب],0)),0)</f>
        <v>11060202</v>
      </c>
      <c r="G43" s="58" t="s">
        <v>159</v>
      </c>
      <c r="H43"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صررف صرفة يومية للمستشارين والمساعدين 3 بامر</v>
      </c>
      <c r="I43" s="60" t="str">
        <f>INDEX(Tabledaily[العملـــة],MATCH(TableDailyJournal[[#This Row],[رقم العملية]],Tabledaily[رقم العملية],0))</f>
        <v>ريال يمني</v>
      </c>
      <c r="J43" s="59">
        <f>IFERROR(INDEX(Tabledaily[سعــــــر
الصـــــرف],MATCH(C43,Tabledaily[رقم العملية],0)),1)</f>
        <v>405</v>
      </c>
      <c r="K43" s="123" cm="1">
        <f t="array" ref="K43">IFERROR(INDEX(Tabledaily[المبلـــــــغ],MATCH(1,(TableDailyJournal[[#This Row],[رقم العملية]]=Tabledaily[رقم العملية])*(TableDailyJournal[[#This Row],[الحساب]]=Tabledaily[الحســاب المديــــن]),0)),0)</f>
        <v>0</v>
      </c>
      <c r="L43" s="124" cm="1">
        <f t="array" ref="L43">IFERROR(INDEX(Tabledaily[المبلـــــــغ],MATCH(1,(TableDailyJournal[[#This Row],[رقم العملية]]=Tabledaily[رقم العملية])*(TableDailyJournal[[#This Row],[الحساب]]=Tabledaily[الحســاب الدئـــن]),0)),0)</f>
        <v>30000</v>
      </c>
      <c r="M43" s="62">
        <f>IFERROR(TableDailyJournal[[#This Row],[المبلغ مدين]]/TableDailyJournal[[#This Row],[سعــــــر
الصـــــرف]],0)</f>
        <v>0</v>
      </c>
      <c r="N43" s="62">
        <f>IFERROR(TableDailyJournal[[#This Row],[المبلغ دائن]]/TableDailyJournal[[#This Row],[سعــــــر
الصـــــرف]],0)</f>
        <v>74.074074074074076</v>
      </c>
      <c r="O43" s="121" t="str">
        <f>INDEX(Tabledaily[المستفيــــــــد],MATCH(TableDailyJournal[[#This Row],[رقم العملية]],Tabledaily[رقم العملية],0))</f>
        <v>المستشارين والمساعدين</v>
      </c>
      <c r="P43" s="121" t="str">
        <f>INDEX(Tabledaily[المــــرجـــــــــع],MATCH(TableDailyJournal[[#This Row],[رقم العملية]],Tabledaily[رقم العملية],0))</f>
        <v>كشف صرف</v>
      </c>
      <c r="Q43" s="121" t="str">
        <f>INDEX(Tabledaily[اســـــــم المــــرجــــع],MATCH(TableDailyJournal[[#This Row],[رقم العملية]],Tabledaily[رقم العملية],0))</f>
        <v>كشف صرف</v>
      </c>
      <c r="R43" s="121">
        <f>INDEX(Tabledaily[رقم المـــــرجـــع],MATCH(TableDailyJournal[[#This Row],[رقم العملية]],Tabledaily[رقم العملية],0))</f>
        <v>3</v>
      </c>
      <c r="S43" s="121" t="str">
        <f>INDEX(Tabledaily[مركـــــــزالتكلفــــــة],MATCH(TableDailyJournal[[#This Row],[رقم العملية]],Tabledaily[رقم العملية],0))</f>
        <v>الفرقة الثالثة</v>
      </c>
      <c r="T43" s="121">
        <f>IFERROR(INDEX(tablecost[رقم المركز],MATCH(TableDailyJournal[[#This Row],[مركـــــــزالتكلفــــــة]],tablecost[الاسم],0)),0)</f>
        <v>1</v>
      </c>
      <c r="U43" s="122">
        <f>IFERROR(DATE(TableDailyJournal[[#This Row],[السنــــة]],TableDailyJournal[[#This Row],[الشهــــر]],TableDailyJournal[[#This Row],[الـــــيوم]]),"01-01-2026")</f>
        <v>46175</v>
      </c>
      <c r="V43" s="125">
        <f>INDEX(Tabledaily[تاريخ الإضافة],MATCH(TableDailyJournal[[#This Row],[رقم العملية]],Tabledaily[رقم العملية],0))</f>
        <v>46182.018229166664</v>
      </c>
      <c r="W43" s="58">
        <v>0</v>
      </c>
      <c r="X43" s="58">
        <f>IFERROR(YEAR(TableDailyJournal[[#This Row],[التاريخ]]),"")</f>
        <v>2026</v>
      </c>
      <c r="Y43" s="58">
        <f>IFERROR(MONTH(TableDailyJournal[[#This Row],[التاريخ]]),"")</f>
        <v>6</v>
      </c>
      <c r="Z43" s="58">
        <f>IFERROR(DAY(TableDailyJournal[[#This Row],[التاريخ]]),"")</f>
        <v>2</v>
      </c>
      <c r="AA43"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صررف صرفة يومية للمستشارين والمساعدين 3 بامر</v>
      </c>
      <c r="AB43" s="58">
        <f>INDEX(Tabledaily[جهة الامر],MATCH(TableDailyJournal[[#This Row],[رقم العملية]],Tabledaily[رقم العملية],0))</f>
        <v>0</v>
      </c>
    </row>
    <row r="44" spans="2:28" ht="45.75" x14ac:dyDescent="0.55000000000000004">
      <c r="B44" s="58">
        <f t="shared" si="0"/>
        <v>40</v>
      </c>
      <c r="C44" s="59" t="s">
        <v>378</v>
      </c>
      <c r="D44" s="60">
        <f>INDEX(Tabledaily[date],MATCH(TableDailyJournal[[#This Row],[رقم العملية]],Tabledaily[رقم العملية],0))</f>
        <v>46175</v>
      </c>
      <c r="E44" s="58" t="str">
        <f>INDEX(Tabledaily[نوع العمليــة],MATCH(TableDailyJournal[[#This Row],[رقم العملية]],Tabledaily[رقم العملية],0))</f>
        <v>قيد عهده</v>
      </c>
      <c r="F44" s="58">
        <f>IFERROR(INDEX(TableJudje[رقم الحساب],MATCH(TableDailyJournal[[#This Row],[الحساب]],TableJudje[اسم الحساب],0)),0)</f>
        <v>31010101</v>
      </c>
      <c r="G44" s="58" t="s">
        <v>111</v>
      </c>
      <c r="H44"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I44" s="60" t="str">
        <f>INDEX(Tabledaily[العملـــة],MATCH(TableDailyJournal[[#This Row],[رقم العملية]],Tabledaily[رقم العملية],0))</f>
        <v>ريال يمني</v>
      </c>
      <c r="J44" s="59">
        <f>IFERROR(INDEX(Tabledaily[سعــــــر
الصـــــرف],MATCH(C44,Tabledaily[رقم العملية],0)),1)</f>
        <v>405</v>
      </c>
      <c r="K44" s="123" cm="1">
        <f t="array" ref="K44">IFERROR(INDEX(Tabledaily[المبلـــــــغ],MATCH(1,(TableDailyJournal[[#This Row],[رقم العملية]]=Tabledaily[رقم العملية])*(TableDailyJournal[[#This Row],[الحساب]]=Tabledaily[الحســاب المديــــن]),0)),0)</f>
        <v>32000</v>
      </c>
      <c r="L44" s="124" cm="1">
        <f t="array" ref="L44">IFERROR(INDEX(Tabledaily[المبلـــــــغ],MATCH(1,(TableDailyJournal[[#This Row],[رقم العملية]]=Tabledaily[رقم العملية])*(TableDailyJournal[[#This Row],[الحساب]]=Tabledaily[الحســاب الدئـــن]),0)),0)</f>
        <v>0</v>
      </c>
      <c r="M44" s="62">
        <f>IFERROR(TableDailyJournal[[#This Row],[المبلغ مدين]]/TableDailyJournal[[#This Row],[سعــــــر
الصـــــرف]],0)</f>
        <v>79.012345679012341</v>
      </c>
      <c r="N44" s="62">
        <f>IFERROR(TableDailyJournal[[#This Row],[المبلغ دائن]]/TableDailyJournal[[#This Row],[سعــــــر
الصـــــرف]],0)</f>
        <v>0</v>
      </c>
      <c r="O44" s="121" t="str">
        <f>INDEX(Tabledaily[المستفيــــــــد],MATCH(TableDailyJournal[[#This Row],[رقم العملية]],Tabledaily[رقم العملية],0))</f>
        <v>الطبية والمحاسبين</v>
      </c>
      <c r="P44" s="121" t="str">
        <f>INDEX(Tabledaily[المــــرجـــــــــع],MATCH(TableDailyJournal[[#This Row],[رقم العملية]],Tabledaily[رقم العملية],0))</f>
        <v>كشف صرف</v>
      </c>
      <c r="Q44" s="121" t="str">
        <f>INDEX(Tabledaily[اســـــــم المــــرجــــع],MATCH(TableDailyJournal[[#This Row],[رقم العملية]],Tabledaily[رقم العملية],0))</f>
        <v>كشف صرف</v>
      </c>
      <c r="R44" s="121">
        <f>INDEX(Tabledaily[رقم المـــــرجـــع],MATCH(TableDailyJournal[[#This Row],[رقم العملية]],Tabledaily[رقم العملية],0))</f>
        <v>5</v>
      </c>
      <c r="S44" s="121" t="str">
        <f>INDEX(Tabledaily[مركـــــــزالتكلفــــــة],MATCH(TableDailyJournal[[#This Row],[رقم العملية]],Tabledaily[رقم العملية],0))</f>
        <v>الفرقة الثالثة</v>
      </c>
      <c r="T44" s="121">
        <f>IFERROR(INDEX(tablecost[رقم المركز],MATCH(TableDailyJournal[[#This Row],[مركـــــــزالتكلفــــــة]],tablecost[الاسم],0)),0)</f>
        <v>1</v>
      </c>
      <c r="U44" s="122">
        <f>IFERROR(DATE(TableDailyJournal[[#This Row],[السنــــة]],TableDailyJournal[[#This Row],[الشهــــر]],TableDailyJournal[[#This Row],[الـــــيوم]]),"01-01-2026")</f>
        <v>46175</v>
      </c>
      <c r="V44" s="125">
        <f>INDEX(Tabledaily[تاريخ الإضافة],MATCH(TableDailyJournal[[#This Row],[رقم العملية]],Tabledaily[رقم العملية],0))</f>
        <v>46182.025324074071</v>
      </c>
      <c r="W44" s="58">
        <v>0</v>
      </c>
      <c r="X44" s="58">
        <f>IFERROR(YEAR(TableDailyJournal[[#This Row],[التاريخ]]),"")</f>
        <v>2026</v>
      </c>
      <c r="Y44" s="58">
        <f>IFERROR(MONTH(TableDailyJournal[[#This Row],[التاريخ]]),"")</f>
        <v>6</v>
      </c>
      <c r="Z44" s="58">
        <f>IFERROR(DAY(TableDailyJournal[[#This Row],[التاريخ]]),"")</f>
        <v>2</v>
      </c>
      <c r="AA44"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AB44" s="58">
        <f>INDEX(Tabledaily[جهة الامر],MATCH(TableDailyJournal[[#This Row],[رقم العملية]],Tabledaily[رقم العملية],0))</f>
        <v>0</v>
      </c>
    </row>
    <row r="45" spans="2:28" ht="45.75" x14ac:dyDescent="0.55000000000000004">
      <c r="B45" s="58">
        <f t="shared" si="0"/>
        <v>41</v>
      </c>
      <c r="C45" s="59" t="s">
        <v>378</v>
      </c>
      <c r="D45" s="60">
        <f>INDEX(Tabledaily[date],MATCH(TableDailyJournal[[#This Row],[رقم العملية]],Tabledaily[رقم العملية],0))</f>
        <v>46175</v>
      </c>
      <c r="E45" s="58" t="str">
        <f>INDEX(Tabledaily[نوع العمليــة],MATCH(TableDailyJournal[[#This Row],[رقم العملية]],Tabledaily[رقم العملية],0))</f>
        <v>قيد عهده</v>
      </c>
      <c r="F45" s="58">
        <f>IFERROR(INDEX(TableJudje[رقم الحساب],MATCH(TableDailyJournal[[#This Row],[الحساب]],TableJudje[اسم الحساب],0)),0)</f>
        <v>11060202</v>
      </c>
      <c r="G45" s="58" t="s">
        <v>159</v>
      </c>
      <c r="H45"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I45" s="60" t="str">
        <f>INDEX(Tabledaily[العملـــة],MATCH(TableDailyJournal[[#This Row],[رقم العملية]],Tabledaily[رقم العملية],0))</f>
        <v>ريال يمني</v>
      </c>
      <c r="J45" s="59">
        <f>IFERROR(INDEX(Tabledaily[سعــــــر
الصـــــرف],MATCH(C45,Tabledaily[رقم العملية],0)),1)</f>
        <v>405</v>
      </c>
      <c r="K45" s="123" cm="1">
        <f t="array" ref="K45">IFERROR(INDEX(Tabledaily[المبلـــــــغ],MATCH(1,(TableDailyJournal[[#This Row],[رقم العملية]]=Tabledaily[رقم العملية])*(TableDailyJournal[[#This Row],[الحساب]]=Tabledaily[الحســاب المديــــن]),0)),0)</f>
        <v>0</v>
      </c>
      <c r="L45" s="124" cm="1">
        <f t="array" ref="L45">IFERROR(INDEX(Tabledaily[المبلـــــــغ],MATCH(1,(TableDailyJournal[[#This Row],[رقم العملية]]=Tabledaily[رقم العملية])*(TableDailyJournal[[#This Row],[الحساب]]=Tabledaily[الحســاب الدئـــن]),0)),0)</f>
        <v>32000</v>
      </c>
      <c r="M45" s="62">
        <f>IFERROR(TableDailyJournal[[#This Row],[المبلغ مدين]]/TableDailyJournal[[#This Row],[سعــــــر
الصـــــرف]],0)</f>
        <v>0</v>
      </c>
      <c r="N45" s="62">
        <f>IFERROR(TableDailyJournal[[#This Row],[المبلغ دائن]]/TableDailyJournal[[#This Row],[سعــــــر
الصـــــرف]],0)</f>
        <v>79.012345679012341</v>
      </c>
      <c r="O45" s="121" t="str">
        <f>INDEX(Tabledaily[المستفيــــــــد],MATCH(TableDailyJournal[[#This Row],[رقم العملية]],Tabledaily[رقم العملية],0))</f>
        <v>الطبية والمحاسبين</v>
      </c>
      <c r="P45" s="121" t="str">
        <f>INDEX(Tabledaily[المــــرجـــــــــع],MATCH(TableDailyJournal[[#This Row],[رقم العملية]],Tabledaily[رقم العملية],0))</f>
        <v>كشف صرف</v>
      </c>
      <c r="Q45" s="121" t="str">
        <f>INDEX(Tabledaily[اســـــــم المــــرجــــع],MATCH(TableDailyJournal[[#This Row],[رقم العملية]],Tabledaily[رقم العملية],0))</f>
        <v>كشف صرف</v>
      </c>
      <c r="R45" s="121">
        <f>INDEX(Tabledaily[رقم المـــــرجـــع],MATCH(TableDailyJournal[[#This Row],[رقم العملية]],Tabledaily[رقم العملية],0))</f>
        <v>5</v>
      </c>
      <c r="S45" s="121" t="str">
        <f>INDEX(Tabledaily[مركـــــــزالتكلفــــــة],MATCH(TableDailyJournal[[#This Row],[رقم العملية]],Tabledaily[رقم العملية],0))</f>
        <v>الفرقة الثالثة</v>
      </c>
      <c r="T45" s="121">
        <f>IFERROR(INDEX(tablecost[رقم المركز],MATCH(TableDailyJournal[[#This Row],[مركـــــــزالتكلفــــــة]],tablecost[الاسم],0)),0)</f>
        <v>1</v>
      </c>
      <c r="U45" s="122">
        <f>IFERROR(DATE(TableDailyJournal[[#This Row],[السنــــة]],TableDailyJournal[[#This Row],[الشهــــر]],TableDailyJournal[[#This Row],[الـــــيوم]]),"01-01-2026")</f>
        <v>46175</v>
      </c>
      <c r="V45" s="125">
        <f>INDEX(Tabledaily[تاريخ الإضافة],MATCH(TableDailyJournal[[#This Row],[رقم العملية]],Tabledaily[رقم العملية],0))</f>
        <v>46182.025324074071</v>
      </c>
      <c r="W45" s="58">
        <v>0</v>
      </c>
      <c r="X45" s="58">
        <f>IFERROR(YEAR(TableDailyJournal[[#This Row],[التاريخ]]),"")</f>
        <v>2026</v>
      </c>
      <c r="Y45" s="58">
        <f>IFERROR(MONTH(TableDailyJournal[[#This Row],[التاريخ]]),"")</f>
        <v>6</v>
      </c>
      <c r="Z45" s="58">
        <f>IFERROR(DAY(TableDailyJournal[[#This Row],[التاريخ]]),"")</f>
        <v>2</v>
      </c>
      <c r="AA45"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AB45" s="58">
        <f>INDEX(Tabledaily[جهة الامر],MATCH(TableDailyJournal[[#This Row],[رقم العملية]],Tabledaily[رقم العملية],0))</f>
        <v>0</v>
      </c>
    </row>
    <row r="46" spans="2:28" ht="45.75" x14ac:dyDescent="0.55000000000000004">
      <c r="B46" s="58">
        <f t="shared" si="0"/>
        <v>42</v>
      </c>
      <c r="C46" s="59" t="s">
        <v>377</v>
      </c>
      <c r="D46" s="60">
        <f>INDEX(Tabledaily[date],MATCH(TableDailyJournal[[#This Row],[رقم العملية]],Tabledaily[رقم العملية],0))</f>
        <v>46175</v>
      </c>
      <c r="E46" s="58" t="str">
        <f>INDEX(Tabledaily[نوع العمليــة],MATCH(TableDailyJournal[[#This Row],[رقم العملية]],Tabledaily[رقم العملية],0))</f>
        <v>قيد عهده</v>
      </c>
      <c r="F46" s="58">
        <f>IFERROR(INDEX(TableJudje[رقم الحساب],MATCH(TableDailyJournal[[#This Row],[الحساب]],TableJudje[اسم الحساب],0)),0)</f>
        <v>31010101</v>
      </c>
      <c r="G46" s="58" t="s">
        <v>111</v>
      </c>
      <c r="H46"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I46" s="60" t="str">
        <f>INDEX(Tabledaily[العملـــة],MATCH(TableDailyJournal[[#This Row],[رقم العملية]],Tabledaily[رقم العملية],0))</f>
        <v>ريال يمني</v>
      </c>
      <c r="J46" s="59">
        <f>IFERROR(INDEX(Tabledaily[سعــــــر
الصـــــرف],MATCH(C46,Tabledaily[رقم العملية],0)),1)</f>
        <v>405</v>
      </c>
      <c r="K46" s="123" cm="1">
        <f t="array" ref="K46">IFERROR(INDEX(Tabledaily[المبلـــــــغ],MATCH(1,(TableDailyJournal[[#This Row],[رقم العملية]]=Tabledaily[رقم العملية])*(TableDailyJournal[[#This Row],[الحساب]]=Tabledaily[الحســاب المديــــن]),0)),0)</f>
        <v>135000</v>
      </c>
      <c r="L46" s="124" cm="1">
        <f t="array" ref="L46">IFERROR(INDEX(Tabledaily[المبلـــــــغ],MATCH(1,(TableDailyJournal[[#This Row],[رقم العملية]]=Tabledaily[رقم العملية])*(TableDailyJournal[[#This Row],[الحساب]]=Tabledaily[الحســاب الدئـــن]),0)),0)</f>
        <v>0</v>
      </c>
      <c r="M46" s="62">
        <f>IFERROR(TableDailyJournal[[#This Row],[المبلغ مدين]]/TableDailyJournal[[#This Row],[سعــــــر
الصـــــرف]],0)</f>
        <v>333.33333333333331</v>
      </c>
      <c r="N46" s="62">
        <f>IFERROR(TableDailyJournal[[#This Row],[المبلغ دائن]]/TableDailyJournal[[#This Row],[سعــــــر
الصـــــرف]],0)</f>
        <v>0</v>
      </c>
      <c r="O46" s="121" t="str">
        <f>INDEX(Tabledaily[المستفيــــــــد],MATCH(TableDailyJournal[[#This Row],[رقم العملية]],Tabledaily[رقم العملية],0))</f>
        <v>الضباط السابقين</v>
      </c>
      <c r="P46" s="121" t="str">
        <f>INDEX(Tabledaily[المــــرجـــــــــع],MATCH(TableDailyJournal[[#This Row],[رقم العملية]],Tabledaily[رقم العملية],0))</f>
        <v>كشف صرف</v>
      </c>
      <c r="Q46" s="121" t="str">
        <f>INDEX(Tabledaily[اســـــــم المــــرجــــع],MATCH(TableDailyJournal[[#This Row],[رقم العملية]],Tabledaily[رقم العملية],0))</f>
        <v>كشف صرف</v>
      </c>
      <c r="R46" s="121">
        <f>INDEX(Tabledaily[رقم المـــــرجـــع],MATCH(TableDailyJournal[[#This Row],[رقم العملية]],Tabledaily[رقم العملية],0))</f>
        <v>8</v>
      </c>
      <c r="S46" s="121" t="str">
        <f>INDEX(Tabledaily[مركـــــــزالتكلفــــــة],MATCH(TableDailyJournal[[#This Row],[رقم العملية]],Tabledaily[رقم العملية],0))</f>
        <v>الفرقة الثالثة</v>
      </c>
      <c r="T46" s="121">
        <f>IFERROR(INDEX(tablecost[رقم المركز],MATCH(TableDailyJournal[[#This Row],[مركـــــــزالتكلفــــــة]],tablecost[الاسم],0)),0)</f>
        <v>1</v>
      </c>
      <c r="U46" s="122">
        <f>IFERROR(DATE(TableDailyJournal[[#This Row],[السنــــة]],TableDailyJournal[[#This Row],[الشهــــر]],TableDailyJournal[[#This Row],[الـــــيوم]]),"01-01-2026")</f>
        <v>46175</v>
      </c>
      <c r="V46" s="125">
        <f>INDEX(Tabledaily[تاريخ الإضافة],MATCH(TableDailyJournal[[#This Row],[رقم العملية]],Tabledaily[رقم العملية],0))</f>
        <v>46182.026145833333</v>
      </c>
      <c r="W46" s="58">
        <v>0</v>
      </c>
      <c r="X46" s="58">
        <f>IFERROR(YEAR(TableDailyJournal[[#This Row],[التاريخ]]),"")</f>
        <v>2026</v>
      </c>
      <c r="Y46" s="58">
        <f>IFERROR(MONTH(TableDailyJournal[[#This Row],[التاريخ]]),"")</f>
        <v>6</v>
      </c>
      <c r="Z46" s="58">
        <f>IFERROR(DAY(TableDailyJournal[[#This Row],[التاريخ]]),"")</f>
        <v>2</v>
      </c>
      <c r="AA46"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AB46" s="58">
        <f>INDEX(Tabledaily[جهة الامر],MATCH(TableDailyJournal[[#This Row],[رقم العملية]],Tabledaily[رقم العملية],0))</f>
        <v>0</v>
      </c>
    </row>
    <row r="47" spans="2:28" ht="45.75" x14ac:dyDescent="0.55000000000000004">
      <c r="B47" s="58">
        <f t="shared" si="0"/>
        <v>43</v>
      </c>
      <c r="C47" s="59" t="s">
        <v>377</v>
      </c>
      <c r="D47" s="60">
        <f>INDEX(Tabledaily[date],MATCH(TableDailyJournal[[#This Row],[رقم العملية]],Tabledaily[رقم العملية],0))</f>
        <v>46175</v>
      </c>
      <c r="E47" s="58" t="str">
        <f>INDEX(Tabledaily[نوع العمليــة],MATCH(TableDailyJournal[[#This Row],[رقم العملية]],Tabledaily[رقم العملية],0))</f>
        <v>قيد عهده</v>
      </c>
      <c r="F47" s="58">
        <f>IFERROR(INDEX(TableJudje[رقم الحساب],MATCH(TableDailyJournal[[#This Row],[الحساب]],TableJudje[اسم الحساب],0)),0)</f>
        <v>11060202</v>
      </c>
      <c r="G47" s="58" t="s">
        <v>159</v>
      </c>
      <c r="H47"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I47" s="60" t="str">
        <f>INDEX(Tabledaily[العملـــة],MATCH(TableDailyJournal[[#This Row],[رقم العملية]],Tabledaily[رقم العملية],0))</f>
        <v>ريال يمني</v>
      </c>
      <c r="J47" s="59">
        <f>IFERROR(INDEX(Tabledaily[سعــــــر
الصـــــرف],MATCH(C47,Tabledaily[رقم العملية],0)),1)</f>
        <v>405</v>
      </c>
      <c r="K47" s="123" cm="1">
        <f t="array" ref="K47">IFERROR(INDEX(Tabledaily[المبلـــــــغ],MATCH(1,(TableDailyJournal[[#This Row],[رقم العملية]]=Tabledaily[رقم العملية])*(TableDailyJournal[[#This Row],[الحساب]]=Tabledaily[الحســاب المديــــن]),0)),0)</f>
        <v>0</v>
      </c>
      <c r="L47" s="124" cm="1">
        <f t="array" ref="L47">IFERROR(INDEX(Tabledaily[المبلـــــــغ],MATCH(1,(TableDailyJournal[[#This Row],[رقم العملية]]=Tabledaily[رقم العملية])*(TableDailyJournal[[#This Row],[الحساب]]=Tabledaily[الحســاب الدئـــن]),0)),0)</f>
        <v>135000</v>
      </c>
      <c r="M47" s="62">
        <f>IFERROR(TableDailyJournal[[#This Row],[المبلغ مدين]]/TableDailyJournal[[#This Row],[سعــــــر
الصـــــرف]],0)</f>
        <v>0</v>
      </c>
      <c r="N47" s="62">
        <f>IFERROR(TableDailyJournal[[#This Row],[المبلغ دائن]]/TableDailyJournal[[#This Row],[سعــــــر
الصـــــرف]],0)</f>
        <v>333.33333333333331</v>
      </c>
      <c r="O47" s="121" t="str">
        <f>INDEX(Tabledaily[المستفيــــــــد],MATCH(TableDailyJournal[[#This Row],[رقم العملية]],Tabledaily[رقم العملية],0))</f>
        <v>الضباط السابقين</v>
      </c>
      <c r="P47" s="121" t="str">
        <f>INDEX(Tabledaily[المــــرجـــــــــع],MATCH(TableDailyJournal[[#This Row],[رقم العملية]],Tabledaily[رقم العملية],0))</f>
        <v>كشف صرف</v>
      </c>
      <c r="Q47" s="121" t="str">
        <f>INDEX(Tabledaily[اســـــــم المــــرجــــع],MATCH(TableDailyJournal[[#This Row],[رقم العملية]],Tabledaily[رقم العملية],0))</f>
        <v>كشف صرف</v>
      </c>
      <c r="R47" s="121">
        <f>INDEX(Tabledaily[رقم المـــــرجـــع],MATCH(TableDailyJournal[[#This Row],[رقم العملية]],Tabledaily[رقم العملية],0))</f>
        <v>8</v>
      </c>
      <c r="S47" s="121" t="str">
        <f>INDEX(Tabledaily[مركـــــــزالتكلفــــــة],MATCH(TableDailyJournal[[#This Row],[رقم العملية]],Tabledaily[رقم العملية],0))</f>
        <v>الفرقة الثالثة</v>
      </c>
      <c r="T47" s="121">
        <f>IFERROR(INDEX(tablecost[رقم المركز],MATCH(TableDailyJournal[[#This Row],[مركـــــــزالتكلفــــــة]],tablecost[الاسم],0)),0)</f>
        <v>1</v>
      </c>
      <c r="U47" s="122">
        <f>IFERROR(DATE(TableDailyJournal[[#This Row],[السنــــة]],TableDailyJournal[[#This Row],[الشهــــر]],TableDailyJournal[[#This Row],[الـــــيوم]]),"01-01-2026")</f>
        <v>46175</v>
      </c>
      <c r="V47" s="125">
        <f>INDEX(Tabledaily[تاريخ الإضافة],MATCH(TableDailyJournal[[#This Row],[رقم العملية]],Tabledaily[رقم العملية],0))</f>
        <v>46182.026145833333</v>
      </c>
      <c r="W47" s="58">
        <v>0</v>
      </c>
      <c r="X47" s="58">
        <f>IFERROR(YEAR(TableDailyJournal[[#This Row],[التاريخ]]),"")</f>
        <v>2026</v>
      </c>
      <c r="Y47" s="58">
        <f>IFERROR(MONTH(TableDailyJournal[[#This Row],[التاريخ]]),"")</f>
        <v>6</v>
      </c>
      <c r="Z47" s="58">
        <f>IFERROR(DAY(TableDailyJournal[[#This Row],[التاريخ]]),"")</f>
        <v>2</v>
      </c>
      <c r="AA47"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AB47" s="58">
        <f>INDEX(Tabledaily[جهة الامر],MATCH(TableDailyJournal[[#This Row],[رقم العملية]],Tabledaily[رقم العملية],0))</f>
        <v>0</v>
      </c>
    </row>
    <row r="48" spans="2:28" ht="45.75" x14ac:dyDescent="0.55000000000000004">
      <c r="B48" s="58">
        <f t="shared" si="0"/>
        <v>44</v>
      </c>
      <c r="C48" s="59" t="s">
        <v>375</v>
      </c>
      <c r="D48" s="60">
        <f>INDEX(Tabledaily[date],MATCH(TableDailyJournal[[#This Row],[رقم العملية]],Tabledaily[رقم العملية],0))</f>
        <v>46175</v>
      </c>
      <c r="E48" s="58" t="str">
        <f>INDEX(Tabledaily[نوع العمليــة],MATCH(TableDailyJournal[[#This Row],[رقم العملية]],Tabledaily[رقم العملية],0))</f>
        <v>قيد عهده</v>
      </c>
      <c r="F48" s="58">
        <f>IFERROR(INDEX(TableJudje[رقم الحساب],MATCH(TableDailyJournal[[#This Row],[الحساب]],TableJudje[اسم الحساب],0)),0)</f>
        <v>31010101</v>
      </c>
      <c r="G48" s="58" t="s">
        <v>111</v>
      </c>
      <c r="H48" s="61" t="str">
        <f>INDEX(Tabledaily[المرجع البياني],MATCH(TableDailyJournal[[#This Row],[رقم العملية]],Tabledaily[رقم العملية],0))</f>
        <v>قيـد مقابـل:- (مصاريف  صرفة يومية للافراد  - اخرون - الفرقة الثالثة)  - كشف صرف رقم 7  كشف صرف - الصرفة اليومية اخرون عدد 5 بامر</v>
      </c>
      <c r="I48" s="60" t="str">
        <f>INDEX(Tabledaily[العملـــة],MATCH(TableDailyJournal[[#This Row],[رقم العملية]],Tabledaily[رقم العملية],0))</f>
        <v>ريال يمني</v>
      </c>
      <c r="J48" s="59">
        <f>IFERROR(INDEX(Tabledaily[سعــــــر
الصـــــرف],MATCH(C48,Tabledaily[رقم العملية],0)),1)</f>
        <v>405</v>
      </c>
      <c r="K48" s="123" cm="1">
        <f t="array" ref="K48">IFERROR(INDEX(Tabledaily[المبلـــــــغ],MATCH(1,(TableDailyJournal[[#This Row],[رقم العملية]]=Tabledaily[رقم العملية])*(TableDailyJournal[[#This Row],[الحساب]]=Tabledaily[الحســاب المديــــن]),0)),0)</f>
        <v>50000</v>
      </c>
      <c r="L48" s="124" cm="1">
        <f t="array" ref="L48">IFERROR(INDEX(Tabledaily[المبلـــــــغ],MATCH(1,(TableDailyJournal[[#This Row],[رقم العملية]]=Tabledaily[رقم العملية])*(TableDailyJournal[[#This Row],[الحساب]]=Tabledaily[الحســاب الدئـــن]),0)),0)</f>
        <v>0</v>
      </c>
      <c r="M48" s="62">
        <f>IFERROR(TableDailyJournal[[#This Row],[المبلغ مدين]]/TableDailyJournal[[#This Row],[سعــــــر
الصـــــرف]],0)</f>
        <v>123.45679012345678</v>
      </c>
      <c r="N48" s="62">
        <f>IFERROR(TableDailyJournal[[#This Row],[المبلغ دائن]]/TableDailyJournal[[#This Row],[سعــــــر
الصـــــرف]],0)</f>
        <v>0</v>
      </c>
      <c r="O48" s="121" t="str">
        <f>INDEX(Tabledaily[المستفيــــــــد],MATCH(TableDailyJournal[[#This Row],[رقم العملية]],Tabledaily[رقم العملية],0))</f>
        <v>اخرون</v>
      </c>
      <c r="P48" s="121" t="str">
        <f>INDEX(Tabledaily[المــــرجـــــــــع],MATCH(TableDailyJournal[[#This Row],[رقم العملية]],Tabledaily[رقم العملية],0))</f>
        <v>كشف صرف</v>
      </c>
      <c r="Q48" s="121" t="str">
        <f>INDEX(Tabledaily[اســـــــم المــــرجــــع],MATCH(TableDailyJournal[[#This Row],[رقم العملية]],Tabledaily[رقم العملية],0))</f>
        <v>كشف صرف</v>
      </c>
      <c r="R48" s="121">
        <f>INDEX(Tabledaily[رقم المـــــرجـــع],MATCH(TableDailyJournal[[#This Row],[رقم العملية]],Tabledaily[رقم العملية],0))</f>
        <v>7</v>
      </c>
      <c r="S48" s="121" t="str">
        <f>INDEX(Tabledaily[مركـــــــزالتكلفــــــة],MATCH(TableDailyJournal[[#This Row],[رقم العملية]],Tabledaily[رقم العملية],0))</f>
        <v>الفرقة الثالثة</v>
      </c>
      <c r="T48" s="121">
        <f>IFERROR(INDEX(tablecost[رقم المركز],MATCH(TableDailyJournal[[#This Row],[مركـــــــزالتكلفــــــة]],tablecost[الاسم],0)),0)</f>
        <v>1</v>
      </c>
      <c r="U48" s="122">
        <f>IFERROR(DATE(TableDailyJournal[[#This Row],[السنــــة]],TableDailyJournal[[#This Row],[الشهــــر]],TableDailyJournal[[#This Row],[الـــــيوم]]),"01-01-2026")</f>
        <v>46175</v>
      </c>
      <c r="V48" s="125">
        <f>INDEX(Tabledaily[تاريخ الإضافة],MATCH(TableDailyJournal[[#This Row],[رقم العملية]],Tabledaily[رقم العملية],0))</f>
        <v>46182.027187500003</v>
      </c>
      <c r="W48" s="58">
        <v>0</v>
      </c>
      <c r="X48" s="58">
        <f>IFERROR(YEAR(TableDailyJournal[[#This Row],[التاريخ]]),"")</f>
        <v>2026</v>
      </c>
      <c r="Y48" s="58">
        <f>IFERROR(MONTH(TableDailyJournal[[#This Row],[التاريخ]]),"")</f>
        <v>6</v>
      </c>
      <c r="Z48" s="58">
        <f>IFERROR(DAY(TableDailyJournal[[#This Row],[التاريخ]]),"")</f>
        <v>2</v>
      </c>
      <c r="AA48" s="126" t="str">
        <f>INDEX(Tabledaily[المرجع البياني],MATCH(TableDailyJournal[[#This Row],[رقم العملية]],Tabledaily[رقم العملية],0))</f>
        <v>قيـد مقابـل:- (مصاريف  صرفة يومية للافراد  - اخرون - الفرقة الثالثة)  - كشف صرف رقم 7  كشف صرف - الصرفة اليومية اخرون عدد 5 بامر</v>
      </c>
      <c r="AB48" s="58">
        <f>INDEX(Tabledaily[جهة الامر],MATCH(TableDailyJournal[[#This Row],[رقم العملية]],Tabledaily[رقم العملية],0))</f>
        <v>0</v>
      </c>
    </row>
    <row r="49" spans="2:28" ht="45.75" x14ac:dyDescent="0.55000000000000004">
      <c r="B49" s="58">
        <f t="shared" si="0"/>
        <v>45</v>
      </c>
      <c r="C49" s="59" t="s">
        <v>375</v>
      </c>
      <c r="D49" s="60">
        <f>INDEX(Tabledaily[date],MATCH(TableDailyJournal[[#This Row],[رقم العملية]],Tabledaily[رقم العملية],0))</f>
        <v>46175</v>
      </c>
      <c r="E49" s="58" t="str">
        <f>INDEX(Tabledaily[نوع العمليــة],MATCH(TableDailyJournal[[#This Row],[رقم العملية]],Tabledaily[رقم العملية],0))</f>
        <v>قيد عهده</v>
      </c>
      <c r="F49" s="58">
        <f>IFERROR(INDEX(TableJudje[رقم الحساب],MATCH(TableDailyJournal[[#This Row],[الحساب]],TableJudje[اسم الحساب],0)),0)</f>
        <v>11060202</v>
      </c>
      <c r="G49" s="58" t="s">
        <v>159</v>
      </c>
      <c r="H49" s="61" t="str">
        <f>INDEX(Tabledaily[المرجع البياني],MATCH(TableDailyJournal[[#This Row],[رقم العملية]],Tabledaily[رقم العملية],0))</f>
        <v>قيـد مقابـل:- (مصاريف  صرفة يومية للافراد  - اخرون - الفرقة الثالثة)  - كشف صرف رقم 7  كشف صرف - الصرفة اليومية اخرون عدد 5 بامر</v>
      </c>
      <c r="I49" s="60" t="str">
        <f>INDEX(Tabledaily[العملـــة],MATCH(TableDailyJournal[[#This Row],[رقم العملية]],Tabledaily[رقم العملية],0))</f>
        <v>ريال يمني</v>
      </c>
      <c r="J49" s="59">
        <f>IFERROR(INDEX(Tabledaily[سعــــــر
الصـــــرف],MATCH(C49,Tabledaily[رقم العملية],0)),1)</f>
        <v>405</v>
      </c>
      <c r="K49" s="123" cm="1">
        <f t="array" ref="K49">IFERROR(INDEX(Tabledaily[المبلـــــــغ],MATCH(1,(TableDailyJournal[[#This Row],[رقم العملية]]=Tabledaily[رقم العملية])*(TableDailyJournal[[#This Row],[الحساب]]=Tabledaily[الحســاب المديــــن]),0)),0)</f>
        <v>0</v>
      </c>
      <c r="L49" s="124" cm="1">
        <f t="array" ref="L49">IFERROR(INDEX(Tabledaily[المبلـــــــغ],MATCH(1,(TableDailyJournal[[#This Row],[رقم العملية]]=Tabledaily[رقم العملية])*(TableDailyJournal[[#This Row],[الحساب]]=Tabledaily[الحســاب الدئـــن]),0)),0)</f>
        <v>50000</v>
      </c>
      <c r="M49" s="62">
        <f>IFERROR(TableDailyJournal[[#This Row],[المبلغ مدين]]/TableDailyJournal[[#This Row],[سعــــــر
الصـــــرف]],0)</f>
        <v>0</v>
      </c>
      <c r="N49" s="62">
        <f>IFERROR(TableDailyJournal[[#This Row],[المبلغ دائن]]/TableDailyJournal[[#This Row],[سعــــــر
الصـــــرف]],0)</f>
        <v>123.45679012345678</v>
      </c>
      <c r="O49" s="121" t="str">
        <f>INDEX(Tabledaily[المستفيــــــــد],MATCH(TableDailyJournal[[#This Row],[رقم العملية]],Tabledaily[رقم العملية],0))</f>
        <v>اخرون</v>
      </c>
      <c r="P49" s="121" t="str">
        <f>INDEX(Tabledaily[المــــرجـــــــــع],MATCH(TableDailyJournal[[#This Row],[رقم العملية]],Tabledaily[رقم العملية],0))</f>
        <v>كشف صرف</v>
      </c>
      <c r="Q49" s="121" t="str">
        <f>INDEX(Tabledaily[اســـــــم المــــرجــــع],MATCH(TableDailyJournal[[#This Row],[رقم العملية]],Tabledaily[رقم العملية],0))</f>
        <v>كشف صرف</v>
      </c>
      <c r="R49" s="121">
        <f>INDEX(Tabledaily[رقم المـــــرجـــع],MATCH(TableDailyJournal[[#This Row],[رقم العملية]],Tabledaily[رقم العملية],0))</f>
        <v>7</v>
      </c>
      <c r="S49" s="121" t="str">
        <f>INDEX(Tabledaily[مركـــــــزالتكلفــــــة],MATCH(TableDailyJournal[[#This Row],[رقم العملية]],Tabledaily[رقم العملية],0))</f>
        <v>الفرقة الثالثة</v>
      </c>
      <c r="T49" s="121">
        <f>IFERROR(INDEX(tablecost[رقم المركز],MATCH(TableDailyJournal[[#This Row],[مركـــــــزالتكلفــــــة]],tablecost[الاسم],0)),0)</f>
        <v>1</v>
      </c>
      <c r="U49" s="122">
        <f>IFERROR(DATE(TableDailyJournal[[#This Row],[السنــــة]],TableDailyJournal[[#This Row],[الشهــــر]],TableDailyJournal[[#This Row],[الـــــيوم]]),"01-01-2026")</f>
        <v>46175</v>
      </c>
      <c r="V49" s="125">
        <f>INDEX(Tabledaily[تاريخ الإضافة],MATCH(TableDailyJournal[[#This Row],[رقم العملية]],Tabledaily[رقم العملية],0))</f>
        <v>46182.027187500003</v>
      </c>
      <c r="W49" s="58">
        <v>0</v>
      </c>
      <c r="X49" s="58">
        <f>IFERROR(YEAR(TableDailyJournal[[#This Row],[التاريخ]]),"")</f>
        <v>2026</v>
      </c>
      <c r="Y49" s="58">
        <f>IFERROR(MONTH(TableDailyJournal[[#This Row],[التاريخ]]),"")</f>
        <v>6</v>
      </c>
      <c r="Z49" s="58">
        <f>IFERROR(DAY(TableDailyJournal[[#This Row],[التاريخ]]),"")</f>
        <v>2</v>
      </c>
      <c r="AA49" s="126" t="str">
        <f>INDEX(Tabledaily[المرجع البياني],MATCH(TableDailyJournal[[#This Row],[رقم العملية]],Tabledaily[رقم العملية],0))</f>
        <v>قيـد مقابـل:- (مصاريف  صرفة يومية للافراد  - اخرون - الفرقة الثالثة)  - كشف صرف رقم 7  كشف صرف - الصرفة اليومية اخرون عدد 5 بامر</v>
      </c>
      <c r="AB49" s="58">
        <f>INDEX(Tabledaily[جهة الامر],MATCH(TableDailyJournal[[#This Row],[رقم العملية]],Tabledaily[رقم العملية],0))</f>
        <v>0</v>
      </c>
    </row>
    <row r="50" spans="2:28" ht="67.5" x14ac:dyDescent="0.55000000000000004">
      <c r="B50" s="58">
        <f t="shared" si="0"/>
        <v>46</v>
      </c>
      <c r="C50" s="59" t="s">
        <v>372</v>
      </c>
      <c r="D50" s="60">
        <f>INDEX(Tabledaily[date],MATCH(TableDailyJournal[[#This Row],[رقم العملية]],Tabledaily[رقم العملية],0))</f>
        <v>46175</v>
      </c>
      <c r="E50" s="58" t="str">
        <f>INDEX(Tabledaily[نوع العمليــة],MATCH(TableDailyJournal[[#This Row],[رقم العملية]],Tabledaily[رقم العملية],0))</f>
        <v>قيد عهده</v>
      </c>
      <c r="F50" s="58">
        <f>IFERROR(INDEX(TableJudje[رقم الحساب],MATCH(TableDailyJournal[[#This Row],[الحساب]],TableJudje[اسم الحساب],0)),0)</f>
        <v>31010101</v>
      </c>
      <c r="G50" s="58" t="s">
        <v>111</v>
      </c>
      <c r="H50"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I50" s="60" t="str">
        <f>INDEX(Tabledaily[العملـــة],MATCH(TableDailyJournal[[#This Row],[رقم العملية]],Tabledaily[رقم العملية],0))</f>
        <v>ريال يمني</v>
      </c>
      <c r="J50" s="59">
        <f>IFERROR(INDEX(Tabledaily[سعــــــر
الصـــــرف],MATCH(C50,Tabledaily[رقم العملية],0)),1)</f>
        <v>405</v>
      </c>
      <c r="K50" s="123" cm="1">
        <f t="array" ref="K50">IFERROR(INDEX(Tabledaily[المبلـــــــغ],MATCH(1,(TableDailyJournal[[#This Row],[رقم العملية]]=Tabledaily[رقم العملية])*(TableDailyJournal[[#This Row],[الحساب]]=Tabledaily[الحســاب المديــــن]),0)),0)</f>
        <v>42000</v>
      </c>
      <c r="L50" s="124" cm="1">
        <f t="array" ref="L50">IFERROR(INDEX(Tabledaily[المبلـــــــغ],MATCH(1,(TableDailyJournal[[#This Row],[رقم العملية]]=Tabledaily[رقم العملية])*(TableDailyJournal[[#This Row],[الحساب]]=Tabledaily[الحســاب الدئـــن]),0)),0)</f>
        <v>0</v>
      </c>
      <c r="M50" s="62">
        <f>IFERROR(TableDailyJournal[[#This Row],[المبلغ مدين]]/TableDailyJournal[[#This Row],[سعــــــر
الصـــــرف]],0)</f>
        <v>103.70370370370371</v>
      </c>
      <c r="N50" s="62">
        <f>IFERROR(TableDailyJournal[[#This Row],[المبلغ دائن]]/TableDailyJournal[[#This Row],[سعــــــر
الصـــــرف]],0)</f>
        <v>0</v>
      </c>
      <c r="O50" s="121" t="str">
        <f>INDEX(Tabledaily[المستفيــــــــد],MATCH(TableDailyJournal[[#This Row],[رقم العملية]],Tabledaily[رقم العملية],0))</f>
        <v>افراد طقم اللواء السابع مرافقين</v>
      </c>
      <c r="P50" s="121" t="str">
        <f>INDEX(Tabledaily[المــــرجـــــــــع],MATCH(TableDailyJournal[[#This Row],[رقم العملية]],Tabledaily[رقم العملية],0))</f>
        <v>كشف صرف</v>
      </c>
      <c r="Q50" s="121" t="str">
        <f>INDEX(Tabledaily[اســـــــم المــــرجــــع],MATCH(TableDailyJournal[[#This Row],[رقم العملية]],Tabledaily[رقم العملية],0))</f>
        <v>كشف صرف</v>
      </c>
      <c r="R50" s="121">
        <f>INDEX(Tabledaily[رقم المـــــرجـــع],MATCH(TableDailyJournal[[#This Row],[رقم العملية]],Tabledaily[رقم العملية],0))</f>
        <v>7</v>
      </c>
      <c r="S50" s="121" t="str">
        <f>INDEX(Tabledaily[مركـــــــزالتكلفــــــة],MATCH(TableDailyJournal[[#This Row],[رقم العملية]],Tabledaily[رقم العملية],0))</f>
        <v>الفرقة الثالثة</v>
      </c>
      <c r="T50" s="121">
        <f>IFERROR(INDEX(tablecost[رقم المركز],MATCH(TableDailyJournal[[#This Row],[مركـــــــزالتكلفــــــة]],tablecost[الاسم],0)),0)</f>
        <v>1</v>
      </c>
      <c r="U50" s="122">
        <f>IFERROR(DATE(TableDailyJournal[[#This Row],[السنــــة]],TableDailyJournal[[#This Row],[الشهــــر]],TableDailyJournal[[#This Row],[الـــــيوم]]),"01-01-2026")</f>
        <v>46175</v>
      </c>
      <c r="V50" s="125">
        <f>INDEX(Tabledaily[تاريخ الإضافة],MATCH(TableDailyJournal[[#This Row],[رقم العملية]],Tabledaily[رقم العملية],0))</f>
        <v>46182.028958333336</v>
      </c>
      <c r="W50" s="58">
        <v>0</v>
      </c>
      <c r="X50" s="58">
        <f>IFERROR(YEAR(TableDailyJournal[[#This Row],[التاريخ]]),"")</f>
        <v>2026</v>
      </c>
      <c r="Y50" s="58">
        <f>IFERROR(MONTH(TableDailyJournal[[#This Row],[التاريخ]]),"")</f>
        <v>6</v>
      </c>
      <c r="Z50" s="58">
        <f>IFERROR(DAY(TableDailyJournal[[#This Row],[التاريخ]]),"")</f>
        <v>2</v>
      </c>
      <c r="AA50"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AB50" s="58">
        <f>INDEX(Tabledaily[جهة الامر],MATCH(TableDailyJournal[[#This Row],[رقم العملية]],Tabledaily[رقم العملية],0))</f>
        <v>0</v>
      </c>
    </row>
    <row r="51" spans="2:28" ht="67.5" x14ac:dyDescent="0.55000000000000004">
      <c r="B51" s="58">
        <f t="shared" si="0"/>
        <v>47</v>
      </c>
      <c r="C51" s="59" t="s">
        <v>372</v>
      </c>
      <c r="D51" s="60">
        <f>INDEX(Tabledaily[date],MATCH(TableDailyJournal[[#This Row],[رقم العملية]],Tabledaily[رقم العملية],0))</f>
        <v>46175</v>
      </c>
      <c r="E51" s="58" t="str">
        <f>INDEX(Tabledaily[نوع العمليــة],MATCH(TableDailyJournal[[#This Row],[رقم العملية]],Tabledaily[رقم العملية],0))</f>
        <v>قيد عهده</v>
      </c>
      <c r="F51" s="58">
        <f>IFERROR(INDEX(TableJudje[رقم الحساب],MATCH(TableDailyJournal[[#This Row],[الحساب]],TableJudje[اسم الحساب],0)),0)</f>
        <v>11060202</v>
      </c>
      <c r="G51" s="58" t="s">
        <v>159</v>
      </c>
      <c r="H51"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I51" s="60" t="str">
        <f>INDEX(Tabledaily[العملـــة],MATCH(TableDailyJournal[[#This Row],[رقم العملية]],Tabledaily[رقم العملية],0))</f>
        <v>ريال يمني</v>
      </c>
      <c r="J51" s="59">
        <f>IFERROR(INDEX(Tabledaily[سعــــــر
الصـــــرف],MATCH(C51,Tabledaily[رقم العملية],0)),1)</f>
        <v>405</v>
      </c>
      <c r="K51" s="123" cm="1">
        <f t="array" ref="K51">IFERROR(INDEX(Tabledaily[المبلـــــــغ],MATCH(1,(TableDailyJournal[[#This Row],[رقم العملية]]=Tabledaily[رقم العملية])*(TableDailyJournal[[#This Row],[الحساب]]=Tabledaily[الحســاب المديــــن]),0)),0)</f>
        <v>0</v>
      </c>
      <c r="L51" s="124" cm="1">
        <f t="array" ref="L51">IFERROR(INDEX(Tabledaily[المبلـــــــغ],MATCH(1,(TableDailyJournal[[#This Row],[رقم العملية]]=Tabledaily[رقم العملية])*(TableDailyJournal[[#This Row],[الحساب]]=Tabledaily[الحســاب الدئـــن]),0)),0)</f>
        <v>42000</v>
      </c>
      <c r="M51" s="62">
        <f>IFERROR(TableDailyJournal[[#This Row],[المبلغ مدين]]/TableDailyJournal[[#This Row],[سعــــــر
الصـــــرف]],0)</f>
        <v>0</v>
      </c>
      <c r="N51" s="62">
        <f>IFERROR(TableDailyJournal[[#This Row],[المبلغ دائن]]/TableDailyJournal[[#This Row],[سعــــــر
الصـــــرف]],0)</f>
        <v>103.70370370370371</v>
      </c>
      <c r="O51" s="121" t="str">
        <f>INDEX(Tabledaily[المستفيــــــــد],MATCH(TableDailyJournal[[#This Row],[رقم العملية]],Tabledaily[رقم العملية],0))</f>
        <v>افراد طقم اللواء السابع مرافقين</v>
      </c>
      <c r="P51" s="121" t="str">
        <f>INDEX(Tabledaily[المــــرجـــــــــع],MATCH(TableDailyJournal[[#This Row],[رقم العملية]],Tabledaily[رقم العملية],0))</f>
        <v>كشف صرف</v>
      </c>
      <c r="Q51" s="121" t="str">
        <f>INDEX(Tabledaily[اســـــــم المــــرجــــع],MATCH(TableDailyJournal[[#This Row],[رقم العملية]],Tabledaily[رقم العملية],0))</f>
        <v>كشف صرف</v>
      </c>
      <c r="R51" s="121">
        <f>INDEX(Tabledaily[رقم المـــــرجـــع],MATCH(TableDailyJournal[[#This Row],[رقم العملية]],Tabledaily[رقم العملية],0))</f>
        <v>7</v>
      </c>
      <c r="S51" s="121" t="str">
        <f>INDEX(Tabledaily[مركـــــــزالتكلفــــــة],MATCH(TableDailyJournal[[#This Row],[رقم العملية]],Tabledaily[رقم العملية],0))</f>
        <v>الفرقة الثالثة</v>
      </c>
      <c r="T51" s="121">
        <f>IFERROR(INDEX(tablecost[رقم المركز],MATCH(TableDailyJournal[[#This Row],[مركـــــــزالتكلفــــــة]],tablecost[الاسم],0)),0)</f>
        <v>1</v>
      </c>
      <c r="U51" s="122">
        <f>IFERROR(DATE(TableDailyJournal[[#This Row],[السنــــة]],TableDailyJournal[[#This Row],[الشهــــر]],TableDailyJournal[[#This Row],[الـــــيوم]]),"01-01-2026")</f>
        <v>46175</v>
      </c>
      <c r="V51" s="125">
        <f>INDEX(Tabledaily[تاريخ الإضافة],MATCH(TableDailyJournal[[#This Row],[رقم العملية]],Tabledaily[رقم العملية],0))</f>
        <v>46182.028958333336</v>
      </c>
      <c r="W51" s="58">
        <v>0</v>
      </c>
      <c r="X51" s="58">
        <f>IFERROR(YEAR(TableDailyJournal[[#This Row],[التاريخ]]),"")</f>
        <v>2026</v>
      </c>
      <c r="Y51" s="58">
        <f>IFERROR(MONTH(TableDailyJournal[[#This Row],[التاريخ]]),"")</f>
        <v>6</v>
      </c>
      <c r="Z51" s="58">
        <f>IFERROR(DAY(TableDailyJournal[[#This Row],[التاريخ]]),"")</f>
        <v>2</v>
      </c>
      <c r="AA51"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7  كشف صرف - صرف الصرفة اليومية لافراد طقم اللواء السابع مرافقين بامر</v>
      </c>
      <c r="AB51" s="58">
        <f>INDEX(Tabledaily[جهة الامر],MATCH(TableDailyJournal[[#This Row],[رقم العملية]],Tabledaily[رقم العملية],0))</f>
        <v>0</v>
      </c>
    </row>
    <row r="52" spans="2:28" ht="67.5" x14ac:dyDescent="0.55000000000000004">
      <c r="B52" s="58">
        <f t="shared" si="0"/>
        <v>48</v>
      </c>
      <c r="C52" s="59" t="s">
        <v>368</v>
      </c>
      <c r="D52" s="60">
        <f>INDEX(Tabledaily[date],MATCH(TableDailyJournal[[#This Row],[رقم العملية]],Tabledaily[رقم العملية],0))</f>
        <v>46175</v>
      </c>
      <c r="E52" s="58" t="str">
        <f>INDEX(Tabledaily[نوع العمليــة],MATCH(TableDailyJournal[[#This Row],[رقم العملية]],Tabledaily[رقم العملية],0))</f>
        <v>قيد عهده</v>
      </c>
      <c r="F52" s="58">
        <f>IFERROR(INDEX(TableJudje[رقم الحساب],MATCH(TableDailyJournal[[#This Row],[الحساب]],TableJudje[اسم الحساب],0)),0)</f>
        <v>31010134</v>
      </c>
      <c r="G52" s="58" t="s">
        <v>164</v>
      </c>
      <c r="H52" s="61" t="str">
        <f>INDEX(Tabledaily[المرجع البياني],MATCH(TableDailyJournal[[#This Row],[رقم العملية]],Tabledaily[رقم العملية],0))</f>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v>
      </c>
      <c r="I52" s="60" t="str">
        <f>INDEX(Tabledaily[العملـــة],MATCH(TableDailyJournal[[#This Row],[رقم العملية]],Tabledaily[رقم العملية],0))</f>
        <v>ريال سعودي</v>
      </c>
      <c r="J52" s="59">
        <f>IFERROR(INDEX(Tabledaily[سعــــــر
الصـــــرف],MATCH(C52,Tabledaily[رقم العملية],0)),1)</f>
        <v>1</v>
      </c>
      <c r="K52" s="123" cm="1">
        <f t="array" ref="K52">IFERROR(INDEX(Tabledaily[المبلـــــــغ],MATCH(1,(TableDailyJournal[[#This Row],[رقم العملية]]=Tabledaily[رقم العملية])*(TableDailyJournal[[#This Row],[الحساب]]=Tabledaily[الحســاب المديــــن]),0)),0)</f>
        <v>1500</v>
      </c>
      <c r="L52" s="124" cm="1">
        <f t="array" ref="L52">IFERROR(INDEX(Tabledaily[المبلـــــــغ],MATCH(1,(TableDailyJournal[[#This Row],[رقم العملية]]=Tabledaily[رقم العملية])*(TableDailyJournal[[#This Row],[الحساب]]=Tabledaily[الحســاب الدئـــن]),0)),0)</f>
        <v>0</v>
      </c>
      <c r="M52" s="62">
        <f>IFERROR(TableDailyJournal[[#This Row],[المبلغ مدين]]/TableDailyJournal[[#This Row],[سعــــــر
الصـــــرف]],0)</f>
        <v>1500</v>
      </c>
      <c r="N52" s="62">
        <f>IFERROR(TableDailyJournal[[#This Row],[المبلغ دائن]]/TableDailyJournal[[#This Row],[سعــــــر
الصـــــرف]],0)</f>
        <v>0</v>
      </c>
      <c r="O52" s="121" t="str">
        <f>INDEX(Tabledaily[المستفيــــــــد],MATCH(TableDailyJournal[[#This Row],[رقم العملية]],Tabledaily[رقم العملية],0))</f>
        <v>مكرم عبد العزيز و مهند خالد والمرافق محمد عبدالسلام</v>
      </c>
      <c r="P52" s="121" t="str">
        <f>INDEX(Tabledaily[المــــرجـــــــــع],MATCH(TableDailyJournal[[#This Row],[رقم العملية]],Tabledaily[رقم العملية],0))</f>
        <v>استلام نقدي</v>
      </c>
      <c r="Q52" s="121" t="str">
        <f>INDEX(Tabledaily[اســـــــم المــــرجــــع],MATCH(TableDailyJournal[[#This Row],[رقم العملية]],Tabledaily[رقم العملية],0))</f>
        <v>سند استلام</v>
      </c>
      <c r="R52" s="121">
        <f>INDEX(Tabledaily[رقم المـــــرجـــع],MATCH(TableDailyJournal[[#This Row],[رقم العملية]],Tabledaily[رقم العملية],0))</f>
        <v>0</v>
      </c>
      <c r="S52" s="121" t="str">
        <f>INDEX(Tabledaily[مركـــــــزالتكلفــــــة],MATCH(TableDailyJournal[[#This Row],[رقم العملية]],Tabledaily[رقم العملية],0))</f>
        <v>اللواء السادس</v>
      </c>
      <c r="T52" s="121">
        <f>IFERROR(INDEX(tablecost[رقم المركز],MATCH(TableDailyJournal[[#This Row],[مركـــــــزالتكلفــــــة]],tablecost[الاسم],0)),0)</f>
        <v>7</v>
      </c>
      <c r="U52" s="122">
        <f>IFERROR(DATE(TableDailyJournal[[#This Row],[السنــــة]],TableDailyJournal[[#This Row],[الشهــــر]],TableDailyJournal[[#This Row],[الـــــيوم]]),"01-01-2026")</f>
        <v>46175</v>
      </c>
      <c r="V52" s="125">
        <f>INDEX(Tabledaily[تاريخ الإضافة],MATCH(TableDailyJournal[[#This Row],[رقم العملية]],Tabledaily[رقم العملية],0))</f>
        <v>46182.032314814816</v>
      </c>
      <c r="W52" s="58" t="s">
        <v>371</v>
      </c>
      <c r="X52" s="58">
        <f>IFERROR(YEAR(TableDailyJournal[[#This Row],[التاريخ]]),"")</f>
        <v>2026</v>
      </c>
      <c r="Y52" s="58">
        <f>IFERROR(MONTH(TableDailyJournal[[#This Row],[التاريخ]]),"")</f>
        <v>6</v>
      </c>
      <c r="Z52" s="58">
        <f>IFERROR(DAY(TableDailyJournal[[#This Row],[التاريخ]]),"")</f>
        <v>2</v>
      </c>
      <c r="AA52" s="126" t="str">
        <f>INDEX(Tabledaily[المرجع البياني],MATCH(TableDailyJournal[[#This Row],[رقم العملية]],Tabledaily[رقم العملية],0))</f>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v>
      </c>
      <c r="AB52" s="58" t="str">
        <f>INDEX(Tabledaily[جهة الامر],MATCH(TableDailyJournal[[#This Row],[رقم العملية]],Tabledaily[رقم العملية],0))</f>
        <v>أسامة رزيق</v>
      </c>
    </row>
    <row r="53" spans="2:28" ht="67.5" x14ac:dyDescent="0.55000000000000004">
      <c r="B53" s="58">
        <f t="shared" si="0"/>
        <v>49</v>
      </c>
      <c r="C53" s="59" t="s">
        <v>368</v>
      </c>
      <c r="D53" s="60">
        <f>INDEX(Tabledaily[date],MATCH(TableDailyJournal[[#This Row],[رقم العملية]],Tabledaily[رقم العملية],0))</f>
        <v>46175</v>
      </c>
      <c r="E53" s="58" t="str">
        <f>INDEX(Tabledaily[نوع العمليــة],MATCH(TableDailyJournal[[#This Row],[رقم العملية]],Tabledaily[رقم العملية],0))</f>
        <v>قيد عهده</v>
      </c>
      <c r="F53" s="58">
        <f>IFERROR(INDEX(TableJudje[رقم الحساب],MATCH(TableDailyJournal[[#This Row],[الحساب]],TableJudje[اسم الحساب],0)),0)</f>
        <v>11060202</v>
      </c>
      <c r="G53" s="58" t="s">
        <v>159</v>
      </c>
      <c r="H53" s="61" t="str">
        <f>INDEX(Tabledaily[المرجع البياني],MATCH(TableDailyJournal[[#This Row],[رقم العملية]],Tabledaily[رقم العملية],0))</f>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v>
      </c>
      <c r="I53" s="60" t="str">
        <f>INDEX(Tabledaily[العملـــة],MATCH(TableDailyJournal[[#This Row],[رقم العملية]],Tabledaily[رقم العملية],0))</f>
        <v>ريال سعودي</v>
      </c>
      <c r="J53" s="59">
        <f>IFERROR(INDEX(Tabledaily[سعــــــر
الصـــــرف],MATCH(C53,Tabledaily[رقم العملية],0)),1)</f>
        <v>1</v>
      </c>
      <c r="K53" s="123" cm="1">
        <f t="array" ref="K53">IFERROR(INDEX(Tabledaily[المبلـــــــغ],MATCH(1,(TableDailyJournal[[#This Row],[رقم العملية]]=Tabledaily[رقم العملية])*(TableDailyJournal[[#This Row],[الحساب]]=Tabledaily[الحســاب المديــــن]),0)),0)</f>
        <v>0</v>
      </c>
      <c r="L53" s="124" cm="1">
        <f t="array" ref="L53">IFERROR(INDEX(Tabledaily[المبلـــــــغ],MATCH(1,(TableDailyJournal[[#This Row],[رقم العملية]]=Tabledaily[رقم العملية])*(TableDailyJournal[[#This Row],[الحساب]]=Tabledaily[الحســاب الدئـــن]),0)),0)</f>
        <v>1500</v>
      </c>
      <c r="M53" s="62">
        <f>IFERROR(TableDailyJournal[[#This Row],[المبلغ مدين]]/TableDailyJournal[[#This Row],[سعــــــر
الصـــــرف]],0)</f>
        <v>0</v>
      </c>
      <c r="N53" s="62">
        <f>IFERROR(TableDailyJournal[[#This Row],[المبلغ دائن]]/TableDailyJournal[[#This Row],[سعــــــر
الصـــــرف]],0)</f>
        <v>1500</v>
      </c>
      <c r="O53" s="121" t="str">
        <f>INDEX(Tabledaily[المستفيــــــــد],MATCH(TableDailyJournal[[#This Row],[رقم العملية]],Tabledaily[رقم العملية],0))</f>
        <v>مكرم عبد العزيز و مهند خالد والمرافق محمد عبدالسلام</v>
      </c>
      <c r="P53" s="121" t="str">
        <f>INDEX(Tabledaily[المــــرجـــــــــع],MATCH(TableDailyJournal[[#This Row],[رقم العملية]],Tabledaily[رقم العملية],0))</f>
        <v>استلام نقدي</v>
      </c>
      <c r="Q53" s="121" t="str">
        <f>INDEX(Tabledaily[اســـــــم المــــرجــــع],MATCH(TableDailyJournal[[#This Row],[رقم العملية]],Tabledaily[رقم العملية],0))</f>
        <v>سند استلام</v>
      </c>
      <c r="R53" s="121">
        <f>INDEX(Tabledaily[رقم المـــــرجـــع],MATCH(TableDailyJournal[[#This Row],[رقم العملية]],Tabledaily[رقم العملية],0))</f>
        <v>0</v>
      </c>
      <c r="S53" s="121" t="str">
        <f>INDEX(Tabledaily[مركـــــــزالتكلفــــــة],MATCH(TableDailyJournal[[#This Row],[رقم العملية]],Tabledaily[رقم العملية],0))</f>
        <v>اللواء السادس</v>
      </c>
      <c r="T53" s="121">
        <f>IFERROR(INDEX(tablecost[رقم المركز],MATCH(TableDailyJournal[[#This Row],[مركـــــــزالتكلفــــــة]],tablecost[الاسم],0)),0)</f>
        <v>7</v>
      </c>
      <c r="U53" s="122">
        <f>IFERROR(DATE(TableDailyJournal[[#This Row],[السنــــة]],TableDailyJournal[[#This Row],[الشهــــر]],TableDailyJournal[[#This Row],[الـــــيوم]]),"01-01-2026")</f>
        <v>46175</v>
      </c>
      <c r="V53" s="125">
        <f>INDEX(Tabledaily[تاريخ الإضافة],MATCH(TableDailyJournal[[#This Row],[رقم العملية]],Tabledaily[رقم العملية],0))</f>
        <v>46182.032314814816</v>
      </c>
      <c r="W53" s="58" t="s">
        <v>371</v>
      </c>
      <c r="X53" s="58">
        <f>IFERROR(YEAR(TableDailyJournal[[#This Row],[التاريخ]]),"")</f>
        <v>2026</v>
      </c>
      <c r="Y53" s="58">
        <f>IFERROR(MONTH(TableDailyJournal[[#This Row],[التاريخ]]),"")</f>
        <v>6</v>
      </c>
      <c r="Z53" s="58">
        <f>IFERROR(DAY(TableDailyJournal[[#This Row],[التاريخ]]),"")</f>
        <v>2</v>
      </c>
      <c r="AA53" s="126" t="str">
        <f>INDEX(Tabledaily[المرجع البياني],MATCH(TableDailyJournal[[#This Row],[رقم العملية]],Tabledaily[رقم العملية],0))</f>
        <v>قيـد مقابـل:- (مصاريف اكراميات جرحى - مكرم عبد العزيز و مهند خالد والمرافق محمد عبدالسلام - اللواء السادس)  - استلام نقدي رقم 0  سند استلام - مصاريف سفر نقل اثنين جرحى مع المرافقين الى تعز  بامرأسامة رزيق</v>
      </c>
      <c r="AB53" s="58" t="str">
        <f>INDEX(Tabledaily[جهة الامر],MATCH(TableDailyJournal[[#This Row],[رقم العملية]],Tabledaily[رقم العملية],0))</f>
        <v>أسامة رزيق</v>
      </c>
    </row>
    <row r="54" spans="2:28" ht="45.75" x14ac:dyDescent="0.55000000000000004">
      <c r="B54" s="58">
        <f t="shared" si="0"/>
        <v>50</v>
      </c>
      <c r="C54" s="59" t="s">
        <v>365</v>
      </c>
      <c r="D54" s="60">
        <f>INDEX(Tabledaily[date],MATCH(TableDailyJournal[[#This Row],[رقم العملية]],Tabledaily[رقم العملية],0))</f>
        <v>46175</v>
      </c>
      <c r="E54" s="58" t="str">
        <f>INDEX(Tabledaily[نوع العمليــة],MATCH(TableDailyJournal[[#This Row],[رقم العملية]],Tabledaily[رقم العملية],0))</f>
        <v>قيد عهده</v>
      </c>
      <c r="F54" s="58">
        <f>IFERROR(INDEX(TableJudje[رقم الحساب],MATCH(TableDailyJournal[[#This Row],[الحساب]],TableJudje[اسم الحساب],0)),0)</f>
        <v>31010134</v>
      </c>
      <c r="G54" s="58" t="s">
        <v>164</v>
      </c>
      <c r="H54" s="61" t="str">
        <f>INDEX(Tabledaily[المرجع البياني],MATCH(TableDailyJournal[[#This Row],[رقم العملية]],Tabledaily[رقم العملية],0))</f>
        <v>قيـد مقابـل:- (مصاريف اكراميات جرحى - مكرم عبدالعزي ومهند خالد - اللواء السادس)  - استلام نقدي رقم 0  سند استلام - مصاريف سفر للجرحى امر القائد بامرالقائد</v>
      </c>
      <c r="I54" s="60" t="str">
        <f>INDEX(Tabledaily[العملـــة],MATCH(TableDailyJournal[[#This Row],[رقم العملية]],Tabledaily[رقم العملية],0))</f>
        <v>ريال يمني</v>
      </c>
      <c r="J54" s="59">
        <f>IFERROR(INDEX(Tabledaily[سعــــــر
الصـــــرف],MATCH(C54,Tabledaily[رقم العملية],0)),1)</f>
        <v>405</v>
      </c>
      <c r="K54" s="123" cm="1">
        <f t="array" ref="K54">IFERROR(INDEX(Tabledaily[المبلـــــــغ],MATCH(1,(TableDailyJournal[[#This Row],[رقم العملية]]=Tabledaily[رقم العملية])*(TableDailyJournal[[#This Row],[الحساب]]=Tabledaily[الحســاب المديــــن]),0)),0)</f>
        <v>500000</v>
      </c>
      <c r="L54" s="124" cm="1">
        <f t="array" ref="L54">IFERROR(INDEX(Tabledaily[المبلـــــــغ],MATCH(1,(TableDailyJournal[[#This Row],[رقم العملية]]=Tabledaily[رقم العملية])*(TableDailyJournal[[#This Row],[الحساب]]=Tabledaily[الحســاب الدئـــن]),0)),0)</f>
        <v>0</v>
      </c>
      <c r="M54" s="62">
        <f>IFERROR(TableDailyJournal[[#This Row],[المبلغ مدين]]/TableDailyJournal[[#This Row],[سعــــــر
الصـــــرف]],0)</f>
        <v>1234.5679012345679</v>
      </c>
      <c r="N54" s="62">
        <f>IFERROR(TableDailyJournal[[#This Row],[المبلغ دائن]]/TableDailyJournal[[#This Row],[سعــــــر
الصـــــرف]],0)</f>
        <v>0</v>
      </c>
      <c r="O54" s="121" t="str">
        <f>INDEX(Tabledaily[المستفيــــــــد],MATCH(TableDailyJournal[[#This Row],[رقم العملية]],Tabledaily[رقم العملية],0))</f>
        <v>مكرم عبدالعزي ومهند خالد</v>
      </c>
      <c r="P54" s="121" t="str">
        <f>INDEX(Tabledaily[المــــرجـــــــــع],MATCH(TableDailyJournal[[#This Row],[رقم العملية]],Tabledaily[رقم العملية],0))</f>
        <v>استلام نقدي</v>
      </c>
      <c r="Q54" s="121" t="str">
        <f>INDEX(Tabledaily[اســـــــم المــــرجــــع],MATCH(TableDailyJournal[[#This Row],[رقم العملية]],Tabledaily[رقم العملية],0))</f>
        <v>سند استلام</v>
      </c>
      <c r="R54" s="121">
        <f>INDEX(Tabledaily[رقم المـــــرجـــع],MATCH(TableDailyJournal[[#This Row],[رقم العملية]],Tabledaily[رقم العملية],0))</f>
        <v>0</v>
      </c>
      <c r="S54" s="121" t="str">
        <f>INDEX(Tabledaily[مركـــــــزالتكلفــــــة],MATCH(TableDailyJournal[[#This Row],[رقم العملية]],Tabledaily[رقم العملية],0))</f>
        <v>اللواء السادس</v>
      </c>
      <c r="T54" s="121">
        <f>IFERROR(INDEX(tablecost[رقم المركز],MATCH(TableDailyJournal[[#This Row],[مركـــــــزالتكلفــــــة]],tablecost[الاسم],0)),0)</f>
        <v>7</v>
      </c>
      <c r="U54" s="122">
        <f>IFERROR(DATE(TableDailyJournal[[#This Row],[السنــــة]],TableDailyJournal[[#This Row],[الشهــــر]],TableDailyJournal[[#This Row],[الـــــيوم]]),"01-01-2026")</f>
        <v>46175</v>
      </c>
      <c r="V54" s="125">
        <f>INDEX(Tabledaily[تاريخ الإضافة],MATCH(TableDailyJournal[[#This Row],[رقم العملية]],Tabledaily[رقم العملية],0))</f>
        <v>46182.034837962965</v>
      </c>
      <c r="W54" s="58" t="s">
        <v>313</v>
      </c>
      <c r="X54" s="58">
        <f>IFERROR(YEAR(TableDailyJournal[[#This Row],[التاريخ]]),"")</f>
        <v>2026</v>
      </c>
      <c r="Y54" s="58">
        <f>IFERROR(MONTH(TableDailyJournal[[#This Row],[التاريخ]]),"")</f>
        <v>6</v>
      </c>
      <c r="Z54" s="58">
        <f>IFERROR(DAY(TableDailyJournal[[#This Row],[التاريخ]]),"")</f>
        <v>2</v>
      </c>
      <c r="AA54" s="126" t="str">
        <f>INDEX(Tabledaily[المرجع البياني],MATCH(TableDailyJournal[[#This Row],[رقم العملية]],Tabledaily[رقم العملية],0))</f>
        <v>قيـد مقابـل:- (مصاريف اكراميات جرحى - مكرم عبدالعزي ومهند خالد - اللواء السادس)  - استلام نقدي رقم 0  سند استلام - مصاريف سفر للجرحى امر القائد بامرالقائد</v>
      </c>
      <c r="AB54" s="58" t="str">
        <f>INDEX(Tabledaily[جهة الامر],MATCH(TableDailyJournal[[#This Row],[رقم العملية]],Tabledaily[رقم العملية],0))</f>
        <v>القائد</v>
      </c>
    </row>
    <row r="55" spans="2:28" ht="45.75" x14ac:dyDescent="0.55000000000000004">
      <c r="B55" s="58">
        <f t="shared" si="0"/>
        <v>51</v>
      </c>
      <c r="C55" s="59" t="s">
        <v>365</v>
      </c>
      <c r="D55" s="60">
        <f>INDEX(Tabledaily[date],MATCH(TableDailyJournal[[#This Row],[رقم العملية]],Tabledaily[رقم العملية],0))</f>
        <v>46175</v>
      </c>
      <c r="E55" s="58" t="str">
        <f>INDEX(Tabledaily[نوع العمليــة],MATCH(TableDailyJournal[[#This Row],[رقم العملية]],Tabledaily[رقم العملية],0))</f>
        <v>قيد عهده</v>
      </c>
      <c r="F55" s="58">
        <f>IFERROR(INDEX(TableJudje[رقم الحساب],MATCH(TableDailyJournal[[#This Row],[الحساب]],TableJudje[اسم الحساب],0)),0)</f>
        <v>11060202</v>
      </c>
      <c r="G55" s="58" t="s">
        <v>159</v>
      </c>
      <c r="H55" s="61" t="str">
        <f>INDEX(Tabledaily[المرجع البياني],MATCH(TableDailyJournal[[#This Row],[رقم العملية]],Tabledaily[رقم العملية],0))</f>
        <v>قيـد مقابـل:- (مصاريف اكراميات جرحى - مكرم عبدالعزي ومهند خالد - اللواء السادس)  - استلام نقدي رقم 0  سند استلام - مصاريف سفر للجرحى امر القائد بامرالقائد</v>
      </c>
      <c r="I55" s="60" t="str">
        <f>INDEX(Tabledaily[العملـــة],MATCH(TableDailyJournal[[#This Row],[رقم العملية]],Tabledaily[رقم العملية],0))</f>
        <v>ريال يمني</v>
      </c>
      <c r="J55" s="59">
        <f>IFERROR(INDEX(Tabledaily[سعــــــر
الصـــــرف],MATCH(C55,Tabledaily[رقم العملية],0)),1)</f>
        <v>405</v>
      </c>
      <c r="K55" s="123" cm="1">
        <f t="array" ref="K55">IFERROR(INDEX(Tabledaily[المبلـــــــغ],MATCH(1,(TableDailyJournal[[#This Row],[رقم العملية]]=Tabledaily[رقم العملية])*(TableDailyJournal[[#This Row],[الحساب]]=Tabledaily[الحســاب المديــــن]),0)),0)</f>
        <v>0</v>
      </c>
      <c r="L55" s="124" cm="1">
        <f t="array" ref="L55">IFERROR(INDEX(Tabledaily[المبلـــــــغ],MATCH(1,(TableDailyJournal[[#This Row],[رقم العملية]]=Tabledaily[رقم العملية])*(TableDailyJournal[[#This Row],[الحساب]]=Tabledaily[الحســاب الدئـــن]),0)),0)</f>
        <v>500000</v>
      </c>
      <c r="M55" s="62">
        <f>IFERROR(TableDailyJournal[[#This Row],[المبلغ مدين]]/TableDailyJournal[[#This Row],[سعــــــر
الصـــــرف]],0)</f>
        <v>0</v>
      </c>
      <c r="N55" s="62">
        <f>IFERROR(TableDailyJournal[[#This Row],[المبلغ دائن]]/TableDailyJournal[[#This Row],[سعــــــر
الصـــــرف]],0)</f>
        <v>1234.5679012345679</v>
      </c>
      <c r="O55" s="121" t="str">
        <f>INDEX(Tabledaily[المستفيــــــــد],MATCH(TableDailyJournal[[#This Row],[رقم العملية]],Tabledaily[رقم العملية],0))</f>
        <v>مكرم عبدالعزي ومهند خالد</v>
      </c>
      <c r="P55" s="121" t="str">
        <f>INDEX(Tabledaily[المــــرجـــــــــع],MATCH(TableDailyJournal[[#This Row],[رقم العملية]],Tabledaily[رقم العملية],0))</f>
        <v>استلام نقدي</v>
      </c>
      <c r="Q55" s="121" t="str">
        <f>INDEX(Tabledaily[اســـــــم المــــرجــــع],MATCH(TableDailyJournal[[#This Row],[رقم العملية]],Tabledaily[رقم العملية],0))</f>
        <v>سند استلام</v>
      </c>
      <c r="R55" s="121">
        <f>INDEX(Tabledaily[رقم المـــــرجـــع],MATCH(TableDailyJournal[[#This Row],[رقم العملية]],Tabledaily[رقم العملية],0))</f>
        <v>0</v>
      </c>
      <c r="S55" s="121" t="str">
        <f>INDEX(Tabledaily[مركـــــــزالتكلفــــــة],MATCH(TableDailyJournal[[#This Row],[رقم العملية]],Tabledaily[رقم العملية],0))</f>
        <v>اللواء السادس</v>
      </c>
      <c r="T55" s="121">
        <f>IFERROR(INDEX(tablecost[رقم المركز],MATCH(TableDailyJournal[[#This Row],[مركـــــــزالتكلفــــــة]],tablecost[الاسم],0)),0)</f>
        <v>7</v>
      </c>
      <c r="U55" s="122">
        <f>IFERROR(DATE(TableDailyJournal[[#This Row],[السنــــة]],TableDailyJournal[[#This Row],[الشهــــر]],TableDailyJournal[[#This Row],[الـــــيوم]]),"01-01-2026")</f>
        <v>46175</v>
      </c>
      <c r="V55" s="125">
        <f>INDEX(Tabledaily[تاريخ الإضافة],MATCH(TableDailyJournal[[#This Row],[رقم العملية]],Tabledaily[رقم العملية],0))</f>
        <v>46182.034837962965</v>
      </c>
      <c r="W55" s="58" t="s">
        <v>313</v>
      </c>
      <c r="X55" s="58">
        <f>IFERROR(YEAR(TableDailyJournal[[#This Row],[التاريخ]]),"")</f>
        <v>2026</v>
      </c>
      <c r="Y55" s="58">
        <f>IFERROR(MONTH(TableDailyJournal[[#This Row],[التاريخ]]),"")</f>
        <v>6</v>
      </c>
      <c r="Z55" s="58">
        <f>IFERROR(DAY(TableDailyJournal[[#This Row],[التاريخ]]),"")</f>
        <v>2</v>
      </c>
      <c r="AA55" s="126" t="str">
        <f>INDEX(Tabledaily[المرجع البياني],MATCH(TableDailyJournal[[#This Row],[رقم العملية]],Tabledaily[رقم العملية],0))</f>
        <v>قيـد مقابـل:- (مصاريف اكراميات جرحى - مكرم عبدالعزي ومهند خالد - اللواء السادس)  - استلام نقدي رقم 0  سند استلام - مصاريف سفر للجرحى امر القائد بامرالقائد</v>
      </c>
      <c r="AB55" s="58" t="str">
        <f>INDEX(Tabledaily[جهة الامر],MATCH(TableDailyJournal[[#This Row],[رقم العملية]],Tabledaily[رقم العملية],0))</f>
        <v>القائد</v>
      </c>
    </row>
    <row r="56" spans="2:28" ht="67.5" x14ac:dyDescent="0.55000000000000004">
      <c r="B56" s="58">
        <f t="shared" si="0"/>
        <v>52</v>
      </c>
      <c r="C56" s="59" t="s">
        <v>363</v>
      </c>
      <c r="D56" s="60">
        <f>INDEX(Tabledaily[date],MATCH(TableDailyJournal[[#This Row],[رقم العملية]],Tabledaily[رقم العملية],0))</f>
        <v>46175</v>
      </c>
      <c r="E56" s="58" t="str">
        <f>INDEX(Tabledaily[نوع العمليــة],MATCH(TableDailyJournal[[#This Row],[رقم العملية]],Tabledaily[رقم العملية],0))</f>
        <v>قيد عهده</v>
      </c>
      <c r="F56" s="58">
        <f>IFERROR(INDEX(TableJudje[رقم الحساب],MATCH(TableDailyJournal[[#This Row],[الحساب]],TableJudje[اسم الحساب],0)),0)</f>
        <v>31010116</v>
      </c>
      <c r="G56" s="58" t="s">
        <v>122</v>
      </c>
      <c r="H56" s="61" t="str">
        <f>INDEX(Tabledaily[المرجع البياني],MATCH(TableDailyJournal[[#This Row],[رقم العملية]],Tabledaily[رقم العملية],0))</f>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v>
      </c>
      <c r="I56" s="60" t="str">
        <f>INDEX(Tabledaily[العملـــة],MATCH(TableDailyJournal[[#This Row],[رقم العملية]],Tabledaily[رقم العملية],0))</f>
        <v>ريال يمني</v>
      </c>
      <c r="J56" s="59">
        <f>IFERROR(INDEX(Tabledaily[سعــــــر
الصـــــرف],MATCH(C56,Tabledaily[رقم العملية],0)),1)</f>
        <v>405</v>
      </c>
      <c r="K56" s="123" cm="1">
        <f t="array" ref="K56">IFERROR(INDEX(Tabledaily[المبلـــــــغ],MATCH(1,(TableDailyJournal[[#This Row],[رقم العملية]]=Tabledaily[رقم العملية])*(TableDailyJournal[[#This Row],[الحساب]]=Tabledaily[الحســاب المديــــن]),0)),0)</f>
        <v>300000</v>
      </c>
      <c r="L56" s="124" cm="1">
        <f t="array" ref="L56">IFERROR(INDEX(Tabledaily[المبلـــــــغ],MATCH(1,(TableDailyJournal[[#This Row],[رقم العملية]]=Tabledaily[رقم العملية])*(TableDailyJournal[[#This Row],[الحساب]]=Tabledaily[الحســاب الدئـــن]),0)),0)</f>
        <v>0</v>
      </c>
      <c r="M56" s="62">
        <f>IFERROR(TableDailyJournal[[#This Row],[المبلغ مدين]]/TableDailyJournal[[#This Row],[سعــــــر
الصـــــرف]],0)</f>
        <v>740.74074074074076</v>
      </c>
      <c r="N56" s="62">
        <f>IFERROR(TableDailyJournal[[#This Row],[المبلغ دائن]]/TableDailyJournal[[#This Row],[سعــــــر
الصـــــرف]],0)</f>
        <v>0</v>
      </c>
      <c r="O56" s="121" t="str">
        <f>INDEX(Tabledaily[المستفيــــــــد],MATCH(TableDailyJournal[[#This Row],[رقم العملية]],Tabledaily[رقم العملية],0))</f>
        <v>جمال مسدوس</v>
      </c>
      <c r="P56" s="121" t="str">
        <f>INDEX(Tabledaily[المــــرجـــــــــع],MATCH(TableDailyJournal[[#This Row],[رقم العملية]],Tabledaily[رقم العملية],0))</f>
        <v>استلام نقدي</v>
      </c>
      <c r="Q56" s="121" t="str">
        <f>INDEX(Tabledaily[اســـــــم المــــرجــــع],MATCH(TableDailyJournal[[#This Row],[رقم العملية]],Tabledaily[رقم العملية],0))</f>
        <v>سند استلام</v>
      </c>
      <c r="R56" s="121">
        <f>INDEX(Tabledaily[رقم المـــــرجـــع],MATCH(TableDailyJournal[[#This Row],[رقم العملية]],Tabledaily[رقم العملية],0))</f>
        <v>0</v>
      </c>
      <c r="S56" s="121" t="str">
        <f>INDEX(Tabledaily[مركـــــــزالتكلفــــــة],MATCH(TableDailyJournal[[#This Row],[رقم العملية]],Tabledaily[رقم العملية],0))</f>
        <v>الفرقة الثالثة</v>
      </c>
      <c r="T56" s="121">
        <f>IFERROR(INDEX(tablecost[رقم المركز],MATCH(TableDailyJournal[[#This Row],[مركـــــــزالتكلفــــــة]],tablecost[الاسم],0)),0)</f>
        <v>1</v>
      </c>
      <c r="U56" s="122">
        <f>IFERROR(DATE(TableDailyJournal[[#This Row],[السنــــة]],TableDailyJournal[[#This Row],[الشهــــر]],TableDailyJournal[[#This Row],[الـــــيوم]]),"01-01-2026")</f>
        <v>46175</v>
      </c>
      <c r="V56" s="125">
        <f>INDEX(Tabledaily[تاريخ الإضافة],MATCH(TableDailyJournal[[#This Row],[رقم العملية]],Tabledaily[رقم العملية],0))</f>
        <v>46182.036203703705</v>
      </c>
      <c r="W56" s="58" t="s">
        <v>293</v>
      </c>
      <c r="X56" s="58">
        <f>IFERROR(YEAR(TableDailyJournal[[#This Row],[التاريخ]]),"")</f>
        <v>2026</v>
      </c>
      <c r="Y56" s="58">
        <f>IFERROR(MONTH(TableDailyJournal[[#This Row],[التاريخ]]),"")</f>
        <v>6</v>
      </c>
      <c r="Z56" s="58">
        <f>IFERROR(DAY(TableDailyJournal[[#This Row],[التاريخ]]),"")</f>
        <v>2</v>
      </c>
      <c r="AA56" s="126" t="str">
        <f>INDEX(Tabledaily[المرجع البياني],MATCH(TableDailyJournal[[#This Row],[رقم العملية]],Tabledaily[رقم العملية],0))</f>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v>
      </c>
      <c r="AB56" s="58" t="str">
        <f>INDEX(Tabledaily[جهة الامر],MATCH(TableDailyJournal[[#This Row],[رقم العملية]],Tabledaily[رقم العملية],0))</f>
        <v>الأركان جمال مسدوس</v>
      </c>
    </row>
    <row r="57" spans="2:28" ht="67.5" x14ac:dyDescent="0.55000000000000004">
      <c r="B57" s="58">
        <f t="shared" si="0"/>
        <v>53</v>
      </c>
      <c r="C57" s="59" t="s">
        <v>363</v>
      </c>
      <c r="D57" s="60">
        <f>INDEX(Tabledaily[date],MATCH(TableDailyJournal[[#This Row],[رقم العملية]],Tabledaily[رقم العملية],0))</f>
        <v>46175</v>
      </c>
      <c r="E57" s="58" t="str">
        <f>INDEX(Tabledaily[نوع العمليــة],MATCH(TableDailyJournal[[#This Row],[رقم العملية]],Tabledaily[رقم العملية],0))</f>
        <v>قيد عهده</v>
      </c>
      <c r="F57" s="58">
        <f>IFERROR(INDEX(TableJudje[رقم الحساب],MATCH(TableDailyJournal[[#This Row],[الحساب]],TableJudje[اسم الحساب],0)),0)</f>
        <v>11060202</v>
      </c>
      <c r="G57" s="58" t="s">
        <v>159</v>
      </c>
      <c r="H57" s="61" t="str">
        <f>INDEX(Tabledaily[المرجع البياني],MATCH(TableDailyJournal[[#This Row],[رقم العملية]],Tabledaily[رقم العملية],0))</f>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v>
      </c>
      <c r="I57" s="60" t="str">
        <f>INDEX(Tabledaily[العملـــة],MATCH(TableDailyJournal[[#This Row],[رقم العملية]],Tabledaily[رقم العملية],0))</f>
        <v>ريال يمني</v>
      </c>
      <c r="J57" s="59">
        <f>IFERROR(INDEX(Tabledaily[سعــــــر
الصـــــرف],MATCH(C57,Tabledaily[رقم العملية],0)),1)</f>
        <v>405</v>
      </c>
      <c r="K57" s="123" cm="1">
        <f t="array" ref="K57">IFERROR(INDEX(Tabledaily[المبلـــــــغ],MATCH(1,(TableDailyJournal[[#This Row],[رقم العملية]]=Tabledaily[رقم العملية])*(TableDailyJournal[[#This Row],[الحساب]]=Tabledaily[الحســاب المديــــن]),0)),0)</f>
        <v>0</v>
      </c>
      <c r="L57" s="124" cm="1">
        <f t="array" ref="L57">IFERROR(INDEX(Tabledaily[المبلـــــــغ],MATCH(1,(TableDailyJournal[[#This Row],[رقم العملية]]=Tabledaily[رقم العملية])*(TableDailyJournal[[#This Row],[الحساب]]=Tabledaily[الحســاب الدئـــن]),0)),0)</f>
        <v>300000</v>
      </c>
      <c r="M57" s="62">
        <f>IFERROR(TableDailyJournal[[#This Row],[المبلغ مدين]]/TableDailyJournal[[#This Row],[سعــــــر
الصـــــرف]],0)</f>
        <v>0</v>
      </c>
      <c r="N57" s="62">
        <f>IFERROR(TableDailyJournal[[#This Row],[المبلغ دائن]]/TableDailyJournal[[#This Row],[سعــــــر
الصـــــرف]],0)</f>
        <v>740.74074074074076</v>
      </c>
      <c r="O57" s="121" t="str">
        <f>INDEX(Tabledaily[المستفيــــــــد],MATCH(TableDailyJournal[[#This Row],[رقم العملية]],Tabledaily[رقم العملية],0))</f>
        <v>جمال مسدوس</v>
      </c>
      <c r="P57" s="121" t="str">
        <f>INDEX(Tabledaily[المــــرجـــــــــع],MATCH(TableDailyJournal[[#This Row],[رقم العملية]],Tabledaily[رقم العملية],0))</f>
        <v>استلام نقدي</v>
      </c>
      <c r="Q57" s="121" t="str">
        <f>INDEX(Tabledaily[اســـــــم المــــرجــــع],MATCH(TableDailyJournal[[#This Row],[رقم العملية]],Tabledaily[رقم العملية],0))</f>
        <v>سند استلام</v>
      </c>
      <c r="R57" s="121">
        <f>INDEX(Tabledaily[رقم المـــــرجـــع],MATCH(TableDailyJournal[[#This Row],[رقم العملية]],Tabledaily[رقم العملية],0))</f>
        <v>0</v>
      </c>
      <c r="S57" s="121" t="str">
        <f>INDEX(Tabledaily[مركـــــــزالتكلفــــــة],MATCH(TableDailyJournal[[#This Row],[رقم العملية]],Tabledaily[رقم العملية],0))</f>
        <v>الفرقة الثالثة</v>
      </c>
      <c r="T57" s="121">
        <f>IFERROR(INDEX(tablecost[رقم المركز],MATCH(TableDailyJournal[[#This Row],[مركـــــــزالتكلفــــــة]],tablecost[الاسم],0)),0)</f>
        <v>1</v>
      </c>
      <c r="U57" s="122">
        <f>IFERROR(DATE(TableDailyJournal[[#This Row],[السنــــة]],TableDailyJournal[[#This Row],[الشهــــر]],TableDailyJournal[[#This Row],[الـــــيوم]]),"01-01-2026")</f>
        <v>46175</v>
      </c>
      <c r="V57" s="125">
        <f>INDEX(Tabledaily[تاريخ الإضافة],MATCH(TableDailyJournal[[#This Row],[رقم العملية]],Tabledaily[رقم العملية],0))</f>
        <v>46182.036203703705</v>
      </c>
      <c r="W57" s="58" t="s">
        <v>293</v>
      </c>
      <c r="X57" s="58">
        <f>IFERROR(YEAR(TableDailyJournal[[#This Row],[التاريخ]]),"")</f>
        <v>2026</v>
      </c>
      <c r="Y57" s="58">
        <f>IFERROR(MONTH(TableDailyJournal[[#This Row],[التاريخ]]),"")</f>
        <v>6</v>
      </c>
      <c r="Z57" s="58">
        <f>IFERROR(DAY(TableDailyJournal[[#This Row],[التاريخ]]),"")</f>
        <v>2</v>
      </c>
      <c r="AA57" s="126" t="str">
        <f>INDEX(Tabledaily[المرجع البياني],MATCH(TableDailyJournal[[#This Row],[رقم العملية]],Tabledaily[رقم العملية],0))</f>
        <v>قيـد مقابـل:- (مصاريف نزول مهام  - جمال مسدوس - الفرقة الثالثة)  - استلام نقدي رقم 0  سند استلام - مصاريف خروج مهمة عمل بيد الاركان جمال مسدوس  بامرالأركان جمال مسدوس</v>
      </c>
      <c r="AB57" s="58" t="str">
        <f>INDEX(Tabledaily[جهة الامر],MATCH(TableDailyJournal[[#This Row],[رقم العملية]],Tabledaily[رقم العملية],0))</f>
        <v>الأركان جمال مسدوس</v>
      </c>
    </row>
    <row r="58" spans="2:28" ht="45.75" x14ac:dyDescent="0.55000000000000004">
      <c r="B58" s="58">
        <f t="shared" si="0"/>
        <v>54</v>
      </c>
      <c r="C58" s="59" t="s">
        <v>360</v>
      </c>
      <c r="D58" s="60">
        <f>INDEX(Tabledaily[date],MATCH(TableDailyJournal[[#This Row],[رقم العملية]],Tabledaily[رقم العملية],0))</f>
        <v>46175</v>
      </c>
      <c r="E58" s="58" t="str">
        <f>INDEX(Tabledaily[نوع العمليــة],MATCH(TableDailyJournal[[#This Row],[رقم العملية]],Tabledaily[رقم العملية],0))</f>
        <v>قيد عهده</v>
      </c>
      <c r="F58" s="58">
        <f>IFERROR(INDEX(TableJudje[رقم الحساب],MATCH(TableDailyJournal[[#This Row],[الحساب]],TableJudje[اسم الحساب],0)),0)</f>
        <v>31010114</v>
      </c>
      <c r="G58" s="58" t="s">
        <v>121</v>
      </c>
      <c r="H58" s="61" t="str">
        <f>INDEX(Tabledaily[المرجع البياني],MATCH(TableDailyJournal[[#This Row],[رقم العملية]],Tabledaily[رقم العملية],0))</f>
        <v>قيـد مقابـل:- (مصاريف حوافز ومكافئات  - محمد السبع - الفرقة الثالثة)  - استلام نقدي رقم 0  سند استلام - مصاريف اضافية  ل محمد السبع بامرالأركان جمال مسدوس</v>
      </c>
      <c r="I58" s="60" t="str">
        <f>INDEX(Tabledaily[العملـــة],MATCH(TableDailyJournal[[#This Row],[رقم العملية]],Tabledaily[رقم العملية],0))</f>
        <v>ريال يمني</v>
      </c>
      <c r="J58" s="59">
        <f>IFERROR(INDEX(Tabledaily[سعــــــر
الصـــــرف],MATCH(C58,Tabledaily[رقم العملية],0)),1)</f>
        <v>405</v>
      </c>
      <c r="K58" s="123" cm="1">
        <f t="array" ref="K58">IFERROR(INDEX(Tabledaily[المبلـــــــغ],MATCH(1,(TableDailyJournal[[#This Row],[رقم العملية]]=Tabledaily[رقم العملية])*(TableDailyJournal[[#This Row],[الحساب]]=Tabledaily[الحســاب المديــــن]),0)),0)</f>
        <v>10000</v>
      </c>
      <c r="L58" s="124" cm="1">
        <f t="array" ref="L58">IFERROR(INDEX(Tabledaily[المبلـــــــغ],MATCH(1,(TableDailyJournal[[#This Row],[رقم العملية]]=Tabledaily[رقم العملية])*(TableDailyJournal[[#This Row],[الحساب]]=Tabledaily[الحســاب الدئـــن]),0)),0)</f>
        <v>0</v>
      </c>
      <c r="M58" s="62">
        <f>IFERROR(TableDailyJournal[[#This Row],[المبلغ مدين]]/TableDailyJournal[[#This Row],[سعــــــر
الصـــــرف]],0)</f>
        <v>24.691358024691358</v>
      </c>
      <c r="N58" s="62">
        <f>IFERROR(TableDailyJournal[[#This Row],[المبلغ دائن]]/TableDailyJournal[[#This Row],[سعــــــر
الصـــــرف]],0)</f>
        <v>0</v>
      </c>
      <c r="O58" s="121" t="str">
        <f>INDEX(Tabledaily[المستفيــــــــد],MATCH(TableDailyJournal[[#This Row],[رقم العملية]],Tabledaily[رقم العملية],0))</f>
        <v>محمد السبع</v>
      </c>
      <c r="P58" s="121" t="str">
        <f>INDEX(Tabledaily[المــــرجـــــــــع],MATCH(TableDailyJournal[[#This Row],[رقم العملية]],Tabledaily[رقم العملية],0))</f>
        <v>استلام نقدي</v>
      </c>
      <c r="Q58" s="121" t="str">
        <f>INDEX(Tabledaily[اســـــــم المــــرجــــع],MATCH(TableDailyJournal[[#This Row],[رقم العملية]],Tabledaily[رقم العملية],0))</f>
        <v>سند استلام</v>
      </c>
      <c r="R58" s="121">
        <f>INDEX(Tabledaily[رقم المـــــرجـــع],MATCH(TableDailyJournal[[#This Row],[رقم العملية]],Tabledaily[رقم العملية],0))</f>
        <v>0</v>
      </c>
      <c r="S58" s="121" t="str">
        <f>INDEX(Tabledaily[مركـــــــزالتكلفــــــة],MATCH(TableDailyJournal[[#This Row],[رقم العملية]],Tabledaily[رقم العملية],0))</f>
        <v>الفرقة الثالثة</v>
      </c>
      <c r="T58" s="121">
        <f>IFERROR(INDEX(tablecost[رقم المركز],MATCH(TableDailyJournal[[#This Row],[مركـــــــزالتكلفــــــة]],tablecost[الاسم],0)),0)</f>
        <v>1</v>
      </c>
      <c r="U58" s="122">
        <f>IFERROR(DATE(TableDailyJournal[[#This Row],[السنــــة]],TableDailyJournal[[#This Row],[الشهــــر]],TableDailyJournal[[#This Row],[الـــــيوم]]),"01-01-2026")</f>
        <v>46175</v>
      </c>
      <c r="V58" s="125">
        <f>INDEX(Tabledaily[تاريخ الإضافة],MATCH(TableDailyJournal[[#This Row],[رقم العملية]],Tabledaily[رقم العملية],0))</f>
        <v>46182.037581018521</v>
      </c>
      <c r="W58" s="58" t="s">
        <v>293</v>
      </c>
      <c r="X58" s="58">
        <f>IFERROR(YEAR(TableDailyJournal[[#This Row],[التاريخ]]),"")</f>
        <v>2026</v>
      </c>
      <c r="Y58" s="58">
        <f>IFERROR(MONTH(TableDailyJournal[[#This Row],[التاريخ]]),"")</f>
        <v>6</v>
      </c>
      <c r="Z58" s="58">
        <f>IFERROR(DAY(TableDailyJournal[[#This Row],[التاريخ]]),"")</f>
        <v>2</v>
      </c>
      <c r="AA58" s="126" t="str">
        <f>INDEX(Tabledaily[المرجع البياني],MATCH(TableDailyJournal[[#This Row],[رقم العملية]],Tabledaily[رقم العملية],0))</f>
        <v>قيـد مقابـل:- (مصاريف حوافز ومكافئات  - محمد السبع - الفرقة الثالثة)  - استلام نقدي رقم 0  سند استلام - مصاريف اضافية  ل محمد السبع بامرالأركان جمال مسدوس</v>
      </c>
      <c r="AB58" s="58" t="str">
        <f>INDEX(Tabledaily[جهة الامر],MATCH(TableDailyJournal[[#This Row],[رقم العملية]],Tabledaily[رقم العملية],0))</f>
        <v>الأركان جمال مسدوس</v>
      </c>
    </row>
    <row r="59" spans="2:28" ht="45.75" x14ac:dyDescent="0.55000000000000004">
      <c r="B59" s="58">
        <f t="shared" si="0"/>
        <v>55</v>
      </c>
      <c r="C59" s="59" t="s">
        <v>360</v>
      </c>
      <c r="D59" s="60">
        <f>INDEX(Tabledaily[date],MATCH(TableDailyJournal[[#This Row],[رقم العملية]],Tabledaily[رقم العملية],0))</f>
        <v>46175</v>
      </c>
      <c r="E59" s="58" t="str">
        <f>INDEX(Tabledaily[نوع العمليــة],MATCH(TableDailyJournal[[#This Row],[رقم العملية]],Tabledaily[رقم العملية],0))</f>
        <v>قيد عهده</v>
      </c>
      <c r="F59" s="58">
        <f>IFERROR(INDEX(TableJudje[رقم الحساب],MATCH(TableDailyJournal[[#This Row],[الحساب]],TableJudje[اسم الحساب],0)),0)</f>
        <v>11060202</v>
      </c>
      <c r="G59" s="58" t="s">
        <v>159</v>
      </c>
      <c r="H59" s="61" t="str">
        <f>INDEX(Tabledaily[المرجع البياني],MATCH(TableDailyJournal[[#This Row],[رقم العملية]],Tabledaily[رقم العملية],0))</f>
        <v>قيـد مقابـل:- (مصاريف حوافز ومكافئات  - محمد السبع - الفرقة الثالثة)  - استلام نقدي رقم 0  سند استلام - مصاريف اضافية  ل محمد السبع بامرالأركان جمال مسدوس</v>
      </c>
      <c r="I59" s="60" t="str">
        <f>INDEX(Tabledaily[العملـــة],MATCH(TableDailyJournal[[#This Row],[رقم العملية]],Tabledaily[رقم العملية],0))</f>
        <v>ريال يمني</v>
      </c>
      <c r="J59" s="59">
        <f>IFERROR(INDEX(Tabledaily[سعــــــر
الصـــــرف],MATCH(C59,Tabledaily[رقم العملية],0)),1)</f>
        <v>405</v>
      </c>
      <c r="K59" s="123" cm="1">
        <f t="array" ref="K59">IFERROR(INDEX(Tabledaily[المبلـــــــغ],MATCH(1,(TableDailyJournal[[#This Row],[رقم العملية]]=Tabledaily[رقم العملية])*(TableDailyJournal[[#This Row],[الحساب]]=Tabledaily[الحســاب المديــــن]),0)),0)</f>
        <v>0</v>
      </c>
      <c r="L59" s="124" cm="1">
        <f t="array" ref="L59">IFERROR(INDEX(Tabledaily[المبلـــــــغ],MATCH(1,(TableDailyJournal[[#This Row],[رقم العملية]]=Tabledaily[رقم العملية])*(TableDailyJournal[[#This Row],[الحساب]]=Tabledaily[الحســاب الدئـــن]),0)),0)</f>
        <v>10000</v>
      </c>
      <c r="M59" s="62">
        <f>IFERROR(TableDailyJournal[[#This Row],[المبلغ مدين]]/TableDailyJournal[[#This Row],[سعــــــر
الصـــــرف]],0)</f>
        <v>0</v>
      </c>
      <c r="N59" s="62">
        <f>IFERROR(TableDailyJournal[[#This Row],[المبلغ دائن]]/TableDailyJournal[[#This Row],[سعــــــر
الصـــــرف]],0)</f>
        <v>24.691358024691358</v>
      </c>
      <c r="O59" s="121" t="str">
        <f>INDEX(Tabledaily[المستفيــــــــد],MATCH(TableDailyJournal[[#This Row],[رقم العملية]],Tabledaily[رقم العملية],0))</f>
        <v>محمد السبع</v>
      </c>
      <c r="P59" s="121" t="str">
        <f>INDEX(Tabledaily[المــــرجـــــــــع],MATCH(TableDailyJournal[[#This Row],[رقم العملية]],Tabledaily[رقم العملية],0))</f>
        <v>استلام نقدي</v>
      </c>
      <c r="Q59" s="121" t="str">
        <f>INDEX(Tabledaily[اســـــــم المــــرجــــع],MATCH(TableDailyJournal[[#This Row],[رقم العملية]],Tabledaily[رقم العملية],0))</f>
        <v>سند استلام</v>
      </c>
      <c r="R59" s="121">
        <f>INDEX(Tabledaily[رقم المـــــرجـــع],MATCH(TableDailyJournal[[#This Row],[رقم العملية]],Tabledaily[رقم العملية],0))</f>
        <v>0</v>
      </c>
      <c r="S59" s="121" t="str">
        <f>INDEX(Tabledaily[مركـــــــزالتكلفــــــة],MATCH(TableDailyJournal[[#This Row],[رقم العملية]],Tabledaily[رقم العملية],0))</f>
        <v>الفرقة الثالثة</v>
      </c>
      <c r="T59" s="121">
        <f>IFERROR(INDEX(tablecost[رقم المركز],MATCH(TableDailyJournal[[#This Row],[مركـــــــزالتكلفــــــة]],tablecost[الاسم],0)),0)</f>
        <v>1</v>
      </c>
      <c r="U59" s="122">
        <f>IFERROR(DATE(TableDailyJournal[[#This Row],[السنــــة]],TableDailyJournal[[#This Row],[الشهــــر]],TableDailyJournal[[#This Row],[الـــــيوم]]),"01-01-2026")</f>
        <v>46175</v>
      </c>
      <c r="V59" s="125">
        <f>INDEX(Tabledaily[تاريخ الإضافة],MATCH(TableDailyJournal[[#This Row],[رقم العملية]],Tabledaily[رقم العملية],0))</f>
        <v>46182.037581018521</v>
      </c>
      <c r="W59" s="58" t="s">
        <v>293</v>
      </c>
      <c r="X59" s="58">
        <f>IFERROR(YEAR(TableDailyJournal[[#This Row],[التاريخ]]),"")</f>
        <v>2026</v>
      </c>
      <c r="Y59" s="58">
        <f>IFERROR(MONTH(TableDailyJournal[[#This Row],[التاريخ]]),"")</f>
        <v>6</v>
      </c>
      <c r="Z59" s="58">
        <f>IFERROR(DAY(TableDailyJournal[[#This Row],[التاريخ]]),"")</f>
        <v>2</v>
      </c>
      <c r="AA59" s="126" t="str">
        <f>INDEX(Tabledaily[المرجع البياني],MATCH(TableDailyJournal[[#This Row],[رقم العملية]],Tabledaily[رقم العملية],0))</f>
        <v>قيـد مقابـل:- (مصاريف حوافز ومكافئات  - محمد السبع - الفرقة الثالثة)  - استلام نقدي رقم 0  سند استلام - مصاريف اضافية  ل محمد السبع بامرالأركان جمال مسدوس</v>
      </c>
      <c r="AB59" s="58" t="str">
        <f>INDEX(Tabledaily[جهة الامر],MATCH(TableDailyJournal[[#This Row],[رقم العملية]],Tabledaily[رقم العملية],0))</f>
        <v>الأركان جمال مسدوس</v>
      </c>
    </row>
    <row r="60" spans="2:28" ht="45.75" x14ac:dyDescent="0.55000000000000004">
      <c r="B60" s="58">
        <f t="shared" si="0"/>
        <v>56</v>
      </c>
      <c r="C60" s="59" t="s">
        <v>356</v>
      </c>
      <c r="D60" s="60">
        <f>INDEX(Tabledaily[date],MATCH(TableDailyJournal[[#This Row],[رقم العملية]],Tabledaily[رقم العملية],0))</f>
        <v>46175</v>
      </c>
      <c r="E60" s="58" t="str">
        <f>INDEX(Tabledaily[نوع العمليــة],MATCH(TableDailyJournal[[#This Row],[رقم العملية]],Tabledaily[رقم العملية],0))</f>
        <v>قيد عهده</v>
      </c>
      <c r="F60" s="58">
        <f>IFERROR(INDEX(TableJudje[رقم الحساب],MATCH(TableDailyJournal[[#This Row],[الحساب]],TableJudje[اسم الحساب],0)),0)</f>
        <v>31010106</v>
      </c>
      <c r="G60" s="58" t="s">
        <v>115</v>
      </c>
      <c r="H60" s="61" t="str">
        <f>INDEX(Tabledaily[المرجع البياني],MATCH(TableDailyJournal[[#This Row],[رقم العملية]],Tabledaily[رقم العملية],0))</f>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v>
      </c>
      <c r="I60" s="60" t="str">
        <f>INDEX(Tabledaily[العملـــة],MATCH(TableDailyJournal[[#This Row],[رقم العملية]],Tabledaily[رقم العملية],0))</f>
        <v>ريال يمني</v>
      </c>
      <c r="J60" s="59">
        <f>IFERROR(INDEX(Tabledaily[سعــــــر
الصـــــرف],MATCH(C60,Tabledaily[رقم العملية],0)),1)</f>
        <v>405</v>
      </c>
      <c r="K60" s="123" cm="1">
        <f t="array" ref="K60">IFERROR(INDEX(Tabledaily[المبلـــــــغ],MATCH(1,(TableDailyJournal[[#This Row],[رقم العملية]]=Tabledaily[رقم العملية])*(TableDailyJournal[[#This Row],[الحساب]]=Tabledaily[الحســاب المديــــن]),0)),0)</f>
        <v>15000</v>
      </c>
      <c r="L60" s="124" cm="1">
        <f t="array" ref="L60">IFERROR(INDEX(Tabledaily[المبلـــــــغ],MATCH(1,(TableDailyJournal[[#This Row],[رقم العملية]]=Tabledaily[رقم العملية])*(TableDailyJournal[[#This Row],[الحساب]]=Tabledaily[الحســاب الدئـــن]),0)),0)</f>
        <v>0</v>
      </c>
      <c r="M60" s="62">
        <f>IFERROR(TableDailyJournal[[#This Row],[المبلغ مدين]]/TableDailyJournal[[#This Row],[سعــــــر
الصـــــرف]],0)</f>
        <v>37.037037037037038</v>
      </c>
      <c r="N60" s="62">
        <f>IFERROR(TableDailyJournal[[#This Row],[المبلغ دائن]]/TableDailyJournal[[#This Row],[سعــــــر
الصـــــرف]],0)</f>
        <v>0</v>
      </c>
      <c r="O60" s="121" t="str">
        <f>INDEX(Tabledaily[المستفيــــــــد],MATCH(TableDailyJournal[[#This Row],[رقم العملية]],Tabledaily[رقم العملية],0))</f>
        <v xml:space="preserve">طقم القائد </v>
      </c>
      <c r="P60" s="121" t="str">
        <f>INDEX(Tabledaily[المــــرجـــــــــع],MATCH(TableDailyJournal[[#This Row],[رقم العملية]],Tabledaily[رقم العملية],0))</f>
        <v>فاتورة</v>
      </c>
      <c r="Q60" s="121" t="str">
        <f>INDEX(Tabledaily[اســـــــم المــــرجــــع],MATCH(TableDailyJournal[[#This Row],[رقم العملية]],Tabledaily[رقم العملية],0))</f>
        <v>مركز الوفاء التجاري</v>
      </c>
      <c r="R60" s="121">
        <f>INDEX(Tabledaily[رقم المـــــرجـــع],MATCH(TableDailyJournal[[#This Row],[رقم العملية]],Tabledaily[رقم العملية],0))</f>
        <v>4324</v>
      </c>
      <c r="S60" s="121" t="str">
        <f>INDEX(Tabledaily[مركـــــــزالتكلفــــــة],MATCH(TableDailyJournal[[#This Row],[رقم العملية]],Tabledaily[رقم العملية],0))</f>
        <v>الفرقة الثالثة</v>
      </c>
      <c r="T60" s="121">
        <f>IFERROR(INDEX(tablecost[رقم المركز],MATCH(TableDailyJournal[[#This Row],[مركـــــــزالتكلفــــــة]],tablecost[الاسم],0)),0)</f>
        <v>1</v>
      </c>
      <c r="U60" s="122">
        <f>IFERROR(DATE(TableDailyJournal[[#This Row],[السنــــة]],TableDailyJournal[[#This Row],[الشهــــر]],TableDailyJournal[[#This Row],[الـــــيوم]]),"01-01-2026")</f>
        <v>46175</v>
      </c>
      <c r="V60" s="125">
        <f>INDEX(Tabledaily[تاريخ الإضافة],MATCH(TableDailyJournal[[#This Row],[رقم العملية]],Tabledaily[رقم العملية],0))</f>
        <v>46182.038888888892</v>
      </c>
      <c r="W60" s="58" t="s">
        <v>302</v>
      </c>
      <c r="X60" s="58">
        <f>IFERROR(YEAR(TableDailyJournal[[#This Row],[التاريخ]]),"")</f>
        <v>2026</v>
      </c>
      <c r="Y60" s="58">
        <f>IFERROR(MONTH(TableDailyJournal[[#This Row],[التاريخ]]),"")</f>
        <v>6</v>
      </c>
      <c r="Z60" s="58">
        <f>IFERROR(DAY(TableDailyJournal[[#This Row],[التاريخ]]),"")</f>
        <v>2</v>
      </c>
      <c r="AA60" s="126" t="str">
        <f>INDEX(Tabledaily[المرجع البياني],MATCH(TableDailyJournal[[#This Row],[رقم العملية]],Tabledaily[رقم العملية],0))</f>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v>
      </c>
      <c r="AB60" s="58" t="str">
        <f>INDEX(Tabledaily[جهة الامر],MATCH(TableDailyJournal[[#This Row],[رقم العملية]],Tabledaily[رقم العملية],0))</f>
        <v>مدير  مكتب القائد</v>
      </c>
    </row>
    <row r="61" spans="2:28" ht="45.75" x14ac:dyDescent="0.55000000000000004">
      <c r="B61" s="58">
        <f t="shared" si="0"/>
        <v>57</v>
      </c>
      <c r="C61" s="59" t="s">
        <v>356</v>
      </c>
      <c r="D61" s="60">
        <f>INDEX(Tabledaily[date],MATCH(TableDailyJournal[[#This Row],[رقم العملية]],Tabledaily[رقم العملية],0))</f>
        <v>46175</v>
      </c>
      <c r="E61" s="58" t="str">
        <f>INDEX(Tabledaily[نوع العمليــة],MATCH(TableDailyJournal[[#This Row],[رقم العملية]],Tabledaily[رقم العملية],0))</f>
        <v>قيد عهده</v>
      </c>
      <c r="F61" s="58">
        <f>IFERROR(INDEX(TableJudje[رقم الحساب],MATCH(TableDailyJournal[[#This Row],[الحساب]],TableJudje[اسم الحساب],0)),0)</f>
        <v>11060202</v>
      </c>
      <c r="G61" s="58" t="s">
        <v>159</v>
      </c>
      <c r="H61" s="61" t="str">
        <f>INDEX(Tabledaily[المرجع البياني],MATCH(TableDailyJournal[[#This Row],[رقم العملية]],Tabledaily[رقم العملية],0))</f>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v>
      </c>
      <c r="I61" s="60" t="str">
        <f>INDEX(Tabledaily[العملـــة],MATCH(TableDailyJournal[[#This Row],[رقم العملية]],Tabledaily[رقم العملية],0))</f>
        <v>ريال يمني</v>
      </c>
      <c r="J61" s="59">
        <f>IFERROR(INDEX(Tabledaily[سعــــــر
الصـــــرف],MATCH(C61,Tabledaily[رقم العملية],0)),1)</f>
        <v>405</v>
      </c>
      <c r="K61" s="123" cm="1">
        <f t="array" ref="K61">IFERROR(INDEX(Tabledaily[المبلـــــــغ],MATCH(1,(TableDailyJournal[[#This Row],[رقم العملية]]=Tabledaily[رقم العملية])*(TableDailyJournal[[#This Row],[الحساب]]=Tabledaily[الحســاب المديــــن]),0)),0)</f>
        <v>0</v>
      </c>
      <c r="L61" s="124" cm="1">
        <f t="array" ref="L61">IFERROR(INDEX(Tabledaily[المبلـــــــغ],MATCH(1,(TableDailyJournal[[#This Row],[رقم العملية]]=Tabledaily[رقم العملية])*(TableDailyJournal[[#This Row],[الحساب]]=Tabledaily[الحســاب الدئـــن]),0)),0)</f>
        <v>15000</v>
      </c>
      <c r="M61" s="62">
        <f>IFERROR(TableDailyJournal[[#This Row],[المبلغ مدين]]/TableDailyJournal[[#This Row],[سعــــــر
الصـــــرف]],0)</f>
        <v>0</v>
      </c>
      <c r="N61" s="62">
        <f>IFERROR(TableDailyJournal[[#This Row],[المبلغ دائن]]/TableDailyJournal[[#This Row],[سعــــــر
الصـــــرف]],0)</f>
        <v>37.037037037037038</v>
      </c>
      <c r="O61" s="121" t="str">
        <f>INDEX(Tabledaily[المستفيــــــــد],MATCH(TableDailyJournal[[#This Row],[رقم العملية]],Tabledaily[رقم العملية],0))</f>
        <v xml:space="preserve">طقم القائد </v>
      </c>
      <c r="P61" s="121" t="str">
        <f>INDEX(Tabledaily[المــــرجـــــــــع],MATCH(TableDailyJournal[[#This Row],[رقم العملية]],Tabledaily[رقم العملية],0))</f>
        <v>فاتورة</v>
      </c>
      <c r="Q61" s="121" t="str">
        <f>INDEX(Tabledaily[اســـــــم المــــرجــــع],MATCH(TableDailyJournal[[#This Row],[رقم العملية]],Tabledaily[رقم العملية],0))</f>
        <v>مركز الوفاء التجاري</v>
      </c>
      <c r="R61" s="121">
        <f>INDEX(Tabledaily[رقم المـــــرجـــع],MATCH(TableDailyJournal[[#This Row],[رقم العملية]],Tabledaily[رقم العملية],0))</f>
        <v>4324</v>
      </c>
      <c r="S61" s="121" t="str">
        <f>INDEX(Tabledaily[مركـــــــزالتكلفــــــة],MATCH(TableDailyJournal[[#This Row],[رقم العملية]],Tabledaily[رقم العملية],0))</f>
        <v>الفرقة الثالثة</v>
      </c>
      <c r="T61" s="121">
        <f>IFERROR(INDEX(tablecost[رقم المركز],MATCH(TableDailyJournal[[#This Row],[مركـــــــزالتكلفــــــة]],tablecost[الاسم],0)),0)</f>
        <v>1</v>
      </c>
      <c r="U61" s="122">
        <f>IFERROR(DATE(TableDailyJournal[[#This Row],[السنــــة]],TableDailyJournal[[#This Row],[الشهــــر]],TableDailyJournal[[#This Row],[الـــــيوم]]),"01-01-2026")</f>
        <v>46175</v>
      </c>
      <c r="V61" s="125">
        <f>INDEX(Tabledaily[تاريخ الإضافة],MATCH(TableDailyJournal[[#This Row],[رقم العملية]],Tabledaily[رقم العملية],0))</f>
        <v>46182.038888888892</v>
      </c>
      <c r="W61" s="58" t="s">
        <v>302</v>
      </c>
      <c r="X61" s="58">
        <f>IFERROR(YEAR(TableDailyJournal[[#This Row],[التاريخ]]),"")</f>
        <v>2026</v>
      </c>
      <c r="Y61" s="58">
        <f>IFERROR(MONTH(TableDailyJournal[[#This Row],[التاريخ]]),"")</f>
        <v>6</v>
      </c>
      <c r="Z61" s="58">
        <f>IFERROR(DAY(TableDailyJournal[[#This Row],[التاريخ]]),"")</f>
        <v>2</v>
      </c>
      <c r="AA61" s="126" t="str">
        <f>INDEX(Tabledaily[المرجع البياني],MATCH(TableDailyJournal[[#This Row],[رقم العملية]],Tabledaily[رقم العملية],0))</f>
        <v>قيـد مقابـل:- (مصاريف صيانة واصلاحات فنية  - طقم القائد  - الفرقة الثالثة)  - فاتورة رقم 4324  مركز الوفاء التجاري - اجور تركيب كفر مدرعة لطقم القائد بامرمدير  مكتب القائد</v>
      </c>
      <c r="AB61" s="58" t="str">
        <f>INDEX(Tabledaily[جهة الامر],MATCH(TableDailyJournal[[#This Row],[رقم العملية]],Tabledaily[رقم العملية],0))</f>
        <v>مدير  مكتب القائد</v>
      </c>
    </row>
    <row r="62" spans="2:28" ht="67.5" x14ac:dyDescent="0.55000000000000004">
      <c r="B62" s="58">
        <f t="shared" si="0"/>
        <v>58</v>
      </c>
      <c r="C62" s="59" t="s">
        <v>353</v>
      </c>
      <c r="D62" s="60">
        <f>INDEX(Tabledaily[date],MATCH(TableDailyJournal[[#This Row],[رقم العملية]],Tabledaily[رقم العملية],0))</f>
        <v>46175</v>
      </c>
      <c r="E62" s="58" t="str">
        <f>INDEX(Tabledaily[نوع العمليــة],MATCH(TableDailyJournal[[#This Row],[رقم العملية]],Tabledaily[رقم العملية],0))</f>
        <v>قيد عهده</v>
      </c>
      <c r="F62" s="58">
        <f>IFERROR(INDEX(TableJudje[رقم الحساب],MATCH(TableDailyJournal[[#This Row],[الحساب]],TableJudje[اسم الحساب],0)),0)</f>
        <v>31010106</v>
      </c>
      <c r="G62" s="58" t="s">
        <v>115</v>
      </c>
      <c r="H62" s="61" t="str">
        <f>INDEX(Tabledaily[المرجع البياني],MATCH(TableDailyJournal[[#This Row],[رقم العملية]],Tabledaily[رقم العملية],0))</f>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v>
      </c>
      <c r="I62" s="60" t="str">
        <f>INDEX(Tabledaily[العملـــة],MATCH(TableDailyJournal[[#This Row],[رقم العملية]],Tabledaily[رقم العملية],0))</f>
        <v>ريال يمني</v>
      </c>
      <c r="J62" s="59">
        <f>IFERROR(INDEX(Tabledaily[سعــــــر
الصـــــرف],MATCH(C62,Tabledaily[رقم العملية],0)),1)</f>
        <v>405</v>
      </c>
      <c r="K62" s="123" cm="1">
        <f t="array" ref="K62">IFERROR(INDEX(Tabledaily[المبلـــــــغ],MATCH(1,(TableDailyJournal[[#This Row],[رقم العملية]]=Tabledaily[رقم العملية])*(TableDailyJournal[[#This Row],[الحساب]]=Tabledaily[الحســاب المديــــن]),0)),0)</f>
        <v>25000</v>
      </c>
      <c r="L62" s="124" cm="1">
        <f t="array" ref="L62">IFERROR(INDEX(Tabledaily[المبلـــــــغ],MATCH(1,(TableDailyJournal[[#This Row],[رقم العملية]]=Tabledaily[رقم العملية])*(TableDailyJournal[[#This Row],[الحساب]]=Tabledaily[الحســاب الدئـــن]),0)),0)</f>
        <v>0</v>
      </c>
      <c r="M62" s="62">
        <f>IFERROR(TableDailyJournal[[#This Row],[المبلغ مدين]]/TableDailyJournal[[#This Row],[سعــــــر
الصـــــرف]],0)</f>
        <v>61.728395061728392</v>
      </c>
      <c r="N62" s="62">
        <f>IFERROR(TableDailyJournal[[#This Row],[المبلغ دائن]]/TableDailyJournal[[#This Row],[سعــــــر
الصـــــرف]],0)</f>
        <v>0</v>
      </c>
      <c r="O62" s="121" t="str">
        <f>INDEX(Tabledaily[المستفيــــــــد],MATCH(TableDailyJournal[[#This Row],[رقم العملية]],Tabledaily[رقم العملية],0))</f>
        <v>طقم القائد</v>
      </c>
      <c r="P62" s="121" t="str">
        <f>INDEX(Tabledaily[المــــرجـــــــــع],MATCH(TableDailyJournal[[#This Row],[رقم العملية]],Tabledaily[رقم العملية],0))</f>
        <v>فاتورة</v>
      </c>
      <c r="Q62" s="121" t="str">
        <f>INDEX(Tabledaily[اســـــــم المــــرجــــع],MATCH(TableDailyJournal[[#This Row],[رقم العملية]],Tabledaily[رقم العملية],0))</f>
        <v>ورشة مراد القدسي للحدادة العامة والكمانات</v>
      </c>
      <c r="R62" s="121">
        <f>INDEX(Tabledaily[رقم المـــــرجـــع],MATCH(TableDailyJournal[[#This Row],[رقم العملية]],Tabledaily[رقم العملية],0))</f>
        <v>16</v>
      </c>
      <c r="S62" s="121" t="str">
        <f>INDEX(Tabledaily[مركـــــــزالتكلفــــــة],MATCH(TableDailyJournal[[#This Row],[رقم العملية]],Tabledaily[رقم العملية],0))</f>
        <v>الفرقة الثالثة</v>
      </c>
      <c r="T62" s="121">
        <f>IFERROR(INDEX(tablecost[رقم المركز],MATCH(TableDailyJournal[[#This Row],[مركـــــــزالتكلفــــــة]],tablecost[الاسم],0)),0)</f>
        <v>1</v>
      </c>
      <c r="U62" s="122">
        <f>IFERROR(DATE(TableDailyJournal[[#This Row],[السنــــة]],TableDailyJournal[[#This Row],[الشهــــر]],TableDailyJournal[[#This Row],[الـــــيوم]]),"01-01-2026")</f>
        <v>46175</v>
      </c>
      <c r="V62" s="125">
        <f>INDEX(Tabledaily[تاريخ الإضافة],MATCH(TableDailyJournal[[#This Row],[رقم العملية]],Tabledaily[رقم العملية],0))</f>
        <v>46182.041145833333</v>
      </c>
      <c r="W62" s="58" t="s">
        <v>302</v>
      </c>
      <c r="X62" s="58">
        <f>IFERROR(YEAR(TableDailyJournal[[#This Row],[التاريخ]]),"")</f>
        <v>2026</v>
      </c>
      <c r="Y62" s="58">
        <f>IFERROR(MONTH(TableDailyJournal[[#This Row],[التاريخ]]),"")</f>
        <v>6</v>
      </c>
      <c r="Z62" s="58">
        <f>IFERROR(DAY(TableDailyJournal[[#This Row],[التاريخ]]),"")</f>
        <v>2</v>
      </c>
      <c r="AA62" s="126" t="str">
        <f>INDEX(Tabledaily[المرجع البياني],MATCH(TableDailyJournal[[#This Row],[رقم العملية]],Tabledaily[رقم العملية],0))</f>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v>
      </c>
      <c r="AB62" s="58" t="str">
        <f>INDEX(Tabledaily[جهة الامر],MATCH(TableDailyJournal[[#This Row],[رقم العملية]],Tabledaily[رقم العملية],0))</f>
        <v>مدير  مكتب القائد</v>
      </c>
    </row>
    <row r="63" spans="2:28" ht="67.5" x14ac:dyDescent="0.55000000000000004">
      <c r="B63" s="58">
        <f t="shared" si="0"/>
        <v>59</v>
      </c>
      <c r="C63" s="59" t="s">
        <v>353</v>
      </c>
      <c r="D63" s="60">
        <f>INDEX(Tabledaily[date],MATCH(TableDailyJournal[[#This Row],[رقم العملية]],Tabledaily[رقم العملية],0))</f>
        <v>46175</v>
      </c>
      <c r="E63" s="58" t="str">
        <f>INDEX(Tabledaily[نوع العمليــة],MATCH(TableDailyJournal[[#This Row],[رقم العملية]],Tabledaily[رقم العملية],0))</f>
        <v>قيد عهده</v>
      </c>
      <c r="F63" s="58">
        <f>IFERROR(INDEX(TableJudje[رقم الحساب],MATCH(TableDailyJournal[[#This Row],[الحساب]],TableJudje[اسم الحساب],0)),0)</f>
        <v>11060202</v>
      </c>
      <c r="G63" s="58" t="s">
        <v>159</v>
      </c>
      <c r="H63" s="61" t="str">
        <f>INDEX(Tabledaily[المرجع البياني],MATCH(TableDailyJournal[[#This Row],[رقم العملية]],Tabledaily[رقم العملية],0))</f>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v>
      </c>
      <c r="I63" s="60" t="str">
        <f>INDEX(Tabledaily[العملـــة],MATCH(TableDailyJournal[[#This Row],[رقم العملية]],Tabledaily[رقم العملية],0))</f>
        <v>ريال يمني</v>
      </c>
      <c r="J63" s="59">
        <f>IFERROR(INDEX(Tabledaily[سعــــــر
الصـــــرف],MATCH(C63,Tabledaily[رقم العملية],0)),1)</f>
        <v>405</v>
      </c>
      <c r="K63" s="123" cm="1">
        <f t="array" ref="K63">IFERROR(INDEX(Tabledaily[المبلـــــــغ],MATCH(1,(TableDailyJournal[[#This Row],[رقم العملية]]=Tabledaily[رقم العملية])*(TableDailyJournal[[#This Row],[الحساب]]=Tabledaily[الحســاب المديــــن]),0)),0)</f>
        <v>0</v>
      </c>
      <c r="L63" s="124" cm="1">
        <f t="array" ref="L63">IFERROR(INDEX(Tabledaily[المبلـــــــغ],MATCH(1,(TableDailyJournal[[#This Row],[رقم العملية]]=Tabledaily[رقم العملية])*(TableDailyJournal[[#This Row],[الحساب]]=Tabledaily[الحســاب الدئـــن]),0)),0)</f>
        <v>25000</v>
      </c>
      <c r="M63" s="62">
        <f>IFERROR(TableDailyJournal[[#This Row],[المبلغ مدين]]/TableDailyJournal[[#This Row],[سعــــــر
الصـــــرف]],0)</f>
        <v>0</v>
      </c>
      <c r="N63" s="62">
        <f>IFERROR(TableDailyJournal[[#This Row],[المبلغ دائن]]/TableDailyJournal[[#This Row],[سعــــــر
الصـــــرف]],0)</f>
        <v>61.728395061728392</v>
      </c>
      <c r="O63" s="121" t="str">
        <f>INDEX(Tabledaily[المستفيــــــــد],MATCH(TableDailyJournal[[#This Row],[رقم العملية]],Tabledaily[رقم العملية],0))</f>
        <v>طقم القائد</v>
      </c>
      <c r="P63" s="121" t="str">
        <f>INDEX(Tabledaily[المــــرجـــــــــع],MATCH(TableDailyJournal[[#This Row],[رقم العملية]],Tabledaily[رقم العملية],0))</f>
        <v>فاتورة</v>
      </c>
      <c r="Q63" s="121" t="str">
        <f>INDEX(Tabledaily[اســـــــم المــــرجــــع],MATCH(TableDailyJournal[[#This Row],[رقم العملية]],Tabledaily[رقم العملية],0))</f>
        <v>ورشة مراد القدسي للحدادة العامة والكمانات</v>
      </c>
      <c r="R63" s="121">
        <f>INDEX(Tabledaily[رقم المـــــرجـــع],MATCH(TableDailyJournal[[#This Row],[رقم العملية]],Tabledaily[رقم العملية],0))</f>
        <v>16</v>
      </c>
      <c r="S63" s="121" t="str">
        <f>INDEX(Tabledaily[مركـــــــزالتكلفــــــة],MATCH(TableDailyJournal[[#This Row],[رقم العملية]],Tabledaily[رقم العملية],0))</f>
        <v>الفرقة الثالثة</v>
      </c>
      <c r="T63" s="121">
        <f>IFERROR(INDEX(tablecost[رقم المركز],MATCH(TableDailyJournal[[#This Row],[مركـــــــزالتكلفــــــة]],tablecost[الاسم],0)),0)</f>
        <v>1</v>
      </c>
      <c r="U63" s="122">
        <f>IFERROR(DATE(TableDailyJournal[[#This Row],[السنــــة]],TableDailyJournal[[#This Row],[الشهــــر]],TableDailyJournal[[#This Row],[الـــــيوم]]),"01-01-2026")</f>
        <v>46175</v>
      </c>
      <c r="V63" s="125">
        <f>INDEX(Tabledaily[تاريخ الإضافة],MATCH(TableDailyJournal[[#This Row],[رقم العملية]],Tabledaily[رقم العملية],0))</f>
        <v>46182.041145833333</v>
      </c>
      <c r="W63" s="58" t="s">
        <v>302</v>
      </c>
      <c r="X63" s="58">
        <f>IFERROR(YEAR(TableDailyJournal[[#This Row],[التاريخ]]),"")</f>
        <v>2026</v>
      </c>
      <c r="Y63" s="58">
        <f>IFERROR(MONTH(TableDailyJournal[[#This Row],[التاريخ]]),"")</f>
        <v>6</v>
      </c>
      <c r="Z63" s="58">
        <f>IFERROR(DAY(TableDailyJournal[[#This Row],[التاريخ]]),"")</f>
        <v>2</v>
      </c>
      <c r="AA63" s="126" t="str">
        <f>INDEX(Tabledaily[المرجع البياني],MATCH(TableDailyJournal[[#This Row],[رقم العملية]],Tabledaily[رقم العملية],0))</f>
        <v>قيـد مقابـل:- (مصاريف صيانة واصلاحات فنية  - طقم القائد - الفرقة الثالثة)  - فاتورة رقم 16  ورشة مراد القدسي للحدادة العامة والكمانات - اجور تركيب الدرع مع اللحام الكامل لطقم القائد بامرمدير  مكتب القائد</v>
      </c>
      <c r="AB63" s="58" t="str">
        <f>INDEX(Tabledaily[جهة الامر],MATCH(TableDailyJournal[[#This Row],[رقم العملية]],Tabledaily[رقم العملية],0))</f>
        <v>مدير  مكتب القائد</v>
      </c>
    </row>
    <row r="64" spans="2:28" ht="45.75" x14ac:dyDescent="0.55000000000000004">
      <c r="B64" s="58">
        <f t="shared" si="0"/>
        <v>60</v>
      </c>
      <c r="C64" s="59" t="s">
        <v>348</v>
      </c>
      <c r="D64" s="60">
        <f>INDEX(Tabledaily[date],MATCH(TableDailyJournal[[#This Row],[رقم العملية]],Tabledaily[رقم العملية],0))</f>
        <v>46175</v>
      </c>
      <c r="E64" s="58" t="str">
        <f>INDEX(Tabledaily[نوع العمليــة],MATCH(TableDailyJournal[[#This Row],[رقم العملية]],Tabledaily[رقم العملية],0))</f>
        <v>قيد عهده</v>
      </c>
      <c r="F64" s="58">
        <f>IFERROR(INDEX(TableJudje[رقم الحساب],MATCH(TableDailyJournal[[#This Row],[الحساب]],TableJudje[اسم الحساب],0)),0)</f>
        <v>31010126</v>
      </c>
      <c r="G64" s="58" t="s">
        <v>131</v>
      </c>
      <c r="H64" s="61" t="str">
        <f>INDEX(Tabledaily[المرجع البياني],MATCH(TableDailyJournal[[#This Row],[رقم العملية]],Tabledaily[رقم العملية],0))</f>
        <v>قيـد مقابـل:- (مصاريف صيانة متنوعة  - طقم القائد - الفرقة الثالثة)  - فاتورة رقم 3430  مركز جبال ردفان - اجور غسل كامل لطقم القائد  بامرمدير  مكتب القائد</v>
      </c>
      <c r="I64" s="60" t="str">
        <f>INDEX(Tabledaily[العملـــة],MATCH(TableDailyJournal[[#This Row],[رقم العملية]],Tabledaily[رقم العملية],0))</f>
        <v>ريال يمني</v>
      </c>
      <c r="J64" s="59">
        <f>IFERROR(INDEX(Tabledaily[سعــــــر
الصـــــرف],MATCH(C64,Tabledaily[رقم العملية],0)),1)</f>
        <v>405</v>
      </c>
      <c r="K64" s="123" cm="1">
        <f t="array" ref="K64">IFERROR(INDEX(Tabledaily[المبلـــــــغ],MATCH(1,(TableDailyJournal[[#This Row],[رقم العملية]]=Tabledaily[رقم العملية])*(TableDailyJournal[[#This Row],[الحساب]]=Tabledaily[الحســاب المديــــن]),0)),0)</f>
        <v>20000</v>
      </c>
      <c r="L64" s="124" cm="1">
        <f t="array" ref="L64">IFERROR(INDEX(Tabledaily[المبلـــــــغ],MATCH(1,(TableDailyJournal[[#This Row],[رقم العملية]]=Tabledaily[رقم العملية])*(TableDailyJournal[[#This Row],[الحساب]]=Tabledaily[الحســاب الدئـــن]),0)),0)</f>
        <v>0</v>
      </c>
      <c r="M64" s="62">
        <f>IFERROR(TableDailyJournal[[#This Row],[المبلغ مدين]]/TableDailyJournal[[#This Row],[سعــــــر
الصـــــرف]],0)</f>
        <v>49.382716049382715</v>
      </c>
      <c r="N64" s="62">
        <f>IFERROR(TableDailyJournal[[#This Row],[المبلغ دائن]]/TableDailyJournal[[#This Row],[سعــــــر
الصـــــرف]],0)</f>
        <v>0</v>
      </c>
      <c r="O64" s="121" t="str">
        <f>INDEX(Tabledaily[المستفيــــــــد],MATCH(TableDailyJournal[[#This Row],[رقم العملية]],Tabledaily[رقم العملية],0))</f>
        <v>طقم القائد</v>
      </c>
      <c r="P64" s="121" t="str">
        <f>INDEX(Tabledaily[المــــرجـــــــــع],MATCH(TableDailyJournal[[#This Row],[رقم العملية]],Tabledaily[رقم العملية],0))</f>
        <v>فاتورة</v>
      </c>
      <c r="Q64" s="121" t="str">
        <f>INDEX(Tabledaily[اســـــــم المــــرجــــع],MATCH(TableDailyJournal[[#This Row],[رقم العملية]],Tabledaily[رقم العملية],0))</f>
        <v>مركز جبال ردفان</v>
      </c>
      <c r="R64" s="121">
        <f>INDEX(Tabledaily[رقم المـــــرجـــع],MATCH(TableDailyJournal[[#This Row],[رقم العملية]],Tabledaily[رقم العملية],0))</f>
        <v>3430</v>
      </c>
      <c r="S64" s="121" t="str">
        <f>INDEX(Tabledaily[مركـــــــزالتكلفــــــة],MATCH(TableDailyJournal[[#This Row],[رقم العملية]],Tabledaily[رقم العملية],0))</f>
        <v>الفرقة الثالثة</v>
      </c>
      <c r="T64" s="121">
        <f>IFERROR(INDEX(tablecost[رقم المركز],MATCH(TableDailyJournal[[#This Row],[مركـــــــزالتكلفــــــة]],tablecost[الاسم],0)),0)</f>
        <v>1</v>
      </c>
      <c r="U64" s="122">
        <f>IFERROR(DATE(TableDailyJournal[[#This Row],[السنــــة]],TableDailyJournal[[#This Row],[الشهــــر]],TableDailyJournal[[#This Row],[الـــــيوم]]),"01-01-2026")</f>
        <v>46175</v>
      </c>
      <c r="V64" s="125">
        <f>INDEX(Tabledaily[تاريخ الإضافة],MATCH(TableDailyJournal[[#This Row],[رقم العملية]],Tabledaily[رقم العملية],0))</f>
        <v>46182.043437499997</v>
      </c>
      <c r="W64" s="58" t="s">
        <v>302</v>
      </c>
      <c r="X64" s="58">
        <f>IFERROR(YEAR(TableDailyJournal[[#This Row],[التاريخ]]),"")</f>
        <v>2026</v>
      </c>
      <c r="Y64" s="58">
        <f>IFERROR(MONTH(TableDailyJournal[[#This Row],[التاريخ]]),"")</f>
        <v>6</v>
      </c>
      <c r="Z64" s="58">
        <f>IFERROR(DAY(TableDailyJournal[[#This Row],[التاريخ]]),"")</f>
        <v>2</v>
      </c>
      <c r="AA64" s="126" t="str">
        <f>INDEX(Tabledaily[المرجع البياني],MATCH(TableDailyJournal[[#This Row],[رقم العملية]],Tabledaily[رقم العملية],0))</f>
        <v>قيـد مقابـل:- (مصاريف صيانة متنوعة  - طقم القائد - الفرقة الثالثة)  - فاتورة رقم 3430  مركز جبال ردفان - اجور غسل كامل لطقم القائد  بامرمدير  مكتب القائد</v>
      </c>
      <c r="AB64" s="58" t="str">
        <f>INDEX(Tabledaily[جهة الامر],MATCH(TableDailyJournal[[#This Row],[رقم العملية]],Tabledaily[رقم العملية],0))</f>
        <v>مدير  مكتب القائد</v>
      </c>
    </row>
    <row r="65" spans="2:28" ht="45.75" x14ac:dyDescent="0.55000000000000004">
      <c r="B65" s="58">
        <f t="shared" si="0"/>
        <v>61</v>
      </c>
      <c r="C65" s="59" t="s">
        <v>348</v>
      </c>
      <c r="D65" s="60">
        <f>INDEX(Tabledaily[date],MATCH(TableDailyJournal[[#This Row],[رقم العملية]],Tabledaily[رقم العملية],0))</f>
        <v>46175</v>
      </c>
      <c r="E65" s="58" t="str">
        <f>INDEX(Tabledaily[نوع العمليــة],MATCH(TableDailyJournal[[#This Row],[رقم العملية]],Tabledaily[رقم العملية],0))</f>
        <v>قيد عهده</v>
      </c>
      <c r="F65" s="58">
        <f>IFERROR(INDEX(TableJudje[رقم الحساب],MATCH(TableDailyJournal[[#This Row],[الحساب]],TableJudje[اسم الحساب],0)),0)</f>
        <v>11060202</v>
      </c>
      <c r="G65" s="58" t="s">
        <v>159</v>
      </c>
      <c r="H65" s="61" t="str">
        <f>INDEX(Tabledaily[المرجع البياني],MATCH(TableDailyJournal[[#This Row],[رقم العملية]],Tabledaily[رقم العملية],0))</f>
        <v>قيـد مقابـل:- (مصاريف صيانة متنوعة  - طقم القائد - الفرقة الثالثة)  - فاتورة رقم 3430  مركز جبال ردفان - اجور غسل كامل لطقم القائد  بامرمدير  مكتب القائد</v>
      </c>
      <c r="I65" s="60" t="str">
        <f>INDEX(Tabledaily[العملـــة],MATCH(TableDailyJournal[[#This Row],[رقم العملية]],Tabledaily[رقم العملية],0))</f>
        <v>ريال يمني</v>
      </c>
      <c r="J65" s="59">
        <f>IFERROR(INDEX(Tabledaily[سعــــــر
الصـــــرف],MATCH(C65,Tabledaily[رقم العملية],0)),1)</f>
        <v>405</v>
      </c>
      <c r="K65" s="123" cm="1">
        <f t="array" ref="K65">IFERROR(INDEX(Tabledaily[المبلـــــــغ],MATCH(1,(TableDailyJournal[[#This Row],[رقم العملية]]=Tabledaily[رقم العملية])*(TableDailyJournal[[#This Row],[الحساب]]=Tabledaily[الحســاب المديــــن]),0)),0)</f>
        <v>0</v>
      </c>
      <c r="L65" s="124" cm="1">
        <f t="array" ref="L65">IFERROR(INDEX(Tabledaily[المبلـــــــغ],MATCH(1,(TableDailyJournal[[#This Row],[رقم العملية]]=Tabledaily[رقم العملية])*(TableDailyJournal[[#This Row],[الحساب]]=Tabledaily[الحســاب الدئـــن]),0)),0)</f>
        <v>20000</v>
      </c>
      <c r="M65" s="62">
        <f>IFERROR(TableDailyJournal[[#This Row],[المبلغ مدين]]/TableDailyJournal[[#This Row],[سعــــــر
الصـــــرف]],0)</f>
        <v>0</v>
      </c>
      <c r="N65" s="62">
        <f>IFERROR(TableDailyJournal[[#This Row],[المبلغ دائن]]/TableDailyJournal[[#This Row],[سعــــــر
الصـــــرف]],0)</f>
        <v>49.382716049382715</v>
      </c>
      <c r="O65" s="121" t="str">
        <f>INDEX(Tabledaily[المستفيــــــــد],MATCH(TableDailyJournal[[#This Row],[رقم العملية]],Tabledaily[رقم العملية],0))</f>
        <v>طقم القائد</v>
      </c>
      <c r="P65" s="121" t="str">
        <f>INDEX(Tabledaily[المــــرجـــــــــع],MATCH(TableDailyJournal[[#This Row],[رقم العملية]],Tabledaily[رقم العملية],0))</f>
        <v>فاتورة</v>
      </c>
      <c r="Q65" s="121" t="str">
        <f>INDEX(Tabledaily[اســـــــم المــــرجــــع],MATCH(TableDailyJournal[[#This Row],[رقم العملية]],Tabledaily[رقم العملية],0))</f>
        <v>مركز جبال ردفان</v>
      </c>
      <c r="R65" s="121">
        <f>INDEX(Tabledaily[رقم المـــــرجـــع],MATCH(TableDailyJournal[[#This Row],[رقم العملية]],Tabledaily[رقم العملية],0))</f>
        <v>3430</v>
      </c>
      <c r="S65" s="121" t="str">
        <f>INDEX(Tabledaily[مركـــــــزالتكلفــــــة],MATCH(TableDailyJournal[[#This Row],[رقم العملية]],Tabledaily[رقم العملية],0))</f>
        <v>الفرقة الثالثة</v>
      </c>
      <c r="T65" s="121">
        <f>IFERROR(INDEX(tablecost[رقم المركز],MATCH(TableDailyJournal[[#This Row],[مركـــــــزالتكلفــــــة]],tablecost[الاسم],0)),0)</f>
        <v>1</v>
      </c>
      <c r="U65" s="122">
        <f>IFERROR(DATE(TableDailyJournal[[#This Row],[السنــــة]],TableDailyJournal[[#This Row],[الشهــــر]],TableDailyJournal[[#This Row],[الـــــيوم]]),"01-01-2026")</f>
        <v>46175</v>
      </c>
      <c r="V65" s="125">
        <f>INDEX(Tabledaily[تاريخ الإضافة],MATCH(TableDailyJournal[[#This Row],[رقم العملية]],Tabledaily[رقم العملية],0))</f>
        <v>46182.043437499997</v>
      </c>
      <c r="W65" s="58" t="s">
        <v>302</v>
      </c>
      <c r="X65" s="58">
        <f>IFERROR(YEAR(TableDailyJournal[[#This Row],[التاريخ]]),"")</f>
        <v>2026</v>
      </c>
      <c r="Y65" s="58">
        <f>IFERROR(MONTH(TableDailyJournal[[#This Row],[التاريخ]]),"")</f>
        <v>6</v>
      </c>
      <c r="Z65" s="58">
        <f>IFERROR(DAY(TableDailyJournal[[#This Row],[التاريخ]]),"")</f>
        <v>2</v>
      </c>
      <c r="AA65" s="126" t="str">
        <f>INDEX(Tabledaily[المرجع البياني],MATCH(TableDailyJournal[[#This Row],[رقم العملية]],Tabledaily[رقم العملية],0))</f>
        <v>قيـد مقابـل:- (مصاريف صيانة متنوعة  - طقم القائد - الفرقة الثالثة)  - فاتورة رقم 3430  مركز جبال ردفان - اجور غسل كامل لطقم القائد  بامرمدير  مكتب القائد</v>
      </c>
      <c r="AB65" s="58" t="str">
        <f>INDEX(Tabledaily[جهة الامر],MATCH(TableDailyJournal[[#This Row],[رقم العملية]],Tabledaily[رقم العملية],0))</f>
        <v>مدير  مكتب القائد</v>
      </c>
    </row>
    <row r="66" spans="2:28" ht="45.75" x14ac:dyDescent="0.55000000000000004">
      <c r="B66" s="58">
        <f t="shared" si="0"/>
        <v>62</v>
      </c>
      <c r="C66" s="59" t="s">
        <v>345</v>
      </c>
      <c r="D66" s="60">
        <f>INDEX(Tabledaily[date],MATCH(TableDailyJournal[[#This Row],[رقم العملية]],Tabledaily[رقم العملية],0))</f>
        <v>46175</v>
      </c>
      <c r="E66" s="58" t="str">
        <f>INDEX(Tabledaily[نوع العمليــة],MATCH(TableDailyJournal[[#This Row],[رقم العملية]],Tabledaily[رقم العملية],0))</f>
        <v>قيد عهده</v>
      </c>
      <c r="F66" s="58">
        <f>IFERROR(INDEX(TableJudje[رقم الحساب],MATCH(TableDailyJournal[[#This Row],[الحساب]],TableJudje[اسم الحساب],0)),0)</f>
        <v>31010101</v>
      </c>
      <c r="G66" s="58" t="s">
        <v>111</v>
      </c>
      <c r="H66"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فرد  كشف صرف - مصاريف يومية سرية اللواء السادس عدد 47 بامرالقائد</v>
      </c>
      <c r="I66" s="60" t="str">
        <f>INDEX(Tabledaily[العملـــة],MATCH(TableDailyJournal[[#This Row],[رقم العملية]],Tabledaily[رقم العملية],0))</f>
        <v>ريال يمني</v>
      </c>
      <c r="J66" s="59">
        <f>IFERROR(INDEX(Tabledaily[سعــــــر
الصـــــرف],MATCH(C66,Tabledaily[رقم العملية],0)),1)</f>
        <v>405</v>
      </c>
      <c r="K66" s="123" cm="1">
        <f t="array" ref="K66">IFERROR(INDEX(Tabledaily[المبلـــــــغ],MATCH(1,(TableDailyJournal[[#This Row],[رقم العملية]]=Tabledaily[رقم العملية])*(TableDailyJournal[[#This Row],[الحساب]]=Tabledaily[الحســاب المديــــن]),0)),0)</f>
        <v>188000</v>
      </c>
      <c r="L66" s="124" cm="1">
        <f t="array" ref="L66">IFERROR(INDEX(Tabledaily[المبلـــــــغ],MATCH(1,(TableDailyJournal[[#This Row],[رقم العملية]]=Tabledaily[رقم العملية])*(TableDailyJournal[[#This Row],[الحساب]]=Tabledaily[الحســاب الدئـــن]),0)),0)</f>
        <v>0</v>
      </c>
      <c r="M66" s="62">
        <f>IFERROR(TableDailyJournal[[#This Row],[المبلغ مدين]]/TableDailyJournal[[#This Row],[سعــــــر
الصـــــرف]],0)</f>
        <v>464.19753086419752</v>
      </c>
      <c r="N66" s="62">
        <f>IFERROR(TableDailyJournal[[#This Row],[المبلغ دائن]]/TableDailyJournal[[#This Row],[سعــــــر
الصـــــرف]],0)</f>
        <v>0</v>
      </c>
      <c r="O66" s="121" t="str">
        <f>INDEX(Tabledaily[المستفيــــــــد],MATCH(TableDailyJournal[[#This Row],[رقم العملية]],Tabledaily[رقم العملية],0))</f>
        <v>سرية اللواء السادس</v>
      </c>
      <c r="P66" s="121" t="str">
        <f>INDEX(Tabledaily[المــــرجـــــــــع],MATCH(TableDailyJournal[[#This Row],[رقم العملية]],Tabledaily[رقم العملية],0))</f>
        <v>كشف صرف</v>
      </c>
      <c r="Q66" s="121" t="str">
        <f>INDEX(Tabledaily[اســـــــم المــــرجــــع],MATCH(TableDailyJournal[[#This Row],[رقم العملية]],Tabledaily[رقم العملية],0))</f>
        <v>كشف صرف</v>
      </c>
      <c r="R66" s="121" t="str">
        <f>INDEX(Tabledaily[رقم المـــــرجـــع],MATCH(TableDailyJournal[[#This Row],[رقم العملية]],Tabledaily[رقم العملية],0))</f>
        <v>47 فرد</v>
      </c>
      <c r="S66" s="121" t="str">
        <f>INDEX(Tabledaily[مركـــــــزالتكلفــــــة],MATCH(TableDailyJournal[[#This Row],[رقم العملية]],Tabledaily[رقم العملية],0))</f>
        <v>اللواء السادس</v>
      </c>
      <c r="T66" s="121">
        <f>IFERROR(INDEX(tablecost[رقم المركز],MATCH(TableDailyJournal[[#This Row],[مركـــــــزالتكلفــــــة]],tablecost[الاسم],0)),0)</f>
        <v>7</v>
      </c>
      <c r="U66" s="122">
        <f>IFERROR(DATE(TableDailyJournal[[#This Row],[السنــــة]],TableDailyJournal[[#This Row],[الشهــــر]],TableDailyJournal[[#This Row],[الـــــيوم]]),"01-01-2026")</f>
        <v>46175</v>
      </c>
      <c r="V66" s="125">
        <f>INDEX(Tabledaily[تاريخ الإضافة],MATCH(TableDailyJournal[[#This Row],[رقم العملية]],Tabledaily[رقم العملية],0))</f>
        <v>46182.044490740744</v>
      </c>
      <c r="W66" s="58" t="s">
        <v>313</v>
      </c>
      <c r="X66" s="58">
        <f>IFERROR(YEAR(TableDailyJournal[[#This Row],[التاريخ]]),"")</f>
        <v>2026</v>
      </c>
      <c r="Y66" s="58">
        <f>IFERROR(MONTH(TableDailyJournal[[#This Row],[التاريخ]]),"")</f>
        <v>6</v>
      </c>
      <c r="Z66" s="58">
        <f>IFERROR(DAY(TableDailyJournal[[#This Row],[التاريخ]]),"")</f>
        <v>2</v>
      </c>
      <c r="AA66"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فرد  كشف صرف - مصاريف يومية سرية اللواء السادس عدد 47 بامرالقائد</v>
      </c>
      <c r="AB66" s="58" t="str">
        <f>INDEX(Tabledaily[جهة الامر],MATCH(TableDailyJournal[[#This Row],[رقم العملية]],Tabledaily[رقم العملية],0))</f>
        <v>القائد</v>
      </c>
    </row>
    <row r="67" spans="2:28" ht="45.75" x14ac:dyDescent="0.55000000000000004">
      <c r="B67" s="58">
        <f t="shared" si="0"/>
        <v>63</v>
      </c>
      <c r="C67" s="59" t="s">
        <v>345</v>
      </c>
      <c r="D67" s="60">
        <f>INDEX(Tabledaily[date],MATCH(TableDailyJournal[[#This Row],[رقم العملية]],Tabledaily[رقم العملية],0))</f>
        <v>46175</v>
      </c>
      <c r="E67" s="58" t="str">
        <f>INDEX(Tabledaily[نوع العمليــة],MATCH(TableDailyJournal[[#This Row],[رقم العملية]],Tabledaily[رقم العملية],0))</f>
        <v>قيد عهده</v>
      </c>
      <c r="F67" s="58">
        <f>IFERROR(INDEX(TableJudje[رقم الحساب],MATCH(TableDailyJournal[[#This Row],[الحساب]],TableJudje[اسم الحساب],0)),0)</f>
        <v>11060202</v>
      </c>
      <c r="G67" s="58" t="s">
        <v>159</v>
      </c>
      <c r="H67"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فرد  كشف صرف - مصاريف يومية سرية اللواء السادس عدد 47 بامرالقائد</v>
      </c>
      <c r="I67" s="60" t="str">
        <f>INDEX(Tabledaily[العملـــة],MATCH(TableDailyJournal[[#This Row],[رقم العملية]],Tabledaily[رقم العملية],0))</f>
        <v>ريال يمني</v>
      </c>
      <c r="J67" s="59">
        <f>IFERROR(INDEX(Tabledaily[سعــــــر
الصـــــرف],MATCH(C67,Tabledaily[رقم العملية],0)),1)</f>
        <v>405</v>
      </c>
      <c r="K67" s="123" cm="1">
        <f t="array" ref="K67">IFERROR(INDEX(Tabledaily[المبلـــــــغ],MATCH(1,(TableDailyJournal[[#This Row],[رقم العملية]]=Tabledaily[رقم العملية])*(TableDailyJournal[[#This Row],[الحساب]]=Tabledaily[الحســاب المديــــن]),0)),0)</f>
        <v>0</v>
      </c>
      <c r="L67" s="124" cm="1">
        <f t="array" ref="L67">IFERROR(INDEX(Tabledaily[المبلـــــــغ],MATCH(1,(TableDailyJournal[[#This Row],[رقم العملية]]=Tabledaily[رقم العملية])*(TableDailyJournal[[#This Row],[الحساب]]=Tabledaily[الحســاب الدئـــن]),0)),0)</f>
        <v>188000</v>
      </c>
      <c r="M67" s="62">
        <f>IFERROR(TableDailyJournal[[#This Row],[المبلغ مدين]]/TableDailyJournal[[#This Row],[سعــــــر
الصـــــرف]],0)</f>
        <v>0</v>
      </c>
      <c r="N67" s="62">
        <f>IFERROR(TableDailyJournal[[#This Row],[المبلغ دائن]]/TableDailyJournal[[#This Row],[سعــــــر
الصـــــرف]],0)</f>
        <v>464.19753086419752</v>
      </c>
      <c r="O67" s="121" t="str">
        <f>INDEX(Tabledaily[المستفيــــــــد],MATCH(TableDailyJournal[[#This Row],[رقم العملية]],Tabledaily[رقم العملية],0))</f>
        <v>سرية اللواء السادس</v>
      </c>
      <c r="P67" s="121" t="str">
        <f>INDEX(Tabledaily[المــــرجـــــــــع],MATCH(TableDailyJournal[[#This Row],[رقم العملية]],Tabledaily[رقم العملية],0))</f>
        <v>كشف صرف</v>
      </c>
      <c r="Q67" s="121" t="str">
        <f>INDEX(Tabledaily[اســـــــم المــــرجــــع],MATCH(TableDailyJournal[[#This Row],[رقم العملية]],Tabledaily[رقم العملية],0))</f>
        <v>كشف صرف</v>
      </c>
      <c r="R67" s="121" t="str">
        <f>INDEX(Tabledaily[رقم المـــــرجـــع],MATCH(TableDailyJournal[[#This Row],[رقم العملية]],Tabledaily[رقم العملية],0))</f>
        <v>47 فرد</v>
      </c>
      <c r="S67" s="121" t="str">
        <f>INDEX(Tabledaily[مركـــــــزالتكلفــــــة],MATCH(TableDailyJournal[[#This Row],[رقم العملية]],Tabledaily[رقم العملية],0))</f>
        <v>اللواء السادس</v>
      </c>
      <c r="T67" s="121">
        <f>IFERROR(INDEX(tablecost[رقم المركز],MATCH(TableDailyJournal[[#This Row],[مركـــــــزالتكلفــــــة]],tablecost[الاسم],0)),0)</f>
        <v>7</v>
      </c>
      <c r="U67" s="122">
        <f>IFERROR(DATE(TableDailyJournal[[#This Row],[السنــــة]],TableDailyJournal[[#This Row],[الشهــــر]],TableDailyJournal[[#This Row],[الـــــيوم]]),"01-01-2026")</f>
        <v>46175</v>
      </c>
      <c r="V67" s="125">
        <f>INDEX(Tabledaily[تاريخ الإضافة],MATCH(TableDailyJournal[[#This Row],[رقم العملية]],Tabledaily[رقم العملية],0))</f>
        <v>46182.044490740744</v>
      </c>
      <c r="W67" s="58" t="s">
        <v>313</v>
      </c>
      <c r="X67" s="58">
        <f>IFERROR(YEAR(TableDailyJournal[[#This Row],[التاريخ]]),"")</f>
        <v>2026</v>
      </c>
      <c r="Y67" s="58">
        <f>IFERROR(MONTH(TableDailyJournal[[#This Row],[التاريخ]]),"")</f>
        <v>6</v>
      </c>
      <c r="Z67" s="58">
        <f>IFERROR(DAY(TableDailyJournal[[#This Row],[التاريخ]]),"")</f>
        <v>2</v>
      </c>
      <c r="AA67"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فرد  كشف صرف - مصاريف يومية سرية اللواء السادس عدد 47 بامرالقائد</v>
      </c>
      <c r="AB67" s="58" t="str">
        <f>INDEX(Tabledaily[جهة الامر],MATCH(TableDailyJournal[[#This Row],[رقم العملية]],Tabledaily[رقم العملية],0))</f>
        <v>القائد</v>
      </c>
    </row>
    <row r="68" spans="2:28" ht="45.75" x14ac:dyDescent="0.55000000000000004">
      <c r="B68" s="58">
        <f t="shared" si="0"/>
        <v>64</v>
      </c>
      <c r="C68" s="59" t="s">
        <v>344</v>
      </c>
      <c r="D68" s="60">
        <f>INDEX(Tabledaily[date],MATCH(TableDailyJournal[[#This Row],[رقم العملية]],Tabledaily[رقم العملية],0))</f>
        <v>46176</v>
      </c>
      <c r="E68" s="58" t="str">
        <f>INDEX(Tabledaily[نوع العمليــة],MATCH(TableDailyJournal[[#This Row],[رقم العملية]],Tabledaily[رقم العملية],0))</f>
        <v>قبض عهدة</v>
      </c>
      <c r="F68" s="58">
        <f>IFERROR(INDEX(TableJudje[رقم الحساب],MATCH(TableDailyJournal[[#This Row],[الحساب]],TableJudje[اسم الحساب],0)),0)</f>
        <v>11060202</v>
      </c>
      <c r="G68" s="58" t="s">
        <v>159</v>
      </c>
      <c r="H68"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I68" s="60" t="str">
        <f>INDEX(Tabledaily[العملـــة],MATCH(TableDailyJournal[[#This Row],[رقم العملية]],Tabledaily[رقم العملية],0))</f>
        <v>ريال سعودي</v>
      </c>
      <c r="J68" s="59">
        <f>IFERROR(INDEX(Tabledaily[سعــــــر
الصـــــرف],MATCH(C68,Tabledaily[رقم العملية],0)),1)</f>
        <v>1</v>
      </c>
      <c r="K68" s="123" cm="1">
        <f t="array" ref="K68">IFERROR(INDEX(Tabledaily[المبلـــــــغ],MATCH(1,(TableDailyJournal[[#This Row],[رقم العملية]]=Tabledaily[رقم العملية])*(TableDailyJournal[[#This Row],[الحساب]]=Tabledaily[الحســاب المديــــن]),0)),0)</f>
        <v>9980</v>
      </c>
      <c r="L68" s="124" cm="1">
        <f t="array" ref="L68">IFERROR(INDEX(Tabledaily[المبلـــــــغ],MATCH(1,(TableDailyJournal[[#This Row],[رقم العملية]]=Tabledaily[رقم العملية])*(TableDailyJournal[[#This Row],[الحساب]]=Tabledaily[الحســاب الدئـــن]),0)),0)</f>
        <v>0</v>
      </c>
      <c r="M68" s="62">
        <f>IFERROR(TableDailyJournal[[#This Row],[المبلغ مدين]]/TableDailyJournal[[#This Row],[سعــــــر
الصـــــرف]],0)</f>
        <v>9980</v>
      </c>
      <c r="N68" s="62">
        <f>IFERROR(TableDailyJournal[[#This Row],[المبلغ دائن]]/TableDailyJournal[[#This Row],[سعــــــر
الصـــــرف]],0)</f>
        <v>0</v>
      </c>
      <c r="O68" s="121" t="str">
        <f>INDEX(Tabledaily[المستفيــــــــد],MATCH(TableDailyJournal[[#This Row],[رقم العملية]],Tabledaily[رقم العملية],0))</f>
        <v>عبدالمغني عبدالصمد</v>
      </c>
      <c r="P68" s="121" t="str">
        <f>INDEX(Tabledaily[المــــرجـــــــــع],MATCH(TableDailyJournal[[#This Row],[رقم العملية]],Tabledaily[رقم العملية],0))</f>
        <v>استلام نقدي</v>
      </c>
      <c r="Q68" s="121" t="str">
        <f>INDEX(Tabledaily[اســـــــم المــــرجــــع],MATCH(TableDailyJournal[[#This Row],[رقم العملية]],Tabledaily[رقم العملية],0))</f>
        <v>سند استلام</v>
      </c>
      <c r="R68" s="121">
        <f>INDEX(Tabledaily[رقم المـــــرجـــع],MATCH(TableDailyJournal[[#This Row],[رقم العملية]],Tabledaily[رقم العملية],0))</f>
        <v>0</v>
      </c>
      <c r="S68" s="121" t="str">
        <f>INDEX(Tabledaily[مركـــــــزالتكلفــــــة],MATCH(TableDailyJournal[[#This Row],[رقم العملية]],Tabledaily[رقم العملية],0))</f>
        <v>الفرقة الثالثة</v>
      </c>
      <c r="T68" s="121">
        <f>IFERROR(INDEX(tablecost[رقم المركز],MATCH(TableDailyJournal[[#This Row],[مركـــــــزالتكلفــــــة]],tablecost[الاسم],0)),0)</f>
        <v>1</v>
      </c>
      <c r="U68" s="122">
        <f>IFERROR(DATE(TableDailyJournal[[#This Row],[السنــــة]],TableDailyJournal[[#This Row],[الشهــــر]],TableDailyJournal[[#This Row],[الـــــيوم]]),"01-01-2026")</f>
        <v>46176</v>
      </c>
      <c r="V68" s="125">
        <f>INDEX(Tabledaily[تاريخ الإضافة],MATCH(TableDailyJournal[[#This Row],[رقم العملية]],Tabledaily[رقم العملية],0))</f>
        <v>46182.108460648145</v>
      </c>
      <c r="W68" s="58">
        <v>0</v>
      </c>
      <c r="X68" s="58">
        <f>IFERROR(YEAR(TableDailyJournal[[#This Row],[التاريخ]]),"")</f>
        <v>2026</v>
      </c>
      <c r="Y68" s="58">
        <f>IFERROR(MONTH(TableDailyJournal[[#This Row],[التاريخ]]),"")</f>
        <v>6</v>
      </c>
      <c r="Z68" s="58">
        <f>IFERROR(DAY(TableDailyJournal[[#This Row],[التاريخ]]),"")</f>
        <v>3</v>
      </c>
      <c r="AA68"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AB68" s="58">
        <f>INDEX(Tabledaily[جهة الامر],MATCH(TableDailyJournal[[#This Row],[رقم العملية]],Tabledaily[رقم العملية],0))</f>
        <v>0</v>
      </c>
    </row>
    <row r="69" spans="2:28" ht="45.75" x14ac:dyDescent="0.55000000000000004">
      <c r="B69" s="58">
        <f t="shared" si="0"/>
        <v>65</v>
      </c>
      <c r="C69" s="59" t="s">
        <v>344</v>
      </c>
      <c r="D69" s="60">
        <f>INDEX(Tabledaily[date],MATCH(TableDailyJournal[[#This Row],[رقم العملية]],Tabledaily[رقم العملية],0))</f>
        <v>46176</v>
      </c>
      <c r="E69" s="58" t="str">
        <f>INDEX(Tabledaily[نوع العمليــة],MATCH(TableDailyJournal[[#This Row],[رقم العملية]],Tabledaily[رقم العملية],0))</f>
        <v>قبض عهدة</v>
      </c>
      <c r="F69" s="58">
        <f>IFERROR(INDEX(TableJudje[رقم الحساب],MATCH(TableDailyJournal[[#This Row],[الحساب]],TableJudje[اسم الحساب],0)),0)</f>
        <v>11010101</v>
      </c>
      <c r="G69" s="58" t="s">
        <v>23</v>
      </c>
      <c r="H69"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I69" s="60" t="str">
        <f>INDEX(Tabledaily[العملـــة],MATCH(TableDailyJournal[[#This Row],[رقم العملية]],Tabledaily[رقم العملية],0))</f>
        <v>ريال سعودي</v>
      </c>
      <c r="J69" s="59">
        <f>IFERROR(INDEX(Tabledaily[سعــــــر
الصـــــرف],MATCH(C69,Tabledaily[رقم العملية],0)),1)</f>
        <v>1</v>
      </c>
      <c r="K69" s="123" cm="1">
        <f t="array" ref="K69">IFERROR(INDEX(Tabledaily[المبلـــــــغ],MATCH(1,(TableDailyJournal[[#This Row],[رقم العملية]]=Tabledaily[رقم العملية])*(TableDailyJournal[[#This Row],[الحساب]]=Tabledaily[الحســاب المديــــن]),0)),0)</f>
        <v>0</v>
      </c>
      <c r="L69" s="124" cm="1">
        <f t="array" ref="L69">IFERROR(INDEX(Tabledaily[المبلـــــــغ],MATCH(1,(TableDailyJournal[[#This Row],[رقم العملية]]=Tabledaily[رقم العملية])*(TableDailyJournal[[#This Row],[الحساب]]=Tabledaily[الحســاب الدئـــن]),0)),0)</f>
        <v>9980</v>
      </c>
      <c r="M69" s="62">
        <f>IFERROR(TableDailyJournal[[#This Row],[المبلغ مدين]]/TableDailyJournal[[#This Row],[سعــــــر
الصـــــرف]],0)</f>
        <v>0</v>
      </c>
      <c r="N69" s="62">
        <f>IFERROR(TableDailyJournal[[#This Row],[المبلغ دائن]]/TableDailyJournal[[#This Row],[سعــــــر
الصـــــرف]],0)</f>
        <v>9980</v>
      </c>
      <c r="O69" s="121" t="str">
        <f>INDEX(Tabledaily[المستفيــــــــد],MATCH(TableDailyJournal[[#This Row],[رقم العملية]],Tabledaily[رقم العملية],0))</f>
        <v>عبدالمغني عبدالصمد</v>
      </c>
      <c r="P69" s="121" t="str">
        <f>INDEX(Tabledaily[المــــرجـــــــــع],MATCH(TableDailyJournal[[#This Row],[رقم العملية]],Tabledaily[رقم العملية],0))</f>
        <v>استلام نقدي</v>
      </c>
      <c r="Q69" s="121" t="str">
        <f>INDEX(Tabledaily[اســـــــم المــــرجــــع],MATCH(TableDailyJournal[[#This Row],[رقم العملية]],Tabledaily[رقم العملية],0))</f>
        <v>سند استلام</v>
      </c>
      <c r="R69" s="121">
        <f>INDEX(Tabledaily[رقم المـــــرجـــع],MATCH(TableDailyJournal[[#This Row],[رقم العملية]],Tabledaily[رقم العملية],0))</f>
        <v>0</v>
      </c>
      <c r="S69" s="121" t="str">
        <f>INDEX(Tabledaily[مركـــــــزالتكلفــــــة],MATCH(TableDailyJournal[[#This Row],[رقم العملية]],Tabledaily[رقم العملية],0))</f>
        <v>الفرقة الثالثة</v>
      </c>
      <c r="T69" s="121">
        <f>IFERROR(INDEX(tablecost[رقم المركز],MATCH(TableDailyJournal[[#This Row],[مركـــــــزالتكلفــــــة]],tablecost[الاسم],0)),0)</f>
        <v>1</v>
      </c>
      <c r="U69" s="122">
        <f>IFERROR(DATE(TableDailyJournal[[#This Row],[السنــــة]],TableDailyJournal[[#This Row],[الشهــــر]],TableDailyJournal[[#This Row],[الـــــيوم]]),"01-01-2026")</f>
        <v>46176</v>
      </c>
      <c r="V69" s="125">
        <f>INDEX(Tabledaily[تاريخ الإضافة],MATCH(TableDailyJournal[[#This Row],[رقم العملية]],Tabledaily[رقم العملية],0))</f>
        <v>46182.108460648145</v>
      </c>
      <c r="W69" s="58">
        <v>0</v>
      </c>
      <c r="X69" s="58">
        <f>IFERROR(YEAR(TableDailyJournal[[#This Row],[التاريخ]]),"")</f>
        <v>2026</v>
      </c>
      <c r="Y69" s="58">
        <f>IFERROR(MONTH(TableDailyJournal[[#This Row],[التاريخ]]),"")</f>
        <v>6</v>
      </c>
      <c r="Z69" s="58">
        <f>IFERROR(DAY(TableDailyJournal[[#This Row],[التاريخ]]),"")</f>
        <v>3</v>
      </c>
      <c r="AA69"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AB69" s="58">
        <f>INDEX(Tabledaily[جهة الامر],MATCH(TableDailyJournal[[#This Row],[رقم العملية]],Tabledaily[رقم العملية],0))</f>
        <v>0</v>
      </c>
    </row>
    <row r="70" spans="2:28" ht="45.75" x14ac:dyDescent="0.55000000000000004">
      <c r="B70" s="58">
        <f t="shared" ref="B70:B103" si="1">ROW()-4</f>
        <v>66</v>
      </c>
      <c r="C70" s="59" t="s">
        <v>341</v>
      </c>
      <c r="D70" s="60">
        <f>INDEX(Tabledaily[date],MATCH(TableDailyJournal[[#This Row],[رقم العملية]],Tabledaily[رقم العملية],0))</f>
        <v>46176</v>
      </c>
      <c r="E70" s="58" t="str">
        <f>INDEX(Tabledaily[نوع العمليــة],MATCH(TableDailyJournal[[#This Row],[رقم العملية]],Tabledaily[رقم العملية],0))</f>
        <v>قيد عهده</v>
      </c>
      <c r="F70" s="58">
        <f>IFERROR(INDEX(TableJudje[رقم الحساب],MATCH(TableDailyJournal[[#This Row],[الحساب]],TableJudje[اسم الحساب],0)),0)</f>
        <v>31010101</v>
      </c>
      <c r="G70" s="58" t="s">
        <v>111</v>
      </c>
      <c r="H70"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I70" s="60" t="str">
        <f>INDEX(Tabledaily[العملـــة],MATCH(TableDailyJournal[[#This Row],[رقم العملية]],Tabledaily[رقم العملية],0))</f>
        <v>ريال يمني</v>
      </c>
      <c r="J70" s="59">
        <f>IFERROR(INDEX(Tabledaily[سعــــــر
الصـــــرف],MATCH(C70,Tabledaily[رقم العملية],0)),1)</f>
        <v>405</v>
      </c>
      <c r="K70" s="123" cm="1">
        <f t="array" ref="K70">IFERROR(INDEX(Tabledaily[المبلـــــــغ],MATCH(1,(TableDailyJournal[[#This Row],[رقم العملية]]=Tabledaily[رقم العملية])*(TableDailyJournal[[#This Row],[الحساب]]=Tabledaily[الحســاب المديــــن]),0)),0)</f>
        <v>33000</v>
      </c>
      <c r="L70" s="124" cm="1">
        <f t="array" ref="L70">IFERROR(INDEX(Tabledaily[المبلـــــــغ],MATCH(1,(TableDailyJournal[[#This Row],[رقم العملية]]=Tabledaily[رقم العملية])*(TableDailyJournal[[#This Row],[الحساب]]=Tabledaily[الحســاب الدئـــن]),0)),0)</f>
        <v>0</v>
      </c>
      <c r="M70" s="62">
        <f>IFERROR(TableDailyJournal[[#This Row],[المبلغ مدين]]/TableDailyJournal[[#This Row],[سعــــــر
الصـــــرف]],0)</f>
        <v>81.481481481481481</v>
      </c>
      <c r="N70" s="62">
        <f>IFERROR(TableDailyJournal[[#This Row],[المبلغ دائن]]/TableDailyJournal[[#This Row],[سعــــــر
الصـــــرف]],0)</f>
        <v>0</v>
      </c>
      <c r="O70" s="121" t="str">
        <f>INDEX(Tabledaily[المستفيــــــــد],MATCH(TableDailyJournal[[#This Row],[رقم العملية]],Tabledaily[رقم العملية],0))</f>
        <v>السيطرة والاتصالات</v>
      </c>
      <c r="P70" s="121" t="str">
        <f>INDEX(Tabledaily[المــــرجـــــــــع],MATCH(TableDailyJournal[[#This Row],[رقم العملية]],Tabledaily[رقم العملية],0))</f>
        <v>كشف صرف</v>
      </c>
      <c r="Q70" s="121" t="str">
        <f>INDEX(Tabledaily[اســـــــم المــــرجــــع],MATCH(TableDailyJournal[[#This Row],[رقم العملية]],Tabledaily[رقم العملية],0))</f>
        <v>كشف صرف</v>
      </c>
      <c r="R70" s="121">
        <f>INDEX(Tabledaily[رقم المـــــرجـــع],MATCH(TableDailyJournal[[#This Row],[رقم العملية]],Tabledaily[رقم العملية],0))</f>
        <v>4</v>
      </c>
      <c r="S70" s="121" t="str">
        <f>INDEX(Tabledaily[مركـــــــزالتكلفــــــة],MATCH(TableDailyJournal[[#This Row],[رقم العملية]],Tabledaily[رقم العملية],0))</f>
        <v>الفرقة الثالثة</v>
      </c>
      <c r="T70" s="121">
        <f>IFERROR(INDEX(tablecost[رقم المركز],MATCH(TableDailyJournal[[#This Row],[مركـــــــزالتكلفــــــة]],tablecost[الاسم],0)),0)</f>
        <v>1</v>
      </c>
      <c r="U70" s="122">
        <f>IFERROR(DATE(TableDailyJournal[[#This Row],[السنــــة]],TableDailyJournal[[#This Row],[الشهــــر]],TableDailyJournal[[#This Row],[الـــــيوم]]),"01-01-2026")</f>
        <v>46176</v>
      </c>
      <c r="V70" s="125">
        <f>INDEX(Tabledaily[تاريخ الإضافة],MATCH(TableDailyJournal[[#This Row],[رقم العملية]],Tabledaily[رقم العملية],0))</f>
        <v>46182.110335648147</v>
      </c>
      <c r="W70" s="58">
        <v>0</v>
      </c>
      <c r="X70" s="58">
        <f>IFERROR(YEAR(TableDailyJournal[[#This Row],[التاريخ]]),"")</f>
        <v>2026</v>
      </c>
      <c r="Y70" s="58">
        <f>IFERROR(MONTH(TableDailyJournal[[#This Row],[التاريخ]]),"")</f>
        <v>6</v>
      </c>
      <c r="Z70" s="58">
        <f>IFERROR(DAY(TableDailyJournal[[#This Row],[التاريخ]]),"")</f>
        <v>3</v>
      </c>
      <c r="AA70"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AB70" s="58">
        <f>INDEX(Tabledaily[جهة الامر],MATCH(TableDailyJournal[[#This Row],[رقم العملية]],Tabledaily[رقم العملية],0))</f>
        <v>0</v>
      </c>
    </row>
    <row r="71" spans="2:28" ht="45.75" x14ac:dyDescent="0.55000000000000004">
      <c r="B71" s="58">
        <f t="shared" si="1"/>
        <v>67</v>
      </c>
      <c r="C71" s="59" t="s">
        <v>341</v>
      </c>
      <c r="D71" s="60">
        <f>INDEX(Tabledaily[date],MATCH(TableDailyJournal[[#This Row],[رقم العملية]],Tabledaily[رقم العملية],0))</f>
        <v>46176</v>
      </c>
      <c r="E71" s="58" t="str">
        <f>INDEX(Tabledaily[نوع العمليــة],MATCH(TableDailyJournal[[#This Row],[رقم العملية]],Tabledaily[رقم العملية],0))</f>
        <v>قيد عهده</v>
      </c>
      <c r="F71" s="58">
        <f>IFERROR(INDEX(TableJudje[رقم الحساب],MATCH(TableDailyJournal[[#This Row],[الحساب]],TableJudje[اسم الحساب],0)),0)</f>
        <v>11060202</v>
      </c>
      <c r="G71" s="58" t="s">
        <v>159</v>
      </c>
      <c r="H71"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I71" s="60" t="str">
        <f>INDEX(Tabledaily[العملـــة],MATCH(TableDailyJournal[[#This Row],[رقم العملية]],Tabledaily[رقم العملية],0))</f>
        <v>ريال يمني</v>
      </c>
      <c r="J71" s="59">
        <f>IFERROR(INDEX(Tabledaily[سعــــــر
الصـــــرف],MATCH(C71,Tabledaily[رقم العملية],0)),1)</f>
        <v>405</v>
      </c>
      <c r="K71" s="123" cm="1">
        <f t="array" ref="K71">IFERROR(INDEX(Tabledaily[المبلـــــــغ],MATCH(1,(TableDailyJournal[[#This Row],[رقم العملية]]=Tabledaily[رقم العملية])*(TableDailyJournal[[#This Row],[الحساب]]=Tabledaily[الحســاب المديــــن]),0)),0)</f>
        <v>0</v>
      </c>
      <c r="L71" s="124" cm="1">
        <f t="array" ref="L71">IFERROR(INDEX(Tabledaily[المبلـــــــغ],MATCH(1,(TableDailyJournal[[#This Row],[رقم العملية]]=Tabledaily[رقم العملية])*(TableDailyJournal[[#This Row],[الحساب]]=Tabledaily[الحســاب الدئـــن]),0)),0)</f>
        <v>33000</v>
      </c>
      <c r="M71" s="62">
        <f>IFERROR(TableDailyJournal[[#This Row],[المبلغ مدين]]/TableDailyJournal[[#This Row],[سعــــــر
الصـــــرف]],0)</f>
        <v>0</v>
      </c>
      <c r="N71" s="62">
        <f>IFERROR(TableDailyJournal[[#This Row],[المبلغ دائن]]/TableDailyJournal[[#This Row],[سعــــــر
الصـــــرف]],0)</f>
        <v>81.481481481481481</v>
      </c>
      <c r="O71" s="121" t="str">
        <f>INDEX(Tabledaily[المستفيــــــــد],MATCH(TableDailyJournal[[#This Row],[رقم العملية]],Tabledaily[رقم العملية],0))</f>
        <v>السيطرة والاتصالات</v>
      </c>
      <c r="P71" s="121" t="str">
        <f>INDEX(Tabledaily[المــــرجـــــــــع],MATCH(TableDailyJournal[[#This Row],[رقم العملية]],Tabledaily[رقم العملية],0))</f>
        <v>كشف صرف</v>
      </c>
      <c r="Q71" s="121" t="str">
        <f>INDEX(Tabledaily[اســـــــم المــــرجــــع],MATCH(TableDailyJournal[[#This Row],[رقم العملية]],Tabledaily[رقم العملية],0))</f>
        <v>كشف صرف</v>
      </c>
      <c r="R71" s="121">
        <f>INDEX(Tabledaily[رقم المـــــرجـــع],MATCH(TableDailyJournal[[#This Row],[رقم العملية]],Tabledaily[رقم العملية],0))</f>
        <v>4</v>
      </c>
      <c r="S71" s="121" t="str">
        <f>INDEX(Tabledaily[مركـــــــزالتكلفــــــة],MATCH(TableDailyJournal[[#This Row],[رقم العملية]],Tabledaily[رقم العملية],0))</f>
        <v>الفرقة الثالثة</v>
      </c>
      <c r="T71" s="121">
        <f>IFERROR(INDEX(tablecost[رقم المركز],MATCH(TableDailyJournal[[#This Row],[مركـــــــزالتكلفــــــة]],tablecost[الاسم],0)),0)</f>
        <v>1</v>
      </c>
      <c r="U71" s="122">
        <f>IFERROR(DATE(TableDailyJournal[[#This Row],[السنــــة]],TableDailyJournal[[#This Row],[الشهــــر]],TableDailyJournal[[#This Row],[الـــــيوم]]),"01-01-2026")</f>
        <v>46176</v>
      </c>
      <c r="V71" s="125">
        <f>INDEX(Tabledaily[تاريخ الإضافة],MATCH(TableDailyJournal[[#This Row],[رقم العملية]],Tabledaily[رقم العملية],0))</f>
        <v>46182.110335648147</v>
      </c>
      <c r="W71" s="58">
        <v>0</v>
      </c>
      <c r="X71" s="58">
        <f>IFERROR(YEAR(TableDailyJournal[[#This Row],[التاريخ]]),"")</f>
        <v>2026</v>
      </c>
      <c r="Y71" s="58">
        <f>IFERROR(MONTH(TableDailyJournal[[#This Row],[التاريخ]]),"")</f>
        <v>6</v>
      </c>
      <c r="Z71" s="58">
        <f>IFERROR(DAY(TableDailyJournal[[#This Row],[التاريخ]]),"")</f>
        <v>3</v>
      </c>
      <c r="AA71"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4  كشف صرف - صرف الصرفة اليومية للسيطرة والاتصالات لعدد 4  بامر</v>
      </c>
      <c r="AB71" s="58">
        <f>INDEX(Tabledaily[جهة الامر],MATCH(TableDailyJournal[[#This Row],[رقم العملية]],Tabledaily[رقم العملية],0))</f>
        <v>0</v>
      </c>
    </row>
    <row r="72" spans="2:28" ht="45.75" x14ac:dyDescent="0.55000000000000004">
      <c r="B72" s="58">
        <f t="shared" si="1"/>
        <v>68</v>
      </c>
      <c r="C72" s="59" t="s">
        <v>338</v>
      </c>
      <c r="D72" s="60">
        <f>INDEX(Tabledaily[date],MATCH(TableDailyJournal[[#This Row],[رقم العملية]],Tabledaily[رقم العملية],0))</f>
        <v>46176</v>
      </c>
      <c r="E72" s="58" t="str">
        <f>INDEX(Tabledaily[نوع العمليــة],MATCH(TableDailyJournal[[#This Row],[رقم العملية]],Tabledaily[رقم العملية],0))</f>
        <v>قيد عهده</v>
      </c>
      <c r="F72" s="58">
        <f>IFERROR(INDEX(TableJudje[رقم الحساب],MATCH(TableDailyJournal[[#This Row],[الحساب]],TableJudje[اسم الحساب],0)),0)</f>
        <v>31010101</v>
      </c>
      <c r="G72" s="58" t="s">
        <v>111</v>
      </c>
      <c r="H72" s="61"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I72" s="60" t="str">
        <f>INDEX(Tabledaily[العملـــة],MATCH(TableDailyJournal[[#This Row],[رقم العملية]],Tabledaily[رقم العملية],0))</f>
        <v>ريال يمني</v>
      </c>
      <c r="J72" s="59">
        <f>IFERROR(INDEX(Tabledaily[سعــــــر
الصـــــرف],MATCH(C72,Tabledaily[رقم العملية],0)),1)</f>
        <v>405</v>
      </c>
      <c r="K72" s="123" cm="1">
        <f t="array" ref="K72">IFERROR(INDEX(Tabledaily[المبلـــــــغ],MATCH(1,(TableDailyJournal[[#This Row],[رقم العملية]]=Tabledaily[رقم العملية])*(TableDailyJournal[[#This Row],[الحساب]]=Tabledaily[الحســاب المديــــن]),0)),0)</f>
        <v>132000</v>
      </c>
      <c r="L72" s="124" cm="1">
        <f t="array" ref="L72">IFERROR(INDEX(Tabledaily[المبلـــــــغ],MATCH(1,(TableDailyJournal[[#This Row],[رقم العملية]]=Tabledaily[رقم العملية])*(TableDailyJournal[[#This Row],[الحساب]]=Tabledaily[الحســاب الدئـــن]),0)),0)</f>
        <v>0</v>
      </c>
      <c r="M72" s="62">
        <f>IFERROR(TableDailyJournal[[#This Row],[المبلغ مدين]]/TableDailyJournal[[#This Row],[سعــــــر
الصـــــرف]],0)</f>
        <v>325.92592592592592</v>
      </c>
      <c r="N72" s="62">
        <f>IFERROR(TableDailyJournal[[#This Row],[المبلغ دائن]]/TableDailyJournal[[#This Row],[سعــــــر
الصـــــرف]],0)</f>
        <v>0</v>
      </c>
      <c r="O72" s="121" t="str">
        <f>INDEX(Tabledaily[المستفيــــــــد],MATCH(TableDailyJournal[[#This Row],[رقم العملية]],Tabledaily[رقم العملية],0))</f>
        <v>الامداد</v>
      </c>
      <c r="P72" s="121" t="str">
        <f>INDEX(Tabledaily[المــــرجـــــــــع],MATCH(TableDailyJournal[[#This Row],[رقم العملية]],Tabledaily[رقم العملية],0))</f>
        <v>كشف صرف</v>
      </c>
      <c r="Q72" s="121" t="str">
        <f>INDEX(Tabledaily[اســـــــم المــــرجــــع],MATCH(TableDailyJournal[[#This Row],[رقم العملية]],Tabledaily[رقم العملية],0))</f>
        <v>كشف صرف</v>
      </c>
      <c r="R72" s="121">
        <f>INDEX(Tabledaily[رقم المـــــرجـــع],MATCH(TableDailyJournal[[#This Row],[رقم العملية]],Tabledaily[رقم العملية],0))</f>
        <v>12</v>
      </c>
      <c r="S72" s="121" t="str">
        <f>INDEX(Tabledaily[مركـــــــزالتكلفــــــة],MATCH(TableDailyJournal[[#This Row],[رقم العملية]],Tabledaily[رقم العملية],0))</f>
        <v>الفرقة الثالثة</v>
      </c>
      <c r="T72" s="121">
        <f>IFERROR(INDEX(tablecost[رقم المركز],MATCH(TableDailyJournal[[#This Row],[مركـــــــزالتكلفــــــة]],tablecost[الاسم],0)),0)</f>
        <v>1</v>
      </c>
      <c r="U72" s="122">
        <f>IFERROR(DATE(TableDailyJournal[[#This Row],[السنــــة]],TableDailyJournal[[#This Row],[الشهــــر]],TableDailyJournal[[#This Row],[الـــــيوم]]),"01-01-2026")</f>
        <v>46176</v>
      </c>
      <c r="V72" s="125">
        <f>INDEX(Tabledaily[تاريخ الإضافة],MATCH(TableDailyJournal[[#This Row],[رقم العملية]],Tabledaily[رقم العملية],0))</f>
        <v>46182.110949074071</v>
      </c>
      <c r="W72" s="58">
        <v>0</v>
      </c>
      <c r="X72" s="58">
        <f>IFERROR(YEAR(TableDailyJournal[[#This Row],[التاريخ]]),"")</f>
        <v>2026</v>
      </c>
      <c r="Y72" s="58">
        <f>IFERROR(MONTH(TableDailyJournal[[#This Row],[التاريخ]]),"")</f>
        <v>6</v>
      </c>
      <c r="Z72" s="58">
        <f>IFERROR(DAY(TableDailyJournal[[#This Row],[التاريخ]]),"")</f>
        <v>3</v>
      </c>
      <c r="AA72" s="126"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AB72" s="58">
        <f>INDEX(Tabledaily[جهة الامر],MATCH(TableDailyJournal[[#This Row],[رقم العملية]],Tabledaily[رقم العملية],0))</f>
        <v>0</v>
      </c>
    </row>
    <row r="73" spans="2:28" ht="45.75" x14ac:dyDescent="0.55000000000000004">
      <c r="B73" s="58">
        <f t="shared" si="1"/>
        <v>69</v>
      </c>
      <c r="C73" s="59" t="s">
        <v>338</v>
      </c>
      <c r="D73" s="60">
        <f>INDEX(Tabledaily[date],MATCH(TableDailyJournal[[#This Row],[رقم العملية]],Tabledaily[رقم العملية],0))</f>
        <v>46176</v>
      </c>
      <c r="E73" s="58" t="str">
        <f>INDEX(Tabledaily[نوع العمليــة],MATCH(TableDailyJournal[[#This Row],[رقم العملية]],Tabledaily[رقم العملية],0))</f>
        <v>قيد عهده</v>
      </c>
      <c r="F73" s="58">
        <f>IFERROR(INDEX(TableJudje[رقم الحساب],MATCH(TableDailyJournal[[#This Row],[الحساب]],TableJudje[اسم الحساب],0)),0)</f>
        <v>11060202</v>
      </c>
      <c r="G73" s="58" t="s">
        <v>159</v>
      </c>
      <c r="H73" s="61"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I73" s="60" t="str">
        <f>INDEX(Tabledaily[العملـــة],MATCH(TableDailyJournal[[#This Row],[رقم العملية]],Tabledaily[رقم العملية],0))</f>
        <v>ريال يمني</v>
      </c>
      <c r="J73" s="59">
        <f>IFERROR(INDEX(Tabledaily[سعــــــر
الصـــــرف],MATCH(C73,Tabledaily[رقم العملية],0)),1)</f>
        <v>405</v>
      </c>
      <c r="K73" s="123" cm="1">
        <f t="array" ref="K73">IFERROR(INDEX(Tabledaily[المبلـــــــغ],MATCH(1,(TableDailyJournal[[#This Row],[رقم العملية]]=Tabledaily[رقم العملية])*(TableDailyJournal[[#This Row],[الحساب]]=Tabledaily[الحســاب المديــــن]),0)),0)</f>
        <v>0</v>
      </c>
      <c r="L73" s="124" cm="1">
        <f t="array" ref="L73">IFERROR(INDEX(Tabledaily[المبلـــــــغ],MATCH(1,(TableDailyJournal[[#This Row],[رقم العملية]]=Tabledaily[رقم العملية])*(TableDailyJournal[[#This Row],[الحساب]]=Tabledaily[الحســاب الدئـــن]),0)),0)</f>
        <v>132000</v>
      </c>
      <c r="M73" s="62">
        <f>IFERROR(TableDailyJournal[[#This Row],[المبلغ مدين]]/TableDailyJournal[[#This Row],[سعــــــر
الصـــــرف]],0)</f>
        <v>0</v>
      </c>
      <c r="N73" s="62">
        <f>IFERROR(TableDailyJournal[[#This Row],[المبلغ دائن]]/TableDailyJournal[[#This Row],[سعــــــر
الصـــــرف]],0)</f>
        <v>325.92592592592592</v>
      </c>
      <c r="O73" s="121" t="str">
        <f>INDEX(Tabledaily[المستفيــــــــد],MATCH(TableDailyJournal[[#This Row],[رقم العملية]],Tabledaily[رقم العملية],0))</f>
        <v>الامداد</v>
      </c>
      <c r="P73" s="121" t="str">
        <f>INDEX(Tabledaily[المــــرجـــــــــع],MATCH(TableDailyJournal[[#This Row],[رقم العملية]],Tabledaily[رقم العملية],0))</f>
        <v>كشف صرف</v>
      </c>
      <c r="Q73" s="121" t="str">
        <f>INDEX(Tabledaily[اســـــــم المــــرجــــع],MATCH(TableDailyJournal[[#This Row],[رقم العملية]],Tabledaily[رقم العملية],0))</f>
        <v>كشف صرف</v>
      </c>
      <c r="R73" s="121">
        <f>INDEX(Tabledaily[رقم المـــــرجـــع],MATCH(TableDailyJournal[[#This Row],[رقم العملية]],Tabledaily[رقم العملية],0))</f>
        <v>12</v>
      </c>
      <c r="S73" s="121" t="str">
        <f>INDEX(Tabledaily[مركـــــــزالتكلفــــــة],MATCH(TableDailyJournal[[#This Row],[رقم العملية]],Tabledaily[رقم العملية],0))</f>
        <v>الفرقة الثالثة</v>
      </c>
      <c r="T73" s="121">
        <f>IFERROR(INDEX(tablecost[رقم المركز],MATCH(TableDailyJournal[[#This Row],[مركـــــــزالتكلفــــــة]],tablecost[الاسم],0)),0)</f>
        <v>1</v>
      </c>
      <c r="U73" s="122">
        <f>IFERROR(DATE(TableDailyJournal[[#This Row],[السنــــة]],TableDailyJournal[[#This Row],[الشهــــر]],TableDailyJournal[[#This Row],[الـــــيوم]]),"01-01-2026")</f>
        <v>46176</v>
      </c>
      <c r="V73" s="125">
        <f>INDEX(Tabledaily[تاريخ الإضافة],MATCH(TableDailyJournal[[#This Row],[رقم العملية]],Tabledaily[رقم العملية],0))</f>
        <v>46182.110949074071</v>
      </c>
      <c r="W73" s="58">
        <v>0</v>
      </c>
      <c r="X73" s="58">
        <f>IFERROR(YEAR(TableDailyJournal[[#This Row],[التاريخ]]),"")</f>
        <v>2026</v>
      </c>
      <c r="Y73" s="58">
        <f>IFERROR(MONTH(TableDailyJournal[[#This Row],[التاريخ]]),"")</f>
        <v>6</v>
      </c>
      <c r="Z73" s="58">
        <f>IFERROR(DAY(TableDailyJournal[[#This Row],[التاريخ]]),"")</f>
        <v>3</v>
      </c>
      <c r="AA73" s="126" t="str">
        <f>INDEX(Tabledaily[المرجع البياني],MATCH(TableDailyJournal[[#This Row],[رقم العملية]],Tabledaily[رقم العملية],0))</f>
        <v>قيـد مقابـل:- (مصاريف  صرفة يومية للافراد  - الامداد - الفرقة الثالثة)  - كشف صرف رقم 12  كشف صرف - صرف الصرفة اليومية  لافراد الامداد لعدد 12  بامر</v>
      </c>
      <c r="AB73" s="58">
        <f>INDEX(Tabledaily[جهة الامر],MATCH(TableDailyJournal[[#This Row],[رقم العملية]],Tabledaily[رقم العملية],0))</f>
        <v>0</v>
      </c>
    </row>
    <row r="74" spans="2:28" ht="45.75" x14ac:dyDescent="0.55000000000000004">
      <c r="B74" s="58">
        <f t="shared" si="1"/>
        <v>70</v>
      </c>
      <c r="C74" s="59" t="s">
        <v>335</v>
      </c>
      <c r="D74" s="60">
        <f>INDEX(Tabledaily[date],MATCH(TableDailyJournal[[#This Row],[رقم العملية]],Tabledaily[رقم العملية],0))</f>
        <v>46176</v>
      </c>
      <c r="E74" s="58" t="str">
        <f>INDEX(Tabledaily[نوع العمليــة],MATCH(TableDailyJournal[[#This Row],[رقم العملية]],Tabledaily[رقم العملية],0))</f>
        <v>قيد عهده</v>
      </c>
      <c r="F74" s="58">
        <f>IFERROR(INDEX(TableJudje[رقم الحساب],MATCH(TableDailyJournal[[#This Row],[الحساب]],TableJudje[اسم الحساب],0)),0)</f>
        <v>31010101</v>
      </c>
      <c r="G74" s="58" t="s">
        <v>111</v>
      </c>
      <c r="H74"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I74" s="60" t="str">
        <f>INDEX(Tabledaily[العملـــة],MATCH(TableDailyJournal[[#This Row],[رقم العملية]],Tabledaily[رقم العملية],0))</f>
        <v>ريال يمني</v>
      </c>
      <c r="J74" s="59">
        <f>IFERROR(INDEX(Tabledaily[سعــــــر
الصـــــرف],MATCH(C74,Tabledaily[رقم العملية],0)),1)</f>
        <v>405</v>
      </c>
      <c r="K74" s="123" cm="1">
        <f t="array" ref="K74">IFERROR(INDEX(Tabledaily[المبلـــــــغ],MATCH(1,(TableDailyJournal[[#This Row],[رقم العملية]]=Tabledaily[رقم العملية])*(TableDailyJournal[[#This Row],[الحساب]]=Tabledaily[الحســاب المديــــن]),0)),0)</f>
        <v>30000</v>
      </c>
      <c r="L74" s="124" cm="1">
        <f t="array" ref="L74">IFERROR(INDEX(Tabledaily[المبلـــــــغ],MATCH(1,(TableDailyJournal[[#This Row],[رقم العملية]]=Tabledaily[رقم العملية])*(TableDailyJournal[[#This Row],[الحساب]]=Tabledaily[الحســاب الدئـــن]),0)),0)</f>
        <v>0</v>
      </c>
      <c r="M74" s="62">
        <f>IFERROR(TableDailyJournal[[#This Row],[المبلغ مدين]]/TableDailyJournal[[#This Row],[سعــــــر
الصـــــرف]],0)</f>
        <v>74.074074074074076</v>
      </c>
      <c r="N74" s="62">
        <f>IFERROR(TableDailyJournal[[#This Row],[المبلغ دائن]]/TableDailyJournal[[#This Row],[سعــــــر
الصـــــرف]],0)</f>
        <v>0</v>
      </c>
      <c r="O74" s="121" t="str">
        <f>INDEX(Tabledaily[المستفيــــــــد],MATCH(TableDailyJournal[[#This Row],[رقم العملية]],Tabledaily[رقم العملية],0))</f>
        <v>البشرية و الصراف</v>
      </c>
      <c r="P74" s="121" t="str">
        <f>INDEX(Tabledaily[المــــرجـــــــــع],MATCH(TableDailyJournal[[#This Row],[رقم العملية]],Tabledaily[رقم العملية],0))</f>
        <v>كشف صرف</v>
      </c>
      <c r="Q74" s="121" t="str">
        <f>INDEX(Tabledaily[اســـــــم المــــرجــــع],MATCH(TableDailyJournal[[#This Row],[رقم العملية]],Tabledaily[رقم العملية],0))</f>
        <v>كشف صرف</v>
      </c>
      <c r="R74" s="121">
        <f>INDEX(Tabledaily[رقم المـــــرجـــع],MATCH(TableDailyJournal[[#This Row],[رقم العملية]],Tabledaily[رقم العملية],0))</f>
        <v>2</v>
      </c>
      <c r="S74" s="121" t="str">
        <f>INDEX(Tabledaily[مركـــــــزالتكلفــــــة],MATCH(TableDailyJournal[[#This Row],[رقم العملية]],Tabledaily[رقم العملية],0))</f>
        <v>الفرقة الثالثة</v>
      </c>
      <c r="T74" s="121">
        <f>IFERROR(INDEX(tablecost[رقم المركز],MATCH(TableDailyJournal[[#This Row],[مركـــــــزالتكلفــــــة]],tablecost[الاسم],0)),0)</f>
        <v>1</v>
      </c>
      <c r="U74" s="122">
        <f>IFERROR(DATE(TableDailyJournal[[#This Row],[السنــــة]],TableDailyJournal[[#This Row],[الشهــــر]],TableDailyJournal[[#This Row],[الـــــيوم]]),"01-01-2026")</f>
        <v>46176</v>
      </c>
      <c r="V74" s="125">
        <f>INDEX(Tabledaily[تاريخ الإضافة],MATCH(TableDailyJournal[[#This Row],[رقم العملية]],Tabledaily[رقم العملية],0))</f>
        <v>46182.112118055556</v>
      </c>
      <c r="W74" s="58">
        <v>0</v>
      </c>
      <c r="X74" s="58">
        <f>IFERROR(YEAR(TableDailyJournal[[#This Row],[التاريخ]]),"")</f>
        <v>2026</v>
      </c>
      <c r="Y74" s="58">
        <f>IFERROR(MONTH(TableDailyJournal[[#This Row],[التاريخ]]),"")</f>
        <v>6</v>
      </c>
      <c r="Z74" s="58">
        <f>IFERROR(DAY(TableDailyJournal[[#This Row],[التاريخ]]),"")</f>
        <v>3</v>
      </c>
      <c r="AA74"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AB74" s="58">
        <f>INDEX(Tabledaily[جهة الامر],MATCH(TableDailyJournal[[#This Row],[رقم العملية]],Tabledaily[رقم العملية],0))</f>
        <v>0</v>
      </c>
    </row>
    <row r="75" spans="2:28" ht="45.75" x14ac:dyDescent="0.55000000000000004">
      <c r="B75" s="58">
        <f t="shared" si="1"/>
        <v>71</v>
      </c>
      <c r="C75" s="59" t="s">
        <v>335</v>
      </c>
      <c r="D75" s="60">
        <f>INDEX(Tabledaily[date],MATCH(TableDailyJournal[[#This Row],[رقم العملية]],Tabledaily[رقم العملية],0))</f>
        <v>46176</v>
      </c>
      <c r="E75" s="58" t="str">
        <f>INDEX(Tabledaily[نوع العمليــة],MATCH(TableDailyJournal[[#This Row],[رقم العملية]],Tabledaily[رقم العملية],0))</f>
        <v>قيد عهده</v>
      </c>
      <c r="F75" s="58">
        <f>IFERROR(INDEX(TableJudje[رقم الحساب],MATCH(TableDailyJournal[[#This Row],[الحساب]],TableJudje[اسم الحساب],0)),0)</f>
        <v>11060202</v>
      </c>
      <c r="G75" s="58" t="s">
        <v>159</v>
      </c>
      <c r="H75"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I75" s="60" t="str">
        <f>INDEX(Tabledaily[العملـــة],MATCH(TableDailyJournal[[#This Row],[رقم العملية]],Tabledaily[رقم العملية],0))</f>
        <v>ريال يمني</v>
      </c>
      <c r="J75" s="59">
        <f>IFERROR(INDEX(Tabledaily[سعــــــر
الصـــــرف],MATCH(C75,Tabledaily[رقم العملية],0)),1)</f>
        <v>405</v>
      </c>
      <c r="K75" s="123" cm="1">
        <f t="array" ref="K75">IFERROR(INDEX(Tabledaily[المبلـــــــغ],MATCH(1,(TableDailyJournal[[#This Row],[رقم العملية]]=Tabledaily[رقم العملية])*(TableDailyJournal[[#This Row],[الحساب]]=Tabledaily[الحســاب المديــــن]),0)),0)</f>
        <v>0</v>
      </c>
      <c r="L75" s="124" cm="1">
        <f t="array" ref="L75">IFERROR(INDEX(Tabledaily[المبلـــــــغ],MATCH(1,(TableDailyJournal[[#This Row],[رقم العملية]]=Tabledaily[رقم العملية])*(TableDailyJournal[[#This Row],[الحساب]]=Tabledaily[الحســاب الدئـــن]),0)),0)</f>
        <v>30000</v>
      </c>
      <c r="M75" s="62">
        <f>IFERROR(TableDailyJournal[[#This Row],[المبلغ مدين]]/TableDailyJournal[[#This Row],[سعــــــر
الصـــــرف]],0)</f>
        <v>0</v>
      </c>
      <c r="N75" s="62">
        <f>IFERROR(TableDailyJournal[[#This Row],[المبلغ دائن]]/TableDailyJournal[[#This Row],[سعــــــر
الصـــــرف]],0)</f>
        <v>74.074074074074076</v>
      </c>
      <c r="O75" s="121" t="str">
        <f>INDEX(Tabledaily[المستفيــــــــد],MATCH(TableDailyJournal[[#This Row],[رقم العملية]],Tabledaily[رقم العملية],0))</f>
        <v>البشرية و الصراف</v>
      </c>
      <c r="P75" s="121" t="str">
        <f>INDEX(Tabledaily[المــــرجـــــــــع],MATCH(TableDailyJournal[[#This Row],[رقم العملية]],Tabledaily[رقم العملية],0))</f>
        <v>كشف صرف</v>
      </c>
      <c r="Q75" s="121" t="str">
        <f>INDEX(Tabledaily[اســـــــم المــــرجــــع],MATCH(TableDailyJournal[[#This Row],[رقم العملية]],Tabledaily[رقم العملية],0))</f>
        <v>كشف صرف</v>
      </c>
      <c r="R75" s="121">
        <f>INDEX(Tabledaily[رقم المـــــرجـــع],MATCH(TableDailyJournal[[#This Row],[رقم العملية]],Tabledaily[رقم العملية],0))</f>
        <v>2</v>
      </c>
      <c r="S75" s="121" t="str">
        <f>INDEX(Tabledaily[مركـــــــزالتكلفــــــة],MATCH(TableDailyJournal[[#This Row],[رقم العملية]],Tabledaily[رقم العملية],0))</f>
        <v>الفرقة الثالثة</v>
      </c>
      <c r="T75" s="121">
        <f>IFERROR(INDEX(tablecost[رقم المركز],MATCH(TableDailyJournal[[#This Row],[مركـــــــزالتكلفــــــة]],tablecost[الاسم],0)),0)</f>
        <v>1</v>
      </c>
      <c r="U75" s="122">
        <f>IFERROR(DATE(TableDailyJournal[[#This Row],[السنــــة]],TableDailyJournal[[#This Row],[الشهــــر]],TableDailyJournal[[#This Row],[الـــــيوم]]),"01-01-2026")</f>
        <v>46176</v>
      </c>
      <c r="V75" s="125">
        <f>INDEX(Tabledaily[تاريخ الإضافة],MATCH(TableDailyJournal[[#This Row],[رقم العملية]],Tabledaily[رقم العملية],0))</f>
        <v>46182.112118055556</v>
      </c>
      <c r="W75" s="58">
        <v>0</v>
      </c>
      <c r="X75" s="58">
        <f>IFERROR(YEAR(TableDailyJournal[[#This Row],[التاريخ]]),"")</f>
        <v>2026</v>
      </c>
      <c r="Y75" s="58">
        <f>IFERROR(MONTH(TableDailyJournal[[#This Row],[التاريخ]]),"")</f>
        <v>6</v>
      </c>
      <c r="Z75" s="58">
        <f>IFERROR(DAY(TableDailyJournal[[#This Row],[التاريخ]]),"")</f>
        <v>3</v>
      </c>
      <c r="AA75"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2  كشف صرف - صرف الصرفة اليومية  للبشرة والصراف عدد 2  بامر</v>
      </c>
      <c r="AB75" s="58">
        <f>INDEX(Tabledaily[جهة الامر],MATCH(TableDailyJournal[[#This Row],[رقم العملية]],Tabledaily[رقم العملية],0))</f>
        <v>0</v>
      </c>
    </row>
    <row r="76" spans="2:28" ht="45.75" x14ac:dyDescent="0.55000000000000004">
      <c r="B76" s="58">
        <f t="shared" si="1"/>
        <v>72</v>
      </c>
      <c r="C76" s="59" t="s">
        <v>332</v>
      </c>
      <c r="D76" s="60">
        <f>INDEX(Tabledaily[date],MATCH(TableDailyJournal[[#This Row],[رقم العملية]],Tabledaily[رقم العملية],0))</f>
        <v>46176</v>
      </c>
      <c r="E76" s="58" t="str">
        <f>INDEX(Tabledaily[نوع العمليــة],MATCH(TableDailyJournal[[#This Row],[رقم العملية]],Tabledaily[رقم العملية],0))</f>
        <v>قيد عهده</v>
      </c>
      <c r="F76" s="58">
        <f>IFERROR(INDEX(TableJudje[رقم الحساب],MATCH(TableDailyJournal[[#This Row],[الحساب]],TableJudje[اسم الحساب],0)),0)</f>
        <v>31010101</v>
      </c>
      <c r="G76" s="58" t="s">
        <v>111</v>
      </c>
      <c r="H76"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I76" s="60" t="str">
        <f>INDEX(Tabledaily[العملـــة],MATCH(TableDailyJournal[[#This Row],[رقم العملية]],Tabledaily[رقم العملية],0))</f>
        <v>ريال يمني</v>
      </c>
      <c r="J76" s="59">
        <f>IFERROR(INDEX(Tabledaily[سعــــــر
الصـــــرف],MATCH(C76,Tabledaily[رقم العملية],0)),1)</f>
        <v>405</v>
      </c>
      <c r="K76" s="123" cm="1">
        <f t="array" ref="K76">IFERROR(INDEX(Tabledaily[المبلـــــــغ],MATCH(1,(TableDailyJournal[[#This Row],[رقم العملية]]=Tabledaily[رقم العملية])*(TableDailyJournal[[#This Row],[الحساب]]=Tabledaily[الحســاب المديــــن]),0)),0)</f>
        <v>65000</v>
      </c>
      <c r="L76" s="124" cm="1">
        <f t="array" ref="L76">IFERROR(INDEX(Tabledaily[المبلـــــــغ],MATCH(1,(TableDailyJournal[[#This Row],[رقم العملية]]=Tabledaily[رقم العملية])*(TableDailyJournal[[#This Row],[الحساب]]=Tabledaily[الحســاب الدئـــن]),0)),0)</f>
        <v>0</v>
      </c>
      <c r="M76" s="62">
        <f>IFERROR(TableDailyJournal[[#This Row],[المبلغ مدين]]/TableDailyJournal[[#This Row],[سعــــــر
الصـــــرف]],0)</f>
        <v>160.49382716049382</v>
      </c>
      <c r="N76" s="62">
        <f>IFERROR(TableDailyJournal[[#This Row],[المبلغ دائن]]/TableDailyJournal[[#This Row],[سعــــــر
الصـــــرف]],0)</f>
        <v>0</v>
      </c>
      <c r="O76" s="121" t="str">
        <f>INDEX(Tabledaily[المستفيــــــــد],MATCH(TableDailyJournal[[#This Row],[رقم العملية]],Tabledaily[رقم العملية],0))</f>
        <v>الاستخبارات</v>
      </c>
      <c r="P76" s="121" t="str">
        <f>INDEX(Tabledaily[المــــرجـــــــــع],MATCH(TableDailyJournal[[#This Row],[رقم العملية]],Tabledaily[رقم العملية],0))</f>
        <v>كشف صرف</v>
      </c>
      <c r="Q76" s="121" t="str">
        <f>INDEX(Tabledaily[اســـــــم المــــرجــــع],MATCH(TableDailyJournal[[#This Row],[رقم العملية]],Tabledaily[رقم العملية],0))</f>
        <v>كشف صرف</v>
      </c>
      <c r="R76" s="121">
        <f>INDEX(Tabledaily[رقم المـــــرجـــع],MATCH(TableDailyJournal[[#This Row],[رقم العملية]],Tabledaily[رقم العملية],0))</f>
        <v>4</v>
      </c>
      <c r="S76" s="121" t="str">
        <f>INDEX(Tabledaily[مركـــــــزالتكلفــــــة],MATCH(TableDailyJournal[[#This Row],[رقم العملية]],Tabledaily[رقم العملية],0))</f>
        <v>الفرقة الثالثة</v>
      </c>
      <c r="T76" s="121">
        <f>IFERROR(INDEX(tablecost[رقم المركز],MATCH(TableDailyJournal[[#This Row],[مركـــــــزالتكلفــــــة]],tablecost[الاسم],0)),0)</f>
        <v>1</v>
      </c>
      <c r="U76" s="122">
        <f>IFERROR(DATE(TableDailyJournal[[#This Row],[السنــــة]],TableDailyJournal[[#This Row],[الشهــــر]],TableDailyJournal[[#This Row],[الـــــيوم]]),"01-01-2026")</f>
        <v>46176</v>
      </c>
      <c r="V76" s="125">
        <f>INDEX(Tabledaily[تاريخ الإضافة],MATCH(TableDailyJournal[[#This Row],[رقم العملية]],Tabledaily[رقم العملية],0))</f>
        <v>46182.112754629627</v>
      </c>
      <c r="W76" s="58">
        <v>0</v>
      </c>
      <c r="X76" s="58">
        <f>IFERROR(YEAR(TableDailyJournal[[#This Row],[التاريخ]]),"")</f>
        <v>2026</v>
      </c>
      <c r="Y76" s="58">
        <f>IFERROR(MONTH(TableDailyJournal[[#This Row],[التاريخ]]),"")</f>
        <v>6</v>
      </c>
      <c r="Z76" s="58">
        <f>IFERROR(DAY(TableDailyJournal[[#This Row],[التاريخ]]),"")</f>
        <v>3</v>
      </c>
      <c r="AA76"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AB76" s="58">
        <f>INDEX(Tabledaily[جهة الامر],MATCH(TableDailyJournal[[#This Row],[رقم العملية]],Tabledaily[رقم العملية],0))</f>
        <v>0</v>
      </c>
    </row>
    <row r="77" spans="2:28" ht="45.75" x14ac:dyDescent="0.55000000000000004">
      <c r="B77" s="58">
        <f t="shared" si="1"/>
        <v>73</v>
      </c>
      <c r="C77" s="59" t="s">
        <v>332</v>
      </c>
      <c r="D77" s="60">
        <f>INDEX(Tabledaily[date],MATCH(TableDailyJournal[[#This Row],[رقم العملية]],Tabledaily[رقم العملية],0))</f>
        <v>46176</v>
      </c>
      <c r="E77" s="58" t="str">
        <f>INDEX(Tabledaily[نوع العمليــة],MATCH(TableDailyJournal[[#This Row],[رقم العملية]],Tabledaily[رقم العملية],0))</f>
        <v>قيد عهده</v>
      </c>
      <c r="F77" s="58">
        <f>IFERROR(INDEX(TableJudje[رقم الحساب],MATCH(TableDailyJournal[[#This Row],[الحساب]],TableJudje[اسم الحساب],0)),0)</f>
        <v>11060202</v>
      </c>
      <c r="G77" s="58" t="s">
        <v>159</v>
      </c>
      <c r="H77"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I77" s="60" t="str">
        <f>INDEX(Tabledaily[العملـــة],MATCH(TableDailyJournal[[#This Row],[رقم العملية]],Tabledaily[رقم العملية],0))</f>
        <v>ريال يمني</v>
      </c>
      <c r="J77" s="59">
        <f>IFERROR(INDEX(Tabledaily[سعــــــر
الصـــــرف],MATCH(C77,Tabledaily[رقم العملية],0)),1)</f>
        <v>405</v>
      </c>
      <c r="K77" s="123" cm="1">
        <f t="array" ref="K77">IFERROR(INDEX(Tabledaily[المبلـــــــغ],MATCH(1,(TableDailyJournal[[#This Row],[رقم العملية]]=Tabledaily[رقم العملية])*(TableDailyJournal[[#This Row],[الحساب]]=Tabledaily[الحســاب المديــــن]),0)),0)</f>
        <v>0</v>
      </c>
      <c r="L77" s="124" cm="1">
        <f t="array" ref="L77">IFERROR(INDEX(Tabledaily[المبلـــــــغ],MATCH(1,(TableDailyJournal[[#This Row],[رقم العملية]]=Tabledaily[رقم العملية])*(TableDailyJournal[[#This Row],[الحساب]]=Tabledaily[الحســاب الدئـــن]),0)),0)</f>
        <v>65000</v>
      </c>
      <c r="M77" s="62">
        <f>IFERROR(TableDailyJournal[[#This Row],[المبلغ مدين]]/TableDailyJournal[[#This Row],[سعــــــر
الصـــــرف]],0)</f>
        <v>0</v>
      </c>
      <c r="N77" s="62">
        <f>IFERROR(TableDailyJournal[[#This Row],[المبلغ دائن]]/TableDailyJournal[[#This Row],[سعــــــر
الصـــــرف]],0)</f>
        <v>160.49382716049382</v>
      </c>
      <c r="O77" s="121" t="str">
        <f>INDEX(Tabledaily[المستفيــــــــد],MATCH(TableDailyJournal[[#This Row],[رقم العملية]],Tabledaily[رقم العملية],0))</f>
        <v>الاستخبارات</v>
      </c>
      <c r="P77" s="121" t="str">
        <f>INDEX(Tabledaily[المــــرجـــــــــع],MATCH(TableDailyJournal[[#This Row],[رقم العملية]],Tabledaily[رقم العملية],0))</f>
        <v>كشف صرف</v>
      </c>
      <c r="Q77" s="121" t="str">
        <f>INDEX(Tabledaily[اســـــــم المــــرجــــع],MATCH(TableDailyJournal[[#This Row],[رقم العملية]],Tabledaily[رقم العملية],0))</f>
        <v>كشف صرف</v>
      </c>
      <c r="R77" s="121">
        <f>INDEX(Tabledaily[رقم المـــــرجـــع],MATCH(TableDailyJournal[[#This Row],[رقم العملية]],Tabledaily[رقم العملية],0))</f>
        <v>4</v>
      </c>
      <c r="S77" s="121" t="str">
        <f>INDEX(Tabledaily[مركـــــــزالتكلفــــــة],MATCH(TableDailyJournal[[#This Row],[رقم العملية]],Tabledaily[رقم العملية],0))</f>
        <v>الفرقة الثالثة</v>
      </c>
      <c r="T77" s="121">
        <f>IFERROR(INDEX(tablecost[رقم المركز],MATCH(TableDailyJournal[[#This Row],[مركـــــــزالتكلفــــــة]],tablecost[الاسم],0)),0)</f>
        <v>1</v>
      </c>
      <c r="U77" s="122">
        <f>IFERROR(DATE(TableDailyJournal[[#This Row],[السنــــة]],TableDailyJournal[[#This Row],[الشهــــر]],TableDailyJournal[[#This Row],[الـــــيوم]]),"01-01-2026")</f>
        <v>46176</v>
      </c>
      <c r="V77" s="125">
        <f>INDEX(Tabledaily[تاريخ الإضافة],MATCH(TableDailyJournal[[#This Row],[رقم العملية]],Tabledaily[رقم العملية],0))</f>
        <v>46182.112754629627</v>
      </c>
      <c r="W77" s="58">
        <v>0</v>
      </c>
      <c r="X77" s="58">
        <f>IFERROR(YEAR(TableDailyJournal[[#This Row],[التاريخ]]),"")</f>
        <v>2026</v>
      </c>
      <c r="Y77" s="58">
        <f>IFERROR(MONTH(TableDailyJournal[[#This Row],[التاريخ]]),"")</f>
        <v>6</v>
      </c>
      <c r="Z77" s="58">
        <f>IFERROR(DAY(TableDailyJournal[[#This Row],[التاريخ]]),"")</f>
        <v>3</v>
      </c>
      <c r="AA77"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4  كشف صرف - صرف الصرفة اليومية  الاستخبارات لعدد 4 بامر</v>
      </c>
      <c r="AB77" s="58">
        <f>INDEX(Tabledaily[جهة الامر],MATCH(TableDailyJournal[[#This Row],[رقم العملية]],Tabledaily[رقم العملية],0))</f>
        <v>0</v>
      </c>
    </row>
    <row r="78" spans="2:28" ht="45.75" x14ac:dyDescent="0.55000000000000004">
      <c r="B78" s="58">
        <f t="shared" si="1"/>
        <v>74</v>
      </c>
      <c r="C78" s="59" t="s">
        <v>329</v>
      </c>
      <c r="D78" s="60">
        <f>INDEX(Tabledaily[date],MATCH(TableDailyJournal[[#This Row],[رقم العملية]],Tabledaily[رقم العملية],0))</f>
        <v>46176</v>
      </c>
      <c r="E78" s="58" t="str">
        <f>INDEX(Tabledaily[نوع العمليــة],MATCH(TableDailyJournal[[#This Row],[رقم العملية]],Tabledaily[رقم العملية],0))</f>
        <v>قيد عهده</v>
      </c>
      <c r="F78" s="58">
        <f>IFERROR(INDEX(TableJudje[رقم الحساب],MATCH(TableDailyJournal[[#This Row],[الحساب]],TableJudje[اسم الحساب],0)),0)</f>
        <v>31010101</v>
      </c>
      <c r="G78" s="58" t="s">
        <v>111</v>
      </c>
      <c r="H78"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صرف الصرفة اليومية للمستشارين والمساعدين عدد3 بامر</v>
      </c>
      <c r="I78" s="60" t="str">
        <f>INDEX(Tabledaily[العملـــة],MATCH(TableDailyJournal[[#This Row],[رقم العملية]],Tabledaily[رقم العملية],0))</f>
        <v>ريال يمني</v>
      </c>
      <c r="J78" s="59">
        <f>IFERROR(INDEX(Tabledaily[سعــــــر
الصـــــرف],MATCH(C78,Tabledaily[رقم العملية],0)),1)</f>
        <v>405</v>
      </c>
      <c r="K78" s="123" cm="1">
        <f t="array" ref="K78">IFERROR(INDEX(Tabledaily[المبلـــــــغ],MATCH(1,(TableDailyJournal[[#This Row],[رقم العملية]]=Tabledaily[رقم العملية])*(TableDailyJournal[[#This Row],[الحساب]]=Tabledaily[الحســاب المديــــن]),0)),0)</f>
        <v>30000</v>
      </c>
      <c r="L78" s="124" cm="1">
        <f t="array" ref="L78">IFERROR(INDEX(Tabledaily[المبلـــــــغ],MATCH(1,(TableDailyJournal[[#This Row],[رقم العملية]]=Tabledaily[رقم العملية])*(TableDailyJournal[[#This Row],[الحساب]]=Tabledaily[الحســاب الدئـــن]),0)),0)</f>
        <v>0</v>
      </c>
      <c r="M78" s="62">
        <f>IFERROR(TableDailyJournal[[#This Row],[المبلغ مدين]]/TableDailyJournal[[#This Row],[سعــــــر
الصـــــرف]],0)</f>
        <v>74.074074074074076</v>
      </c>
      <c r="N78" s="62">
        <f>IFERROR(TableDailyJournal[[#This Row],[المبلغ دائن]]/TableDailyJournal[[#This Row],[سعــــــر
الصـــــرف]],0)</f>
        <v>0</v>
      </c>
      <c r="O78" s="121" t="str">
        <f>INDEX(Tabledaily[المستفيــــــــد],MATCH(TableDailyJournal[[#This Row],[رقم العملية]],Tabledaily[رقم العملية],0))</f>
        <v>المستشارين والمساعدين</v>
      </c>
      <c r="P78" s="121" t="str">
        <f>INDEX(Tabledaily[المــــرجـــــــــع],MATCH(TableDailyJournal[[#This Row],[رقم العملية]],Tabledaily[رقم العملية],0))</f>
        <v>كشف صرف</v>
      </c>
      <c r="Q78" s="121" t="str">
        <f>INDEX(Tabledaily[اســـــــم المــــرجــــع],MATCH(TableDailyJournal[[#This Row],[رقم العملية]],Tabledaily[رقم العملية],0))</f>
        <v>كشف صرف</v>
      </c>
      <c r="R78" s="121">
        <f>INDEX(Tabledaily[رقم المـــــرجـــع],MATCH(TableDailyJournal[[#This Row],[رقم العملية]],Tabledaily[رقم العملية],0))</f>
        <v>3</v>
      </c>
      <c r="S78" s="121" t="str">
        <f>INDEX(Tabledaily[مركـــــــزالتكلفــــــة],MATCH(TableDailyJournal[[#This Row],[رقم العملية]],Tabledaily[رقم العملية],0))</f>
        <v>الفرقة الثالثة</v>
      </c>
      <c r="T78" s="121">
        <f>IFERROR(INDEX(tablecost[رقم المركز],MATCH(TableDailyJournal[[#This Row],[مركـــــــزالتكلفــــــة]],tablecost[الاسم],0)),0)</f>
        <v>1</v>
      </c>
      <c r="U78" s="122">
        <f>IFERROR(DATE(TableDailyJournal[[#This Row],[السنــــة]],TableDailyJournal[[#This Row],[الشهــــر]],TableDailyJournal[[#This Row],[الـــــيوم]]),"01-01-2026")</f>
        <v>46176</v>
      </c>
      <c r="V78" s="125">
        <f>INDEX(Tabledaily[تاريخ الإضافة],MATCH(TableDailyJournal[[#This Row],[رقم العملية]],Tabledaily[رقم العملية],0))</f>
        <v>46182.113715277781</v>
      </c>
      <c r="W78" s="58">
        <v>0</v>
      </c>
      <c r="X78" s="58">
        <f>IFERROR(YEAR(TableDailyJournal[[#This Row],[التاريخ]]),"")</f>
        <v>2026</v>
      </c>
      <c r="Y78" s="58">
        <f>IFERROR(MONTH(TableDailyJournal[[#This Row],[التاريخ]]),"")</f>
        <v>6</v>
      </c>
      <c r="Z78" s="58">
        <f>IFERROR(DAY(TableDailyJournal[[#This Row],[التاريخ]]),"")</f>
        <v>3</v>
      </c>
      <c r="AA78"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صرف الصرفة اليومية للمستشارين والمساعدين عدد3 بامر</v>
      </c>
      <c r="AB78" s="58">
        <f>INDEX(Tabledaily[جهة الامر],MATCH(TableDailyJournal[[#This Row],[رقم العملية]],Tabledaily[رقم العملية],0))</f>
        <v>0</v>
      </c>
    </row>
    <row r="79" spans="2:28" ht="45.75" x14ac:dyDescent="0.55000000000000004">
      <c r="B79" s="58">
        <f t="shared" si="1"/>
        <v>75</v>
      </c>
      <c r="C79" s="59" t="s">
        <v>329</v>
      </c>
      <c r="D79" s="60">
        <f>INDEX(Tabledaily[date],MATCH(TableDailyJournal[[#This Row],[رقم العملية]],Tabledaily[رقم العملية],0))</f>
        <v>46176</v>
      </c>
      <c r="E79" s="58" t="str">
        <f>INDEX(Tabledaily[نوع العمليــة],MATCH(TableDailyJournal[[#This Row],[رقم العملية]],Tabledaily[رقم العملية],0))</f>
        <v>قيد عهده</v>
      </c>
      <c r="F79" s="58">
        <f>IFERROR(INDEX(TableJudje[رقم الحساب],MATCH(TableDailyJournal[[#This Row],[الحساب]],TableJudje[اسم الحساب],0)),0)</f>
        <v>11060202</v>
      </c>
      <c r="G79" s="58" t="s">
        <v>159</v>
      </c>
      <c r="H79"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صرف الصرفة اليومية للمستشارين والمساعدين عدد3 بامر</v>
      </c>
      <c r="I79" s="60" t="str">
        <f>INDEX(Tabledaily[العملـــة],MATCH(TableDailyJournal[[#This Row],[رقم العملية]],Tabledaily[رقم العملية],0))</f>
        <v>ريال يمني</v>
      </c>
      <c r="J79" s="59">
        <f>IFERROR(INDEX(Tabledaily[سعــــــر
الصـــــرف],MATCH(C79,Tabledaily[رقم العملية],0)),1)</f>
        <v>405</v>
      </c>
      <c r="K79" s="123" cm="1">
        <f t="array" ref="K79">IFERROR(INDEX(Tabledaily[المبلـــــــغ],MATCH(1,(TableDailyJournal[[#This Row],[رقم العملية]]=Tabledaily[رقم العملية])*(TableDailyJournal[[#This Row],[الحساب]]=Tabledaily[الحســاب المديــــن]),0)),0)</f>
        <v>0</v>
      </c>
      <c r="L79" s="124" cm="1">
        <f t="array" ref="L79">IFERROR(INDEX(Tabledaily[المبلـــــــغ],MATCH(1,(TableDailyJournal[[#This Row],[رقم العملية]]=Tabledaily[رقم العملية])*(TableDailyJournal[[#This Row],[الحساب]]=Tabledaily[الحســاب الدئـــن]),0)),0)</f>
        <v>30000</v>
      </c>
      <c r="M79" s="62">
        <f>IFERROR(TableDailyJournal[[#This Row],[المبلغ مدين]]/TableDailyJournal[[#This Row],[سعــــــر
الصـــــرف]],0)</f>
        <v>0</v>
      </c>
      <c r="N79" s="62">
        <f>IFERROR(TableDailyJournal[[#This Row],[المبلغ دائن]]/TableDailyJournal[[#This Row],[سعــــــر
الصـــــرف]],0)</f>
        <v>74.074074074074076</v>
      </c>
      <c r="O79" s="121" t="str">
        <f>INDEX(Tabledaily[المستفيــــــــد],MATCH(TableDailyJournal[[#This Row],[رقم العملية]],Tabledaily[رقم العملية],0))</f>
        <v>المستشارين والمساعدين</v>
      </c>
      <c r="P79" s="121" t="str">
        <f>INDEX(Tabledaily[المــــرجـــــــــع],MATCH(TableDailyJournal[[#This Row],[رقم العملية]],Tabledaily[رقم العملية],0))</f>
        <v>كشف صرف</v>
      </c>
      <c r="Q79" s="121" t="str">
        <f>INDEX(Tabledaily[اســـــــم المــــرجــــع],MATCH(TableDailyJournal[[#This Row],[رقم العملية]],Tabledaily[رقم العملية],0))</f>
        <v>كشف صرف</v>
      </c>
      <c r="R79" s="121">
        <f>INDEX(Tabledaily[رقم المـــــرجـــع],MATCH(TableDailyJournal[[#This Row],[رقم العملية]],Tabledaily[رقم العملية],0))</f>
        <v>3</v>
      </c>
      <c r="S79" s="121" t="str">
        <f>INDEX(Tabledaily[مركـــــــزالتكلفــــــة],MATCH(TableDailyJournal[[#This Row],[رقم العملية]],Tabledaily[رقم العملية],0))</f>
        <v>الفرقة الثالثة</v>
      </c>
      <c r="T79" s="121">
        <f>IFERROR(INDEX(tablecost[رقم المركز],MATCH(TableDailyJournal[[#This Row],[مركـــــــزالتكلفــــــة]],tablecost[الاسم],0)),0)</f>
        <v>1</v>
      </c>
      <c r="U79" s="122">
        <f>IFERROR(DATE(TableDailyJournal[[#This Row],[السنــــة]],TableDailyJournal[[#This Row],[الشهــــر]],TableDailyJournal[[#This Row],[الـــــيوم]]),"01-01-2026")</f>
        <v>46176</v>
      </c>
      <c r="V79" s="125">
        <f>INDEX(Tabledaily[تاريخ الإضافة],MATCH(TableDailyJournal[[#This Row],[رقم العملية]],Tabledaily[رقم العملية],0))</f>
        <v>46182.113715277781</v>
      </c>
      <c r="W79" s="58">
        <v>0</v>
      </c>
      <c r="X79" s="58">
        <f>IFERROR(YEAR(TableDailyJournal[[#This Row],[التاريخ]]),"")</f>
        <v>2026</v>
      </c>
      <c r="Y79" s="58">
        <f>IFERROR(MONTH(TableDailyJournal[[#This Row],[التاريخ]]),"")</f>
        <v>6</v>
      </c>
      <c r="Z79" s="58">
        <f>IFERROR(DAY(TableDailyJournal[[#This Row],[التاريخ]]),"")</f>
        <v>3</v>
      </c>
      <c r="AA79"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3  كشف صرف - صرف الصرفة اليومية للمستشارين والمساعدين عدد3 بامر</v>
      </c>
      <c r="AB79" s="58">
        <f>INDEX(Tabledaily[جهة الامر],MATCH(TableDailyJournal[[#This Row],[رقم العملية]],Tabledaily[رقم العملية],0))</f>
        <v>0</v>
      </c>
    </row>
    <row r="80" spans="2:28" ht="45.75" x14ac:dyDescent="0.55000000000000004">
      <c r="B80" s="58">
        <f t="shared" si="1"/>
        <v>76</v>
      </c>
      <c r="C80" s="59" t="s">
        <v>326</v>
      </c>
      <c r="D80" s="60">
        <f>INDEX(Tabledaily[date],MATCH(TableDailyJournal[[#This Row],[رقم العملية]],Tabledaily[رقم العملية],0))</f>
        <v>46176</v>
      </c>
      <c r="E80" s="58" t="str">
        <f>INDEX(Tabledaily[نوع العمليــة],MATCH(TableDailyJournal[[#This Row],[رقم العملية]],Tabledaily[رقم العملية],0))</f>
        <v>قيد عهده</v>
      </c>
      <c r="F80" s="58">
        <f>IFERROR(INDEX(TableJudje[رقم الحساب],MATCH(TableDailyJournal[[#This Row],[الحساب]],TableJudje[اسم الحساب],0)),0)</f>
        <v>31010101</v>
      </c>
      <c r="G80" s="58" t="s">
        <v>111</v>
      </c>
      <c r="H80"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I80" s="60" t="str">
        <f>INDEX(Tabledaily[العملـــة],MATCH(TableDailyJournal[[#This Row],[رقم العملية]],Tabledaily[رقم العملية],0))</f>
        <v>ريال يمني</v>
      </c>
      <c r="J80" s="59">
        <f>IFERROR(INDEX(Tabledaily[سعــــــر
الصـــــرف],MATCH(C80,Tabledaily[رقم العملية],0)),1)</f>
        <v>405</v>
      </c>
      <c r="K80" s="123" cm="1">
        <f t="array" ref="K80">IFERROR(INDEX(Tabledaily[المبلـــــــغ],MATCH(1,(TableDailyJournal[[#This Row],[رقم العملية]]=Tabledaily[رقم العملية])*(TableDailyJournal[[#This Row],[الحساب]]=Tabledaily[الحســاب المديــــن]),0)),0)</f>
        <v>32000</v>
      </c>
      <c r="L80" s="124" cm="1">
        <f t="array" ref="L80">IFERROR(INDEX(Tabledaily[المبلـــــــغ],MATCH(1,(TableDailyJournal[[#This Row],[رقم العملية]]=Tabledaily[رقم العملية])*(TableDailyJournal[[#This Row],[الحساب]]=Tabledaily[الحســاب الدئـــن]),0)),0)</f>
        <v>0</v>
      </c>
      <c r="M80" s="62">
        <f>IFERROR(TableDailyJournal[[#This Row],[المبلغ مدين]]/TableDailyJournal[[#This Row],[سعــــــر
الصـــــرف]],0)</f>
        <v>79.012345679012341</v>
      </c>
      <c r="N80" s="62">
        <f>IFERROR(TableDailyJournal[[#This Row],[المبلغ دائن]]/TableDailyJournal[[#This Row],[سعــــــر
الصـــــرف]],0)</f>
        <v>0</v>
      </c>
      <c r="O80" s="121" t="str">
        <f>INDEX(Tabledaily[المستفيــــــــد],MATCH(TableDailyJournal[[#This Row],[رقم العملية]],Tabledaily[رقم العملية],0))</f>
        <v>الطبية والمحاسبين</v>
      </c>
      <c r="P80" s="121" t="str">
        <f>INDEX(Tabledaily[المــــرجـــــــــع],MATCH(TableDailyJournal[[#This Row],[رقم العملية]],Tabledaily[رقم العملية],0))</f>
        <v>كشف صرف</v>
      </c>
      <c r="Q80" s="121" t="str">
        <f>INDEX(Tabledaily[اســـــــم المــــرجــــع],MATCH(TableDailyJournal[[#This Row],[رقم العملية]],Tabledaily[رقم العملية],0))</f>
        <v>كشف صرف</v>
      </c>
      <c r="R80" s="121">
        <f>INDEX(Tabledaily[رقم المـــــرجـــع],MATCH(TableDailyJournal[[#This Row],[رقم العملية]],Tabledaily[رقم العملية],0))</f>
        <v>5</v>
      </c>
      <c r="S80" s="121" t="str">
        <f>INDEX(Tabledaily[مركـــــــزالتكلفــــــة],MATCH(TableDailyJournal[[#This Row],[رقم العملية]],Tabledaily[رقم العملية],0))</f>
        <v>الفرقة الثالثة</v>
      </c>
      <c r="T80" s="121">
        <f>IFERROR(INDEX(tablecost[رقم المركز],MATCH(TableDailyJournal[[#This Row],[مركـــــــزالتكلفــــــة]],tablecost[الاسم],0)),0)</f>
        <v>1</v>
      </c>
      <c r="U80" s="122">
        <f>IFERROR(DATE(TableDailyJournal[[#This Row],[السنــــة]],TableDailyJournal[[#This Row],[الشهــــر]],TableDailyJournal[[#This Row],[الـــــيوم]]),"01-01-2026")</f>
        <v>46176</v>
      </c>
      <c r="V80" s="125">
        <f>INDEX(Tabledaily[تاريخ الإضافة],MATCH(TableDailyJournal[[#This Row],[رقم العملية]],Tabledaily[رقم العملية],0))</f>
        <v>46182.114641203705</v>
      </c>
      <c r="W80" s="58">
        <v>0</v>
      </c>
      <c r="X80" s="58">
        <f>IFERROR(YEAR(TableDailyJournal[[#This Row],[التاريخ]]),"")</f>
        <v>2026</v>
      </c>
      <c r="Y80" s="58">
        <f>IFERROR(MONTH(TableDailyJournal[[#This Row],[التاريخ]]),"")</f>
        <v>6</v>
      </c>
      <c r="Z80" s="58">
        <f>IFERROR(DAY(TableDailyJournal[[#This Row],[التاريخ]]),"")</f>
        <v>3</v>
      </c>
      <c r="AA80"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AB80" s="58">
        <f>INDEX(Tabledaily[جهة الامر],MATCH(TableDailyJournal[[#This Row],[رقم العملية]],Tabledaily[رقم العملية],0))</f>
        <v>0</v>
      </c>
    </row>
    <row r="81" spans="2:28" ht="45.75" x14ac:dyDescent="0.55000000000000004">
      <c r="B81" s="58">
        <f t="shared" si="1"/>
        <v>77</v>
      </c>
      <c r="C81" s="59" t="s">
        <v>326</v>
      </c>
      <c r="D81" s="60">
        <f>INDEX(Tabledaily[date],MATCH(TableDailyJournal[[#This Row],[رقم العملية]],Tabledaily[رقم العملية],0))</f>
        <v>46176</v>
      </c>
      <c r="E81" s="58" t="str">
        <f>INDEX(Tabledaily[نوع العمليــة],MATCH(TableDailyJournal[[#This Row],[رقم العملية]],Tabledaily[رقم العملية],0))</f>
        <v>قيد عهده</v>
      </c>
      <c r="F81" s="58">
        <f>IFERROR(INDEX(TableJudje[رقم الحساب],MATCH(TableDailyJournal[[#This Row],[الحساب]],TableJudje[اسم الحساب],0)),0)</f>
        <v>11060202</v>
      </c>
      <c r="G81" s="58" t="s">
        <v>159</v>
      </c>
      <c r="H81"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I81" s="60" t="str">
        <f>INDEX(Tabledaily[العملـــة],MATCH(TableDailyJournal[[#This Row],[رقم العملية]],Tabledaily[رقم العملية],0))</f>
        <v>ريال يمني</v>
      </c>
      <c r="J81" s="59">
        <f>IFERROR(INDEX(Tabledaily[سعــــــر
الصـــــرف],MATCH(C81,Tabledaily[رقم العملية],0)),1)</f>
        <v>405</v>
      </c>
      <c r="K81" s="123" cm="1">
        <f t="array" ref="K81">IFERROR(INDEX(Tabledaily[المبلـــــــغ],MATCH(1,(TableDailyJournal[[#This Row],[رقم العملية]]=Tabledaily[رقم العملية])*(TableDailyJournal[[#This Row],[الحساب]]=Tabledaily[الحســاب المديــــن]),0)),0)</f>
        <v>0</v>
      </c>
      <c r="L81" s="124" cm="1">
        <f t="array" ref="L81">IFERROR(INDEX(Tabledaily[المبلـــــــغ],MATCH(1,(TableDailyJournal[[#This Row],[رقم العملية]]=Tabledaily[رقم العملية])*(TableDailyJournal[[#This Row],[الحساب]]=Tabledaily[الحســاب الدئـــن]),0)),0)</f>
        <v>32000</v>
      </c>
      <c r="M81" s="62">
        <f>IFERROR(TableDailyJournal[[#This Row],[المبلغ مدين]]/TableDailyJournal[[#This Row],[سعــــــر
الصـــــرف]],0)</f>
        <v>0</v>
      </c>
      <c r="N81" s="62">
        <f>IFERROR(TableDailyJournal[[#This Row],[المبلغ دائن]]/TableDailyJournal[[#This Row],[سعــــــر
الصـــــرف]],0)</f>
        <v>79.012345679012341</v>
      </c>
      <c r="O81" s="121" t="str">
        <f>INDEX(Tabledaily[المستفيــــــــد],MATCH(TableDailyJournal[[#This Row],[رقم العملية]],Tabledaily[رقم العملية],0))</f>
        <v>الطبية والمحاسبين</v>
      </c>
      <c r="P81" s="121" t="str">
        <f>INDEX(Tabledaily[المــــرجـــــــــع],MATCH(TableDailyJournal[[#This Row],[رقم العملية]],Tabledaily[رقم العملية],0))</f>
        <v>كشف صرف</v>
      </c>
      <c r="Q81" s="121" t="str">
        <f>INDEX(Tabledaily[اســـــــم المــــرجــــع],MATCH(TableDailyJournal[[#This Row],[رقم العملية]],Tabledaily[رقم العملية],0))</f>
        <v>كشف صرف</v>
      </c>
      <c r="R81" s="121">
        <f>INDEX(Tabledaily[رقم المـــــرجـــع],MATCH(TableDailyJournal[[#This Row],[رقم العملية]],Tabledaily[رقم العملية],0))</f>
        <v>5</v>
      </c>
      <c r="S81" s="121" t="str">
        <f>INDEX(Tabledaily[مركـــــــزالتكلفــــــة],MATCH(TableDailyJournal[[#This Row],[رقم العملية]],Tabledaily[رقم العملية],0))</f>
        <v>الفرقة الثالثة</v>
      </c>
      <c r="T81" s="121">
        <f>IFERROR(INDEX(tablecost[رقم المركز],MATCH(TableDailyJournal[[#This Row],[مركـــــــزالتكلفــــــة]],tablecost[الاسم],0)),0)</f>
        <v>1</v>
      </c>
      <c r="U81" s="122">
        <f>IFERROR(DATE(TableDailyJournal[[#This Row],[السنــــة]],TableDailyJournal[[#This Row],[الشهــــر]],TableDailyJournal[[#This Row],[الـــــيوم]]),"01-01-2026")</f>
        <v>46176</v>
      </c>
      <c r="V81" s="125">
        <f>INDEX(Tabledaily[تاريخ الإضافة],MATCH(TableDailyJournal[[#This Row],[رقم العملية]],Tabledaily[رقم العملية],0))</f>
        <v>46182.114641203705</v>
      </c>
      <c r="W81" s="58">
        <v>0</v>
      </c>
      <c r="X81" s="58">
        <f>IFERROR(YEAR(TableDailyJournal[[#This Row],[التاريخ]]),"")</f>
        <v>2026</v>
      </c>
      <c r="Y81" s="58">
        <f>IFERROR(MONTH(TableDailyJournal[[#This Row],[التاريخ]]),"")</f>
        <v>6</v>
      </c>
      <c r="Z81" s="58">
        <f>IFERROR(DAY(TableDailyJournal[[#This Row],[التاريخ]]),"")</f>
        <v>3</v>
      </c>
      <c r="AA81"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5  كشف صرف - صرف الصرفة اليومية للطبية والمحاسبين لعدد 5 بامر</v>
      </c>
      <c r="AB81" s="58">
        <f>INDEX(Tabledaily[جهة الامر],MATCH(TableDailyJournal[[#This Row],[رقم العملية]],Tabledaily[رقم العملية],0))</f>
        <v>0</v>
      </c>
    </row>
    <row r="82" spans="2:28" ht="45.75" x14ac:dyDescent="0.55000000000000004">
      <c r="B82" s="58">
        <f t="shared" si="1"/>
        <v>78</v>
      </c>
      <c r="C82" s="59" t="s">
        <v>323</v>
      </c>
      <c r="D82" s="60">
        <f>INDEX(Tabledaily[date],MATCH(TableDailyJournal[[#This Row],[رقم العملية]],Tabledaily[رقم العملية],0))</f>
        <v>46176</v>
      </c>
      <c r="E82" s="58" t="str">
        <f>INDEX(Tabledaily[نوع العمليــة],MATCH(TableDailyJournal[[#This Row],[رقم العملية]],Tabledaily[رقم العملية],0))</f>
        <v>قيد عهده</v>
      </c>
      <c r="F82" s="58">
        <f>IFERROR(INDEX(TableJudje[رقم الحساب],MATCH(TableDailyJournal[[#This Row],[الحساب]],TableJudje[اسم الحساب],0)),0)</f>
        <v>31010101</v>
      </c>
      <c r="G82" s="58" t="s">
        <v>111</v>
      </c>
      <c r="H82"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I82" s="60" t="str">
        <f>INDEX(Tabledaily[العملـــة],MATCH(TableDailyJournal[[#This Row],[رقم العملية]],Tabledaily[رقم العملية],0))</f>
        <v>ريال يمني</v>
      </c>
      <c r="J82" s="59">
        <f>IFERROR(INDEX(Tabledaily[سعــــــر
الصـــــرف],MATCH(C82,Tabledaily[رقم العملية],0)),1)</f>
        <v>405</v>
      </c>
      <c r="K82" s="123" cm="1">
        <f t="array" ref="K82">IFERROR(INDEX(Tabledaily[المبلـــــــغ],MATCH(1,(TableDailyJournal[[#This Row],[رقم العملية]]=Tabledaily[رقم العملية])*(TableDailyJournal[[#This Row],[الحساب]]=Tabledaily[الحســاب المديــــن]),0)),0)</f>
        <v>60000</v>
      </c>
      <c r="L82" s="124" cm="1">
        <f t="array" ref="L82">IFERROR(INDEX(Tabledaily[المبلـــــــغ],MATCH(1,(TableDailyJournal[[#This Row],[رقم العملية]]=Tabledaily[رقم العملية])*(TableDailyJournal[[#This Row],[الحساب]]=Tabledaily[الحســاب الدئـــن]),0)),0)</f>
        <v>0</v>
      </c>
      <c r="M82" s="62">
        <f>IFERROR(TableDailyJournal[[#This Row],[المبلغ مدين]]/TableDailyJournal[[#This Row],[سعــــــر
الصـــــرف]],0)</f>
        <v>148.14814814814815</v>
      </c>
      <c r="N82" s="62">
        <f>IFERROR(TableDailyJournal[[#This Row],[المبلغ دائن]]/TableDailyJournal[[#This Row],[سعــــــر
الصـــــرف]],0)</f>
        <v>0</v>
      </c>
      <c r="O82" s="121" t="str">
        <f>INDEX(Tabledaily[المستفيــــــــد],MATCH(TableDailyJournal[[#This Row],[رقم العملية]],Tabledaily[رقم العملية],0))</f>
        <v>الضباط السابقين</v>
      </c>
      <c r="P82" s="121" t="str">
        <f>INDEX(Tabledaily[المــــرجـــــــــع],MATCH(TableDailyJournal[[#This Row],[رقم العملية]],Tabledaily[رقم العملية],0))</f>
        <v>كشف صرف</v>
      </c>
      <c r="Q82" s="121" t="str">
        <f>INDEX(Tabledaily[اســـــــم المــــرجــــع],MATCH(TableDailyJournal[[#This Row],[رقم العملية]],Tabledaily[رقم العملية],0))</f>
        <v>كشف صرف</v>
      </c>
      <c r="R82" s="121">
        <f>INDEX(Tabledaily[رقم المـــــرجـــع],MATCH(TableDailyJournal[[#This Row],[رقم العملية]],Tabledaily[رقم العملية],0))</f>
        <v>8</v>
      </c>
      <c r="S82" s="121" t="str">
        <f>INDEX(Tabledaily[مركـــــــزالتكلفــــــة],MATCH(TableDailyJournal[[#This Row],[رقم العملية]],Tabledaily[رقم العملية],0))</f>
        <v>الفرقة الثالثة</v>
      </c>
      <c r="T82" s="121">
        <f>IFERROR(INDEX(tablecost[رقم المركز],MATCH(TableDailyJournal[[#This Row],[مركـــــــزالتكلفــــــة]],tablecost[الاسم],0)),0)</f>
        <v>1</v>
      </c>
      <c r="U82" s="122">
        <f>IFERROR(DATE(TableDailyJournal[[#This Row],[السنــــة]],TableDailyJournal[[#This Row],[الشهــــر]],TableDailyJournal[[#This Row],[الـــــيوم]]),"01-01-2026")</f>
        <v>46176</v>
      </c>
      <c r="V82" s="125">
        <f>INDEX(Tabledaily[تاريخ الإضافة],MATCH(TableDailyJournal[[#This Row],[رقم العملية]],Tabledaily[رقم العملية],0))</f>
        <v>46182.115451388891</v>
      </c>
      <c r="W82" s="58">
        <v>0</v>
      </c>
      <c r="X82" s="58">
        <f>IFERROR(YEAR(TableDailyJournal[[#This Row],[التاريخ]]),"")</f>
        <v>2026</v>
      </c>
      <c r="Y82" s="58">
        <f>IFERROR(MONTH(TableDailyJournal[[#This Row],[التاريخ]]),"")</f>
        <v>6</v>
      </c>
      <c r="Z82" s="58">
        <f>IFERROR(DAY(TableDailyJournal[[#This Row],[التاريخ]]),"")</f>
        <v>3</v>
      </c>
      <c r="AA82"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AB82" s="58">
        <f>INDEX(Tabledaily[جهة الامر],MATCH(TableDailyJournal[[#This Row],[رقم العملية]],Tabledaily[رقم العملية],0))</f>
        <v>0</v>
      </c>
    </row>
    <row r="83" spans="2:28" ht="45.75" x14ac:dyDescent="0.55000000000000004">
      <c r="B83" s="58">
        <f t="shared" si="1"/>
        <v>79</v>
      </c>
      <c r="C83" s="59" t="s">
        <v>323</v>
      </c>
      <c r="D83" s="60">
        <f>INDEX(Tabledaily[date],MATCH(TableDailyJournal[[#This Row],[رقم العملية]],Tabledaily[رقم العملية],0))</f>
        <v>46176</v>
      </c>
      <c r="E83" s="58" t="str">
        <f>INDEX(Tabledaily[نوع العمليــة],MATCH(TableDailyJournal[[#This Row],[رقم العملية]],Tabledaily[رقم العملية],0))</f>
        <v>قيد عهده</v>
      </c>
      <c r="F83" s="58">
        <f>IFERROR(INDEX(TableJudje[رقم الحساب],MATCH(TableDailyJournal[[#This Row],[الحساب]],TableJudje[اسم الحساب],0)),0)</f>
        <v>11060202</v>
      </c>
      <c r="G83" s="58" t="s">
        <v>159</v>
      </c>
      <c r="H83"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I83" s="60" t="str">
        <f>INDEX(Tabledaily[العملـــة],MATCH(TableDailyJournal[[#This Row],[رقم العملية]],Tabledaily[رقم العملية],0))</f>
        <v>ريال يمني</v>
      </c>
      <c r="J83" s="59">
        <f>IFERROR(INDEX(Tabledaily[سعــــــر
الصـــــرف],MATCH(C83,Tabledaily[رقم العملية],0)),1)</f>
        <v>405</v>
      </c>
      <c r="K83" s="123" cm="1">
        <f t="array" ref="K83">IFERROR(INDEX(Tabledaily[المبلـــــــغ],MATCH(1,(TableDailyJournal[[#This Row],[رقم العملية]]=Tabledaily[رقم العملية])*(TableDailyJournal[[#This Row],[الحساب]]=Tabledaily[الحســاب المديــــن]),0)),0)</f>
        <v>0</v>
      </c>
      <c r="L83" s="124" cm="1">
        <f t="array" ref="L83">IFERROR(INDEX(Tabledaily[المبلـــــــغ],MATCH(1,(TableDailyJournal[[#This Row],[رقم العملية]]=Tabledaily[رقم العملية])*(TableDailyJournal[[#This Row],[الحساب]]=Tabledaily[الحســاب الدئـــن]),0)),0)</f>
        <v>60000</v>
      </c>
      <c r="M83" s="62">
        <f>IFERROR(TableDailyJournal[[#This Row],[المبلغ مدين]]/TableDailyJournal[[#This Row],[سعــــــر
الصـــــرف]],0)</f>
        <v>0</v>
      </c>
      <c r="N83" s="62">
        <f>IFERROR(TableDailyJournal[[#This Row],[المبلغ دائن]]/TableDailyJournal[[#This Row],[سعــــــر
الصـــــرف]],0)</f>
        <v>148.14814814814815</v>
      </c>
      <c r="O83" s="121" t="str">
        <f>INDEX(Tabledaily[المستفيــــــــد],MATCH(TableDailyJournal[[#This Row],[رقم العملية]],Tabledaily[رقم العملية],0))</f>
        <v>الضباط السابقين</v>
      </c>
      <c r="P83" s="121" t="str">
        <f>INDEX(Tabledaily[المــــرجـــــــــع],MATCH(TableDailyJournal[[#This Row],[رقم العملية]],Tabledaily[رقم العملية],0))</f>
        <v>كشف صرف</v>
      </c>
      <c r="Q83" s="121" t="str">
        <f>INDEX(Tabledaily[اســـــــم المــــرجــــع],MATCH(TableDailyJournal[[#This Row],[رقم العملية]],Tabledaily[رقم العملية],0))</f>
        <v>كشف صرف</v>
      </c>
      <c r="R83" s="121">
        <f>INDEX(Tabledaily[رقم المـــــرجـــع],MATCH(TableDailyJournal[[#This Row],[رقم العملية]],Tabledaily[رقم العملية],0))</f>
        <v>8</v>
      </c>
      <c r="S83" s="121" t="str">
        <f>INDEX(Tabledaily[مركـــــــزالتكلفــــــة],MATCH(TableDailyJournal[[#This Row],[رقم العملية]],Tabledaily[رقم العملية],0))</f>
        <v>الفرقة الثالثة</v>
      </c>
      <c r="T83" s="121">
        <f>IFERROR(INDEX(tablecost[رقم المركز],MATCH(TableDailyJournal[[#This Row],[مركـــــــزالتكلفــــــة]],tablecost[الاسم],0)),0)</f>
        <v>1</v>
      </c>
      <c r="U83" s="122">
        <f>IFERROR(DATE(TableDailyJournal[[#This Row],[السنــــة]],TableDailyJournal[[#This Row],[الشهــــر]],TableDailyJournal[[#This Row],[الـــــيوم]]),"01-01-2026")</f>
        <v>46176</v>
      </c>
      <c r="V83" s="125">
        <f>INDEX(Tabledaily[تاريخ الإضافة],MATCH(TableDailyJournal[[#This Row],[رقم العملية]],Tabledaily[رقم العملية],0))</f>
        <v>46182.115451388891</v>
      </c>
      <c r="W83" s="58">
        <v>0</v>
      </c>
      <c r="X83" s="58">
        <f>IFERROR(YEAR(TableDailyJournal[[#This Row],[التاريخ]]),"")</f>
        <v>2026</v>
      </c>
      <c r="Y83" s="58">
        <f>IFERROR(MONTH(TableDailyJournal[[#This Row],[التاريخ]]),"")</f>
        <v>6</v>
      </c>
      <c r="Z83" s="58">
        <f>IFERROR(DAY(TableDailyJournal[[#This Row],[التاريخ]]),"")</f>
        <v>3</v>
      </c>
      <c r="AA83"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8  كشف صرف - صرف الصرفة اليومية ضباط سابقين لعدد 8 بامر</v>
      </c>
      <c r="AB83" s="58">
        <f>INDEX(Tabledaily[جهة الامر],MATCH(TableDailyJournal[[#This Row],[رقم العملية]],Tabledaily[رقم العملية],0))</f>
        <v>0</v>
      </c>
    </row>
    <row r="84" spans="2:28" ht="45.75" x14ac:dyDescent="0.55000000000000004">
      <c r="B84" s="58">
        <f t="shared" si="1"/>
        <v>80</v>
      </c>
      <c r="C84" s="59" t="s">
        <v>320</v>
      </c>
      <c r="D84" s="60">
        <f>INDEX(Tabledaily[date],MATCH(TableDailyJournal[[#This Row],[رقم العملية]],Tabledaily[رقم العملية],0))</f>
        <v>46176</v>
      </c>
      <c r="E84" s="58" t="str">
        <f>INDEX(Tabledaily[نوع العمليــة],MATCH(TableDailyJournal[[#This Row],[رقم العملية]],Tabledaily[رقم العملية],0))</f>
        <v>قيد عهده</v>
      </c>
      <c r="F84" s="58">
        <f>IFERROR(INDEX(TableJudje[رقم الحساب],MATCH(TableDailyJournal[[#This Row],[الحساب]],TableJudje[اسم الحساب],0)),0)</f>
        <v>31010101</v>
      </c>
      <c r="G84" s="58" t="s">
        <v>111</v>
      </c>
      <c r="H84" s="61" t="str">
        <f>INDEX(Tabledaily[المرجع البياني],MATCH(TableDailyJournal[[#This Row],[رقم العملية]],Tabledaily[رقم العملية],0))</f>
        <v>قيـد مقابـل:- (مصاريف  صرفة يومية للافراد  - اخرون - الفرقة الثالثة)  - كشف صرف رقم 9  كشف صرف - صرف الصرفة اليومية اخورن عدد 9 بامر</v>
      </c>
      <c r="I84" s="60" t="str">
        <f>INDEX(Tabledaily[العملـــة],MATCH(TableDailyJournal[[#This Row],[رقم العملية]],Tabledaily[رقم العملية],0))</f>
        <v>ريال يمني</v>
      </c>
      <c r="J84" s="59">
        <f>IFERROR(INDEX(Tabledaily[سعــــــر
الصـــــرف],MATCH(C84,Tabledaily[رقم العملية],0)),1)</f>
        <v>405</v>
      </c>
      <c r="K84" s="123" cm="1">
        <f t="array" ref="K84">IFERROR(INDEX(Tabledaily[المبلـــــــغ],MATCH(1,(TableDailyJournal[[#This Row],[رقم العملية]]=Tabledaily[رقم العملية])*(TableDailyJournal[[#This Row],[الحساب]]=Tabledaily[الحســاب المديــــن]),0)),0)</f>
        <v>70000</v>
      </c>
      <c r="L84" s="124" cm="1">
        <f t="array" ref="L84">IFERROR(INDEX(Tabledaily[المبلـــــــغ],MATCH(1,(TableDailyJournal[[#This Row],[رقم العملية]]=Tabledaily[رقم العملية])*(TableDailyJournal[[#This Row],[الحساب]]=Tabledaily[الحســاب الدئـــن]),0)),0)</f>
        <v>0</v>
      </c>
      <c r="M84" s="62">
        <f>IFERROR(TableDailyJournal[[#This Row],[المبلغ مدين]]/TableDailyJournal[[#This Row],[سعــــــر
الصـــــرف]],0)</f>
        <v>172.83950617283949</v>
      </c>
      <c r="N84" s="62">
        <f>IFERROR(TableDailyJournal[[#This Row],[المبلغ دائن]]/TableDailyJournal[[#This Row],[سعــــــر
الصـــــرف]],0)</f>
        <v>0</v>
      </c>
      <c r="O84" s="121" t="str">
        <f>INDEX(Tabledaily[المستفيــــــــد],MATCH(TableDailyJournal[[#This Row],[رقم العملية]],Tabledaily[رقم العملية],0))</f>
        <v>اخرون</v>
      </c>
      <c r="P84" s="121" t="str">
        <f>INDEX(Tabledaily[المــــرجـــــــــع],MATCH(TableDailyJournal[[#This Row],[رقم العملية]],Tabledaily[رقم العملية],0))</f>
        <v>كشف صرف</v>
      </c>
      <c r="Q84" s="121" t="str">
        <f>INDEX(Tabledaily[اســـــــم المــــرجــــع],MATCH(TableDailyJournal[[#This Row],[رقم العملية]],Tabledaily[رقم العملية],0))</f>
        <v>كشف صرف</v>
      </c>
      <c r="R84" s="121">
        <f>INDEX(Tabledaily[رقم المـــــرجـــع],MATCH(TableDailyJournal[[#This Row],[رقم العملية]],Tabledaily[رقم العملية],0))</f>
        <v>9</v>
      </c>
      <c r="S84" s="121" t="str">
        <f>INDEX(Tabledaily[مركـــــــزالتكلفــــــة],MATCH(TableDailyJournal[[#This Row],[رقم العملية]],Tabledaily[رقم العملية],0))</f>
        <v>الفرقة الثالثة</v>
      </c>
      <c r="T84" s="121">
        <f>IFERROR(INDEX(tablecost[رقم المركز],MATCH(TableDailyJournal[[#This Row],[مركـــــــزالتكلفــــــة]],tablecost[الاسم],0)),0)</f>
        <v>1</v>
      </c>
      <c r="U84" s="122">
        <f>IFERROR(DATE(TableDailyJournal[[#This Row],[السنــــة]],TableDailyJournal[[#This Row],[الشهــــر]],TableDailyJournal[[#This Row],[الـــــيوم]]),"01-01-2026")</f>
        <v>46176</v>
      </c>
      <c r="V84" s="125">
        <f>INDEX(Tabledaily[تاريخ الإضافة],MATCH(TableDailyJournal[[#This Row],[رقم العملية]],Tabledaily[رقم العملية],0))</f>
        <v>46182.116516203707</v>
      </c>
      <c r="W84" s="58">
        <v>0</v>
      </c>
      <c r="X84" s="58">
        <f>IFERROR(YEAR(TableDailyJournal[[#This Row],[التاريخ]]),"")</f>
        <v>2026</v>
      </c>
      <c r="Y84" s="58">
        <f>IFERROR(MONTH(TableDailyJournal[[#This Row],[التاريخ]]),"")</f>
        <v>6</v>
      </c>
      <c r="Z84" s="58">
        <f>IFERROR(DAY(TableDailyJournal[[#This Row],[التاريخ]]),"")</f>
        <v>3</v>
      </c>
      <c r="AA84" s="126" t="str">
        <f>INDEX(Tabledaily[المرجع البياني],MATCH(TableDailyJournal[[#This Row],[رقم العملية]],Tabledaily[رقم العملية],0))</f>
        <v>قيـد مقابـل:- (مصاريف  صرفة يومية للافراد  - اخرون - الفرقة الثالثة)  - كشف صرف رقم 9  كشف صرف - صرف الصرفة اليومية اخورن عدد 9 بامر</v>
      </c>
      <c r="AB84" s="58">
        <f>INDEX(Tabledaily[جهة الامر],MATCH(TableDailyJournal[[#This Row],[رقم العملية]],Tabledaily[رقم العملية],0))</f>
        <v>0</v>
      </c>
    </row>
    <row r="85" spans="2:28" ht="45.75" x14ac:dyDescent="0.55000000000000004">
      <c r="B85" s="58">
        <f t="shared" si="1"/>
        <v>81</v>
      </c>
      <c r="C85" s="59" t="s">
        <v>320</v>
      </c>
      <c r="D85" s="60">
        <f>INDEX(Tabledaily[date],MATCH(TableDailyJournal[[#This Row],[رقم العملية]],Tabledaily[رقم العملية],0))</f>
        <v>46176</v>
      </c>
      <c r="E85" s="58" t="str">
        <f>INDEX(Tabledaily[نوع العمليــة],MATCH(TableDailyJournal[[#This Row],[رقم العملية]],Tabledaily[رقم العملية],0))</f>
        <v>قيد عهده</v>
      </c>
      <c r="F85" s="58">
        <f>IFERROR(INDEX(TableJudje[رقم الحساب],MATCH(TableDailyJournal[[#This Row],[الحساب]],TableJudje[اسم الحساب],0)),0)</f>
        <v>11060202</v>
      </c>
      <c r="G85" s="58" t="s">
        <v>159</v>
      </c>
      <c r="H85" s="61" t="str">
        <f>INDEX(Tabledaily[المرجع البياني],MATCH(TableDailyJournal[[#This Row],[رقم العملية]],Tabledaily[رقم العملية],0))</f>
        <v>قيـد مقابـل:- (مصاريف  صرفة يومية للافراد  - اخرون - الفرقة الثالثة)  - كشف صرف رقم 9  كشف صرف - صرف الصرفة اليومية اخورن عدد 9 بامر</v>
      </c>
      <c r="I85" s="60" t="str">
        <f>INDEX(Tabledaily[العملـــة],MATCH(TableDailyJournal[[#This Row],[رقم العملية]],Tabledaily[رقم العملية],0))</f>
        <v>ريال يمني</v>
      </c>
      <c r="J85" s="59">
        <f>IFERROR(INDEX(Tabledaily[سعــــــر
الصـــــرف],MATCH(C85,Tabledaily[رقم العملية],0)),1)</f>
        <v>405</v>
      </c>
      <c r="K85" s="123" cm="1">
        <f t="array" ref="K85">IFERROR(INDEX(Tabledaily[المبلـــــــغ],MATCH(1,(TableDailyJournal[[#This Row],[رقم العملية]]=Tabledaily[رقم العملية])*(TableDailyJournal[[#This Row],[الحساب]]=Tabledaily[الحســاب المديــــن]),0)),0)</f>
        <v>0</v>
      </c>
      <c r="L85" s="124" cm="1">
        <f t="array" ref="L85">IFERROR(INDEX(Tabledaily[المبلـــــــغ],MATCH(1,(TableDailyJournal[[#This Row],[رقم العملية]]=Tabledaily[رقم العملية])*(TableDailyJournal[[#This Row],[الحساب]]=Tabledaily[الحســاب الدئـــن]),0)),0)</f>
        <v>70000</v>
      </c>
      <c r="M85" s="62">
        <f>IFERROR(TableDailyJournal[[#This Row],[المبلغ مدين]]/TableDailyJournal[[#This Row],[سعــــــر
الصـــــرف]],0)</f>
        <v>0</v>
      </c>
      <c r="N85" s="62">
        <f>IFERROR(TableDailyJournal[[#This Row],[المبلغ دائن]]/TableDailyJournal[[#This Row],[سعــــــر
الصـــــرف]],0)</f>
        <v>172.83950617283949</v>
      </c>
      <c r="O85" s="121" t="str">
        <f>INDEX(Tabledaily[المستفيــــــــد],MATCH(TableDailyJournal[[#This Row],[رقم العملية]],Tabledaily[رقم العملية],0))</f>
        <v>اخرون</v>
      </c>
      <c r="P85" s="121" t="str">
        <f>INDEX(Tabledaily[المــــرجـــــــــع],MATCH(TableDailyJournal[[#This Row],[رقم العملية]],Tabledaily[رقم العملية],0))</f>
        <v>كشف صرف</v>
      </c>
      <c r="Q85" s="121" t="str">
        <f>INDEX(Tabledaily[اســـــــم المــــرجــــع],MATCH(TableDailyJournal[[#This Row],[رقم العملية]],Tabledaily[رقم العملية],0))</f>
        <v>كشف صرف</v>
      </c>
      <c r="R85" s="121">
        <f>INDEX(Tabledaily[رقم المـــــرجـــع],MATCH(TableDailyJournal[[#This Row],[رقم العملية]],Tabledaily[رقم العملية],0))</f>
        <v>9</v>
      </c>
      <c r="S85" s="121" t="str">
        <f>INDEX(Tabledaily[مركـــــــزالتكلفــــــة],MATCH(TableDailyJournal[[#This Row],[رقم العملية]],Tabledaily[رقم العملية],0))</f>
        <v>الفرقة الثالثة</v>
      </c>
      <c r="T85" s="121">
        <f>IFERROR(INDEX(tablecost[رقم المركز],MATCH(TableDailyJournal[[#This Row],[مركـــــــزالتكلفــــــة]],tablecost[الاسم],0)),0)</f>
        <v>1</v>
      </c>
      <c r="U85" s="122">
        <f>IFERROR(DATE(TableDailyJournal[[#This Row],[السنــــة]],TableDailyJournal[[#This Row],[الشهــــر]],TableDailyJournal[[#This Row],[الـــــيوم]]),"01-01-2026")</f>
        <v>46176</v>
      </c>
      <c r="V85" s="125">
        <f>INDEX(Tabledaily[تاريخ الإضافة],MATCH(TableDailyJournal[[#This Row],[رقم العملية]],Tabledaily[رقم العملية],0))</f>
        <v>46182.116516203707</v>
      </c>
      <c r="W85" s="58">
        <v>0</v>
      </c>
      <c r="X85" s="58">
        <f>IFERROR(YEAR(TableDailyJournal[[#This Row],[التاريخ]]),"")</f>
        <v>2026</v>
      </c>
      <c r="Y85" s="58">
        <f>IFERROR(MONTH(TableDailyJournal[[#This Row],[التاريخ]]),"")</f>
        <v>6</v>
      </c>
      <c r="Z85" s="58">
        <f>IFERROR(DAY(TableDailyJournal[[#This Row],[التاريخ]]),"")</f>
        <v>3</v>
      </c>
      <c r="AA85" s="126" t="str">
        <f>INDEX(Tabledaily[المرجع البياني],MATCH(TableDailyJournal[[#This Row],[رقم العملية]],Tabledaily[رقم العملية],0))</f>
        <v>قيـد مقابـل:- (مصاريف  صرفة يومية للافراد  - اخرون - الفرقة الثالثة)  - كشف صرف رقم 9  كشف صرف - صرف الصرفة اليومية اخورن عدد 9 بامر</v>
      </c>
      <c r="AB85" s="58">
        <f>INDEX(Tabledaily[جهة الامر],MATCH(TableDailyJournal[[#This Row],[رقم العملية]],Tabledaily[رقم العملية],0))</f>
        <v>0</v>
      </c>
    </row>
    <row r="86" spans="2:28" ht="67.5" x14ac:dyDescent="0.55000000000000004">
      <c r="B86" s="58">
        <f t="shared" si="1"/>
        <v>82</v>
      </c>
      <c r="C86" s="59" t="s">
        <v>317</v>
      </c>
      <c r="D86" s="60">
        <f>INDEX(Tabledaily[date],MATCH(TableDailyJournal[[#This Row],[رقم العملية]],Tabledaily[رقم العملية],0))</f>
        <v>46176</v>
      </c>
      <c r="E86" s="58" t="str">
        <f>INDEX(Tabledaily[نوع العمليــة],MATCH(TableDailyJournal[[#This Row],[رقم العملية]],Tabledaily[رقم العملية],0))</f>
        <v>قيد عهده</v>
      </c>
      <c r="F86" s="58">
        <f>IFERROR(INDEX(TableJudje[رقم الحساب],MATCH(TableDailyJournal[[#This Row],[الحساب]],TableJudje[اسم الحساب],0)),0)</f>
        <v>31010129</v>
      </c>
      <c r="G86" s="58" t="s">
        <v>134</v>
      </c>
      <c r="H86" s="61" t="str">
        <f>INDEX(Tabledaily[المرجع البياني],MATCH(TableDailyJournal[[#This Row],[رقم العملية]],Tabledaily[رقم العملية],0))</f>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v>
      </c>
      <c r="I86" s="60" t="str">
        <f>INDEX(Tabledaily[العملـــة],MATCH(TableDailyJournal[[#This Row],[رقم العملية]],Tabledaily[رقم العملية],0))</f>
        <v>ريال يمني</v>
      </c>
      <c r="J86" s="59">
        <f>IFERROR(INDEX(Tabledaily[سعــــــر
الصـــــرف],MATCH(C86,Tabledaily[رقم العملية],0)),1)</f>
        <v>405</v>
      </c>
      <c r="K86" s="123" cm="1">
        <f t="array" ref="K86">IFERROR(INDEX(Tabledaily[المبلـــــــغ],MATCH(1,(TableDailyJournal[[#This Row],[رقم العملية]]=Tabledaily[رقم العملية])*(TableDailyJournal[[#This Row],[الحساب]]=Tabledaily[الحســاب المديــــن]),0)),0)</f>
        <v>2025000</v>
      </c>
      <c r="L86" s="124" cm="1">
        <f t="array" ref="L86">IFERROR(INDEX(Tabledaily[المبلـــــــغ],MATCH(1,(TableDailyJournal[[#This Row],[رقم العملية]]=Tabledaily[رقم العملية])*(TableDailyJournal[[#This Row],[الحساب]]=Tabledaily[الحســاب الدئـــن]),0)),0)</f>
        <v>0</v>
      </c>
      <c r="M86" s="62">
        <f>IFERROR(TableDailyJournal[[#This Row],[المبلغ مدين]]/TableDailyJournal[[#This Row],[سعــــــر
الصـــــرف]],0)</f>
        <v>5000</v>
      </c>
      <c r="N86" s="62">
        <f>IFERROR(TableDailyJournal[[#This Row],[المبلغ دائن]]/TableDailyJournal[[#This Row],[سعــــــر
الصـــــرف]],0)</f>
        <v>0</v>
      </c>
      <c r="O86" s="121" t="str">
        <f>INDEX(Tabledaily[المستفيــــــــد],MATCH(TableDailyJournal[[#This Row],[رقم العملية]],Tabledaily[رقم العملية],0))</f>
        <v>الشهيد كمال الرزيقي</v>
      </c>
      <c r="P86" s="121" t="str">
        <f>INDEX(Tabledaily[المــــرجـــــــــع],MATCH(TableDailyJournal[[#This Row],[رقم العملية]],Tabledaily[رقم العملية],0))</f>
        <v>استلام نقدي</v>
      </c>
      <c r="Q86" s="121" t="str">
        <f>INDEX(Tabledaily[اســـــــم المــــرجــــع],MATCH(TableDailyJournal[[#This Row],[رقم العملية]],Tabledaily[رقم العملية],0))</f>
        <v>سند استلام</v>
      </c>
      <c r="R86" s="121">
        <f>INDEX(Tabledaily[رقم المـــــرجـــع],MATCH(TableDailyJournal[[#This Row],[رقم العملية]],Tabledaily[رقم العملية],0))</f>
        <v>0</v>
      </c>
      <c r="S86" s="121" t="str">
        <f>INDEX(Tabledaily[مركـــــــزالتكلفــــــة],MATCH(TableDailyJournal[[#This Row],[رقم العملية]],Tabledaily[رقم العملية],0))</f>
        <v>اللواء الثاني</v>
      </c>
      <c r="T86" s="121">
        <f>IFERROR(INDEX(tablecost[رقم المركز],MATCH(TableDailyJournal[[#This Row],[مركـــــــزالتكلفــــــة]],tablecost[الاسم],0)),0)</f>
        <v>3</v>
      </c>
      <c r="U86" s="122">
        <f>IFERROR(DATE(TableDailyJournal[[#This Row],[السنــــة]],TableDailyJournal[[#This Row],[الشهــــر]],TableDailyJournal[[#This Row],[الـــــيوم]]),"01-01-2026")</f>
        <v>46176</v>
      </c>
      <c r="V86" s="125">
        <f>INDEX(Tabledaily[تاريخ الإضافة],MATCH(TableDailyJournal[[#This Row],[رقم العملية]],Tabledaily[رقم العملية],0))</f>
        <v>46182.118113425924</v>
      </c>
      <c r="W86" s="58" t="s">
        <v>313</v>
      </c>
      <c r="X86" s="58">
        <f>IFERROR(YEAR(TableDailyJournal[[#This Row],[التاريخ]]),"")</f>
        <v>2026</v>
      </c>
      <c r="Y86" s="58">
        <f>IFERROR(MONTH(TableDailyJournal[[#This Row],[التاريخ]]),"")</f>
        <v>6</v>
      </c>
      <c r="Z86" s="58">
        <f>IFERROR(DAY(TableDailyJournal[[#This Row],[التاريخ]]),"")</f>
        <v>3</v>
      </c>
      <c r="AA86" s="126" t="str">
        <f>INDEX(Tabledaily[المرجع البياني],MATCH(TableDailyJournal[[#This Row],[رقم العملية]],Tabledaily[رقم العملية],0))</f>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v>
      </c>
      <c r="AB86" s="58" t="str">
        <f>INDEX(Tabledaily[جهة الامر],MATCH(TableDailyJournal[[#This Row],[رقم العملية]],Tabledaily[رقم العملية],0))</f>
        <v>القائد</v>
      </c>
    </row>
    <row r="87" spans="2:28" ht="67.5" x14ac:dyDescent="0.55000000000000004">
      <c r="B87" s="58">
        <f t="shared" si="1"/>
        <v>83</v>
      </c>
      <c r="C87" s="59" t="s">
        <v>317</v>
      </c>
      <c r="D87" s="60">
        <f>INDEX(Tabledaily[date],MATCH(TableDailyJournal[[#This Row],[رقم العملية]],Tabledaily[رقم العملية],0))</f>
        <v>46176</v>
      </c>
      <c r="E87" s="58" t="str">
        <f>INDEX(Tabledaily[نوع العمليــة],MATCH(TableDailyJournal[[#This Row],[رقم العملية]],Tabledaily[رقم العملية],0))</f>
        <v>قيد عهده</v>
      </c>
      <c r="F87" s="58">
        <f>IFERROR(INDEX(TableJudje[رقم الحساب],MATCH(TableDailyJournal[[#This Row],[الحساب]],TableJudje[اسم الحساب],0)),0)</f>
        <v>11060202</v>
      </c>
      <c r="G87" s="58" t="s">
        <v>159</v>
      </c>
      <c r="H87" s="61" t="str">
        <f>INDEX(Tabledaily[المرجع البياني],MATCH(TableDailyJournal[[#This Row],[رقم العملية]],Tabledaily[رقم العملية],0))</f>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v>
      </c>
      <c r="I87" s="60" t="str">
        <f>INDEX(Tabledaily[العملـــة],MATCH(TableDailyJournal[[#This Row],[رقم العملية]],Tabledaily[رقم العملية],0))</f>
        <v>ريال يمني</v>
      </c>
      <c r="J87" s="59">
        <f>IFERROR(INDEX(Tabledaily[سعــــــر
الصـــــرف],MATCH(C87,Tabledaily[رقم العملية],0)),1)</f>
        <v>405</v>
      </c>
      <c r="K87" s="123" cm="1">
        <f t="array" ref="K87">IFERROR(INDEX(Tabledaily[المبلـــــــغ],MATCH(1,(TableDailyJournal[[#This Row],[رقم العملية]]=Tabledaily[رقم العملية])*(TableDailyJournal[[#This Row],[الحساب]]=Tabledaily[الحســاب المديــــن]),0)),0)</f>
        <v>0</v>
      </c>
      <c r="L87" s="124" cm="1">
        <f t="array" ref="L87">IFERROR(INDEX(Tabledaily[المبلـــــــغ],MATCH(1,(TableDailyJournal[[#This Row],[رقم العملية]]=Tabledaily[رقم العملية])*(TableDailyJournal[[#This Row],[الحساب]]=Tabledaily[الحســاب الدئـــن]),0)),0)</f>
        <v>2025000</v>
      </c>
      <c r="M87" s="62">
        <f>IFERROR(TableDailyJournal[[#This Row],[المبلغ مدين]]/TableDailyJournal[[#This Row],[سعــــــر
الصـــــرف]],0)</f>
        <v>0</v>
      </c>
      <c r="N87" s="62">
        <f>IFERROR(TableDailyJournal[[#This Row],[المبلغ دائن]]/TableDailyJournal[[#This Row],[سعــــــر
الصـــــرف]],0)</f>
        <v>5000</v>
      </c>
      <c r="O87" s="121" t="str">
        <f>INDEX(Tabledaily[المستفيــــــــد],MATCH(TableDailyJournal[[#This Row],[رقم العملية]],Tabledaily[رقم العملية],0))</f>
        <v>الشهيد كمال الرزيقي</v>
      </c>
      <c r="P87" s="121" t="str">
        <f>INDEX(Tabledaily[المــــرجـــــــــع],MATCH(TableDailyJournal[[#This Row],[رقم العملية]],Tabledaily[رقم العملية],0))</f>
        <v>استلام نقدي</v>
      </c>
      <c r="Q87" s="121" t="str">
        <f>INDEX(Tabledaily[اســـــــم المــــرجــــع],MATCH(TableDailyJournal[[#This Row],[رقم العملية]],Tabledaily[رقم العملية],0))</f>
        <v>سند استلام</v>
      </c>
      <c r="R87" s="121">
        <f>INDEX(Tabledaily[رقم المـــــرجـــع],MATCH(TableDailyJournal[[#This Row],[رقم العملية]],Tabledaily[رقم العملية],0))</f>
        <v>0</v>
      </c>
      <c r="S87" s="121" t="str">
        <f>INDEX(Tabledaily[مركـــــــزالتكلفــــــة],MATCH(TableDailyJournal[[#This Row],[رقم العملية]],Tabledaily[رقم العملية],0))</f>
        <v>اللواء الثاني</v>
      </c>
      <c r="T87" s="121">
        <f>IFERROR(INDEX(tablecost[رقم المركز],MATCH(TableDailyJournal[[#This Row],[مركـــــــزالتكلفــــــة]],tablecost[الاسم],0)),0)</f>
        <v>3</v>
      </c>
      <c r="U87" s="122">
        <f>IFERROR(DATE(TableDailyJournal[[#This Row],[السنــــة]],TableDailyJournal[[#This Row],[الشهــــر]],TableDailyJournal[[#This Row],[الـــــيوم]]),"01-01-2026")</f>
        <v>46176</v>
      </c>
      <c r="V87" s="125">
        <f>INDEX(Tabledaily[تاريخ الإضافة],MATCH(TableDailyJournal[[#This Row],[رقم العملية]],Tabledaily[رقم العملية],0))</f>
        <v>46182.118113425924</v>
      </c>
      <c r="W87" s="58" t="s">
        <v>313</v>
      </c>
      <c r="X87" s="58">
        <f>IFERROR(YEAR(TableDailyJournal[[#This Row],[التاريخ]]),"")</f>
        <v>2026</v>
      </c>
      <c r="Y87" s="58">
        <f>IFERROR(MONTH(TableDailyJournal[[#This Row],[التاريخ]]),"")</f>
        <v>6</v>
      </c>
      <c r="Z87" s="58">
        <f>IFERROR(DAY(TableDailyJournal[[#This Row],[التاريخ]]),"")</f>
        <v>3</v>
      </c>
      <c r="AA87" s="126" t="str">
        <f>INDEX(Tabledaily[المرجع البياني],MATCH(TableDailyJournal[[#This Row],[رقم العملية]],Tabledaily[رقم العملية],0))</f>
        <v>قيـد مقابـل:- (مصاريف دفن شهداء  - الشهيد كمال الرزيقي - اللواء الثاني)  - استلام نقدي رقم 0  سند استلام - جزء من مصاريف نقل الشهيد كمال الزريقي اللواء الثاني و 2 جرحى اللواء السادس  بامرالقائد</v>
      </c>
      <c r="AB87" s="58" t="str">
        <f>INDEX(Tabledaily[جهة الامر],MATCH(TableDailyJournal[[#This Row],[رقم العملية]],Tabledaily[رقم العملية],0))</f>
        <v>القائد</v>
      </c>
    </row>
    <row r="88" spans="2:28" ht="67.5" x14ac:dyDescent="0.55000000000000004">
      <c r="B88" s="58">
        <f t="shared" si="1"/>
        <v>84</v>
      </c>
      <c r="C88" s="59" t="s">
        <v>314</v>
      </c>
      <c r="D88" s="60">
        <f>INDEX(Tabledaily[date],MATCH(TableDailyJournal[[#This Row],[رقم العملية]],Tabledaily[رقم العملية],0))</f>
        <v>46176</v>
      </c>
      <c r="E88" s="58" t="str">
        <f>INDEX(Tabledaily[نوع العمليــة],MATCH(TableDailyJournal[[#This Row],[رقم العملية]],Tabledaily[رقم العملية],0))</f>
        <v>قيد عهده</v>
      </c>
      <c r="F88" s="58">
        <f>IFERROR(INDEX(TableJudje[رقم الحساب],MATCH(TableDailyJournal[[#This Row],[الحساب]],TableJudje[اسم الحساب],0)),0)</f>
        <v>31010134</v>
      </c>
      <c r="G88" s="58" t="s">
        <v>164</v>
      </c>
      <c r="H88" s="61" t="str">
        <f>INDEX(Tabledaily[المرجع البياني],MATCH(TableDailyJournal[[#This Row],[رقم العملية]],Tabledaily[رقم العملية],0))</f>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v>
      </c>
      <c r="I88" s="60" t="str">
        <f>INDEX(Tabledaily[العملـــة],MATCH(TableDailyJournal[[#This Row],[رقم العملية]],Tabledaily[رقم العملية],0))</f>
        <v>ريال يمني</v>
      </c>
      <c r="J88" s="59">
        <f>IFERROR(INDEX(Tabledaily[سعــــــر
الصـــــرف],MATCH(C88,Tabledaily[رقم العملية],0)),1)</f>
        <v>405</v>
      </c>
      <c r="K88" s="123" cm="1">
        <f t="array" ref="K88">IFERROR(INDEX(Tabledaily[المبلـــــــغ],MATCH(1,(TableDailyJournal[[#This Row],[رقم العملية]]=Tabledaily[رقم العملية])*(TableDailyJournal[[#This Row],[الحساب]]=Tabledaily[الحســاب المديــــن]),0)),0)</f>
        <v>500000</v>
      </c>
      <c r="L88" s="124" cm="1">
        <f t="array" ref="L88">IFERROR(INDEX(Tabledaily[المبلـــــــغ],MATCH(1,(TableDailyJournal[[#This Row],[رقم العملية]]=Tabledaily[رقم العملية])*(TableDailyJournal[[#This Row],[الحساب]]=Tabledaily[الحســاب الدئـــن]),0)),0)</f>
        <v>0</v>
      </c>
      <c r="M88" s="62">
        <f>IFERROR(TableDailyJournal[[#This Row],[المبلغ مدين]]/TableDailyJournal[[#This Row],[سعــــــر
الصـــــرف]],0)</f>
        <v>1234.5679012345679</v>
      </c>
      <c r="N88" s="62">
        <f>IFERROR(TableDailyJournal[[#This Row],[المبلغ دائن]]/TableDailyJournal[[#This Row],[سعــــــر
الصـــــرف]],0)</f>
        <v>0</v>
      </c>
      <c r="O88" s="121" t="str">
        <f>INDEX(Tabledaily[المستفيــــــــد],MATCH(TableDailyJournal[[#This Row],[رقم العملية]],Tabledaily[رقم العملية],0))</f>
        <v>اسماعيل سعيد عوض و محمد نعمان</v>
      </c>
      <c r="P88" s="121" t="str">
        <f>INDEX(Tabledaily[المــــرجـــــــــع],MATCH(TableDailyJournal[[#This Row],[رقم العملية]],Tabledaily[رقم العملية],0))</f>
        <v>استلام نقدي</v>
      </c>
      <c r="Q88" s="121" t="str">
        <f>INDEX(Tabledaily[اســـــــم المــــرجــــع],MATCH(TableDailyJournal[[#This Row],[رقم العملية]],Tabledaily[رقم العملية],0))</f>
        <v>سند استلام</v>
      </c>
      <c r="R88" s="121">
        <f>INDEX(Tabledaily[رقم المـــــرجـــع],MATCH(TableDailyJournal[[#This Row],[رقم العملية]],Tabledaily[رقم العملية],0))</f>
        <v>0</v>
      </c>
      <c r="S88" s="121" t="str">
        <f>INDEX(Tabledaily[مركـــــــزالتكلفــــــة],MATCH(TableDailyJournal[[#This Row],[رقم العملية]],Tabledaily[رقم العملية],0))</f>
        <v>اللواء السادس</v>
      </c>
      <c r="T88" s="121">
        <f>IFERROR(INDEX(tablecost[رقم المركز],MATCH(TableDailyJournal[[#This Row],[مركـــــــزالتكلفــــــة]],tablecost[الاسم],0)),0)</f>
        <v>7</v>
      </c>
      <c r="U88" s="122">
        <f>IFERROR(DATE(TableDailyJournal[[#This Row],[السنــــة]],TableDailyJournal[[#This Row],[الشهــــر]],TableDailyJournal[[#This Row],[الـــــيوم]]),"01-01-2026")</f>
        <v>46176</v>
      </c>
      <c r="V88" s="125">
        <f>INDEX(Tabledaily[تاريخ الإضافة],MATCH(TableDailyJournal[[#This Row],[رقم العملية]],Tabledaily[رقم العملية],0))</f>
        <v>46182.119826388887</v>
      </c>
      <c r="W88" s="58" t="s">
        <v>313</v>
      </c>
      <c r="X88" s="58">
        <f>IFERROR(YEAR(TableDailyJournal[[#This Row],[التاريخ]]),"")</f>
        <v>2026</v>
      </c>
      <c r="Y88" s="58">
        <f>IFERROR(MONTH(TableDailyJournal[[#This Row],[التاريخ]]),"")</f>
        <v>6</v>
      </c>
      <c r="Z88" s="58">
        <f>IFERROR(DAY(TableDailyJournal[[#This Row],[التاريخ]]),"")</f>
        <v>3</v>
      </c>
      <c r="AA88" s="126" t="str">
        <f>INDEX(Tabledaily[المرجع البياني],MATCH(TableDailyJournal[[#This Row],[رقم العملية]],Tabledaily[رقم العملية],0))</f>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v>
      </c>
      <c r="AB88" s="58" t="str">
        <f>INDEX(Tabledaily[جهة الامر],MATCH(TableDailyJournal[[#This Row],[رقم العملية]],Tabledaily[رقم العملية],0))</f>
        <v>القائد</v>
      </c>
    </row>
    <row r="89" spans="2:28" ht="67.5" x14ac:dyDescent="0.55000000000000004">
      <c r="B89" s="58">
        <f t="shared" si="1"/>
        <v>85</v>
      </c>
      <c r="C89" s="59" t="s">
        <v>314</v>
      </c>
      <c r="D89" s="60">
        <f>INDEX(Tabledaily[date],MATCH(TableDailyJournal[[#This Row],[رقم العملية]],Tabledaily[رقم العملية],0))</f>
        <v>46176</v>
      </c>
      <c r="E89" s="58" t="str">
        <f>INDEX(Tabledaily[نوع العمليــة],MATCH(TableDailyJournal[[#This Row],[رقم العملية]],Tabledaily[رقم العملية],0))</f>
        <v>قيد عهده</v>
      </c>
      <c r="F89" s="58">
        <f>IFERROR(INDEX(TableJudje[رقم الحساب],MATCH(TableDailyJournal[[#This Row],[الحساب]],TableJudje[اسم الحساب],0)),0)</f>
        <v>11060202</v>
      </c>
      <c r="G89" s="58" t="s">
        <v>159</v>
      </c>
      <c r="H89" s="61" t="str">
        <f>INDEX(Tabledaily[المرجع البياني],MATCH(TableDailyJournal[[#This Row],[رقم العملية]],Tabledaily[رقم العملية],0))</f>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v>
      </c>
      <c r="I89" s="60" t="str">
        <f>INDEX(Tabledaily[العملـــة],MATCH(TableDailyJournal[[#This Row],[رقم العملية]],Tabledaily[رقم العملية],0))</f>
        <v>ريال يمني</v>
      </c>
      <c r="J89" s="59">
        <f>IFERROR(INDEX(Tabledaily[سعــــــر
الصـــــرف],MATCH(C89,Tabledaily[رقم العملية],0)),1)</f>
        <v>405</v>
      </c>
      <c r="K89" s="123" cm="1">
        <f t="array" ref="K89">IFERROR(INDEX(Tabledaily[المبلـــــــغ],MATCH(1,(TableDailyJournal[[#This Row],[رقم العملية]]=Tabledaily[رقم العملية])*(TableDailyJournal[[#This Row],[الحساب]]=Tabledaily[الحســاب المديــــن]),0)),0)</f>
        <v>0</v>
      </c>
      <c r="L89" s="124" cm="1">
        <f t="array" ref="L89">IFERROR(INDEX(Tabledaily[المبلـــــــغ],MATCH(1,(TableDailyJournal[[#This Row],[رقم العملية]]=Tabledaily[رقم العملية])*(TableDailyJournal[[#This Row],[الحساب]]=Tabledaily[الحســاب الدئـــن]),0)),0)</f>
        <v>500000</v>
      </c>
      <c r="M89" s="62">
        <f>IFERROR(TableDailyJournal[[#This Row],[المبلغ مدين]]/TableDailyJournal[[#This Row],[سعــــــر
الصـــــرف]],0)</f>
        <v>0</v>
      </c>
      <c r="N89" s="62">
        <f>IFERROR(TableDailyJournal[[#This Row],[المبلغ دائن]]/TableDailyJournal[[#This Row],[سعــــــر
الصـــــرف]],0)</f>
        <v>1234.5679012345679</v>
      </c>
      <c r="O89" s="121" t="str">
        <f>INDEX(Tabledaily[المستفيــــــــد],MATCH(TableDailyJournal[[#This Row],[رقم العملية]],Tabledaily[رقم العملية],0))</f>
        <v>اسماعيل سعيد عوض و محمد نعمان</v>
      </c>
      <c r="P89" s="121" t="str">
        <f>INDEX(Tabledaily[المــــرجـــــــــع],MATCH(TableDailyJournal[[#This Row],[رقم العملية]],Tabledaily[رقم العملية],0))</f>
        <v>استلام نقدي</v>
      </c>
      <c r="Q89" s="121" t="str">
        <f>INDEX(Tabledaily[اســـــــم المــــرجــــع],MATCH(TableDailyJournal[[#This Row],[رقم العملية]],Tabledaily[رقم العملية],0))</f>
        <v>سند استلام</v>
      </c>
      <c r="R89" s="121">
        <f>INDEX(Tabledaily[رقم المـــــرجـــع],MATCH(TableDailyJournal[[#This Row],[رقم العملية]],Tabledaily[رقم العملية],0))</f>
        <v>0</v>
      </c>
      <c r="S89" s="121" t="str">
        <f>INDEX(Tabledaily[مركـــــــزالتكلفــــــة],MATCH(TableDailyJournal[[#This Row],[رقم العملية]],Tabledaily[رقم العملية],0))</f>
        <v>اللواء السادس</v>
      </c>
      <c r="T89" s="121">
        <f>IFERROR(INDEX(tablecost[رقم المركز],MATCH(TableDailyJournal[[#This Row],[مركـــــــزالتكلفــــــة]],tablecost[الاسم],0)),0)</f>
        <v>7</v>
      </c>
      <c r="U89" s="122">
        <f>IFERROR(DATE(TableDailyJournal[[#This Row],[السنــــة]],TableDailyJournal[[#This Row],[الشهــــر]],TableDailyJournal[[#This Row],[الـــــيوم]]),"01-01-2026")</f>
        <v>46176</v>
      </c>
      <c r="V89" s="125">
        <f>INDEX(Tabledaily[تاريخ الإضافة],MATCH(TableDailyJournal[[#This Row],[رقم العملية]],Tabledaily[رقم العملية],0))</f>
        <v>46182.119826388887</v>
      </c>
      <c r="W89" s="58" t="s">
        <v>313</v>
      </c>
      <c r="X89" s="58">
        <f>IFERROR(YEAR(TableDailyJournal[[#This Row],[التاريخ]]),"")</f>
        <v>2026</v>
      </c>
      <c r="Y89" s="58">
        <f>IFERROR(MONTH(TableDailyJournal[[#This Row],[التاريخ]]),"")</f>
        <v>6</v>
      </c>
      <c r="Z89" s="58">
        <f>IFERROR(DAY(TableDailyJournal[[#This Row],[التاريخ]]),"")</f>
        <v>3</v>
      </c>
      <c r="AA89" s="126" t="str">
        <f>INDEX(Tabledaily[المرجع البياني],MATCH(TableDailyJournal[[#This Row],[رقم العملية]],Tabledaily[رقم العملية],0))</f>
        <v>قيـد مقابـل:- (مصاريف اكراميات جرحى - اسماعيل سعيد عوض و محمد نعمان - اللواء السادس)  - استلام نقدي رقم 0  سند استلام - مصاريف للجرحى مع المرافق عبدالحكيم احمد عبدالله العولقي بامرالقائد</v>
      </c>
      <c r="AB89" s="58" t="str">
        <f>INDEX(Tabledaily[جهة الامر],MATCH(TableDailyJournal[[#This Row],[رقم العملية]],Tabledaily[رقم العملية],0))</f>
        <v>القائد</v>
      </c>
    </row>
    <row r="90" spans="2:28" ht="45.75" x14ac:dyDescent="0.55000000000000004">
      <c r="B90" s="58">
        <f t="shared" si="1"/>
        <v>86</v>
      </c>
      <c r="C90" s="59" t="s">
        <v>309</v>
      </c>
      <c r="D90" s="60">
        <f>INDEX(Tabledaily[date],MATCH(TableDailyJournal[[#This Row],[رقم العملية]],Tabledaily[رقم العملية],0))</f>
        <v>46176</v>
      </c>
      <c r="E90" s="58" t="str">
        <f>INDEX(Tabledaily[نوع العمليــة],MATCH(TableDailyJournal[[#This Row],[رقم العملية]],Tabledaily[رقم العملية],0))</f>
        <v>قيد عهده</v>
      </c>
      <c r="F90" s="58">
        <f>IFERROR(INDEX(TableJudje[رقم الحساب],MATCH(TableDailyJournal[[#This Row],[الحساب]],TableJudje[اسم الحساب],0)),0)</f>
        <v>31010101</v>
      </c>
      <c r="G90" s="58" t="s">
        <v>111</v>
      </c>
      <c r="H90"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كشف صرف - مصاريف يومية سرية اللواء السادس عدد 47 بامرالقائد</v>
      </c>
      <c r="I90" s="60" t="str">
        <f>INDEX(Tabledaily[العملـــة],MATCH(TableDailyJournal[[#This Row],[رقم العملية]],Tabledaily[رقم العملية],0))</f>
        <v>ريال يمني</v>
      </c>
      <c r="J90" s="59">
        <f>IFERROR(INDEX(Tabledaily[سعــــــر
الصـــــرف],MATCH(C90,Tabledaily[رقم العملية],0)),1)</f>
        <v>405</v>
      </c>
      <c r="K90" s="123" cm="1">
        <f t="array" ref="K90">IFERROR(INDEX(Tabledaily[المبلـــــــغ],MATCH(1,(TableDailyJournal[[#This Row],[رقم العملية]]=Tabledaily[رقم العملية])*(TableDailyJournal[[#This Row],[الحساب]]=Tabledaily[الحســاب المديــــن]),0)),0)</f>
        <v>188000</v>
      </c>
      <c r="L90" s="124" cm="1">
        <f t="array" ref="L90">IFERROR(INDEX(Tabledaily[المبلـــــــغ],MATCH(1,(TableDailyJournal[[#This Row],[رقم العملية]]=Tabledaily[رقم العملية])*(TableDailyJournal[[#This Row],[الحساب]]=Tabledaily[الحســاب الدئـــن]),0)),0)</f>
        <v>0</v>
      </c>
      <c r="M90" s="62">
        <f>IFERROR(TableDailyJournal[[#This Row],[المبلغ مدين]]/TableDailyJournal[[#This Row],[سعــــــر
الصـــــرف]],0)</f>
        <v>464.19753086419752</v>
      </c>
      <c r="N90" s="62">
        <f>IFERROR(TableDailyJournal[[#This Row],[المبلغ دائن]]/TableDailyJournal[[#This Row],[سعــــــر
الصـــــرف]],0)</f>
        <v>0</v>
      </c>
      <c r="O90" s="121" t="str">
        <f>INDEX(Tabledaily[المستفيــــــــد],MATCH(TableDailyJournal[[#This Row],[رقم العملية]],Tabledaily[رقم العملية],0))</f>
        <v>سرية اللواء السادس</v>
      </c>
      <c r="P90" s="121" t="str">
        <f>INDEX(Tabledaily[المــــرجـــــــــع],MATCH(TableDailyJournal[[#This Row],[رقم العملية]],Tabledaily[رقم العملية],0))</f>
        <v>كشف صرف</v>
      </c>
      <c r="Q90" s="121" t="str">
        <f>INDEX(Tabledaily[اســـــــم المــــرجــــع],MATCH(TableDailyJournal[[#This Row],[رقم العملية]],Tabledaily[رقم العملية],0))</f>
        <v>كشف صرف</v>
      </c>
      <c r="R90" s="121">
        <f>INDEX(Tabledaily[رقم المـــــرجـــع],MATCH(TableDailyJournal[[#This Row],[رقم العملية]],Tabledaily[رقم العملية],0))</f>
        <v>47</v>
      </c>
      <c r="S90" s="121" t="str">
        <f>INDEX(Tabledaily[مركـــــــزالتكلفــــــة],MATCH(TableDailyJournal[[#This Row],[رقم العملية]],Tabledaily[رقم العملية],0))</f>
        <v>اللواء السادس</v>
      </c>
      <c r="T90" s="121">
        <f>IFERROR(INDEX(tablecost[رقم المركز],MATCH(TableDailyJournal[[#This Row],[مركـــــــزالتكلفــــــة]],tablecost[الاسم],0)),0)</f>
        <v>7</v>
      </c>
      <c r="U90" s="122">
        <f>IFERROR(DATE(TableDailyJournal[[#This Row],[السنــــة]],TableDailyJournal[[#This Row],[الشهــــر]],TableDailyJournal[[#This Row],[الـــــيوم]]),"01-01-2026")</f>
        <v>46176</v>
      </c>
      <c r="V90" s="125">
        <f>INDEX(Tabledaily[تاريخ الإضافة],MATCH(TableDailyJournal[[#This Row],[رقم العملية]],Tabledaily[رقم العملية],0))</f>
        <v>46182.120682870373</v>
      </c>
      <c r="W90" s="58" t="s">
        <v>313</v>
      </c>
      <c r="X90" s="58">
        <f>IFERROR(YEAR(TableDailyJournal[[#This Row],[التاريخ]]),"")</f>
        <v>2026</v>
      </c>
      <c r="Y90" s="58">
        <f>IFERROR(MONTH(TableDailyJournal[[#This Row],[التاريخ]]),"")</f>
        <v>6</v>
      </c>
      <c r="Z90" s="58">
        <f>IFERROR(DAY(TableDailyJournal[[#This Row],[التاريخ]]),"")</f>
        <v>3</v>
      </c>
      <c r="AA90"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كشف صرف - مصاريف يومية سرية اللواء السادس عدد 47 بامرالقائد</v>
      </c>
      <c r="AB90" s="58" t="str">
        <f>INDEX(Tabledaily[جهة الامر],MATCH(TableDailyJournal[[#This Row],[رقم العملية]],Tabledaily[رقم العملية],0))</f>
        <v>القائد</v>
      </c>
    </row>
    <row r="91" spans="2:28" ht="45.75" x14ac:dyDescent="0.55000000000000004">
      <c r="B91" s="58">
        <f t="shared" si="1"/>
        <v>87</v>
      </c>
      <c r="C91" s="59" t="s">
        <v>309</v>
      </c>
      <c r="D91" s="60">
        <f>INDEX(Tabledaily[date],MATCH(TableDailyJournal[[#This Row],[رقم العملية]],Tabledaily[رقم العملية],0))</f>
        <v>46176</v>
      </c>
      <c r="E91" s="58" t="str">
        <f>INDEX(Tabledaily[نوع العمليــة],MATCH(TableDailyJournal[[#This Row],[رقم العملية]],Tabledaily[رقم العملية],0))</f>
        <v>قيد عهده</v>
      </c>
      <c r="F91" s="58">
        <f>IFERROR(INDEX(TableJudje[رقم الحساب],MATCH(TableDailyJournal[[#This Row],[الحساب]],TableJudje[اسم الحساب],0)),0)</f>
        <v>11060202</v>
      </c>
      <c r="G91" s="58" t="s">
        <v>159</v>
      </c>
      <c r="H91"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كشف صرف - مصاريف يومية سرية اللواء السادس عدد 47 بامرالقائد</v>
      </c>
      <c r="I91" s="60" t="str">
        <f>INDEX(Tabledaily[العملـــة],MATCH(TableDailyJournal[[#This Row],[رقم العملية]],Tabledaily[رقم العملية],0))</f>
        <v>ريال يمني</v>
      </c>
      <c r="J91" s="59">
        <f>IFERROR(INDEX(Tabledaily[سعــــــر
الصـــــرف],MATCH(C91,Tabledaily[رقم العملية],0)),1)</f>
        <v>405</v>
      </c>
      <c r="K91" s="123" cm="1">
        <f t="array" ref="K91">IFERROR(INDEX(Tabledaily[المبلـــــــغ],MATCH(1,(TableDailyJournal[[#This Row],[رقم العملية]]=Tabledaily[رقم العملية])*(TableDailyJournal[[#This Row],[الحساب]]=Tabledaily[الحســاب المديــــن]),0)),0)</f>
        <v>0</v>
      </c>
      <c r="L91" s="124" cm="1">
        <f t="array" ref="L91">IFERROR(INDEX(Tabledaily[المبلـــــــغ],MATCH(1,(TableDailyJournal[[#This Row],[رقم العملية]]=Tabledaily[رقم العملية])*(TableDailyJournal[[#This Row],[الحساب]]=Tabledaily[الحســاب الدئـــن]),0)),0)</f>
        <v>188000</v>
      </c>
      <c r="M91" s="62">
        <f>IFERROR(TableDailyJournal[[#This Row],[المبلغ مدين]]/TableDailyJournal[[#This Row],[سعــــــر
الصـــــرف]],0)</f>
        <v>0</v>
      </c>
      <c r="N91" s="62">
        <f>IFERROR(TableDailyJournal[[#This Row],[المبلغ دائن]]/TableDailyJournal[[#This Row],[سعــــــر
الصـــــرف]],0)</f>
        <v>464.19753086419752</v>
      </c>
      <c r="O91" s="121" t="str">
        <f>INDEX(Tabledaily[المستفيــــــــد],MATCH(TableDailyJournal[[#This Row],[رقم العملية]],Tabledaily[رقم العملية],0))</f>
        <v>سرية اللواء السادس</v>
      </c>
      <c r="P91" s="121" t="str">
        <f>INDEX(Tabledaily[المــــرجـــــــــع],MATCH(TableDailyJournal[[#This Row],[رقم العملية]],Tabledaily[رقم العملية],0))</f>
        <v>كشف صرف</v>
      </c>
      <c r="Q91" s="121" t="str">
        <f>INDEX(Tabledaily[اســـــــم المــــرجــــع],MATCH(TableDailyJournal[[#This Row],[رقم العملية]],Tabledaily[رقم العملية],0))</f>
        <v>كشف صرف</v>
      </c>
      <c r="R91" s="121">
        <f>INDEX(Tabledaily[رقم المـــــرجـــع],MATCH(TableDailyJournal[[#This Row],[رقم العملية]],Tabledaily[رقم العملية],0))</f>
        <v>47</v>
      </c>
      <c r="S91" s="121" t="str">
        <f>INDEX(Tabledaily[مركـــــــزالتكلفــــــة],MATCH(TableDailyJournal[[#This Row],[رقم العملية]],Tabledaily[رقم العملية],0))</f>
        <v>اللواء السادس</v>
      </c>
      <c r="T91" s="121">
        <f>IFERROR(INDEX(tablecost[رقم المركز],MATCH(TableDailyJournal[[#This Row],[مركـــــــزالتكلفــــــة]],tablecost[الاسم],0)),0)</f>
        <v>7</v>
      </c>
      <c r="U91" s="122">
        <f>IFERROR(DATE(TableDailyJournal[[#This Row],[السنــــة]],TableDailyJournal[[#This Row],[الشهــــر]],TableDailyJournal[[#This Row],[الـــــيوم]]),"01-01-2026")</f>
        <v>46176</v>
      </c>
      <c r="V91" s="125">
        <f>INDEX(Tabledaily[تاريخ الإضافة],MATCH(TableDailyJournal[[#This Row],[رقم العملية]],Tabledaily[رقم العملية],0))</f>
        <v>46182.120682870373</v>
      </c>
      <c r="W91" s="58" t="s">
        <v>313</v>
      </c>
      <c r="X91" s="58">
        <f>IFERROR(YEAR(TableDailyJournal[[#This Row],[التاريخ]]),"")</f>
        <v>2026</v>
      </c>
      <c r="Y91" s="58">
        <f>IFERROR(MONTH(TableDailyJournal[[#This Row],[التاريخ]]),"")</f>
        <v>6</v>
      </c>
      <c r="Z91" s="58">
        <f>IFERROR(DAY(TableDailyJournal[[#This Row],[التاريخ]]),"")</f>
        <v>3</v>
      </c>
      <c r="AA91"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47  كشف صرف - مصاريف يومية سرية اللواء السادس عدد 47 بامرالقائد</v>
      </c>
      <c r="AB91" s="58" t="str">
        <f>INDEX(Tabledaily[جهة الامر],MATCH(TableDailyJournal[[#This Row],[رقم العملية]],Tabledaily[رقم العملية],0))</f>
        <v>القائد</v>
      </c>
    </row>
    <row r="92" spans="2:28" ht="45.75" x14ac:dyDescent="0.55000000000000004">
      <c r="B92" s="58">
        <f t="shared" si="1"/>
        <v>88</v>
      </c>
      <c r="C92" s="59" t="s">
        <v>306</v>
      </c>
      <c r="D92" s="60">
        <f>INDEX(Tabledaily[date],MATCH(TableDailyJournal[[#This Row],[رقم العملية]],Tabledaily[رقم العملية],0))</f>
        <v>46176</v>
      </c>
      <c r="E92" s="58" t="str">
        <f>INDEX(Tabledaily[نوع العمليــة],MATCH(TableDailyJournal[[#This Row],[رقم العملية]],Tabledaily[رقم العملية],0))</f>
        <v>قيد عهده</v>
      </c>
      <c r="F92" s="58">
        <f>IFERROR(INDEX(TableJudje[رقم الحساب],MATCH(TableDailyJournal[[#This Row],[الحساب]],TableJudje[اسم الحساب],0)),0)</f>
        <v>31010103</v>
      </c>
      <c r="G92" s="58" t="s">
        <v>112</v>
      </c>
      <c r="H92" s="61" t="str">
        <f>INDEX(Tabledaily[المرجع البياني],MATCH(TableDailyJournal[[#This Row],[رقم العملية]],Tabledaily[رقم العملية],0))</f>
        <v>قيـد مقابـل:- (مصاريف طبية وعلاجات  - ميثاق عبده غالب - الفرقة الثالثة)  - استلام نقدي رقم 0  سند استلام - مصاريف جراحة  بامرمدير  مكتب القائد</v>
      </c>
      <c r="I92" s="60" t="str">
        <f>INDEX(Tabledaily[العملـــة],MATCH(TableDailyJournal[[#This Row],[رقم العملية]],Tabledaily[رقم العملية],0))</f>
        <v>ريال يمني</v>
      </c>
      <c r="J92" s="59">
        <f>IFERROR(INDEX(Tabledaily[سعــــــر
الصـــــرف],MATCH(C92,Tabledaily[رقم العملية],0)),1)</f>
        <v>405</v>
      </c>
      <c r="K92" s="123" cm="1">
        <f t="array" ref="K92">IFERROR(INDEX(Tabledaily[المبلـــــــغ],MATCH(1,(TableDailyJournal[[#This Row],[رقم العملية]]=Tabledaily[رقم العملية])*(TableDailyJournal[[#This Row],[الحساب]]=Tabledaily[الحســاب المديــــن]),0)),0)</f>
        <v>8000</v>
      </c>
      <c r="L92" s="124" cm="1">
        <f t="array" ref="L92">IFERROR(INDEX(Tabledaily[المبلـــــــغ],MATCH(1,(TableDailyJournal[[#This Row],[رقم العملية]]=Tabledaily[رقم العملية])*(TableDailyJournal[[#This Row],[الحساب]]=Tabledaily[الحســاب الدئـــن]),0)),0)</f>
        <v>0</v>
      </c>
      <c r="M92" s="62">
        <f>IFERROR(TableDailyJournal[[#This Row],[المبلغ مدين]]/TableDailyJournal[[#This Row],[سعــــــر
الصـــــرف]],0)</f>
        <v>19.753086419753085</v>
      </c>
      <c r="N92" s="62">
        <f>IFERROR(TableDailyJournal[[#This Row],[المبلغ دائن]]/TableDailyJournal[[#This Row],[سعــــــر
الصـــــرف]],0)</f>
        <v>0</v>
      </c>
      <c r="O92" s="121" t="str">
        <f>INDEX(Tabledaily[المستفيــــــــد],MATCH(TableDailyJournal[[#This Row],[رقم العملية]],Tabledaily[رقم العملية],0))</f>
        <v>ميثاق عبده غالب</v>
      </c>
      <c r="P92" s="121" t="str">
        <f>INDEX(Tabledaily[المــــرجـــــــــع],MATCH(TableDailyJournal[[#This Row],[رقم العملية]],Tabledaily[رقم العملية],0))</f>
        <v>استلام نقدي</v>
      </c>
      <c r="Q92" s="121" t="str">
        <f>INDEX(Tabledaily[اســـــــم المــــرجــــع],MATCH(TableDailyJournal[[#This Row],[رقم العملية]],Tabledaily[رقم العملية],0))</f>
        <v>سند استلام</v>
      </c>
      <c r="R92" s="121">
        <f>INDEX(Tabledaily[رقم المـــــرجـــع],MATCH(TableDailyJournal[[#This Row],[رقم العملية]],Tabledaily[رقم العملية],0))</f>
        <v>0</v>
      </c>
      <c r="S92" s="121" t="str">
        <f>INDEX(Tabledaily[مركـــــــزالتكلفــــــة],MATCH(TableDailyJournal[[#This Row],[رقم العملية]],Tabledaily[رقم العملية],0))</f>
        <v>الفرقة الثالثة</v>
      </c>
      <c r="T92" s="121">
        <f>IFERROR(INDEX(tablecost[رقم المركز],MATCH(TableDailyJournal[[#This Row],[مركـــــــزالتكلفــــــة]],tablecost[الاسم],0)),0)</f>
        <v>1</v>
      </c>
      <c r="U92" s="122">
        <f>IFERROR(DATE(TableDailyJournal[[#This Row],[السنــــة]],TableDailyJournal[[#This Row],[الشهــــر]],TableDailyJournal[[#This Row],[الـــــيوم]]),"01-01-2026")</f>
        <v>46176</v>
      </c>
      <c r="V92" s="125">
        <f>INDEX(Tabledaily[تاريخ الإضافة],MATCH(TableDailyJournal[[#This Row],[رقم العملية]],Tabledaily[رقم العملية],0))</f>
        <v>46182.121932870374</v>
      </c>
      <c r="W92" s="58" t="s">
        <v>302</v>
      </c>
      <c r="X92" s="58">
        <f>IFERROR(YEAR(TableDailyJournal[[#This Row],[التاريخ]]),"")</f>
        <v>2026</v>
      </c>
      <c r="Y92" s="58">
        <f>IFERROR(MONTH(TableDailyJournal[[#This Row],[التاريخ]]),"")</f>
        <v>6</v>
      </c>
      <c r="Z92" s="58">
        <f>IFERROR(DAY(TableDailyJournal[[#This Row],[التاريخ]]),"")</f>
        <v>3</v>
      </c>
      <c r="AA92" s="126" t="str">
        <f>INDEX(Tabledaily[المرجع البياني],MATCH(TableDailyJournal[[#This Row],[رقم العملية]],Tabledaily[رقم العملية],0))</f>
        <v>قيـد مقابـل:- (مصاريف طبية وعلاجات  - ميثاق عبده غالب - الفرقة الثالثة)  - استلام نقدي رقم 0  سند استلام - مصاريف جراحة  بامرمدير  مكتب القائد</v>
      </c>
      <c r="AB92" s="58" t="str">
        <f>INDEX(Tabledaily[جهة الامر],MATCH(TableDailyJournal[[#This Row],[رقم العملية]],Tabledaily[رقم العملية],0))</f>
        <v>مدير  مكتب القائد</v>
      </c>
    </row>
    <row r="93" spans="2:28" ht="45.75" x14ac:dyDescent="0.55000000000000004">
      <c r="B93" s="58">
        <f t="shared" si="1"/>
        <v>89</v>
      </c>
      <c r="C93" s="59" t="s">
        <v>306</v>
      </c>
      <c r="D93" s="60">
        <f>INDEX(Tabledaily[date],MATCH(TableDailyJournal[[#This Row],[رقم العملية]],Tabledaily[رقم العملية],0))</f>
        <v>46176</v>
      </c>
      <c r="E93" s="58" t="str">
        <f>INDEX(Tabledaily[نوع العمليــة],MATCH(TableDailyJournal[[#This Row],[رقم العملية]],Tabledaily[رقم العملية],0))</f>
        <v>قيد عهده</v>
      </c>
      <c r="F93" s="58">
        <f>IFERROR(INDEX(TableJudje[رقم الحساب],MATCH(TableDailyJournal[[#This Row],[الحساب]],TableJudje[اسم الحساب],0)),0)</f>
        <v>11060202</v>
      </c>
      <c r="G93" s="58" t="s">
        <v>159</v>
      </c>
      <c r="H93" s="61" t="str">
        <f>INDEX(Tabledaily[المرجع البياني],MATCH(TableDailyJournal[[#This Row],[رقم العملية]],Tabledaily[رقم العملية],0))</f>
        <v>قيـد مقابـل:- (مصاريف طبية وعلاجات  - ميثاق عبده غالب - الفرقة الثالثة)  - استلام نقدي رقم 0  سند استلام - مصاريف جراحة  بامرمدير  مكتب القائد</v>
      </c>
      <c r="I93" s="60" t="str">
        <f>INDEX(Tabledaily[العملـــة],MATCH(TableDailyJournal[[#This Row],[رقم العملية]],Tabledaily[رقم العملية],0))</f>
        <v>ريال يمني</v>
      </c>
      <c r="J93" s="59">
        <f>IFERROR(INDEX(Tabledaily[سعــــــر
الصـــــرف],MATCH(C93,Tabledaily[رقم العملية],0)),1)</f>
        <v>405</v>
      </c>
      <c r="K93" s="123" cm="1">
        <f t="array" ref="K93">IFERROR(INDEX(Tabledaily[المبلـــــــغ],MATCH(1,(TableDailyJournal[[#This Row],[رقم العملية]]=Tabledaily[رقم العملية])*(TableDailyJournal[[#This Row],[الحساب]]=Tabledaily[الحســاب المديــــن]),0)),0)</f>
        <v>0</v>
      </c>
      <c r="L93" s="124" cm="1">
        <f t="array" ref="L93">IFERROR(INDEX(Tabledaily[المبلـــــــغ],MATCH(1,(TableDailyJournal[[#This Row],[رقم العملية]]=Tabledaily[رقم العملية])*(TableDailyJournal[[#This Row],[الحساب]]=Tabledaily[الحســاب الدئـــن]),0)),0)</f>
        <v>8000</v>
      </c>
      <c r="M93" s="62">
        <f>IFERROR(TableDailyJournal[[#This Row],[المبلغ مدين]]/TableDailyJournal[[#This Row],[سعــــــر
الصـــــرف]],0)</f>
        <v>0</v>
      </c>
      <c r="N93" s="62">
        <f>IFERROR(TableDailyJournal[[#This Row],[المبلغ دائن]]/TableDailyJournal[[#This Row],[سعــــــر
الصـــــرف]],0)</f>
        <v>19.753086419753085</v>
      </c>
      <c r="O93" s="121" t="str">
        <f>INDEX(Tabledaily[المستفيــــــــد],MATCH(TableDailyJournal[[#This Row],[رقم العملية]],Tabledaily[رقم العملية],0))</f>
        <v>ميثاق عبده غالب</v>
      </c>
      <c r="P93" s="121" t="str">
        <f>INDEX(Tabledaily[المــــرجـــــــــع],MATCH(TableDailyJournal[[#This Row],[رقم العملية]],Tabledaily[رقم العملية],0))</f>
        <v>استلام نقدي</v>
      </c>
      <c r="Q93" s="121" t="str">
        <f>INDEX(Tabledaily[اســـــــم المــــرجــــع],MATCH(TableDailyJournal[[#This Row],[رقم العملية]],Tabledaily[رقم العملية],0))</f>
        <v>سند استلام</v>
      </c>
      <c r="R93" s="121">
        <f>INDEX(Tabledaily[رقم المـــــرجـــع],MATCH(TableDailyJournal[[#This Row],[رقم العملية]],Tabledaily[رقم العملية],0))</f>
        <v>0</v>
      </c>
      <c r="S93" s="121" t="str">
        <f>INDEX(Tabledaily[مركـــــــزالتكلفــــــة],MATCH(TableDailyJournal[[#This Row],[رقم العملية]],Tabledaily[رقم العملية],0))</f>
        <v>الفرقة الثالثة</v>
      </c>
      <c r="T93" s="121">
        <f>IFERROR(INDEX(tablecost[رقم المركز],MATCH(TableDailyJournal[[#This Row],[مركـــــــزالتكلفــــــة]],tablecost[الاسم],0)),0)</f>
        <v>1</v>
      </c>
      <c r="U93" s="122">
        <f>IFERROR(DATE(TableDailyJournal[[#This Row],[السنــــة]],TableDailyJournal[[#This Row],[الشهــــر]],TableDailyJournal[[#This Row],[الـــــيوم]]),"01-01-2026")</f>
        <v>46176</v>
      </c>
      <c r="V93" s="125">
        <f>INDEX(Tabledaily[تاريخ الإضافة],MATCH(TableDailyJournal[[#This Row],[رقم العملية]],Tabledaily[رقم العملية],0))</f>
        <v>46182.121932870374</v>
      </c>
      <c r="W93" s="58" t="s">
        <v>302</v>
      </c>
      <c r="X93" s="58">
        <f>IFERROR(YEAR(TableDailyJournal[[#This Row],[التاريخ]]),"")</f>
        <v>2026</v>
      </c>
      <c r="Y93" s="58">
        <f>IFERROR(MONTH(TableDailyJournal[[#This Row],[التاريخ]]),"")</f>
        <v>6</v>
      </c>
      <c r="Z93" s="58">
        <f>IFERROR(DAY(TableDailyJournal[[#This Row],[التاريخ]]),"")</f>
        <v>3</v>
      </c>
      <c r="AA93" s="126" t="str">
        <f>INDEX(Tabledaily[المرجع البياني],MATCH(TableDailyJournal[[#This Row],[رقم العملية]],Tabledaily[رقم العملية],0))</f>
        <v>قيـد مقابـل:- (مصاريف طبية وعلاجات  - ميثاق عبده غالب - الفرقة الثالثة)  - استلام نقدي رقم 0  سند استلام - مصاريف جراحة  بامرمدير  مكتب القائد</v>
      </c>
      <c r="AB93" s="58" t="str">
        <f>INDEX(Tabledaily[جهة الامر],MATCH(TableDailyJournal[[#This Row],[رقم العملية]],Tabledaily[رقم العملية],0))</f>
        <v>مدير  مكتب القائد</v>
      </c>
    </row>
    <row r="94" spans="2:28" ht="45.75" x14ac:dyDescent="0.55000000000000004">
      <c r="B94" s="58">
        <f t="shared" si="1"/>
        <v>90</v>
      </c>
      <c r="C94" s="59" t="s">
        <v>303</v>
      </c>
      <c r="D94" s="60">
        <f>INDEX(Tabledaily[date],MATCH(TableDailyJournal[[#This Row],[رقم العملية]],Tabledaily[رقم العملية],0))</f>
        <v>46176</v>
      </c>
      <c r="E94" s="58" t="str">
        <f>INDEX(Tabledaily[نوع العمليــة],MATCH(TableDailyJournal[[#This Row],[رقم العملية]],Tabledaily[رقم العملية],0))</f>
        <v>قيد عهده</v>
      </c>
      <c r="F94" s="58">
        <f>IFERROR(INDEX(TableJudje[رقم الحساب],MATCH(TableDailyJournal[[#This Row],[الحساب]],TableJudje[اسم الحساب],0)),0)</f>
        <v>31010114</v>
      </c>
      <c r="G94" s="58" t="s">
        <v>121</v>
      </c>
      <c r="H94" s="61" t="str">
        <f>INDEX(Tabledaily[المرجع البياني],MATCH(TableDailyJournal[[#This Row],[رقم العملية]],Tabledaily[رقم العملية],0))</f>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v>
      </c>
      <c r="I94" s="60" t="str">
        <f>INDEX(Tabledaily[العملـــة],MATCH(TableDailyJournal[[#This Row],[رقم العملية]],Tabledaily[رقم العملية],0))</f>
        <v>ريال يمني</v>
      </c>
      <c r="J94" s="59">
        <f>IFERROR(INDEX(Tabledaily[سعــــــر
الصـــــرف],MATCH(C94,Tabledaily[رقم العملية],0)),1)</f>
        <v>405</v>
      </c>
      <c r="K94" s="123" cm="1">
        <f t="array" ref="K94">IFERROR(INDEX(Tabledaily[المبلـــــــغ],MATCH(1,(TableDailyJournal[[#This Row],[رقم العملية]]=Tabledaily[رقم العملية])*(TableDailyJournal[[#This Row],[الحساب]]=Tabledaily[الحســاب المديــــن]),0)),0)</f>
        <v>160000</v>
      </c>
      <c r="L94" s="124" cm="1">
        <f t="array" ref="L94">IFERROR(INDEX(Tabledaily[المبلـــــــغ],MATCH(1,(TableDailyJournal[[#This Row],[رقم العملية]]=Tabledaily[رقم العملية])*(TableDailyJournal[[#This Row],[الحساب]]=Tabledaily[الحســاب الدئـــن]),0)),0)</f>
        <v>0</v>
      </c>
      <c r="M94" s="62">
        <f>IFERROR(TableDailyJournal[[#This Row],[المبلغ مدين]]/TableDailyJournal[[#This Row],[سعــــــر
الصـــــرف]],0)</f>
        <v>395.06172839506172</v>
      </c>
      <c r="N94" s="62">
        <f>IFERROR(TableDailyJournal[[#This Row],[المبلغ دائن]]/TableDailyJournal[[#This Row],[سعــــــر
الصـــــرف]],0)</f>
        <v>0</v>
      </c>
      <c r="O94" s="121" t="str">
        <f>INDEX(Tabledaily[المستفيــــــــد],MATCH(TableDailyJournal[[#This Row],[رقم العملية]],Tabledaily[رقم العملية],0))</f>
        <v>البشرية وضباط</v>
      </c>
      <c r="P94" s="121" t="str">
        <f>INDEX(Tabledaily[المــــرجـــــــــع],MATCH(TableDailyJournal[[#This Row],[رقم العملية]],Tabledaily[رقم العملية],0))</f>
        <v>استلام نقدي</v>
      </c>
      <c r="Q94" s="121" t="str">
        <f>INDEX(Tabledaily[اســـــــم المــــرجــــع],MATCH(TableDailyJournal[[#This Row],[رقم العملية]],Tabledaily[رقم العملية],0))</f>
        <v>سند استلام</v>
      </c>
      <c r="R94" s="121">
        <f>INDEX(Tabledaily[رقم المـــــرجـــع],MATCH(TableDailyJournal[[#This Row],[رقم العملية]],Tabledaily[رقم العملية],0))</f>
        <v>0</v>
      </c>
      <c r="S94" s="121" t="str">
        <f>INDEX(Tabledaily[مركـــــــزالتكلفــــــة],MATCH(TableDailyJournal[[#This Row],[رقم العملية]],Tabledaily[رقم العملية],0))</f>
        <v>الفرقة الثالثة</v>
      </c>
      <c r="T94" s="121">
        <f>IFERROR(INDEX(tablecost[رقم المركز],MATCH(TableDailyJournal[[#This Row],[مركـــــــزالتكلفــــــة]],tablecost[الاسم],0)),0)</f>
        <v>1</v>
      </c>
      <c r="U94" s="122">
        <f>IFERROR(DATE(TableDailyJournal[[#This Row],[السنــــة]],TableDailyJournal[[#This Row],[الشهــــر]],TableDailyJournal[[#This Row],[الـــــيوم]]),"01-01-2026")</f>
        <v>46176</v>
      </c>
      <c r="V94" s="125">
        <f>INDEX(Tabledaily[تاريخ الإضافة],MATCH(TableDailyJournal[[#This Row],[رقم العملية]],Tabledaily[رقم العملية],0))</f>
        <v>46182.123495370368</v>
      </c>
      <c r="W94" s="58" t="s">
        <v>293</v>
      </c>
      <c r="X94" s="58">
        <f>IFERROR(YEAR(TableDailyJournal[[#This Row],[التاريخ]]),"")</f>
        <v>2026</v>
      </c>
      <c r="Y94" s="58">
        <f>IFERROR(MONTH(TableDailyJournal[[#This Row],[التاريخ]]),"")</f>
        <v>6</v>
      </c>
      <c r="Z94" s="58">
        <f>IFERROR(DAY(TableDailyJournal[[#This Row],[التاريخ]]),"")</f>
        <v>3</v>
      </c>
      <c r="AA94" s="126" t="str">
        <f>INDEX(Tabledaily[المرجع البياني],MATCH(TableDailyJournal[[#This Row],[رقم العملية]],Tabledaily[رقم العملية],0))</f>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v>
      </c>
      <c r="AB94" s="58" t="str">
        <f>INDEX(Tabledaily[جهة الامر],MATCH(TableDailyJournal[[#This Row],[رقم العملية]],Tabledaily[رقم العملية],0))</f>
        <v>الأركان جمال مسدوس</v>
      </c>
    </row>
    <row r="95" spans="2:28" ht="45.75" x14ac:dyDescent="0.55000000000000004">
      <c r="B95" s="58">
        <f t="shared" si="1"/>
        <v>91</v>
      </c>
      <c r="C95" s="59" t="s">
        <v>303</v>
      </c>
      <c r="D95" s="60">
        <f>INDEX(Tabledaily[date],MATCH(TableDailyJournal[[#This Row],[رقم العملية]],Tabledaily[رقم العملية],0))</f>
        <v>46176</v>
      </c>
      <c r="E95" s="58" t="str">
        <f>INDEX(Tabledaily[نوع العمليــة],MATCH(TableDailyJournal[[#This Row],[رقم العملية]],Tabledaily[رقم العملية],0))</f>
        <v>قيد عهده</v>
      </c>
      <c r="F95" s="58">
        <f>IFERROR(INDEX(TableJudje[رقم الحساب],MATCH(TableDailyJournal[[#This Row],[الحساب]],TableJudje[اسم الحساب],0)),0)</f>
        <v>11060202</v>
      </c>
      <c r="G95" s="58" t="s">
        <v>159</v>
      </c>
      <c r="H95" s="61" t="str">
        <f>INDEX(Tabledaily[المرجع البياني],MATCH(TableDailyJournal[[#This Row],[رقم العملية]],Tabledaily[رقم العملية],0))</f>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v>
      </c>
      <c r="I95" s="60" t="str">
        <f>INDEX(Tabledaily[العملـــة],MATCH(TableDailyJournal[[#This Row],[رقم العملية]],Tabledaily[رقم العملية],0))</f>
        <v>ريال يمني</v>
      </c>
      <c r="J95" s="59">
        <f>IFERROR(INDEX(Tabledaily[سعــــــر
الصـــــرف],MATCH(C95,Tabledaily[رقم العملية],0)),1)</f>
        <v>405</v>
      </c>
      <c r="K95" s="123" cm="1">
        <f t="array" ref="K95">IFERROR(INDEX(Tabledaily[المبلـــــــغ],MATCH(1,(TableDailyJournal[[#This Row],[رقم العملية]]=Tabledaily[رقم العملية])*(TableDailyJournal[[#This Row],[الحساب]]=Tabledaily[الحســاب المديــــن]),0)),0)</f>
        <v>0</v>
      </c>
      <c r="L95" s="124" cm="1">
        <f t="array" ref="L95">IFERROR(INDEX(Tabledaily[المبلـــــــغ],MATCH(1,(TableDailyJournal[[#This Row],[رقم العملية]]=Tabledaily[رقم العملية])*(TableDailyJournal[[#This Row],[الحساب]]=Tabledaily[الحســاب الدئـــن]),0)),0)</f>
        <v>160000</v>
      </c>
      <c r="M95" s="62">
        <f>IFERROR(TableDailyJournal[[#This Row],[المبلغ مدين]]/TableDailyJournal[[#This Row],[سعــــــر
الصـــــرف]],0)</f>
        <v>0</v>
      </c>
      <c r="N95" s="62">
        <f>IFERROR(TableDailyJournal[[#This Row],[المبلغ دائن]]/TableDailyJournal[[#This Row],[سعــــــر
الصـــــرف]],0)</f>
        <v>395.06172839506172</v>
      </c>
      <c r="O95" s="121" t="str">
        <f>INDEX(Tabledaily[المستفيــــــــد],MATCH(TableDailyJournal[[#This Row],[رقم العملية]],Tabledaily[رقم العملية],0))</f>
        <v>البشرية وضباط</v>
      </c>
      <c r="P95" s="121" t="str">
        <f>INDEX(Tabledaily[المــــرجـــــــــع],MATCH(TableDailyJournal[[#This Row],[رقم العملية]],Tabledaily[رقم العملية],0))</f>
        <v>استلام نقدي</v>
      </c>
      <c r="Q95" s="121" t="str">
        <f>INDEX(Tabledaily[اســـــــم المــــرجــــع],MATCH(TableDailyJournal[[#This Row],[رقم العملية]],Tabledaily[رقم العملية],0))</f>
        <v>سند استلام</v>
      </c>
      <c r="R95" s="121">
        <f>INDEX(Tabledaily[رقم المـــــرجـــع],MATCH(TableDailyJournal[[#This Row],[رقم العملية]],Tabledaily[رقم العملية],0))</f>
        <v>0</v>
      </c>
      <c r="S95" s="121" t="str">
        <f>INDEX(Tabledaily[مركـــــــزالتكلفــــــة],MATCH(TableDailyJournal[[#This Row],[رقم العملية]],Tabledaily[رقم العملية],0))</f>
        <v>الفرقة الثالثة</v>
      </c>
      <c r="T95" s="121">
        <f>IFERROR(INDEX(tablecost[رقم المركز],MATCH(TableDailyJournal[[#This Row],[مركـــــــزالتكلفــــــة]],tablecost[الاسم],0)),0)</f>
        <v>1</v>
      </c>
      <c r="U95" s="122">
        <f>IFERROR(DATE(TableDailyJournal[[#This Row],[السنــــة]],TableDailyJournal[[#This Row],[الشهــــر]],TableDailyJournal[[#This Row],[الـــــيوم]]),"01-01-2026")</f>
        <v>46176</v>
      </c>
      <c r="V95" s="125">
        <f>INDEX(Tabledaily[تاريخ الإضافة],MATCH(TableDailyJournal[[#This Row],[رقم العملية]],Tabledaily[رقم العملية],0))</f>
        <v>46182.123495370368</v>
      </c>
      <c r="W95" s="58" t="s">
        <v>293</v>
      </c>
      <c r="X95" s="58">
        <f>IFERROR(YEAR(TableDailyJournal[[#This Row],[التاريخ]]),"")</f>
        <v>2026</v>
      </c>
      <c r="Y95" s="58">
        <f>IFERROR(MONTH(TableDailyJournal[[#This Row],[التاريخ]]),"")</f>
        <v>6</v>
      </c>
      <c r="Z95" s="58">
        <f>IFERROR(DAY(TableDailyJournal[[#This Row],[التاريخ]]),"")</f>
        <v>3</v>
      </c>
      <c r="AA95" s="126" t="str">
        <f>INDEX(Tabledaily[المرجع البياني],MATCH(TableDailyJournal[[#This Row],[رقم العملية]],Tabledaily[رقم العملية],0))</f>
        <v>قيـد مقابـل:- (مصاريف حوافز ومكافئات  - البشرية وضباط - الفرقة الثالثة)  - استلام نقدي رقم 0  سند استلام - مقابل مكافاة عمل في الالوية الاول والثاني  بامرالأركان جمال مسدوس</v>
      </c>
      <c r="AB95" s="58" t="str">
        <f>INDEX(Tabledaily[جهة الامر],MATCH(TableDailyJournal[[#This Row],[رقم العملية]],Tabledaily[رقم العملية],0))</f>
        <v>الأركان جمال مسدوس</v>
      </c>
    </row>
    <row r="96" spans="2:28" ht="45.75" x14ac:dyDescent="0.55000000000000004">
      <c r="B96" s="58">
        <f t="shared" si="1"/>
        <v>92</v>
      </c>
      <c r="C96" s="59" t="s">
        <v>297</v>
      </c>
      <c r="D96" s="60">
        <f>INDEX(Tabledaily[date],MATCH(TableDailyJournal[[#This Row],[رقم العملية]],Tabledaily[رقم العملية],0))</f>
        <v>46176</v>
      </c>
      <c r="E96" s="58" t="str">
        <f>INDEX(Tabledaily[نوع العمليــة],MATCH(TableDailyJournal[[#This Row],[رقم العملية]],Tabledaily[رقم العملية],0))</f>
        <v>قيد عهده</v>
      </c>
      <c r="F96" s="58">
        <f>IFERROR(INDEX(TableJudje[رقم الحساب],MATCH(TableDailyJournal[[#This Row],[الحساب]],TableJudje[اسم الحساب],0)),0)</f>
        <v>11060203</v>
      </c>
      <c r="G96" s="58" t="s">
        <v>160</v>
      </c>
      <c r="H96" s="61" t="str">
        <f>INDEX(Tabledaily[المرجع البياني],MATCH(TableDailyJournal[[#This Row],[رقم العملية]],Tabledaily[رقم العملية],0))</f>
        <v>قيـد مقابـل:- (عهدة امين القحطاني - امين القحطاني - الفرقة الثالثة)  - حواله رقم 799104565  شركة المقبولي للصرافة والتحويلات - مقابل صرف عهدة بامرمدير  مكتب القائد</v>
      </c>
      <c r="I96" s="60" t="str">
        <f>INDEX(Tabledaily[العملـــة],MATCH(TableDailyJournal[[#This Row],[رقم العملية]],Tabledaily[رقم العملية],0))</f>
        <v>ريال سعودي</v>
      </c>
      <c r="J96" s="59">
        <f>IFERROR(INDEX(Tabledaily[سعــــــر
الصـــــرف],MATCH(C96,Tabledaily[رقم العملية],0)),1)</f>
        <v>1</v>
      </c>
      <c r="K96" s="123" cm="1">
        <f t="array" ref="K96">IFERROR(INDEX(Tabledaily[المبلـــــــغ],MATCH(1,(TableDailyJournal[[#This Row],[رقم العملية]]=Tabledaily[رقم العملية])*(TableDailyJournal[[#This Row],[الحساب]]=Tabledaily[الحســاب المديــــن]),0)),0)</f>
        <v>2000</v>
      </c>
      <c r="L96" s="124" cm="1">
        <f t="array" ref="L96">IFERROR(INDEX(Tabledaily[المبلـــــــغ],MATCH(1,(TableDailyJournal[[#This Row],[رقم العملية]]=Tabledaily[رقم العملية])*(TableDailyJournal[[#This Row],[الحساب]]=Tabledaily[الحســاب الدئـــن]),0)),0)</f>
        <v>0</v>
      </c>
      <c r="M96" s="62">
        <f>IFERROR(TableDailyJournal[[#This Row],[المبلغ مدين]]/TableDailyJournal[[#This Row],[سعــــــر
الصـــــرف]],0)</f>
        <v>2000</v>
      </c>
      <c r="N96" s="62">
        <f>IFERROR(TableDailyJournal[[#This Row],[المبلغ دائن]]/TableDailyJournal[[#This Row],[سعــــــر
الصـــــرف]],0)</f>
        <v>0</v>
      </c>
      <c r="O96" s="121" t="str">
        <f>INDEX(Tabledaily[المستفيــــــــد],MATCH(TableDailyJournal[[#This Row],[رقم العملية]],Tabledaily[رقم العملية],0))</f>
        <v>امين القحطاني</v>
      </c>
      <c r="P96" s="121" t="str">
        <f>INDEX(Tabledaily[المــــرجـــــــــع],MATCH(TableDailyJournal[[#This Row],[رقم العملية]],Tabledaily[رقم العملية],0))</f>
        <v>حواله</v>
      </c>
      <c r="Q96" s="121" t="str">
        <f>INDEX(Tabledaily[اســـــــم المــــرجــــع],MATCH(TableDailyJournal[[#This Row],[رقم العملية]],Tabledaily[رقم العملية],0))</f>
        <v>شركة المقبولي للصرافة والتحويلات</v>
      </c>
      <c r="R96" s="121">
        <f>INDEX(Tabledaily[رقم المـــــرجـــع],MATCH(TableDailyJournal[[#This Row],[رقم العملية]],Tabledaily[رقم العملية],0))</f>
        <v>799104565</v>
      </c>
      <c r="S96" s="121" t="str">
        <f>INDEX(Tabledaily[مركـــــــزالتكلفــــــة],MATCH(TableDailyJournal[[#This Row],[رقم العملية]],Tabledaily[رقم العملية],0))</f>
        <v>الفرقة الثالثة</v>
      </c>
      <c r="T96" s="121">
        <f>IFERROR(INDEX(tablecost[رقم المركز],MATCH(TableDailyJournal[[#This Row],[مركـــــــزالتكلفــــــة]],tablecost[الاسم],0)),0)</f>
        <v>1</v>
      </c>
      <c r="U96" s="122">
        <f>IFERROR(DATE(TableDailyJournal[[#This Row],[السنــــة]],TableDailyJournal[[#This Row],[الشهــــر]],TableDailyJournal[[#This Row],[الـــــيوم]]),"01-01-2026")</f>
        <v>46176</v>
      </c>
      <c r="V96" s="125">
        <f>INDEX(Tabledaily[تاريخ الإضافة],MATCH(TableDailyJournal[[#This Row],[رقم العملية]],Tabledaily[رقم العملية],0))</f>
        <v>46182.125219907408</v>
      </c>
      <c r="W96" s="58" t="s">
        <v>302</v>
      </c>
      <c r="X96" s="58">
        <f>IFERROR(YEAR(TableDailyJournal[[#This Row],[التاريخ]]),"")</f>
        <v>2026</v>
      </c>
      <c r="Y96" s="58">
        <f>IFERROR(MONTH(TableDailyJournal[[#This Row],[التاريخ]]),"")</f>
        <v>6</v>
      </c>
      <c r="Z96" s="58">
        <f>IFERROR(DAY(TableDailyJournal[[#This Row],[التاريخ]]),"")</f>
        <v>3</v>
      </c>
      <c r="AA96" s="126" t="str">
        <f>INDEX(Tabledaily[المرجع البياني],MATCH(TableDailyJournal[[#This Row],[رقم العملية]],Tabledaily[رقم العملية],0))</f>
        <v>قيـد مقابـل:- (عهدة امين القحطاني - امين القحطاني - الفرقة الثالثة)  - حواله رقم 799104565  شركة المقبولي للصرافة والتحويلات - مقابل صرف عهدة بامرمدير  مكتب القائد</v>
      </c>
      <c r="AB96" s="58" t="str">
        <f>INDEX(Tabledaily[جهة الامر],MATCH(TableDailyJournal[[#This Row],[رقم العملية]],Tabledaily[رقم العملية],0))</f>
        <v>مدير  مكتب القائد</v>
      </c>
    </row>
    <row r="97" spans="2:28" ht="45.75" x14ac:dyDescent="0.55000000000000004">
      <c r="B97" s="58">
        <f t="shared" si="1"/>
        <v>93</v>
      </c>
      <c r="C97" s="59" t="s">
        <v>297</v>
      </c>
      <c r="D97" s="60">
        <f>INDEX(Tabledaily[date],MATCH(TableDailyJournal[[#This Row],[رقم العملية]],Tabledaily[رقم العملية],0))</f>
        <v>46176</v>
      </c>
      <c r="E97" s="58" t="str">
        <f>INDEX(Tabledaily[نوع العمليــة],MATCH(TableDailyJournal[[#This Row],[رقم العملية]],Tabledaily[رقم العملية],0))</f>
        <v>قيد عهده</v>
      </c>
      <c r="F97" s="58">
        <f>IFERROR(INDEX(TableJudje[رقم الحساب],MATCH(TableDailyJournal[[#This Row],[الحساب]],TableJudje[اسم الحساب],0)),0)</f>
        <v>11060202</v>
      </c>
      <c r="G97" s="58" t="s">
        <v>159</v>
      </c>
      <c r="H97" s="61" t="str">
        <f>INDEX(Tabledaily[المرجع البياني],MATCH(TableDailyJournal[[#This Row],[رقم العملية]],Tabledaily[رقم العملية],0))</f>
        <v>قيـد مقابـل:- (عهدة امين القحطاني - امين القحطاني - الفرقة الثالثة)  - حواله رقم 799104565  شركة المقبولي للصرافة والتحويلات - مقابل صرف عهدة بامرمدير  مكتب القائد</v>
      </c>
      <c r="I97" s="60" t="str">
        <f>INDEX(Tabledaily[العملـــة],MATCH(TableDailyJournal[[#This Row],[رقم العملية]],Tabledaily[رقم العملية],0))</f>
        <v>ريال سعودي</v>
      </c>
      <c r="J97" s="59">
        <f>IFERROR(INDEX(Tabledaily[سعــــــر
الصـــــرف],MATCH(C97,Tabledaily[رقم العملية],0)),1)</f>
        <v>1</v>
      </c>
      <c r="K97" s="123" cm="1">
        <f t="array" ref="K97">IFERROR(INDEX(Tabledaily[المبلـــــــغ],MATCH(1,(TableDailyJournal[[#This Row],[رقم العملية]]=Tabledaily[رقم العملية])*(TableDailyJournal[[#This Row],[الحساب]]=Tabledaily[الحســاب المديــــن]),0)),0)</f>
        <v>0</v>
      </c>
      <c r="L97" s="124" cm="1">
        <f t="array" ref="L97">IFERROR(INDEX(Tabledaily[المبلـــــــغ],MATCH(1,(TableDailyJournal[[#This Row],[رقم العملية]]=Tabledaily[رقم العملية])*(TableDailyJournal[[#This Row],[الحساب]]=Tabledaily[الحســاب الدئـــن]),0)),0)</f>
        <v>2000</v>
      </c>
      <c r="M97" s="62">
        <f>IFERROR(TableDailyJournal[[#This Row],[المبلغ مدين]]/TableDailyJournal[[#This Row],[سعــــــر
الصـــــرف]],0)</f>
        <v>0</v>
      </c>
      <c r="N97" s="62">
        <f>IFERROR(TableDailyJournal[[#This Row],[المبلغ دائن]]/TableDailyJournal[[#This Row],[سعــــــر
الصـــــرف]],0)</f>
        <v>2000</v>
      </c>
      <c r="O97" s="121" t="str">
        <f>INDEX(Tabledaily[المستفيــــــــد],MATCH(TableDailyJournal[[#This Row],[رقم العملية]],Tabledaily[رقم العملية],0))</f>
        <v>امين القحطاني</v>
      </c>
      <c r="P97" s="121" t="str">
        <f>INDEX(Tabledaily[المــــرجـــــــــع],MATCH(TableDailyJournal[[#This Row],[رقم العملية]],Tabledaily[رقم العملية],0))</f>
        <v>حواله</v>
      </c>
      <c r="Q97" s="121" t="str">
        <f>INDEX(Tabledaily[اســـــــم المــــرجــــع],MATCH(TableDailyJournal[[#This Row],[رقم العملية]],Tabledaily[رقم العملية],0))</f>
        <v>شركة المقبولي للصرافة والتحويلات</v>
      </c>
      <c r="R97" s="121">
        <f>INDEX(Tabledaily[رقم المـــــرجـــع],MATCH(TableDailyJournal[[#This Row],[رقم العملية]],Tabledaily[رقم العملية],0))</f>
        <v>799104565</v>
      </c>
      <c r="S97" s="121" t="str">
        <f>INDEX(Tabledaily[مركـــــــزالتكلفــــــة],MATCH(TableDailyJournal[[#This Row],[رقم العملية]],Tabledaily[رقم العملية],0))</f>
        <v>الفرقة الثالثة</v>
      </c>
      <c r="T97" s="121">
        <f>IFERROR(INDEX(tablecost[رقم المركز],MATCH(TableDailyJournal[[#This Row],[مركـــــــزالتكلفــــــة]],tablecost[الاسم],0)),0)</f>
        <v>1</v>
      </c>
      <c r="U97" s="122">
        <f>IFERROR(DATE(TableDailyJournal[[#This Row],[السنــــة]],TableDailyJournal[[#This Row],[الشهــــر]],TableDailyJournal[[#This Row],[الـــــيوم]]),"01-01-2026")</f>
        <v>46176</v>
      </c>
      <c r="V97" s="125">
        <f>INDEX(Tabledaily[تاريخ الإضافة],MATCH(TableDailyJournal[[#This Row],[رقم العملية]],Tabledaily[رقم العملية],0))</f>
        <v>46182.125219907408</v>
      </c>
      <c r="W97" s="58" t="s">
        <v>302</v>
      </c>
      <c r="X97" s="58">
        <f>IFERROR(YEAR(TableDailyJournal[[#This Row],[التاريخ]]),"")</f>
        <v>2026</v>
      </c>
      <c r="Y97" s="58">
        <f>IFERROR(MONTH(TableDailyJournal[[#This Row],[التاريخ]]),"")</f>
        <v>6</v>
      </c>
      <c r="Z97" s="58">
        <f>IFERROR(DAY(TableDailyJournal[[#This Row],[التاريخ]]),"")</f>
        <v>3</v>
      </c>
      <c r="AA97" s="126" t="str">
        <f>INDEX(Tabledaily[المرجع البياني],MATCH(TableDailyJournal[[#This Row],[رقم العملية]],Tabledaily[رقم العملية],0))</f>
        <v>قيـد مقابـل:- (عهدة امين القحطاني - امين القحطاني - الفرقة الثالثة)  - حواله رقم 799104565  شركة المقبولي للصرافة والتحويلات - مقابل صرف عهدة بامرمدير  مكتب القائد</v>
      </c>
      <c r="AB97" s="58" t="str">
        <f>INDEX(Tabledaily[جهة الامر],MATCH(TableDailyJournal[[#This Row],[رقم العملية]],Tabledaily[رقم العملية],0))</f>
        <v>مدير  مكتب القائد</v>
      </c>
    </row>
    <row r="98" spans="2:28" ht="45.75" x14ac:dyDescent="0.55000000000000004">
      <c r="B98" s="58">
        <f t="shared" si="1"/>
        <v>94</v>
      </c>
      <c r="C98" s="59" t="s">
        <v>294</v>
      </c>
      <c r="D98" s="60">
        <f>INDEX(Tabledaily[date],MATCH(TableDailyJournal[[#This Row],[رقم العملية]],Tabledaily[رقم العملية],0))</f>
        <v>46176</v>
      </c>
      <c r="E98" s="58" t="str">
        <f>INDEX(Tabledaily[نوع العمليــة],MATCH(TableDailyJournal[[#This Row],[رقم العملية]],Tabledaily[رقم العملية],0))</f>
        <v>قيد عهده</v>
      </c>
      <c r="F98" s="58">
        <f>IFERROR(INDEX(TableJudje[رقم الحساب],MATCH(TableDailyJournal[[#This Row],[الحساب]],TableJudje[اسم الحساب],0)),0)</f>
        <v>31010114</v>
      </c>
      <c r="G98" s="58" t="s">
        <v>121</v>
      </c>
      <c r="H98" s="61" t="str">
        <f>INDEX(Tabledaily[المرجع البياني],MATCH(TableDailyJournal[[#This Row],[رقم العملية]],Tabledaily[رقم العملية],0))</f>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v>
      </c>
      <c r="I98" s="60" t="str">
        <f>INDEX(Tabledaily[العملـــة],MATCH(TableDailyJournal[[#This Row],[رقم العملية]],Tabledaily[رقم العملية],0))</f>
        <v>ريال يمني</v>
      </c>
      <c r="J98" s="59">
        <f>IFERROR(INDEX(Tabledaily[سعــــــر
الصـــــرف],MATCH(C98,Tabledaily[رقم العملية],0)),1)</f>
        <v>405</v>
      </c>
      <c r="K98" s="123" cm="1">
        <f t="array" ref="K98">IFERROR(INDEX(Tabledaily[المبلـــــــغ],MATCH(1,(TableDailyJournal[[#This Row],[رقم العملية]]=Tabledaily[رقم العملية])*(TableDailyJournal[[#This Row],[الحساب]]=Tabledaily[الحســاب المديــــن]),0)),0)</f>
        <v>36000</v>
      </c>
      <c r="L98" s="124" cm="1">
        <f t="array" ref="L98">IFERROR(INDEX(Tabledaily[المبلـــــــغ],MATCH(1,(TableDailyJournal[[#This Row],[رقم العملية]]=Tabledaily[رقم العملية])*(TableDailyJournal[[#This Row],[الحساب]]=Tabledaily[الحســاب الدئـــن]),0)),0)</f>
        <v>0</v>
      </c>
      <c r="M98" s="62">
        <f>IFERROR(TableDailyJournal[[#This Row],[المبلغ مدين]]/TableDailyJournal[[#This Row],[سعــــــر
الصـــــرف]],0)</f>
        <v>88.888888888888886</v>
      </c>
      <c r="N98" s="62">
        <f>IFERROR(TableDailyJournal[[#This Row],[المبلغ دائن]]/TableDailyJournal[[#This Row],[سعــــــر
الصـــــرف]],0)</f>
        <v>0</v>
      </c>
      <c r="O98" s="121" t="str">
        <f>INDEX(Tabledaily[المستفيــــــــد],MATCH(TableDailyJournal[[#This Row],[رقم العملية]],Tabledaily[رقم العملية],0))</f>
        <v>افراد اللواء السابع</v>
      </c>
      <c r="P98" s="121" t="str">
        <f>INDEX(Tabledaily[المــــرجـــــــــع],MATCH(TableDailyJournal[[#This Row],[رقم العملية]],Tabledaily[رقم العملية],0))</f>
        <v>استلام نقدي</v>
      </c>
      <c r="Q98" s="121" t="str">
        <f>INDEX(Tabledaily[اســـــــم المــــرجــــع],MATCH(TableDailyJournal[[#This Row],[رقم العملية]],Tabledaily[رقم العملية],0))</f>
        <v>سند استلام</v>
      </c>
      <c r="R98" s="121">
        <f>INDEX(Tabledaily[رقم المـــــرجـــع],MATCH(TableDailyJournal[[#This Row],[رقم العملية]],Tabledaily[رقم العملية],0))</f>
        <v>7</v>
      </c>
      <c r="S98" s="121" t="str">
        <f>INDEX(Tabledaily[مركـــــــزالتكلفــــــة],MATCH(TableDailyJournal[[#This Row],[رقم العملية]],Tabledaily[رقم العملية],0))</f>
        <v>اللواء السابع</v>
      </c>
      <c r="T98" s="121">
        <f>IFERROR(INDEX(tablecost[رقم المركز],MATCH(TableDailyJournal[[#This Row],[مركـــــــزالتكلفــــــة]],tablecost[الاسم],0)),0)</f>
        <v>8</v>
      </c>
      <c r="U98" s="122">
        <f>IFERROR(DATE(TableDailyJournal[[#This Row],[السنــــة]],TableDailyJournal[[#This Row],[الشهــــر]],TableDailyJournal[[#This Row],[الـــــيوم]]),"01-01-2026")</f>
        <v>46176</v>
      </c>
      <c r="V98" s="125">
        <f>INDEX(Tabledaily[تاريخ الإضافة],MATCH(TableDailyJournal[[#This Row],[رقم العملية]],Tabledaily[رقم العملية],0))</f>
        <v>46182.126423611109</v>
      </c>
      <c r="W98" s="58" t="s">
        <v>293</v>
      </c>
      <c r="X98" s="58">
        <f>IFERROR(YEAR(TableDailyJournal[[#This Row],[التاريخ]]),"")</f>
        <v>2026</v>
      </c>
      <c r="Y98" s="58">
        <f>IFERROR(MONTH(TableDailyJournal[[#This Row],[التاريخ]]),"")</f>
        <v>6</v>
      </c>
      <c r="Z98" s="58">
        <f>IFERROR(DAY(TableDailyJournal[[#This Row],[التاريخ]]),"")</f>
        <v>3</v>
      </c>
      <c r="AA98" s="126" t="str">
        <f>INDEX(Tabledaily[المرجع البياني],MATCH(TableDailyJournal[[#This Row],[رقم العملية]],Tabledaily[رقم العملية],0))</f>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v>
      </c>
      <c r="AB98" s="58" t="str">
        <f>INDEX(Tabledaily[جهة الامر],MATCH(TableDailyJournal[[#This Row],[رقم العملية]],Tabledaily[رقم العملية],0))</f>
        <v>الأركان جمال مسدوس</v>
      </c>
    </row>
    <row r="99" spans="2:28" ht="45.75" x14ac:dyDescent="0.55000000000000004">
      <c r="B99" s="58">
        <f t="shared" si="1"/>
        <v>95</v>
      </c>
      <c r="C99" s="59" t="s">
        <v>294</v>
      </c>
      <c r="D99" s="60">
        <f>INDEX(Tabledaily[date],MATCH(TableDailyJournal[[#This Row],[رقم العملية]],Tabledaily[رقم العملية],0))</f>
        <v>46176</v>
      </c>
      <c r="E99" s="58" t="str">
        <f>INDEX(Tabledaily[نوع العمليــة],MATCH(TableDailyJournal[[#This Row],[رقم العملية]],Tabledaily[رقم العملية],0))</f>
        <v>قيد عهده</v>
      </c>
      <c r="F99" s="58">
        <f>IFERROR(INDEX(TableJudje[رقم الحساب],MATCH(TableDailyJournal[[#This Row],[الحساب]],TableJudje[اسم الحساب],0)),0)</f>
        <v>11060202</v>
      </c>
      <c r="G99" s="58" t="s">
        <v>159</v>
      </c>
      <c r="H99" s="61" t="str">
        <f>INDEX(Tabledaily[المرجع البياني],MATCH(TableDailyJournal[[#This Row],[رقم العملية]],Tabledaily[رقم العملية],0))</f>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v>
      </c>
      <c r="I99" s="60" t="str">
        <f>INDEX(Tabledaily[العملـــة],MATCH(TableDailyJournal[[#This Row],[رقم العملية]],Tabledaily[رقم العملية],0))</f>
        <v>ريال يمني</v>
      </c>
      <c r="J99" s="59">
        <f>IFERROR(INDEX(Tabledaily[سعــــــر
الصـــــرف],MATCH(C99,Tabledaily[رقم العملية],0)),1)</f>
        <v>405</v>
      </c>
      <c r="K99" s="123" cm="1">
        <f t="array" ref="K99">IFERROR(INDEX(Tabledaily[المبلـــــــغ],MATCH(1,(TableDailyJournal[[#This Row],[رقم العملية]]=Tabledaily[رقم العملية])*(TableDailyJournal[[#This Row],[الحساب]]=Tabledaily[الحســاب المديــــن]),0)),0)</f>
        <v>0</v>
      </c>
      <c r="L99" s="124" cm="1">
        <f t="array" ref="L99">IFERROR(INDEX(Tabledaily[المبلـــــــغ],MATCH(1,(TableDailyJournal[[#This Row],[رقم العملية]]=Tabledaily[رقم العملية])*(TableDailyJournal[[#This Row],[الحساب]]=Tabledaily[الحســاب الدئـــن]),0)),0)</f>
        <v>36000</v>
      </c>
      <c r="M99" s="62">
        <f>IFERROR(TableDailyJournal[[#This Row],[المبلغ مدين]]/TableDailyJournal[[#This Row],[سعــــــر
الصـــــرف]],0)</f>
        <v>0</v>
      </c>
      <c r="N99" s="62">
        <f>IFERROR(TableDailyJournal[[#This Row],[المبلغ دائن]]/TableDailyJournal[[#This Row],[سعــــــر
الصـــــرف]],0)</f>
        <v>88.888888888888886</v>
      </c>
      <c r="O99" s="121" t="str">
        <f>INDEX(Tabledaily[المستفيــــــــد],MATCH(TableDailyJournal[[#This Row],[رقم العملية]],Tabledaily[رقم العملية],0))</f>
        <v>افراد اللواء السابع</v>
      </c>
      <c r="P99" s="121" t="str">
        <f>INDEX(Tabledaily[المــــرجـــــــــع],MATCH(TableDailyJournal[[#This Row],[رقم العملية]],Tabledaily[رقم العملية],0))</f>
        <v>استلام نقدي</v>
      </c>
      <c r="Q99" s="121" t="str">
        <f>INDEX(Tabledaily[اســـــــم المــــرجــــع],MATCH(TableDailyJournal[[#This Row],[رقم العملية]],Tabledaily[رقم العملية],0))</f>
        <v>سند استلام</v>
      </c>
      <c r="R99" s="121">
        <f>INDEX(Tabledaily[رقم المـــــرجـــع],MATCH(TableDailyJournal[[#This Row],[رقم العملية]],Tabledaily[رقم العملية],0))</f>
        <v>7</v>
      </c>
      <c r="S99" s="121" t="str">
        <f>INDEX(Tabledaily[مركـــــــزالتكلفــــــة],MATCH(TableDailyJournal[[#This Row],[رقم العملية]],Tabledaily[رقم العملية],0))</f>
        <v>اللواء السابع</v>
      </c>
      <c r="T99" s="121">
        <f>IFERROR(INDEX(tablecost[رقم المركز],MATCH(TableDailyJournal[[#This Row],[مركـــــــزالتكلفــــــة]],tablecost[الاسم],0)),0)</f>
        <v>8</v>
      </c>
      <c r="U99" s="122">
        <f>IFERROR(DATE(TableDailyJournal[[#This Row],[السنــــة]],TableDailyJournal[[#This Row],[الشهــــر]],TableDailyJournal[[#This Row],[الـــــيوم]]),"01-01-2026")</f>
        <v>46176</v>
      </c>
      <c r="V99" s="125">
        <f>INDEX(Tabledaily[تاريخ الإضافة],MATCH(TableDailyJournal[[#This Row],[رقم العملية]],Tabledaily[رقم العملية],0))</f>
        <v>46182.126423611109</v>
      </c>
      <c r="W99" s="58" t="s">
        <v>293</v>
      </c>
      <c r="X99" s="58">
        <f>IFERROR(YEAR(TableDailyJournal[[#This Row],[التاريخ]]),"")</f>
        <v>2026</v>
      </c>
      <c r="Y99" s="58">
        <f>IFERROR(MONTH(TableDailyJournal[[#This Row],[التاريخ]]),"")</f>
        <v>6</v>
      </c>
      <c r="Z99" s="58">
        <f>IFERROR(DAY(TableDailyJournal[[#This Row],[التاريخ]]),"")</f>
        <v>3</v>
      </c>
      <c r="AA99" s="126" t="str">
        <f>INDEX(Tabledaily[المرجع البياني],MATCH(TableDailyJournal[[#This Row],[رقم العملية]],Tabledaily[رقم العملية],0))</f>
        <v>قيـد مقابـل:- (مصاريف حوافز ومكافئات  - افراد اللواء السابع - اللواء السابع)  - استلام نقدي رقم 7  سند استلام - مصاريف 6 افراد من اللواء السابع  بامرالأركان جمال مسدوس</v>
      </c>
      <c r="AB99" s="58" t="str">
        <f>INDEX(Tabledaily[جهة الامر],MATCH(TableDailyJournal[[#This Row],[رقم العملية]],Tabledaily[رقم العملية],0))</f>
        <v>الأركان جمال مسدوس</v>
      </c>
    </row>
    <row r="100" spans="2:28" ht="45.75" x14ac:dyDescent="0.55000000000000004">
      <c r="B100" s="58">
        <f t="shared" si="1"/>
        <v>96</v>
      </c>
      <c r="C100" s="59" t="s">
        <v>288</v>
      </c>
      <c r="D100" s="60">
        <f>INDEX(Tabledaily[date],MATCH(TableDailyJournal[[#This Row],[رقم العملية]],Tabledaily[رقم العملية],0))</f>
        <v>46176</v>
      </c>
      <c r="E100" s="58" t="str">
        <f>INDEX(Tabledaily[نوع العمليــة],MATCH(TableDailyJournal[[#This Row],[رقم العملية]],Tabledaily[رقم العملية],0))</f>
        <v>قيد عهده</v>
      </c>
      <c r="F100" s="58">
        <f>IFERROR(INDEX(TableJudje[رقم الحساب],MATCH(TableDailyJournal[[#This Row],[الحساب]],TableJudje[اسم الحساب],0)),0)</f>
        <v>31010109</v>
      </c>
      <c r="G100" s="58" t="s">
        <v>484</v>
      </c>
      <c r="H100" s="61" t="str">
        <f>INDEX(Tabledaily[المرجع البياني],MATCH(TableDailyJournal[[#This Row],[رقم العملية]],Tabledaily[رقم العملية],0))</f>
        <v>قيـد مقابـل:- (مصاريف نثريات أخرى - جمال مسدوس - الفرقة الثالثة)  - استلام نقدي رقم 0  سند استلام - مصاريف بيد الاركان جمال مسدوس بامرالأركان جمال مسدوس</v>
      </c>
      <c r="I100" s="60" t="str">
        <f>INDEX(Tabledaily[العملـــة],MATCH(TableDailyJournal[[#This Row],[رقم العملية]],Tabledaily[رقم العملية],0))</f>
        <v>ريال يمني</v>
      </c>
      <c r="J100" s="59">
        <f>IFERROR(INDEX(Tabledaily[سعــــــر
الصـــــرف],MATCH(C100,Tabledaily[رقم العملية],0)),1)</f>
        <v>405</v>
      </c>
      <c r="K100" s="123" cm="1">
        <f t="array" ref="K100">IFERROR(INDEX(Tabledaily[المبلـــــــغ],MATCH(1,(TableDailyJournal[[#This Row],[رقم العملية]]=Tabledaily[رقم العملية])*(TableDailyJournal[[#This Row],[الحساب]]=Tabledaily[الحســاب المديــــن]),0)),0)</f>
        <v>20000</v>
      </c>
      <c r="L100" s="124" cm="1">
        <f t="array" ref="L100">IFERROR(INDEX(Tabledaily[المبلـــــــغ],MATCH(1,(TableDailyJournal[[#This Row],[رقم العملية]]=Tabledaily[رقم العملية])*(TableDailyJournal[[#This Row],[الحساب]]=Tabledaily[الحســاب الدئـــن]),0)),0)</f>
        <v>0</v>
      </c>
      <c r="M100" s="62">
        <f>IFERROR(TableDailyJournal[[#This Row],[المبلغ مدين]]/TableDailyJournal[[#This Row],[سعــــــر
الصـــــرف]],0)</f>
        <v>49.382716049382715</v>
      </c>
      <c r="N100" s="62">
        <f>IFERROR(TableDailyJournal[[#This Row],[المبلغ دائن]]/TableDailyJournal[[#This Row],[سعــــــر
الصـــــرف]],0)</f>
        <v>0</v>
      </c>
      <c r="O100" s="121" t="str">
        <f>INDEX(Tabledaily[المستفيــــــــد],MATCH(TableDailyJournal[[#This Row],[رقم العملية]],Tabledaily[رقم العملية],0))</f>
        <v>جمال مسدوس</v>
      </c>
      <c r="P100" s="121" t="str">
        <f>INDEX(Tabledaily[المــــرجـــــــــع],MATCH(TableDailyJournal[[#This Row],[رقم العملية]],Tabledaily[رقم العملية],0))</f>
        <v>استلام نقدي</v>
      </c>
      <c r="Q100" s="121" t="str">
        <f>INDEX(Tabledaily[اســـــــم المــــرجــــع],MATCH(TableDailyJournal[[#This Row],[رقم العملية]],Tabledaily[رقم العملية],0))</f>
        <v>سند استلام</v>
      </c>
      <c r="R100" s="121">
        <f>INDEX(Tabledaily[رقم المـــــرجـــع],MATCH(TableDailyJournal[[#This Row],[رقم العملية]],Tabledaily[رقم العملية],0))</f>
        <v>0</v>
      </c>
      <c r="S100" s="121" t="str">
        <f>INDEX(Tabledaily[مركـــــــزالتكلفــــــة],MATCH(TableDailyJournal[[#This Row],[رقم العملية]],Tabledaily[رقم العملية],0))</f>
        <v>الفرقة الثالثة</v>
      </c>
      <c r="T100" s="121">
        <f>IFERROR(INDEX(tablecost[رقم المركز],MATCH(TableDailyJournal[[#This Row],[مركـــــــزالتكلفــــــة]],tablecost[الاسم],0)),0)</f>
        <v>1</v>
      </c>
      <c r="U100" s="122">
        <f>IFERROR(DATE(TableDailyJournal[[#This Row],[السنــــة]],TableDailyJournal[[#This Row],[الشهــــر]],TableDailyJournal[[#This Row],[الـــــيوم]]),"01-01-2026")</f>
        <v>46176</v>
      </c>
      <c r="V100" s="125">
        <f>INDEX(Tabledaily[تاريخ الإضافة],MATCH(TableDailyJournal[[#This Row],[رقم العملية]],Tabledaily[رقم العملية],0))</f>
        <v>46182.127245370371</v>
      </c>
      <c r="W100" s="58" t="s">
        <v>293</v>
      </c>
      <c r="X100" s="58">
        <f>IFERROR(YEAR(TableDailyJournal[[#This Row],[التاريخ]]),"")</f>
        <v>2026</v>
      </c>
      <c r="Y100" s="58">
        <f>IFERROR(MONTH(TableDailyJournal[[#This Row],[التاريخ]]),"")</f>
        <v>6</v>
      </c>
      <c r="Z100" s="58">
        <f>IFERROR(DAY(TableDailyJournal[[#This Row],[التاريخ]]),"")</f>
        <v>3</v>
      </c>
      <c r="AA100" s="126" t="str">
        <f>INDEX(Tabledaily[المرجع البياني],MATCH(TableDailyJournal[[#This Row],[رقم العملية]],Tabledaily[رقم العملية],0))</f>
        <v>قيـد مقابـل:- (مصاريف نثريات أخرى - جمال مسدوس - الفرقة الثالثة)  - استلام نقدي رقم 0  سند استلام - مصاريف بيد الاركان جمال مسدوس بامرالأركان جمال مسدوس</v>
      </c>
      <c r="AB100" s="58" t="str">
        <f>INDEX(Tabledaily[جهة الامر],MATCH(TableDailyJournal[[#This Row],[رقم العملية]],Tabledaily[رقم العملية],0))</f>
        <v>الأركان جمال مسدوس</v>
      </c>
    </row>
    <row r="101" spans="2:28" ht="45.75" x14ac:dyDescent="0.55000000000000004">
      <c r="B101" s="58">
        <f t="shared" si="1"/>
        <v>97</v>
      </c>
      <c r="C101" s="59" t="s">
        <v>288</v>
      </c>
      <c r="D101" s="60">
        <f>INDEX(Tabledaily[date],MATCH(TableDailyJournal[[#This Row],[رقم العملية]],Tabledaily[رقم العملية],0))</f>
        <v>46176</v>
      </c>
      <c r="E101" s="58" t="str">
        <f>INDEX(Tabledaily[نوع العمليــة],MATCH(TableDailyJournal[[#This Row],[رقم العملية]],Tabledaily[رقم العملية],0))</f>
        <v>قيد عهده</v>
      </c>
      <c r="F101" s="58">
        <f>IFERROR(INDEX(TableJudje[رقم الحساب],MATCH(TableDailyJournal[[#This Row],[الحساب]],TableJudje[اسم الحساب],0)),0)</f>
        <v>11060202</v>
      </c>
      <c r="G101" s="58" t="s">
        <v>159</v>
      </c>
      <c r="H101" s="61" t="str">
        <f>INDEX(Tabledaily[المرجع البياني],MATCH(TableDailyJournal[[#This Row],[رقم العملية]],Tabledaily[رقم العملية],0))</f>
        <v>قيـد مقابـل:- (مصاريف نثريات أخرى - جمال مسدوس - الفرقة الثالثة)  - استلام نقدي رقم 0  سند استلام - مصاريف بيد الاركان جمال مسدوس بامرالأركان جمال مسدوس</v>
      </c>
      <c r="I101" s="60" t="str">
        <f>INDEX(Tabledaily[العملـــة],MATCH(TableDailyJournal[[#This Row],[رقم العملية]],Tabledaily[رقم العملية],0))</f>
        <v>ريال يمني</v>
      </c>
      <c r="J101" s="59">
        <f>IFERROR(INDEX(Tabledaily[سعــــــر
الصـــــرف],MATCH(C101,Tabledaily[رقم العملية],0)),1)</f>
        <v>405</v>
      </c>
      <c r="K101" s="123" cm="1">
        <f t="array" ref="K101">IFERROR(INDEX(Tabledaily[المبلـــــــغ],MATCH(1,(TableDailyJournal[[#This Row],[رقم العملية]]=Tabledaily[رقم العملية])*(TableDailyJournal[[#This Row],[الحساب]]=Tabledaily[الحســاب المديــــن]),0)),0)</f>
        <v>0</v>
      </c>
      <c r="L101" s="124" cm="1">
        <f t="array" ref="L101">IFERROR(INDEX(Tabledaily[المبلـــــــغ],MATCH(1,(TableDailyJournal[[#This Row],[رقم العملية]]=Tabledaily[رقم العملية])*(TableDailyJournal[[#This Row],[الحساب]]=Tabledaily[الحســاب الدئـــن]),0)),0)</f>
        <v>20000</v>
      </c>
      <c r="M101" s="62">
        <f>IFERROR(TableDailyJournal[[#This Row],[المبلغ مدين]]/TableDailyJournal[[#This Row],[سعــــــر
الصـــــرف]],0)</f>
        <v>0</v>
      </c>
      <c r="N101" s="62">
        <f>IFERROR(TableDailyJournal[[#This Row],[المبلغ دائن]]/TableDailyJournal[[#This Row],[سعــــــر
الصـــــرف]],0)</f>
        <v>49.382716049382715</v>
      </c>
      <c r="O101" s="121" t="str">
        <f>INDEX(Tabledaily[المستفيــــــــد],MATCH(TableDailyJournal[[#This Row],[رقم العملية]],Tabledaily[رقم العملية],0))</f>
        <v>جمال مسدوس</v>
      </c>
      <c r="P101" s="121" t="str">
        <f>INDEX(Tabledaily[المــــرجـــــــــع],MATCH(TableDailyJournal[[#This Row],[رقم العملية]],Tabledaily[رقم العملية],0))</f>
        <v>استلام نقدي</v>
      </c>
      <c r="Q101" s="121" t="str">
        <f>INDEX(Tabledaily[اســـــــم المــــرجــــع],MATCH(TableDailyJournal[[#This Row],[رقم العملية]],Tabledaily[رقم العملية],0))</f>
        <v>سند استلام</v>
      </c>
      <c r="R101" s="121">
        <f>INDEX(Tabledaily[رقم المـــــرجـــع],MATCH(TableDailyJournal[[#This Row],[رقم العملية]],Tabledaily[رقم العملية],0))</f>
        <v>0</v>
      </c>
      <c r="S101" s="121" t="str">
        <f>INDEX(Tabledaily[مركـــــــزالتكلفــــــة],MATCH(TableDailyJournal[[#This Row],[رقم العملية]],Tabledaily[رقم العملية],0))</f>
        <v>الفرقة الثالثة</v>
      </c>
      <c r="T101" s="121">
        <f>IFERROR(INDEX(tablecost[رقم المركز],MATCH(TableDailyJournal[[#This Row],[مركـــــــزالتكلفــــــة]],tablecost[الاسم],0)),0)</f>
        <v>1</v>
      </c>
      <c r="U101" s="122">
        <f>IFERROR(DATE(TableDailyJournal[[#This Row],[السنــــة]],TableDailyJournal[[#This Row],[الشهــــر]],TableDailyJournal[[#This Row],[الـــــيوم]]),"01-01-2026")</f>
        <v>46176</v>
      </c>
      <c r="V101" s="125">
        <f>INDEX(Tabledaily[تاريخ الإضافة],MATCH(TableDailyJournal[[#This Row],[رقم العملية]],Tabledaily[رقم العملية],0))</f>
        <v>46182.127245370371</v>
      </c>
      <c r="W101" s="58" t="s">
        <v>293</v>
      </c>
      <c r="X101" s="58">
        <f>IFERROR(YEAR(TableDailyJournal[[#This Row],[التاريخ]]),"")</f>
        <v>2026</v>
      </c>
      <c r="Y101" s="58">
        <f>IFERROR(MONTH(TableDailyJournal[[#This Row],[التاريخ]]),"")</f>
        <v>6</v>
      </c>
      <c r="Z101" s="58">
        <f>IFERROR(DAY(TableDailyJournal[[#This Row],[التاريخ]]),"")</f>
        <v>3</v>
      </c>
      <c r="AA101" s="126" t="str">
        <f>INDEX(Tabledaily[المرجع البياني],MATCH(TableDailyJournal[[#This Row],[رقم العملية]],Tabledaily[رقم العملية],0))</f>
        <v>قيـد مقابـل:- (مصاريف نثريات أخرى - جمال مسدوس - الفرقة الثالثة)  - استلام نقدي رقم 0  سند استلام - مصاريف بيد الاركان جمال مسدوس بامرالأركان جمال مسدوس</v>
      </c>
      <c r="AB101" s="58" t="str">
        <f>INDEX(Tabledaily[جهة الامر],MATCH(TableDailyJournal[[#This Row],[رقم العملية]],Tabledaily[رقم العملية],0))</f>
        <v>الأركان جمال مسدوس</v>
      </c>
    </row>
    <row r="102" spans="2:28" ht="45.75" x14ac:dyDescent="0.55000000000000004">
      <c r="B102" s="58">
        <f t="shared" si="1"/>
        <v>98</v>
      </c>
      <c r="C102" s="59" t="s">
        <v>281</v>
      </c>
      <c r="D102" s="60">
        <f>INDEX(Tabledaily[date],MATCH(TableDailyJournal[[#This Row],[رقم العملية]],Tabledaily[رقم العملية],0))</f>
        <v>46177</v>
      </c>
      <c r="E102" s="58" t="str">
        <f>INDEX(Tabledaily[نوع العمليــة],MATCH(TableDailyJournal[[#This Row],[رقم العملية]],Tabledaily[رقم العملية],0))</f>
        <v>قبض عهدة</v>
      </c>
      <c r="F102" s="58">
        <f>IFERROR(INDEX(TableJudje[رقم الحساب],MATCH(TableDailyJournal[[#This Row],[الحساب]],TableJudje[اسم الحساب],0)),0)</f>
        <v>11060202</v>
      </c>
      <c r="G102" s="58" t="s">
        <v>159</v>
      </c>
      <c r="H102"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I102" s="60" t="str">
        <f>INDEX(Tabledaily[العملـــة],MATCH(TableDailyJournal[[#This Row],[رقم العملية]],Tabledaily[رقم العملية],0))</f>
        <v>ريال سعودي</v>
      </c>
      <c r="J102" s="59">
        <f>IFERROR(INDEX(Tabledaily[سعــــــر
الصـــــرف],MATCH(C102,Tabledaily[رقم العملية],0)),1)</f>
        <v>1</v>
      </c>
      <c r="K102" s="123" cm="1">
        <f t="array" ref="K102">IFERROR(INDEX(Tabledaily[المبلـــــــغ],MATCH(1,(TableDailyJournal[[#This Row],[رقم العملية]]=Tabledaily[رقم العملية])*(TableDailyJournal[[#This Row],[الحساب]]=Tabledaily[الحســاب المديــــن]),0)),0)</f>
        <v>14970</v>
      </c>
      <c r="L102" s="124" cm="1">
        <f t="array" ref="L102">IFERROR(INDEX(Tabledaily[المبلـــــــغ],MATCH(1,(TableDailyJournal[[#This Row],[رقم العملية]]=Tabledaily[رقم العملية])*(TableDailyJournal[[#This Row],[الحساب]]=Tabledaily[الحســاب الدئـــن]),0)),0)</f>
        <v>0</v>
      </c>
      <c r="M102" s="62">
        <f>IFERROR(TableDailyJournal[[#This Row],[المبلغ مدين]]/TableDailyJournal[[#This Row],[سعــــــر
الصـــــرف]],0)</f>
        <v>14970</v>
      </c>
      <c r="N102" s="62">
        <f>IFERROR(TableDailyJournal[[#This Row],[المبلغ دائن]]/TableDailyJournal[[#This Row],[سعــــــر
الصـــــرف]],0)</f>
        <v>0</v>
      </c>
      <c r="O102" s="121" t="str">
        <f>INDEX(Tabledaily[المستفيــــــــد],MATCH(TableDailyJournal[[#This Row],[رقم العملية]],Tabledaily[رقم العملية],0))</f>
        <v>عبدالمغني عبدالصمد</v>
      </c>
      <c r="P102" s="121" t="str">
        <f>INDEX(Tabledaily[المــــرجـــــــــع],MATCH(TableDailyJournal[[#This Row],[رقم العملية]],Tabledaily[رقم العملية],0))</f>
        <v>استلام نقدي</v>
      </c>
      <c r="Q102" s="121" t="str">
        <f>INDEX(Tabledaily[اســـــــم المــــرجــــع],MATCH(TableDailyJournal[[#This Row],[رقم العملية]],Tabledaily[رقم العملية],0))</f>
        <v>سند استلام</v>
      </c>
      <c r="R102" s="121">
        <f>INDEX(Tabledaily[رقم المـــــرجـــع],MATCH(TableDailyJournal[[#This Row],[رقم العملية]],Tabledaily[رقم العملية],0))</f>
        <v>0</v>
      </c>
      <c r="S102" s="121" t="str">
        <f>INDEX(Tabledaily[مركـــــــزالتكلفــــــة],MATCH(TableDailyJournal[[#This Row],[رقم العملية]],Tabledaily[رقم العملية],0))</f>
        <v>الفرقة الثالثة</v>
      </c>
      <c r="T102" s="121">
        <f>IFERROR(INDEX(tablecost[رقم المركز],MATCH(TableDailyJournal[[#This Row],[مركـــــــزالتكلفــــــة]],tablecost[الاسم],0)),0)</f>
        <v>1</v>
      </c>
      <c r="U102" s="122">
        <f>IFERROR(DATE(TableDailyJournal[[#This Row],[السنــــة]],TableDailyJournal[[#This Row],[الشهــــر]],TableDailyJournal[[#This Row],[الـــــيوم]]),"01-01-2026")</f>
        <v>46177</v>
      </c>
      <c r="V102" s="125">
        <f>INDEX(Tabledaily[تاريخ الإضافة],MATCH(TableDailyJournal[[#This Row],[رقم العملية]],Tabledaily[رقم العملية],0))</f>
        <v>46182.130983796298</v>
      </c>
      <c r="W102" s="58">
        <v>0</v>
      </c>
      <c r="X102" s="58">
        <f>IFERROR(YEAR(TableDailyJournal[[#This Row],[التاريخ]]),"")</f>
        <v>2026</v>
      </c>
      <c r="Y102" s="58">
        <f>IFERROR(MONTH(TableDailyJournal[[#This Row],[التاريخ]]),"")</f>
        <v>6</v>
      </c>
      <c r="Z102" s="58">
        <f>IFERROR(DAY(TableDailyJournal[[#This Row],[التاريخ]]),"")</f>
        <v>4</v>
      </c>
      <c r="AA102"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AB102" s="58">
        <f>INDEX(Tabledaily[جهة الامر],MATCH(TableDailyJournal[[#This Row],[رقم العملية]],Tabledaily[رقم العملية],0))</f>
        <v>0</v>
      </c>
    </row>
    <row r="103" spans="2:28" ht="45.75" x14ac:dyDescent="0.55000000000000004">
      <c r="B103" s="58">
        <f t="shared" si="1"/>
        <v>99</v>
      </c>
      <c r="C103" s="59" t="s">
        <v>281</v>
      </c>
      <c r="D103" s="60">
        <f>INDEX(Tabledaily[date],MATCH(TableDailyJournal[[#This Row],[رقم العملية]],Tabledaily[رقم العملية],0))</f>
        <v>46177</v>
      </c>
      <c r="E103" s="58" t="str">
        <f>INDEX(Tabledaily[نوع العمليــة],MATCH(TableDailyJournal[[#This Row],[رقم العملية]],Tabledaily[رقم العملية],0))</f>
        <v>قبض عهدة</v>
      </c>
      <c r="F103" s="58">
        <f>IFERROR(INDEX(TableJudje[رقم الحساب],MATCH(TableDailyJournal[[#This Row],[الحساب]],TableJudje[اسم الحساب],0)),0)</f>
        <v>11010101</v>
      </c>
      <c r="G103" s="58" t="s">
        <v>23</v>
      </c>
      <c r="H103" s="61"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I103" s="60" t="str">
        <f>INDEX(Tabledaily[العملـــة],MATCH(TableDailyJournal[[#This Row],[رقم العملية]],Tabledaily[رقم العملية],0))</f>
        <v>ريال سعودي</v>
      </c>
      <c r="J103" s="59">
        <f>IFERROR(INDEX(Tabledaily[سعــــــر
الصـــــرف],MATCH(C103,Tabledaily[رقم العملية],0)),1)</f>
        <v>1</v>
      </c>
      <c r="K103" s="123" cm="1">
        <f t="array" ref="K103">IFERROR(INDEX(Tabledaily[المبلـــــــغ],MATCH(1,(TableDailyJournal[[#This Row],[رقم العملية]]=Tabledaily[رقم العملية])*(TableDailyJournal[[#This Row],[الحساب]]=Tabledaily[الحســاب المديــــن]),0)),0)</f>
        <v>0</v>
      </c>
      <c r="L103" s="124" cm="1">
        <f t="array" ref="L103">IFERROR(INDEX(Tabledaily[المبلـــــــغ],MATCH(1,(TableDailyJournal[[#This Row],[رقم العملية]]=Tabledaily[رقم العملية])*(TableDailyJournal[[#This Row],[الحساب]]=Tabledaily[الحســاب الدئـــن]),0)),0)</f>
        <v>14970</v>
      </c>
      <c r="M103" s="62">
        <f>IFERROR(TableDailyJournal[[#This Row],[المبلغ مدين]]/TableDailyJournal[[#This Row],[سعــــــر
الصـــــرف]],0)</f>
        <v>0</v>
      </c>
      <c r="N103" s="62">
        <f>IFERROR(TableDailyJournal[[#This Row],[المبلغ دائن]]/TableDailyJournal[[#This Row],[سعــــــر
الصـــــرف]],0)</f>
        <v>14970</v>
      </c>
      <c r="O103" s="121" t="str">
        <f>INDEX(Tabledaily[المستفيــــــــد],MATCH(TableDailyJournal[[#This Row],[رقم العملية]],Tabledaily[رقم العملية],0))</f>
        <v>عبدالمغني عبدالصمد</v>
      </c>
      <c r="P103" s="121" t="str">
        <f>INDEX(Tabledaily[المــــرجـــــــــع],MATCH(TableDailyJournal[[#This Row],[رقم العملية]],Tabledaily[رقم العملية],0))</f>
        <v>استلام نقدي</v>
      </c>
      <c r="Q103" s="121" t="str">
        <f>INDEX(Tabledaily[اســـــــم المــــرجــــع],MATCH(TableDailyJournal[[#This Row],[رقم العملية]],Tabledaily[رقم العملية],0))</f>
        <v>سند استلام</v>
      </c>
      <c r="R103" s="121">
        <f>INDEX(Tabledaily[رقم المـــــرجـــع],MATCH(TableDailyJournal[[#This Row],[رقم العملية]],Tabledaily[رقم العملية],0))</f>
        <v>0</v>
      </c>
      <c r="S103" s="121" t="str">
        <f>INDEX(Tabledaily[مركـــــــزالتكلفــــــة],MATCH(TableDailyJournal[[#This Row],[رقم العملية]],Tabledaily[رقم العملية],0))</f>
        <v>الفرقة الثالثة</v>
      </c>
      <c r="T103" s="121">
        <f>IFERROR(INDEX(tablecost[رقم المركز],MATCH(TableDailyJournal[[#This Row],[مركـــــــزالتكلفــــــة]],tablecost[الاسم],0)),0)</f>
        <v>1</v>
      </c>
      <c r="U103" s="122">
        <f>IFERROR(DATE(TableDailyJournal[[#This Row],[السنــــة]],TableDailyJournal[[#This Row],[الشهــــر]],TableDailyJournal[[#This Row],[الـــــيوم]]),"01-01-2026")</f>
        <v>46177</v>
      </c>
      <c r="V103" s="125">
        <f>INDEX(Tabledaily[تاريخ الإضافة],MATCH(TableDailyJournal[[#This Row],[رقم العملية]],Tabledaily[رقم العملية],0))</f>
        <v>46182.130983796298</v>
      </c>
      <c r="W103" s="58">
        <v>0</v>
      </c>
      <c r="X103" s="58">
        <f>IFERROR(YEAR(TableDailyJournal[[#This Row],[التاريخ]]),"")</f>
        <v>2026</v>
      </c>
      <c r="Y103" s="58">
        <f>IFERROR(MONTH(TableDailyJournal[[#This Row],[التاريخ]]),"")</f>
        <v>6</v>
      </c>
      <c r="Z103" s="58">
        <f>IFERROR(DAY(TableDailyJournal[[#This Row],[التاريخ]]),"")</f>
        <v>4</v>
      </c>
      <c r="AA103" s="126" t="str">
        <f>INDEX(Tabledaily[المرجع البياني],MATCH(TableDailyJournal[[#This Row],[رقم العملية]],Tabledaily[رقم العملية],0))</f>
        <v>قيـد مقابـل:- (عهدة عبدالمغني - عبدالمغني عبدالصمد - الفرقة الثالثة)  - استلام نقدي رقم 0  سند استلام - استلام عهدة بامر</v>
      </c>
      <c r="AB103" s="58">
        <f>INDEX(Tabledaily[جهة الامر],MATCH(TableDailyJournal[[#This Row],[رقم العملية]],Tabledaily[رقم العملية],0))</f>
        <v>0</v>
      </c>
    </row>
    <row r="104" spans="2:28" ht="45.75" x14ac:dyDescent="0.55000000000000004">
      <c r="B104" s="58">
        <f t="shared" ref="B104:B131" si="2">ROW()-4</f>
        <v>100</v>
      </c>
      <c r="C104" s="59" t="s">
        <v>439</v>
      </c>
      <c r="D104" s="60">
        <f>INDEX(Tabledaily[date],MATCH(TableDailyJournal[[#This Row],[رقم العملية]],Tabledaily[رقم العملية],0))</f>
        <v>46177</v>
      </c>
      <c r="E104" s="58" t="str">
        <f>INDEX(Tabledaily[نوع العمليــة],MATCH(TableDailyJournal[[#This Row],[رقم العملية]],Tabledaily[رقم العملية],0))</f>
        <v>قيد عهده</v>
      </c>
      <c r="F104" s="58">
        <f>IFERROR(INDEX(TableJudje[رقم الحساب],MATCH(TableDailyJournal[[#This Row],[الحساب]],TableJudje[اسم الحساب],0)),0)</f>
        <v>31010101</v>
      </c>
      <c r="G104" s="58" t="s">
        <v>111</v>
      </c>
      <c r="H104"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بامرالمالية</v>
      </c>
      <c r="I104" s="60" t="str">
        <f>INDEX(Tabledaily[العملـــة],MATCH(TableDailyJournal[[#This Row],[رقم العملية]],Tabledaily[رقم العملية],0))</f>
        <v>ريال يمني</v>
      </c>
      <c r="J104" s="59">
        <f>IFERROR(INDEX(Tabledaily[سعــــــر
الصـــــرف],MATCH(C104,Tabledaily[رقم العملية],0)),1)</f>
        <v>405</v>
      </c>
      <c r="K104" s="123" cm="1">
        <f t="array" ref="K104">IFERROR(INDEX(Tabledaily[المبلـــــــغ],MATCH(1,(TableDailyJournal[[#This Row],[رقم العملية]]=Tabledaily[رقم العملية])*(TableDailyJournal[[#This Row],[الحساب]]=Tabledaily[الحســاب المديــــن]),0)),0)</f>
        <v>43000</v>
      </c>
      <c r="L104" s="123" cm="1">
        <f t="array" ref="L104">IFERROR(INDEX(Tabledaily[المبلـــــــغ],MATCH(1,(TableDailyJournal[[#This Row],[رقم العملية]]=Tabledaily[رقم العملية])*(TableDailyJournal[[#This Row],[الحساب]]=Tabledaily[الحســاب الدئـــن]),0)),0)</f>
        <v>0</v>
      </c>
      <c r="M104" s="119">
        <f>IFERROR(TableDailyJournal[[#This Row],[المبلغ مدين]]/TableDailyJournal[[#This Row],[سعــــــر
الصـــــرف]],0)</f>
        <v>106.17283950617283</v>
      </c>
      <c r="N104" s="119">
        <f>IFERROR(TableDailyJournal[[#This Row],[المبلغ دائن]]/TableDailyJournal[[#This Row],[سعــــــر
الصـــــرف]],0)</f>
        <v>0</v>
      </c>
      <c r="O104" s="121" t="str">
        <f>INDEX(Tabledaily[المستفيــــــــد],MATCH(TableDailyJournal[[#This Row],[رقم العملية]],Tabledaily[رقم العملية],0))</f>
        <v>السيطرة والاتصالات</v>
      </c>
      <c r="P104" s="121" t="str">
        <f>INDEX(Tabledaily[المــــرجـــــــــع],MATCH(TableDailyJournal[[#This Row],[رقم العملية]],Tabledaily[رقم العملية],0))</f>
        <v>كشف صرف</v>
      </c>
      <c r="Q104" s="121" t="str">
        <f>INDEX(Tabledaily[اســـــــم المــــرجــــع],MATCH(TableDailyJournal[[#This Row],[رقم العملية]],Tabledaily[رقم العملية],0))</f>
        <v>كشف صرف</v>
      </c>
      <c r="R104" s="121">
        <f>INDEX(Tabledaily[رقم المـــــرجـــع],MATCH(TableDailyJournal[[#This Row],[رقم العملية]],Tabledaily[رقم العملية],0))</f>
        <v>0</v>
      </c>
      <c r="S104" s="121" t="str">
        <f>INDEX(Tabledaily[مركـــــــزالتكلفــــــة],MATCH(TableDailyJournal[[#This Row],[رقم العملية]],Tabledaily[رقم العملية],0))</f>
        <v>الفرقة الثالثة</v>
      </c>
      <c r="T104" s="121">
        <f>IFERROR(INDEX(tablecost[رقم المركز],MATCH(TableDailyJournal[[#This Row],[مركـــــــزالتكلفــــــة]],tablecost[الاسم],0)),0)</f>
        <v>1</v>
      </c>
      <c r="U104" s="122">
        <f>IFERROR(DATE(TableDailyJournal[[#This Row],[السنــــة]],TableDailyJournal[[#This Row],[الشهــــر]],TableDailyJournal[[#This Row],[الـــــيوم]]),"01-01-2026")</f>
        <v>46177</v>
      </c>
      <c r="V104" s="125">
        <f>INDEX(Tabledaily[تاريخ الإضافة],MATCH(TableDailyJournal[[#This Row],[رقم العملية]],Tabledaily[رقم العملية],0))</f>
        <v>46184.998240740744</v>
      </c>
      <c r="W104" s="58"/>
      <c r="X104" s="58">
        <f>IFERROR(YEAR(TableDailyJournal[[#This Row],[التاريخ]]),"")</f>
        <v>2026</v>
      </c>
      <c r="Y104" s="58">
        <f>IFERROR(MONTH(TableDailyJournal[[#This Row],[التاريخ]]),"")</f>
        <v>6</v>
      </c>
      <c r="Z104" s="58">
        <f>IFERROR(DAY(TableDailyJournal[[#This Row],[التاريخ]]),"")</f>
        <v>4</v>
      </c>
      <c r="AA104"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بامرالمالية</v>
      </c>
      <c r="AB104" s="58" t="str">
        <f>INDEX(Tabledaily[جهة الامر],MATCH(TableDailyJournal[[#This Row],[رقم العملية]],Tabledaily[رقم العملية],0))</f>
        <v>المالية</v>
      </c>
    </row>
    <row r="105" spans="2:28" ht="45.75" x14ac:dyDescent="0.55000000000000004">
      <c r="B105" s="58">
        <f t="shared" si="2"/>
        <v>101</v>
      </c>
      <c r="C105" s="59" t="s">
        <v>439</v>
      </c>
      <c r="D105" s="60">
        <f>INDEX(Tabledaily[date],MATCH(TableDailyJournal[[#This Row],[رقم العملية]],Tabledaily[رقم العملية],0))</f>
        <v>46177</v>
      </c>
      <c r="E105" s="58" t="str">
        <f>INDEX(Tabledaily[نوع العمليــة],MATCH(TableDailyJournal[[#This Row],[رقم العملية]],Tabledaily[رقم العملية],0))</f>
        <v>قيد عهده</v>
      </c>
      <c r="F105" s="58">
        <f>IFERROR(INDEX(TableJudje[رقم الحساب],MATCH(TableDailyJournal[[#This Row],[الحساب]],TableJudje[اسم الحساب],0)),0)</f>
        <v>11060202</v>
      </c>
      <c r="G105" s="58" t="s">
        <v>159</v>
      </c>
      <c r="H105"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بامرالمالية</v>
      </c>
      <c r="I105" s="60" t="str">
        <f>INDEX(Tabledaily[العملـــة],MATCH(TableDailyJournal[[#This Row],[رقم العملية]],Tabledaily[رقم العملية],0))</f>
        <v>ريال يمني</v>
      </c>
      <c r="J105" s="59">
        <f>IFERROR(INDEX(Tabledaily[سعــــــر
الصـــــرف],MATCH(C105,Tabledaily[رقم العملية],0)),1)</f>
        <v>405</v>
      </c>
      <c r="K105" s="123" cm="1">
        <f t="array" ref="K105">IFERROR(INDEX(Tabledaily[المبلـــــــغ],MATCH(1,(TableDailyJournal[[#This Row],[رقم العملية]]=Tabledaily[رقم العملية])*(TableDailyJournal[[#This Row],[الحساب]]=Tabledaily[الحســاب المديــــن]),0)),0)</f>
        <v>0</v>
      </c>
      <c r="L105" s="123" cm="1">
        <f t="array" ref="L105">IFERROR(INDEX(Tabledaily[المبلـــــــغ],MATCH(1,(TableDailyJournal[[#This Row],[رقم العملية]]=Tabledaily[رقم العملية])*(TableDailyJournal[[#This Row],[الحساب]]=Tabledaily[الحســاب الدئـــن]),0)),0)</f>
        <v>43000</v>
      </c>
      <c r="M105" s="119">
        <f>IFERROR(TableDailyJournal[[#This Row],[المبلغ مدين]]/TableDailyJournal[[#This Row],[سعــــــر
الصـــــرف]],0)</f>
        <v>0</v>
      </c>
      <c r="N105" s="119">
        <f>IFERROR(TableDailyJournal[[#This Row],[المبلغ دائن]]/TableDailyJournal[[#This Row],[سعــــــر
الصـــــرف]],0)</f>
        <v>106.17283950617283</v>
      </c>
      <c r="O105" s="121" t="str">
        <f>INDEX(Tabledaily[المستفيــــــــد],MATCH(TableDailyJournal[[#This Row],[رقم العملية]],Tabledaily[رقم العملية],0))</f>
        <v>السيطرة والاتصالات</v>
      </c>
      <c r="P105" s="121" t="str">
        <f>INDEX(Tabledaily[المــــرجـــــــــع],MATCH(TableDailyJournal[[#This Row],[رقم العملية]],Tabledaily[رقم العملية],0))</f>
        <v>كشف صرف</v>
      </c>
      <c r="Q105" s="121" t="str">
        <f>INDEX(Tabledaily[اســـــــم المــــرجــــع],MATCH(TableDailyJournal[[#This Row],[رقم العملية]],Tabledaily[رقم العملية],0))</f>
        <v>كشف صرف</v>
      </c>
      <c r="R105" s="121">
        <f>INDEX(Tabledaily[رقم المـــــرجـــع],MATCH(TableDailyJournal[[#This Row],[رقم العملية]],Tabledaily[رقم العملية],0))</f>
        <v>0</v>
      </c>
      <c r="S105" s="121" t="str">
        <f>INDEX(Tabledaily[مركـــــــزالتكلفــــــة],MATCH(TableDailyJournal[[#This Row],[رقم العملية]],Tabledaily[رقم العملية],0))</f>
        <v>الفرقة الثالثة</v>
      </c>
      <c r="T105" s="121">
        <f>IFERROR(INDEX(tablecost[رقم المركز],MATCH(TableDailyJournal[[#This Row],[مركـــــــزالتكلفــــــة]],tablecost[الاسم],0)),0)</f>
        <v>1</v>
      </c>
      <c r="U105" s="122">
        <f>IFERROR(DATE(TableDailyJournal[[#This Row],[السنــــة]],TableDailyJournal[[#This Row],[الشهــــر]],TableDailyJournal[[#This Row],[الـــــيوم]]),"01-01-2026")</f>
        <v>46177</v>
      </c>
      <c r="V105" s="125">
        <f>INDEX(Tabledaily[تاريخ الإضافة],MATCH(TableDailyJournal[[#This Row],[رقم العملية]],Tabledaily[رقم العملية],0))</f>
        <v>46184.998240740744</v>
      </c>
      <c r="W105" s="58"/>
      <c r="X105" s="58">
        <f>IFERROR(YEAR(TableDailyJournal[[#This Row],[التاريخ]]),"")</f>
        <v>2026</v>
      </c>
      <c r="Y105" s="58">
        <f>IFERROR(MONTH(TableDailyJournal[[#This Row],[التاريخ]]),"")</f>
        <v>6</v>
      </c>
      <c r="Z105" s="58">
        <f>IFERROR(DAY(TableDailyJournal[[#This Row],[التاريخ]]),"")</f>
        <v>4</v>
      </c>
      <c r="AA105"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بامرالمالية</v>
      </c>
      <c r="AB105" s="58" t="str">
        <f>INDEX(Tabledaily[جهة الامر],MATCH(TableDailyJournal[[#This Row],[رقم العملية]],Tabledaily[رقم العملية],0))</f>
        <v>المالية</v>
      </c>
    </row>
    <row r="106" spans="2:28" ht="45.75" x14ac:dyDescent="0.55000000000000004">
      <c r="B106" s="58">
        <f t="shared" si="2"/>
        <v>102</v>
      </c>
      <c r="C106" s="59" t="s">
        <v>442</v>
      </c>
      <c r="D106" s="60">
        <f>INDEX(Tabledaily[date],MATCH(TableDailyJournal[[#This Row],[رقم العملية]],Tabledaily[رقم العملية],0))</f>
        <v>46177</v>
      </c>
      <c r="E106" s="58" t="str">
        <f>INDEX(Tabledaily[نوع العمليــة],MATCH(TableDailyJournal[[#This Row],[رقم العملية]],Tabledaily[رقم العملية],0))</f>
        <v>قيد عهده</v>
      </c>
      <c r="F106" s="58">
        <f>IFERROR(INDEX(TableJudje[رقم الحساب],MATCH(TableDailyJournal[[#This Row],[الحساب]],TableJudje[اسم الحساب],0)),0)</f>
        <v>31010101</v>
      </c>
      <c r="G106" s="58" t="s">
        <v>111</v>
      </c>
      <c r="H106"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بامرالمالية</v>
      </c>
      <c r="I106" s="60" t="str">
        <f>INDEX(Tabledaily[العملـــة],MATCH(TableDailyJournal[[#This Row],[رقم العملية]],Tabledaily[رقم العملية],0))</f>
        <v>ريال يمني</v>
      </c>
      <c r="J106" s="59">
        <f>IFERROR(INDEX(Tabledaily[سعــــــر
الصـــــرف],MATCH(C106,Tabledaily[رقم العملية],0)),1)</f>
        <v>405</v>
      </c>
      <c r="K106" s="123" cm="1">
        <f t="array" ref="K106">IFERROR(INDEX(Tabledaily[المبلـــــــغ],MATCH(1,(TableDailyJournal[[#This Row],[رقم العملية]]=Tabledaily[رقم العملية])*(TableDailyJournal[[#This Row],[الحساب]]=Tabledaily[الحســاب المديــــن]),0)),0)</f>
        <v>132000</v>
      </c>
      <c r="L106" s="123" cm="1">
        <f t="array" ref="L106">IFERROR(INDEX(Tabledaily[المبلـــــــغ],MATCH(1,(TableDailyJournal[[#This Row],[رقم العملية]]=Tabledaily[رقم العملية])*(TableDailyJournal[[#This Row],[الحساب]]=Tabledaily[الحســاب الدئـــن]),0)),0)</f>
        <v>0</v>
      </c>
      <c r="M106" s="119">
        <f>IFERROR(TableDailyJournal[[#This Row],[المبلغ مدين]]/TableDailyJournal[[#This Row],[سعــــــر
الصـــــرف]],0)</f>
        <v>325.92592592592592</v>
      </c>
      <c r="N106" s="119">
        <f>IFERROR(TableDailyJournal[[#This Row],[المبلغ دائن]]/TableDailyJournal[[#This Row],[سعــــــر
الصـــــرف]],0)</f>
        <v>0</v>
      </c>
      <c r="O106" s="121" t="str">
        <f>INDEX(Tabledaily[المستفيــــــــد],MATCH(TableDailyJournal[[#This Row],[رقم العملية]],Tabledaily[رقم العملية],0))</f>
        <v>الامداد</v>
      </c>
      <c r="P106" s="121" t="str">
        <f>INDEX(Tabledaily[المــــرجـــــــــع],MATCH(TableDailyJournal[[#This Row],[رقم العملية]],Tabledaily[رقم العملية],0))</f>
        <v>كشف صرف</v>
      </c>
      <c r="Q106" s="121" t="str">
        <f>INDEX(Tabledaily[اســـــــم المــــرجــــع],MATCH(TableDailyJournal[[#This Row],[رقم العملية]],Tabledaily[رقم العملية],0))</f>
        <v>كشف صرف</v>
      </c>
      <c r="R106" s="121">
        <f>INDEX(Tabledaily[رقم المـــــرجـــع],MATCH(TableDailyJournal[[#This Row],[رقم العملية]],Tabledaily[رقم العملية],0))</f>
        <v>0</v>
      </c>
      <c r="S106" s="121" t="str">
        <f>INDEX(Tabledaily[مركـــــــزالتكلفــــــة],MATCH(TableDailyJournal[[#This Row],[رقم العملية]],Tabledaily[رقم العملية],0))</f>
        <v>الفرقة الثالثة</v>
      </c>
      <c r="T106" s="121">
        <f>IFERROR(INDEX(tablecost[رقم المركز],MATCH(TableDailyJournal[[#This Row],[مركـــــــزالتكلفــــــة]],tablecost[الاسم],0)),0)</f>
        <v>1</v>
      </c>
      <c r="U106" s="122">
        <f>IFERROR(DATE(TableDailyJournal[[#This Row],[السنــــة]],TableDailyJournal[[#This Row],[الشهــــر]],TableDailyJournal[[#This Row],[الـــــيوم]]),"01-01-2026")</f>
        <v>46177</v>
      </c>
      <c r="V106" s="125">
        <f>INDEX(Tabledaily[تاريخ الإضافة],MATCH(TableDailyJournal[[#This Row],[رقم العملية]],Tabledaily[رقم العملية],0))</f>
        <v>46184.998877314814</v>
      </c>
      <c r="W106" s="58"/>
      <c r="X106" s="58">
        <f>IFERROR(YEAR(TableDailyJournal[[#This Row],[التاريخ]]),"")</f>
        <v>2026</v>
      </c>
      <c r="Y106" s="58">
        <f>IFERROR(MONTH(TableDailyJournal[[#This Row],[التاريخ]]),"")</f>
        <v>6</v>
      </c>
      <c r="Z106" s="58">
        <f>IFERROR(DAY(TableDailyJournal[[#This Row],[التاريخ]]),"")</f>
        <v>4</v>
      </c>
      <c r="AA106"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بامرالمالية</v>
      </c>
      <c r="AB106" s="58" t="str">
        <f>INDEX(Tabledaily[جهة الامر],MATCH(TableDailyJournal[[#This Row],[رقم العملية]],Tabledaily[رقم العملية],0))</f>
        <v>المالية</v>
      </c>
    </row>
    <row r="107" spans="2:28" ht="45.75" x14ac:dyDescent="0.55000000000000004">
      <c r="B107" s="58">
        <f t="shared" si="2"/>
        <v>103</v>
      </c>
      <c r="C107" s="59" t="s">
        <v>442</v>
      </c>
      <c r="D107" s="60">
        <f>INDEX(Tabledaily[date],MATCH(TableDailyJournal[[#This Row],[رقم العملية]],Tabledaily[رقم العملية],0))</f>
        <v>46177</v>
      </c>
      <c r="E107" s="58" t="str">
        <f>INDEX(Tabledaily[نوع العمليــة],MATCH(TableDailyJournal[[#This Row],[رقم العملية]],Tabledaily[رقم العملية],0))</f>
        <v>قيد عهده</v>
      </c>
      <c r="F107" s="58">
        <f>IFERROR(INDEX(TableJudje[رقم الحساب],MATCH(TableDailyJournal[[#This Row],[الحساب]],TableJudje[اسم الحساب],0)),0)</f>
        <v>11060202</v>
      </c>
      <c r="G107" s="58" t="s">
        <v>159</v>
      </c>
      <c r="H107"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بامرالمالية</v>
      </c>
      <c r="I107" s="60" t="str">
        <f>INDEX(Tabledaily[العملـــة],MATCH(TableDailyJournal[[#This Row],[رقم العملية]],Tabledaily[رقم العملية],0))</f>
        <v>ريال يمني</v>
      </c>
      <c r="J107" s="59">
        <f>IFERROR(INDEX(Tabledaily[سعــــــر
الصـــــرف],MATCH(C107,Tabledaily[رقم العملية],0)),1)</f>
        <v>405</v>
      </c>
      <c r="K107" s="123" cm="1">
        <f t="array" ref="K107">IFERROR(INDEX(Tabledaily[المبلـــــــغ],MATCH(1,(TableDailyJournal[[#This Row],[رقم العملية]]=Tabledaily[رقم العملية])*(TableDailyJournal[[#This Row],[الحساب]]=Tabledaily[الحســاب المديــــن]),0)),0)</f>
        <v>0</v>
      </c>
      <c r="L107" s="123" cm="1">
        <f t="array" ref="L107">IFERROR(INDEX(Tabledaily[المبلـــــــغ],MATCH(1,(TableDailyJournal[[#This Row],[رقم العملية]]=Tabledaily[رقم العملية])*(TableDailyJournal[[#This Row],[الحساب]]=Tabledaily[الحســاب الدئـــن]),0)),0)</f>
        <v>132000</v>
      </c>
      <c r="M107" s="119">
        <f>IFERROR(TableDailyJournal[[#This Row],[المبلغ مدين]]/TableDailyJournal[[#This Row],[سعــــــر
الصـــــرف]],0)</f>
        <v>0</v>
      </c>
      <c r="N107" s="119">
        <f>IFERROR(TableDailyJournal[[#This Row],[المبلغ دائن]]/TableDailyJournal[[#This Row],[سعــــــر
الصـــــرف]],0)</f>
        <v>325.92592592592592</v>
      </c>
      <c r="O107" s="121" t="str">
        <f>INDEX(Tabledaily[المستفيــــــــد],MATCH(TableDailyJournal[[#This Row],[رقم العملية]],Tabledaily[رقم العملية],0))</f>
        <v>الامداد</v>
      </c>
      <c r="P107" s="121" t="str">
        <f>INDEX(Tabledaily[المــــرجـــــــــع],MATCH(TableDailyJournal[[#This Row],[رقم العملية]],Tabledaily[رقم العملية],0))</f>
        <v>كشف صرف</v>
      </c>
      <c r="Q107" s="121" t="str">
        <f>INDEX(Tabledaily[اســـــــم المــــرجــــع],MATCH(TableDailyJournal[[#This Row],[رقم العملية]],Tabledaily[رقم العملية],0))</f>
        <v>كشف صرف</v>
      </c>
      <c r="R107" s="121">
        <f>INDEX(Tabledaily[رقم المـــــرجـــع],MATCH(TableDailyJournal[[#This Row],[رقم العملية]],Tabledaily[رقم العملية],0))</f>
        <v>0</v>
      </c>
      <c r="S107" s="121" t="str">
        <f>INDEX(Tabledaily[مركـــــــزالتكلفــــــة],MATCH(TableDailyJournal[[#This Row],[رقم العملية]],Tabledaily[رقم العملية],0))</f>
        <v>الفرقة الثالثة</v>
      </c>
      <c r="T107" s="121">
        <f>IFERROR(INDEX(tablecost[رقم المركز],MATCH(TableDailyJournal[[#This Row],[مركـــــــزالتكلفــــــة]],tablecost[الاسم],0)),0)</f>
        <v>1</v>
      </c>
      <c r="U107" s="122">
        <f>IFERROR(DATE(TableDailyJournal[[#This Row],[السنــــة]],TableDailyJournal[[#This Row],[الشهــــر]],TableDailyJournal[[#This Row],[الـــــيوم]]),"01-01-2026")</f>
        <v>46177</v>
      </c>
      <c r="V107" s="125">
        <f>INDEX(Tabledaily[تاريخ الإضافة],MATCH(TableDailyJournal[[#This Row],[رقم العملية]],Tabledaily[رقم العملية],0))</f>
        <v>46184.998877314814</v>
      </c>
      <c r="W107" s="58"/>
      <c r="X107" s="58">
        <f>IFERROR(YEAR(TableDailyJournal[[#This Row],[التاريخ]]),"")</f>
        <v>2026</v>
      </c>
      <c r="Y107" s="58">
        <f>IFERROR(MONTH(TableDailyJournal[[#This Row],[التاريخ]]),"")</f>
        <v>6</v>
      </c>
      <c r="Z107" s="58">
        <f>IFERROR(DAY(TableDailyJournal[[#This Row],[التاريخ]]),"")</f>
        <v>4</v>
      </c>
      <c r="AA107"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بامرالمالية</v>
      </c>
      <c r="AB107" s="58" t="str">
        <f>INDEX(Tabledaily[جهة الامر],MATCH(TableDailyJournal[[#This Row],[رقم العملية]],Tabledaily[رقم العملية],0))</f>
        <v>المالية</v>
      </c>
    </row>
    <row r="108" spans="2:28" ht="45.75" x14ac:dyDescent="0.55000000000000004">
      <c r="B108" s="58">
        <f t="shared" si="2"/>
        <v>104</v>
      </c>
      <c r="C108" s="59" t="s">
        <v>444</v>
      </c>
      <c r="D108" s="60">
        <f>INDEX(Tabledaily[date],MATCH(TableDailyJournal[[#This Row],[رقم العملية]],Tabledaily[رقم العملية],0))</f>
        <v>46177</v>
      </c>
      <c r="E108" s="58" t="str">
        <f>INDEX(Tabledaily[نوع العمليــة],MATCH(TableDailyJournal[[#This Row],[رقم العملية]],Tabledaily[رقم العملية],0))</f>
        <v>قيد عهده</v>
      </c>
      <c r="F108" s="58">
        <f>IFERROR(INDEX(TableJudje[رقم الحساب],MATCH(TableDailyJournal[[#This Row],[الحساب]],TableJudje[اسم الحساب],0)),0)</f>
        <v>31010101</v>
      </c>
      <c r="G108" s="58" t="s">
        <v>111</v>
      </c>
      <c r="H108" s="61"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55 فرد بامرالمالية</v>
      </c>
      <c r="I108" s="60" t="str">
        <f>INDEX(Tabledaily[العملـــة],MATCH(TableDailyJournal[[#This Row],[رقم العملية]],Tabledaily[رقم العملية],0))</f>
        <v>ريال يمني</v>
      </c>
      <c r="J108" s="59">
        <f>IFERROR(INDEX(Tabledaily[سعــــــر
الصـــــرف],MATCH(C108,Tabledaily[رقم العملية],0)),1)</f>
        <v>405</v>
      </c>
      <c r="K108" s="123" cm="1">
        <f t="array" ref="K108">IFERROR(INDEX(Tabledaily[المبلـــــــغ],MATCH(1,(TableDailyJournal[[#This Row],[رقم العملية]]=Tabledaily[رقم العملية])*(TableDailyJournal[[#This Row],[الحساب]]=Tabledaily[الحســاب المديــــن]),0)),0)</f>
        <v>660000</v>
      </c>
      <c r="L108" s="123" cm="1">
        <f t="array" ref="L108">IFERROR(INDEX(Tabledaily[المبلـــــــغ],MATCH(1,(TableDailyJournal[[#This Row],[رقم العملية]]=Tabledaily[رقم العملية])*(TableDailyJournal[[#This Row],[الحساب]]=Tabledaily[الحســاب الدئـــن]),0)),0)</f>
        <v>0</v>
      </c>
      <c r="M108" s="119">
        <f>IFERROR(TableDailyJournal[[#This Row],[المبلغ مدين]]/TableDailyJournal[[#This Row],[سعــــــر
الصـــــرف]],0)</f>
        <v>1629.6296296296296</v>
      </c>
      <c r="N108" s="119">
        <f>IFERROR(TableDailyJournal[[#This Row],[المبلغ دائن]]/TableDailyJournal[[#This Row],[سعــــــر
الصـــــرف]],0)</f>
        <v>0</v>
      </c>
      <c r="O108" s="121" t="str">
        <f>INDEX(Tabledaily[المستفيــــــــد],MATCH(TableDailyJournal[[#This Row],[رقم العملية]],Tabledaily[رقم العملية],0))</f>
        <v>سرية الشرطة</v>
      </c>
      <c r="P108" s="121" t="str">
        <f>INDEX(Tabledaily[المــــرجـــــــــع],MATCH(TableDailyJournal[[#This Row],[رقم العملية]],Tabledaily[رقم العملية],0))</f>
        <v>كشف صرف</v>
      </c>
      <c r="Q108" s="121" t="str">
        <f>INDEX(Tabledaily[اســـــــم المــــرجــــع],MATCH(TableDailyJournal[[#This Row],[رقم العملية]],Tabledaily[رقم العملية],0))</f>
        <v>كشف صرف</v>
      </c>
      <c r="R108" s="121">
        <f>INDEX(Tabledaily[رقم المـــــرجـــع],MATCH(TableDailyJournal[[#This Row],[رقم العملية]],Tabledaily[رقم العملية],0))</f>
        <v>0</v>
      </c>
      <c r="S108" s="121" t="str">
        <f>INDEX(Tabledaily[مركـــــــزالتكلفــــــة],MATCH(TableDailyJournal[[#This Row],[رقم العملية]],Tabledaily[رقم العملية],0))</f>
        <v>الفرقة الثالثة</v>
      </c>
      <c r="T108" s="121">
        <f>IFERROR(INDEX(tablecost[رقم المركز],MATCH(TableDailyJournal[[#This Row],[مركـــــــزالتكلفــــــة]],tablecost[الاسم],0)),0)</f>
        <v>1</v>
      </c>
      <c r="U108" s="122">
        <f>IFERROR(DATE(TableDailyJournal[[#This Row],[السنــــة]],TableDailyJournal[[#This Row],[الشهــــر]],TableDailyJournal[[#This Row],[الـــــيوم]]),"01-01-2026")</f>
        <v>46177</v>
      </c>
      <c r="V108" s="125">
        <f>INDEX(Tabledaily[تاريخ الإضافة],MATCH(TableDailyJournal[[#This Row],[رقم العملية]],Tabledaily[رقم العملية],0))</f>
        <v>46185.000393518516</v>
      </c>
      <c r="W108" s="58"/>
      <c r="X108" s="58">
        <f>IFERROR(YEAR(TableDailyJournal[[#This Row],[التاريخ]]),"")</f>
        <v>2026</v>
      </c>
      <c r="Y108" s="58">
        <f>IFERROR(MONTH(TableDailyJournal[[#This Row],[التاريخ]]),"")</f>
        <v>6</v>
      </c>
      <c r="Z108" s="58">
        <f>IFERROR(DAY(TableDailyJournal[[#This Row],[التاريخ]]),"")</f>
        <v>4</v>
      </c>
      <c r="AA108" s="126"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55 فرد بامرالمالية</v>
      </c>
      <c r="AB108" s="58" t="str">
        <f>INDEX(Tabledaily[جهة الامر],MATCH(TableDailyJournal[[#This Row],[رقم العملية]],Tabledaily[رقم العملية],0))</f>
        <v>المالية</v>
      </c>
    </row>
    <row r="109" spans="2:28" ht="45.75" x14ac:dyDescent="0.55000000000000004">
      <c r="B109" s="58">
        <f t="shared" si="2"/>
        <v>105</v>
      </c>
      <c r="C109" s="59" t="s">
        <v>444</v>
      </c>
      <c r="D109" s="60">
        <f>INDEX(Tabledaily[date],MATCH(TableDailyJournal[[#This Row],[رقم العملية]],Tabledaily[رقم العملية],0))</f>
        <v>46177</v>
      </c>
      <c r="E109" s="58" t="str">
        <f>INDEX(Tabledaily[نوع العمليــة],MATCH(TableDailyJournal[[#This Row],[رقم العملية]],Tabledaily[رقم العملية],0))</f>
        <v>قيد عهده</v>
      </c>
      <c r="F109" s="58">
        <f>IFERROR(INDEX(TableJudje[رقم الحساب],MATCH(TableDailyJournal[[#This Row],[الحساب]],TableJudje[اسم الحساب],0)),0)</f>
        <v>11060202</v>
      </c>
      <c r="G109" s="58" t="s">
        <v>159</v>
      </c>
      <c r="H109" s="61"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55 فرد بامرالمالية</v>
      </c>
      <c r="I109" s="60" t="str">
        <f>INDEX(Tabledaily[العملـــة],MATCH(TableDailyJournal[[#This Row],[رقم العملية]],Tabledaily[رقم العملية],0))</f>
        <v>ريال يمني</v>
      </c>
      <c r="J109" s="59">
        <f>IFERROR(INDEX(Tabledaily[سعــــــر
الصـــــرف],MATCH(C109,Tabledaily[رقم العملية],0)),1)</f>
        <v>405</v>
      </c>
      <c r="K109" s="123" cm="1">
        <f t="array" ref="K109">IFERROR(INDEX(Tabledaily[المبلـــــــغ],MATCH(1,(TableDailyJournal[[#This Row],[رقم العملية]]=Tabledaily[رقم العملية])*(TableDailyJournal[[#This Row],[الحساب]]=Tabledaily[الحســاب المديــــن]),0)),0)</f>
        <v>0</v>
      </c>
      <c r="L109" s="123" cm="1">
        <f t="array" ref="L109">IFERROR(INDEX(Tabledaily[المبلـــــــغ],MATCH(1,(TableDailyJournal[[#This Row],[رقم العملية]]=Tabledaily[رقم العملية])*(TableDailyJournal[[#This Row],[الحساب]]=Tabledaily[الحســاب الدئـــن]),0)),0)</f>
        <v>660000</v>
      </c>
      <c r="M109" s="119">
        <f>IFERROR(TableDailyJournal[[#This Row],[المبلغ مدين]]/TableDailyJournal[[#This Row],[سعــــــر
الصـــــرف]],0)</f>
        <v>0</v>
      </c>
      <c r="N109" s="119">
        <f>IFERROR(TableDailyJournal[[#This Row],[المبلغ دائن]]/TableDailyJournal[[#This Row],[سعــــــر
الصـــــرف]],0)</f>
        <v>1629.6296296296296</v>
      </c>
      <c r="O109" s="121" t="str">
        <f>INDEX(Tabledaily[المستفيــــــــد],MATCH(TableDailyJournal[[#This Row],[رقم العملية]],Tabledaily[رقم العملية],0))</f>
        <v>سرية الشرطة</v>
      </c>
      <c r="P109" s="121" t="str">
        <f>INDEX(Tabledaily[المــــرجـــــــــع],MATCH(TableDailyJournal[[#This Row],[رقم العملية]],Tabledaily[رقم العملية],0))</f>
        <v>كشف صرف</v>
      </c>
      <c r="Q109" s="121" t="str">
        <f>INDEX(Tabledaily[اســـــــم المــــرجــــع],MATCH(TableDailyJournal[[#This Row],[رقم العملية]],Tabledaily[رقم العملية],0))</f>
        <v>كشف صرف</v>
      </c>
      <c r="R109" s="121">
        <f>INDEX(Tabledaily[رقم المـــــرجـــع],MATCH(TableDailyJournal[[#This Row],[رقم العملية]],Tabledaily[رقم العملية],0))</f>
        <v>0</v>
      </c>
      <c r="S109" s="121" t="str">
        <f>INDEX(Tabledaily[مركـــــــزالتكلفــــــة],MATCH(TableDailyJournal[[#This Row],[رقم العملية]],Tabledaily[رقم العملية],0))</f>
        <v>الفرقة الثالثة</v>
      </c>
      <c r="T109" s="121">
        <f>IFERROR(INDEX(tablecost[رقم المركز],MATCH(TableDailyJournal[[#This Row],[مركـــــــزالتكلفــــــة]],tablecost[الاسم],0)),0)</f>
        <v>1</v>
      </c>
      <c r="U109" s="122">
        <f>IFERROR(DATE(TableDailyJournal[[#This Row],[السنــــة]],TableDailyJournal[[#This Row],[الشهــــر]],TableDailyJournal[[#This Row],[الـــــيوم]]),"01-01-2026")</f>
        <v>46177</v>
      </c>
      <c r="V109" s="125">
        <f>INDEX(Tabledaily[تاريخ الإضافة],MATCH(TableDailyJournal[[#This Row],[رقم العملية]],Tabledaily[رقم العملية],0))</f>
        <v>46185.000393518516</v>
      </c>
      <c r="W109" s="58"/>
      <c r="X109" s="58">
        <f>IFERROR(YEAR(TableDailyJournal[[#This Row],[التاريخ]]),"")</f>
        <v>2026</v>
      </c>
      <c r="Y109" s="58">
        <f>IFERROR(MONTH(TableDailyJournal[[#This Row],[التاريخ]]),"")</f>
        <v>6</v>
      </c>
      <c r="Z109" s="58">
        <f>IFERROR(DAY(TableDailyJournal[[#This Row],[التاريخ]]),"")</f>
        <v>4</v>
      </c>
      <c r="AA109" s="126"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55 فرد بامرالمالية</v>
      </c>
      <c r="AB109" s="58" t="str">
        <f>INDEX(Tabledaily[جهة الامر],MATCH(TableDailyJournal[[#This Row],[رقم العملية]],Tabledaily[رقم العملية],0))</f>
        <v>المالية</v>
      </c>
    </row>
    <row r="110" spans="2:28" ht="45.75" x14ac:dyDescent="0.55000000000000004">
      <c r="B110" s="58">
        <f t="shared" si="2"/>
        <v>106</v>
      </c>
      <c r="C110" s="59" t="s">
        <v>447</v>
      </c>
      <c r="D110" s="60">
        <f>INDEX(Tabledaily[date],MATCH(TableDailyJournal[[#This Row],[رقم العملية]],Tabledaily[رقم العملية],0))</f>
        <v>46177</v>
      </c>
      <c r="E110" s="58" t="str">
        <f>INDEX(Tabledaily[نوع العمليــة],MATCH(TableDailyJournal[[#This Row],[رقم العملية]],Tabledaily[رقم العملية],0))</f>
        <v>قيد عهده</v>
      </c>
      <c r="F110" s="58">
        <f>IFERROR(INDEX(TableJudje[رقم الحساب],MATCH(TableDailyJournal[[#This Row],[الحساب]],TableJudje[اسم الحساب],0)),0)</f>
        <v>31010101</v>
      </c>
      <c r="G110" s="58" t="s">
        <v>111</v>
      </c>
      <c r="H110"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بامرالمالية</v>
      </c>
      <c r="I110" s="60" t="str">
        <f>INDEX(Tabledaily[العملـــة],MATCH(TableDailyJournal[[#This Row],[رقم العملية]],Tabledaily[رقم العملية],0))</f>
        <v>ريال يمني</v>
      </c>
      <c r="J110" s="59">
        <f>IFERROR(INDEX(Tabledaily[سعــــــر
الصـــــرف],MATCH(C110,Tabledaily[رقم العملية],0)),1)</f>
        <v>405</v>
      </c>
      <c r="K110" s="123" cm="1">
        <f t="array" ref="K110">IFERROR(INDEX(Tabledaily[المبلـــــــغ],MATCH(1,(TableDailyJournal[[#This Row],[رقم العملية]]=Tabledaily[رقم العملية])*(TableDailyJournal[[#This Row],[الحساب]]=Tabledaily[الحســاب المديــــن]),0)),0)</f>
        <v>30000</v>
      </c>
      <c r="L110" s="123" cm="1">
        <f t="array" ref="L110">IFERROR(INDEX(Tabledaily[المبلـــــــغ],MATCH(1,(TableDailyJournal[[#This Row],[رقم العملية]]=Tabledaily[رقم العملية])*(TableDailyJournal[[#This Row],[الحساب]]=Tabledaily[الحســاب الدئـــن]),0)),0)</f>
        <v>0</v>
      </c>
      <c r="M110" s="119">
        <f>IFERROR(TableDailyJournal[[#This Row],[المبلغ مدين]]/TableDailyJournal[[#This Row],[سعــــــر
الصـــــرف]],0)</f>
        <v>74.074074074074076</v>
      </c>
      <c r="N110" s="119">
        <f>IFERROR(TableDailyJournal[[#This Row],[المبلغ دائن]]/TableDailyJournal[[#This Row],[سعــــــر
الصـــــرف]],0)</f>
        <v>0</v>
      </c>
      <c r="O110" s="121" t="str">
        <f>INDEX(Tabledaily[المستفيــــــــد],MATCH(TableDailyJournal[[#This Row],[رقم العملية]],Tabledaily[رقم العملية],0))</f>
        <v>البشرية و الصراف</v>
      </c>
      <c r="P110" s="121" t="str">
        <f>INDEX(Tabledaily[المــــرجـــــــــع],MATCH(TableDailyJournal[[#This Row],[رقم العملية]],Tabledaily[رقم العملية],0))</f>
        <v>كشف صرف</v>
      </c>
      <c r="Q110" s="121" t="str">
        <f>INDEX(Tabledaily[اســـــــم المــــرجــــع],MATCH(TableDailyJournal[[#This Row],[رقم العملية]],Tabledaily[رقم العملية],0))</f>
        <v>كشف صرف</v>
      </c>
      <c r="R110" s="121">
        <f>INDEX(Tabledaily[رقم المـــــرجـــع],MATCH(TableDailyJournal[[#This Row],[رقم العملية]],Tabledaily[رقم العملية],0))</f>
        <v>0</v>
      </c>
      <c r="S110" s="121" t="str">
        <f>INDEX(Tabledaily[مركـــــــزالتكلفــــــة],MATCH(TableDailyJournal[[#This Row],[رقم العملية]],Tabledaily[رقم العملية],0))</f>
        <v>الفرقة الثالثة</v>
      </c>
      <c r="T110" s="121">
        <f>IFERROR(INDEX(tablecost[رقم المركز],MATCH(TableDailyJournal[[#This Row],[مركـــــــزالتكلفــــــة]],tablecost[الاسم],0)),0)</f>
        <v>1</v>
      </c>
      <c r="U110" s="122">
        <f>IFERROR(DATE(TableDailyJournal[[#This Row],[السنــــة]],TableDailyJournal[[#This Row],[الشهــــر]],TableDailyJournal[[#This Row],[الـــــيوم]]),"01-01-2026")</f>
        <v>46177</v>
      </c>
      <c r="V110" s="125">
        <f>INDEX(Tabledaily[تاريخ الإضافة],MATCH(TableDailyJournal[[#This Row],[رقم العملية]],Tabledaily[رقم العملية],0))</f>
        <v>46185.001979166664</v>
      </c>
      <c r="W110" s="58"/>
      <c r="X110" s="58">
        <f>IFERROR(YEAR(TableDailyJournal[[#This Row],[التاريخ]]),"")</f>
        <v>2026</v>
      </c>
      <c r="Y110" s="58">
        <f>IFERROR(MONTH(TableDailyJournal[[#This Row],[التاريخ]]),"")</f>
        <v>6</v>
      </c>
      <c r="Z110" s="58">
        <f>IFERROR(DAY(TableDailyJournal[[#This Row],[التاريخ]]),"")</f>
        <v>4</v>
      </c>
      <c r="AA110"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بامرالمالية</v>
      </c>
      <c r="AB110" s="58" t="str">
        <f>INDEX(Tabledaily[جهة الامر],MATCH(TableDailyJournal[[#This Row],[رقم العملية]],Tabledaily[رقم العملية],0))</f>
        <v>المالية</v>
      </c>
    </row>
    <row r="111" spans="2:28" ht="45.75" x14ac:dyDescent="0.55000000000000004">
      <c r="B111" s="58">
        <f t="shared" si="2"/>
        <v>107</v>
      </c>
      <c r="C111" s="59" t="s">
        <v>447</v>
      </c>
      <c r="D111" s="60">
        <f>INDEX(Tabledaily[date],MATCH(TableDailyJournal[[#This Row],[رقم العملية]],Tabledaily[رقم العملية],0))</f>
        <v>46177</v>
      </c>
      <c r="E111" s="58" t="str">
        <f>INDEX(Tabledaily[نوع العمليــة],MATCH(TableDailyJournal[[#This Row],[رقم العملية]],Tabledaily[رقم العملية],0))</f>
        <v>قيد عهده</v>
      </c>
      <c r="F111" s="58">
        <f>IFERROR(INDEX(TableJudje[رقم الحساب],MATCH(TableDailyJournal[[#This Row],[الحساب]],TableJudje[اسم الحساب],0)),0)</f>
        <v>11060202</v>
      </c>
      <c r="G111" s="58" t="s">
        <v>159</v>
      </c>
      <c r="H111"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بامرالمالية</v>
      </c>
      <c r="I111" s="60" t="str">
        <f>INDEX(Tabledaily[العملـــة],MATCH(TableDailyJournal[[#This Row],[رقم العملية]],Tabledaily[رقم العملية],0))</f>
        <v>ريال يمني</v>
      </c>
      <c r="J111" s="59">
        <f>IFERROR(INDEX(Tabledaily[سعــــــر
الصـــــرف],MATCH(C111,Tabledaily[رقم العملية],0)),1)</f>
        <v>405</v>
      </c>
      <c r="K111" s="123" cm="1">
        <f t="array" ref="K111">IFERROR(INDEX(Tabledaily[المبلـــــــغ],MATCH(1,(TableDailyJournal[[#This Row],[رقم العملية]]=Tabledaily[رقم العملية])*(TableDailyJournal[[#This Row],[الحساب]]=Tabledaily[الحســاب المديــــن]),0)),0)</f>
        <v>0</v>
      </c>
      <c r="L111" s="123" cm="1">
        <f t="array" ref="L111">IFERROR(INDEX(Tabledaily[المبلـــــــغ],MATCH(1,(TableDailyJournal[[#This Row],[رقم العملية]]=Tabledaily[رقم العملية])*(TableDailyJournal[[#This Row],[الحساب]]=Tabledaily[الحســاب الدئـــن]),0)),0)</f>
        <v>30000</v>
      </c>
      <c r="M111" s="119">
        <f>IFERROR(TableDailyJournal[[#This Row],[المبلغ مدين]]/TableDailyJournal[[#This Row],[سعــــــر
الصـــــرف]],0)</f>
        <v>0</v>
      </c>
      <c r="N111" s="119">
        <f>IFERROR(TableDailyJournal[[#This Row],[المبلغ دائن]]/TableDailyJournal[[#This Row],[سعــــــر
الصـــــرف]],0)</f>
        <v>74.074074074074076</v>
      </c>
      <c r="O111" s="121" t="str">
        <f>INDEX(Tabledaily[المستفيــــــــد],MATCH(TableDailyJournal[[#This Row],[رقم العملية]],Tabledaily[رقم العملية],0))</f>
        <v>البشرية و الصراف</v>
      </c>
      <c r="P111" s="121" t="str">
        <f>INDEX(Tabledaily[المــــرجـــــــــع],MATCH(TableDailyJournal[[#This Row],[رقم العملية]],Tabledaily[رقم العملية],0))</f>
        <v>كشف صرف</v>
      </c>
      <c r="Q111" s="121" t="str">
        <f>INDEX(Tabledaily[اســـــــم المــــرجــــع],MATCH(TableDailyJournal[[#This Row],[رقم العملية]],Tabledaily[رقم العملية],0))</f>
        <v>كشف صرف</v>
      </c>
      <c r="R111" s="121">
        <f>INDEX(Tabledaily[رقم المـــــرجـــع],MATCH(TableDailyJournal[[#This Row],[رقم العملية]],Tabledaily[رقم العملية],0))</f>
        <v>0</v>
      </c>
      <c r="S111" s="121" t="str">
        <f>INDEX(Tabledaily[مركـــــــزالتكلفــــــة],MATCH(TableDailyJournal[[#This Row],[رقم العملية]],Tabledaily[رقم العملية],0))</f>
        <v>الفرقة الثالثة</v>
      </c>
      <c r="T111" s="121">
        <f>IFERROR(INDEX(tablecost[رقم المركز],MATCH(TableDailyJournal[[#This Row],[مركـــــــزالتكلفــــــة]],tablecost[الاسم],0)),0)</f>
        <v>1</v>
      </c>
      <c r="U111" s="122">
        <f>IFERROR(DATE(TableDailyJournal[[#This Row],[السنــــة]],TableDailyJournal[[#This Row],[الشهــــر]],TableDailyJournal[[#This Row],[الـــــيوم]]),"01-01-2026")</f>
        <v>46177</v>
      </c>
      <c r="V111" s="125">
        <f>INDEX(Tabledaily[تاريخ الإضافة],MATCH(TableDailyJournal[[#This Row],[رقم العملية]],Tabledaily[رقم العملية],0))</f>
        <v>46185.001979166664</v>
      </c>
      <c r="W111" s="58"/>
      <c r="X111" s="58">
        <f>IFERROR(YEAR(TableDailyJournal[[#This Row],[التاريخ]]),"")</f>
        <v>2026</v>
      </c>
      <c r="Y111" s="58">
        <f>IFERROR(MONTH(TableDailyJournal[[#This Row],[التاريخ]]),"")</f>
        <v>6</v>
      </c>
      <c r="Z111" s="58">
        <f>IFERROR(DAY(TableDailyJournal[[#This Row],[التاريخ]]),"")</f>
        <v>4</v>
      </c>
      <c r="AA111"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بامرالمالية</v>
      </c>
      <c r="AB111" s="58" t="str">
        <f>INDEX(Tabledaily[جهة الامر],MATCH(TableDailyJournal[[#This Row],[رقم العملية]],Tabledaily[رقم العملية],0))</f>
        <v>المالية</v>
      </c>
    </row>
    <row r="112" spans="2:28" ht="45.75" x14ac:dyDescent="0.55000000000000004">
      <c r="B112" s="58">
        <f t="shared" si="2"/>
        <v>108</v>
      </c>
      <c r="C112" s="59" t="s">
        <v>449</v>
      </c>
      <c r="D112" s="60">
        <f>INDEX(Tabledaily[date],MATCH(TableDailyJournal[[#This Row],[رقم العملية]],Tabledaily[رقم العملية],0))</f>
        <v>46177</v>
      </c>
      <c r="E112" s="58" t="str">
        <f>INDEX(Tabledaily[نوع العمليــة],MATCH(TableDailyJournal[[#This Row],[رقم العملية]],Tabledaily[رقم العملية],0))</f>
        <v>قيد عهده</v>
      </c>
      <c r="F112" s="58">
        <f>IFERROR(INDEX(TableJudje[رقم الحساب],MATCH(TableDailyJournal[[#This Row],[الحساب]],TableJudje[اسم الحساب],0)),0)</f>
        <v>31010101</v>
      </c>
      <c r="G112" s="58" t="s">
        <v>111</v>
      </c>
      <c r="H112"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بامرالمالية</v>
      </c>
      <c r="I112" s="60" t="str">
        <f>INDEX(Tabledaily[العملـــة],MATCH(TableDailyJournal[[#This Row],[رقم العملية]],Tabledaily[رقم العملية],0))</f>
        <v>ريال يمني</v>
      </c>
      <c r="J112" s="59">
        <f>IFERROR(INDEX(Tabledaily[سعــــــر
الصـــــرف],MATCH(C112,Tabledaily[رقم العملية],0)),1)</f>
        <v>405</v>
      </c>
      <c r="K112" s="123" cm="1">
        <f t="array" ref="K112">IFERROR(INDEX(Tabledaily[المبلـــــــغ],MATCH(1,(TableDailyJournal[[#This Row],[رقم العملية]]=Tabledaily[رقم العملية])*(TableDailyJournal[[#This Row],[الحساب]]=Tabledaily[الحســاب المديــــن]),0)),0)</f>
        <v>65000</v>
      </c>
      <c r="L112" s="123" cm="1">
        <f t="array" ref="L112">IFERROR(INDEX(Tabledaily[المبلـــــــغ],MATCH(1,(TableDailyJournal[[#This Row],[رقم العملية]]=Tabledaily[رقم العملية])*(TableDailyJournal[[#This Row],[الحساب]]=Tabledaily[الحســاب الدئـــن]),0)),0)</f>
        <v>0</v>
      </c>
      <c r="M112" s="119">
        <f>IFERROR(TableDailyJournal[[#This Row],[المبلغ مدين]]/TableDailyJournal[[#This Row],[سعــــــر
الصـــــرف]],0)</f>
        <v>160.49382716049382</v>
      </c>
      <c r="N112" s="119">
        <f>IFERROR(TableDailyJournal[[#This Row],[المبلغ دائن]]/TableDailyJournal[[#This Row],[سعــــــر
الصـــــرف]],0)</f>
        <v>0</v>
      </c>
      <c r="O112" s="121" t="str">
        <f>INDEX(Tabledaily[المستفيــــــــد],MATCH(TableDailyJournal[[#This Row],[رقم العملية]],Tabledaily[رقم العملية],0))</f>
        <v>الاستخبارات</v>
      </c>
      <c r="P112" s="121" t="str">
        <f>INDEX(Tabledaily[المــــرجـــــــــع],MATCH(TableDailyJournal[[#This Row],[رقم العملية]],Tabledaily[رقم العملية],0))</f>
        <v>كشف صرف</v>
      </c>
      <c r="Q112" s="121" t="str">
        <f>INDEX(Tabledaily[اســـــــم المــــرجــــع],MATCH(TableDailyJournal[[#This Row],[رقم العملية]],Tabledaily[رقم العملية],0))</f>
        <v>كشف صرف</v>
      </c>
      <c r="R112" s="121">
        <f>INDEX(Tabledaily[رقم المـــــرجـــع],MATCH(TableDailyJournal[[#This Row],[رقم العملية]],Tabledaily[رقم العملية],0))</f>
        <v>0</v>
      </c>
      <c r="S112" s="121" t="str">
        <f>INDEX(Tabledaily[مركـــــــزالتكلفــــــة],MATCH(TableDailyJournal[[#This Row],[رقم العملية]],Tabledaily[رقم العملية],0))</f>
        <v>الفرقة الثالثة</v>
      </c>
      <c r="T112" s="121">
        <f>IFERROR(INDEX(tablecost[رقم المركز],MATCH(TableDailyJournal[[#This Row],[مركـــــــزالتكلفــــــة]],tablecost[الاسم],0)),0)</f>
        <v>1</v>
      </c>
      <c r="U112" s="122">
        <f>IFERROR(DATE(TableDailyJournal[[#This Row],[السنــــة]],TableDailyJournal[[#This Row],[الشهــــر]],TableDailyJournal[[#This Row],[الـــــيوم]]),"01-01-2026")</f>
        <v>46177</v>
      </c>
      <c r="V112" s="125">
        <f>INDEX(Tabledaily[تاريخ الإضافة],MATCH(TableDailyJournal[[#This Row],[رقم العملية]],Tabledaily[رقم العملية],0))</f>
        <v>46185.002708333333</v>
      </c>
      <c r="W112" s="58"/>
      <c r="X112" s="58">
        <f>IFERROR(YEAR(TableDailyJournal[[#This Row],[التاريخ]]),"")</f>
        <v>2026</v>
      </c>
      <c r="Y112" s="58">
        <f>IFERROR(MONTH(TableDailyJournal[[#This Row],[التاريخ]]),"")</f>
        <v>6</v>
      </c>
      <c r="Z112" s="58">
        <f>IFERROR(DAY(TableDailyJournal[[#This Row],[التاريخ]]),"")</f>
        <v>4</v>
      </c>
      <c r="AA112"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بامرالمالية</v>
      </c>
      <c r="AB112" s="58" t="str">
        <f>INDEX(Tabledaily[جهة الامر],MATCH(TableDailyJournal[[#This Row],[رقم العملية]],Tabledaily[رقم العملية],0))</f>
        <v>المالية</v>
      </c>
    </row>
    <row r="113" spans="2:28" ht="45.75" x14ac:dyDescent="0.55000000000000004">
      <c r="B113" s="58">
        <f t="shared" si="2"/>
        <v>109</v>
      </c>
      <c r="C113" s="59" t="s">
        <v>449</v>
      </c>
      <c r="D113" s="60">
        <f>INDEX(Tabledaily[date],MATCH(TableDailyJournal[[#This Row],[رقم العملية]],Tabledaily[رقم العملية],0))</f>
        <v>46177</v>
      </c>
      <c r="E113" s="58" t="str">
        <f>INDEX(Tabledaily[نوع العمليــة],MATCH(TableDailyJournal[[#This Row],[رقم العملية]],Tabledaily[رقم العملية],0))</f>
        <v>قيد عهده</v>
      </c>
      <c r="F113" s="58">
        <f>IFERROR(INDEX(TableJudje[رقم الحساب],MATCH(TableDailyJournal[[#This Row],[الحساب]],TableJudje[اسم الحساب],0)),0)</f>
        <v>11060202</v>
      </c>
      <c r="G113" s="58" t="s">
        <v>159</v>
      </c>
      <c r="H113"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بامرالمالية</v>
      </c>
      <c r="I113" s="60" t="str">
        <f>INDEX(Tabledaily[العملـــة],MATCH(TableDailyJournal[[#This Row],[رقم العملية]],Tabledaily[رقم العملية],0))</f>
        <v>ريال يمني</v>
      </c>
      <c r="J113" s="59">
        <f>IFERROR(INDEX(Tabledaily[سعــــــر
الصـــــرف],MATCH(C113,Tabledaily[رقم العملية],0)),1)</f>
        <v>405</v>
      </c>
      <c r="K113" s="123" cm="1">
        <f t="array" ref="K113">IFERROR(INDEX(Tabledaily[المبلـــــــغ],MATCH(1,(TableDailyJournal[[#This Row],[رقم العملية]]=Tabledaily[رقم العملية])*(TableDailyJournal[[#This Row],[الحساب]]=Tabledaily[الحســاب المديــــن]),0)),0)</f>
        <v>0</v>
      </c>
      <c r="L113" s="123" cm="1">
        <f t="array" ref="L113">IFERROR(INDEX(Tabledaily[المبلـــــــغ],MATCH(1,(TableDailyJournal[[#This Row],[رقم العملية]]=Tabledaily[رقم العملية])*(TableDailyJournal[[#This Row],[الحساب]]=Tabledaily[الحســاب الدئـــن]),0)),0)</f>
        <v>65000</v>
      </c>
      <c r="M113" s="119">
        <f>IFERROR(TableDailyJournal[[#This Row],[المبلغ مدين]]/TableDailyJournal[[#This Row],[سعــــــر
الصـــــرف]],0)</f>
        <v>0</v>
      </c>
      <c r="N113" s="119">
        <f>IFERROR(TableDailyJournal[[#This Row],[المبلغ دائن]]/TableDailyJournal[[#This Row],[سعــــــر
الصـــــرف]],0)</f>
        <v>160.49382716049382</v>
      </c>
      <c r="O113" s="121" t="str">
        <f>INDEX(Tabledaily[المستفيــــــــد],MATCH(TableDailyJournal[[#This Row],[رقم العملية]],Tabledaily[رقم العملية],0))</f>
        <v>الاستخبارات</v>
      </c>
      <c r="P113" s="121" t="str">
        <f>INDEX(Tabledaily[المــــرجـــــــــع],MATCH(TableDailyJournal[[#This Row],[رقم العملية]],Tabledaily[رقم العملية],0))</f>
        <v>كشف صرف</v>
      </c>
      <c r="Q113" s="121" t="str">
        <f>INDEX(Tabledaily[اســـــــم المــــرجــــع],MATCH(TableDailyJournal[[#This Row],[رقم العملية]],Tabledaily[رقم العملية],0))</f>
        <v>كشف صرف</v>
      </c>
      <c r="R113" s="121">
        <f>INDEX(Tabledaily[رقم المـــــرجـــع],MATCH(TableDailyJournal[[#This Row],[رقم العملية]],Tabledaily[رقم العملية],0))</f>
        <v>0</v>
      </c>
      <c r="S113" s="121" t="str">
        <f>INDEX(Tabledaily[مركـــــــزالتكلفــــــة],MATCH(TableDailyJournal[[#This Row],[رقم العملية]],Tabledaily[رقم العملية],0))</f>
        <v>الفرقة الثالثة</v>
      </c>
      <c r="T113" s="121">
        <f>IFERROR(INDEX(tablecost[رقم المركز],MATCH(TableDailyJournal[[#This Row],[مركـــــــزالتكلفــــــة]],tablecost[الاسم],0)),0)</f>
        <v>1</v>
      </c>
      <c r="U113" s="122">
        <f>IFERROR(DATE(TableDailyJournal[[#This Row],[السنــــة]],TableDailyJournal[[#This Row],[الشهــــر]],TableDailyJournal[[#This Row],[الـــــيوم]]),"01-01-2026")</f>
        <v>46177</v>
      </c>
      <c r="V113" s="125">
        <f>INDEX(Tabledaily[تاريخ الإضافة],MATCH(TableDailyJournal[[#This Row],[رقم العملية]],Tabledaily[رقم العملية],0))</f>
        <v>46185.002708333333</v>
      </c>
      <c r="W113" s="58"/>
      <c r="X113" s="58">
        <f>IFERROR(YEAR(TableDailyJournal[[#This Row],[التاريخ]]),"")</f>
        <v>2026</v>
      </c>
      <c r="Y113" s="58">
        <f>IFERROR(MONTH(TableDailyJournal[[#This Row],[التاريخ]]),"")</f>
        <v>6</v>
      </c>
      <c r="Z113" s="58">
        <f>IFERROR(DAY(TableDailyJournal[[#This Row],[التاريخ]]),"")</f>
        <v>4</v>
      </c>
      <c r="AA113"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بامرالمالية</v>
      </c>
      <c r="AB113" s="58" t="str">
        <f>INDEX(Tabledaily[جهة الامر],MATCH(TableDailyJournal[[#This Row],[رقم العملية]],Tabledaily[رقم العملية],0))</f>
        <v>المالية</v>
      </c>
    </row>
    <row r="114" spans="2:28" ht="67.5" x14ac:dyDescent="0.55000000000000004">
      <c r="B114" s="58">
        <f t="shared" si="2"/>
        <v>110</v>
      </c>
      <c r="C114" s="59" t="s">
        <v>450</v>
      </c>
      <c r="D114" s="60">
        <f>INDEX(Tabledaily[date],MATCH(TableDailyJournal[[#This Row],[رقم العملية]],Tabledaily[رقم العملية],0))</f>
        <v>46177</v>
      </c>
      <c r="E114" s="58" t="str">
        <f>INDEX(Tabledaily[نوع العمليــة],MATCH(TableDailyJournal[[#This Row],[رقم العملية]],Tabledaily[رقم العملية],0))</f>
        <v>قيد عهده</v>
      </c>
      <c r="F114" s="58">
        <f>IFERROR(INDEX(TableJudje[رقم الحساب],MATCH(TableDailyJournal[[#This Row],[الحساب]],TableJudje[اسم الحساب],0)),0)</f>
        <v>31010101</v>
      </c>
      <c r="G114" s="58" t="s">
        <v>111</v>
      </c>
      <c r="H114"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v>
      </c>
      <c r="I114" s="60" t="str">
        <f>INDEX(Tabledaily[العملـــة],MATCH(TableDailyJournal[[#This Row],[رقم العملية]],Tabledaily[رقم العملية],0))</f>
        <v>ريال يمني</v>
      </c>
      <c r="J114" s="59">
        <f>IFERROR(INDEX(Tabledaily[سعــــــر
الصـــــرف],MATCH(C114,Tabledaily[رقم العملية],0)),1)</f>
        <v>405</v>
      </c>
      <c r="K114" s="123" cm="1">
        <f t="array" ref="K114">IFERROR(INDEX(Tabledaily[المبلـــــــغ],MATCH(1,(TableDailyJournal[[#This Row],[رقم العملية]]=Tabledaily[رقم العملية])*(TableDailyJournal[[#This Row],[الحساب]]=Tabledaily[الحســاب المديــــن]),0)),0)</f>
        <v>50000</v>
      </c>
      <c r="L114" s="123" cm="1">
        <f t="array" ref="L114">IFERROR(INDEX(Tabledaily[المبلـــــــغ],MATCH(1,(TableDailyJournal[[#This Row],[رقم العملية]]=Tabledaily[رقم العملية])*(TableDailyJournal[[#This Row],[الحساب]]=Tabledaily[الحســاب الدئـــن]),0)),0)</f>
        <v>0</v>
      </c>
      <c r="M114" s="119">
        <f>IFERROR(TableDailyJournal[[#This Row],[المبلغ مدين]]/TableDailyJournal[[#This Row],[سعــــــر
الصـــــرف]],0)</f>
        <v>123.45679012345678</v>
      </c>
      <c r="N114" s="119">
        <f>IFERROR(TableDailyJournal[[#This Row],[المبلغ دائن]]/TableDailyJournal[[#This Row],[سعــــــر
الصـــــرف]],0)</f>
        <v>0</v>
      </c>
      <c r="O114" s="121" t="str">
        <f>INDEX(Tabledaily[المستفيــــــــد],MATCH(TableDailyJournal[[#This Row],[رقم العملية]],Tabledaily[رقم العملية],0))</f>
        <v>المستشارين والمساعدين</v>
      </c>
      <c r="P114" s="121" t="str">
        <f>INDEX(Tabledaily[المــــرجـــــــــع],MATCH(TableDailyJournal[[#This Row],[رقم العملية]],Tabledaily[رقم العملية],0))</f>
        <v>كشف صرف</v>
      </c>
      <c r="Q114" s="121" t="str">
        <f>INDEX(Tabledaily[اســـــــم المــــرجــــع],MATCH(TableDailyJournal[[#This Row],[رقم العملية]],Tabledaily[رقم العملية],0))</f>
        <v>كشف صرف</v>
      </c>
      <c r="R114" s="121">
        <f>INDEX(Tabledaily[رقم المـــــرجـــع],MATCH(TableDailyJournal[[#This Row],[رقم العملية]],Tabledaily[رقم العملية],0))</f>
        <v>0</v>
      </c>
      <c r="S114" s="121" t="str">
        <f>INDEX(Tabledaily[مركـــــــزالتكلفــــــة],MATCH(TableDailyJournal[[#This Row],[رقم العملية]],Tabledaily[رقم العملية],0))</f>
        <v>الفرقة الثالثة</v>
      </c>
      <c r="T114" s="121">
        <f>IFERROR(INDEX(tablecost[رقم المركز],MATCH(TableDailyJournal[[#This Row],[مركـــــــزالتكلفــــــة]],tablecost[الاسم],0)),0)</f>
        <v>1</v>
      </c>
      <c r="U114" s="122">
        <f>IFERROR(DATE(TableDailyJournal[[#This Row],[السنــــة]],TableDailyJournal[[#This Row],[الشهــــر]],TableDailyJournal[[#This Row],[الـــــيوم]]),"01-01-2026")</f>
        <v>46177</v>
      </c>
      <c r="V114" s="125">
        <f>INDEX(Tabledaily[تاريخ الإضافة],MATCH(TableDailyJournal[[#This Row],[رقم العملية]],Tabledaily[رقم العملية],0))</f>
        <v>46185.003472222219</v>
      </c>
      <c r="W114" s="58"/>
      <c r="X114" s="58">
        <f>IFERROR(YEAR(TableDailyJournal[[#This Row],[التاريخ]]),"")</f>
        <v>2026</v>
      </c>
      <c r="Y114" s="58">
        <f>IFERROR(MONTH(TableDailyJournal[[#This Row],[التاريخ]]),"")</f>
        <v>6</v>
      </c>
      <c r="Z114" s="58">
        <f>IFERROR(DAY(TableDailyJournal[[#This Row],[التاريخ]]),"")</f>
        <v>4</v>
      </c>
      <c r="AA114"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v>
      </c>
      <c r="AB114" s="58" t="str">
        <f>INDEX(Tabledaily[جهة الامر],MATCH(TableDailyJournal[[#This Row],[رقم العملية]],Tabledaily[رقم العملية],0))</f>
        <v>المالية</v>
      </c>
    </row>
    <row r="115" spans="2:28" ht="67.5" x14ac:dyDescent="0.55000000000000004">
      <c r="B115" s="58">
        <f t="shared" si="2"/>
        <v>111</v>
      </c>
      <c r="C115" s="59" t="s">
        <v>450</v>
      </c>
      <c r="D115" s="60">
        <f>INDEX(Tabledaily[date],MATCH(TableDailyJournal[[#This Row],[رقم العملية]],Tabledaily[رقم العملية],0))</f>
        <v>46177</v>
      </c>
      <c r="E115" s="58" t="str">
        <f>INDEX(Tabledaily[نوع العمليــة],MATCH(TableDailyJournal[[#This Row],[رقم العملية]],Tabledaily[رقم العملية],0))</f>
        <v>قيد عهده</v>
      </c>
      <c r="F115" s="58">
        <f>IFERROR(INDEX(TableJudje[رقم الحساب],MATCH(TableDailyJournal[[#This Row],[الحساب]],TableJudje[اسم الحساب],0)),0)</f>
        <v>11060202</v>
      </c>
      <c r="G115" s="58" t="s">
        <v>159</v>
      </c>
      <c r="H115"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v>
      </c>
      <c r="I115" s="60" t="str">
        <f>INDEX(Tabledaily[العملـــة],MATCH(TableDailyJournal[[#This Row],[رقم العملية]],Tabledaily[رقم العملية],0))</f>
        <v>ريال يمني</v>
      </c>
      <c r="J115" s="59">
        <f>IFERROR(INDEX(Tabledaily[سعــــــر
الصـــــرف],MATCH(C115,Tabledaily[رقم العملية],0)),1)</f>
        <v>405</v>
      </c>
      <c r="K115" s="123" cm="1">
        <f t="array" ref="K115">IFERROR(INDEX(Tabledaily[المبلـــــــغ],MATCH(1,(TableDailyJournal[[#This Row],[رقم العملية]]=Tabledaily[رقم العملية])*(TableDailyJournal[[#This Row],[الحساب]]=Tabledaily[الحســاب المديــــن]),0)),0)</f>
        <v>0</v>
      </c>
      <c r="L115" s="123" cm="1">
        <f t="array" ref="L115">IFERROR(INDEX(Tabledaily[المبلـــــــغ],MATCH(1,(TableDailyJournal[[#This Row],[رقم العملية]]=Tabledaily[رقم العملية])*(TableDailyJournal[[#This Row],[الحساب]]=Tabledaily[الحســاب الدئـــن]),0)),0)</f>
        <v>50000</v>
      </c>
      <c r="M115" s="119">
        <f>IFERROR(TableDailyJournal[[#This Row],[المبلغ مدين]]/TableDailyJournal[[#This Row],[سعــــــر
الصـــــرف]],0)</f>
        <v>0</v>
      </c>
      <c r="N115" s="119">
        <f>IFERROR(TableDailyJournal[[#This Row],[المبلغ دائن]]/TableDailyJournal[[#This Row],[سعــــــر
الصـــــرف]],0)</f>
        <v>123.45679012345678</v>
      </c>
      <c r="O115" s="121" t="str">
        <f>INDEX(Tabledaily[المستفيــــــــد],MATCH(TableDailyJournal[[#This Row],[رقم العملية]],Tabledaily[رقم العملية],0))</f>
        <v>المستشارين والمساعدين</v>
      </c>
      <c r="P115" s="121" t="str">
        <f>INDEX(Tabledaily[المــــرجـــــــــع],MATCH(TableDailyJournal[[#This Row],[رقم العملية]],Tabledaily[رقم العملية],0))</f>
        <v>كشف صرف</v>
      </c>
      <c r="Q115" s="121" t="str">
        <f>INDEX(Tabledaily[اســـــــم المــــرجــــع],MATCH(TableDailyJournal[[#This Row],[رقم العملية]],Tabledaily[رقم العملية],0))</f>
        <v>كشف صرف</v>
      </c>
      <c r="R115" s="121">
        <f>INDEX(Tabledaily[رقم المـــــرجـــع],MATCH(TableDailyJournal[[#This Row],[رقم العملية]],Tabledaily[رقم العملية],0))</f>
        <v>0</v>
      </c>
      <c r="S115" s="121" t="str">
        <f>INDEX(Tabledaily[مركـــــــزالتكلفــــــة],MATCH(TableDailyJournal[[#This Row],[رقم العملية]],Tabledaily[رقم العملية],0))</f>
        <v>الفرقة الثالثة</v>
      </c>
      <c r="T115" s="121">
        <f>IFERROR(INDEX(tablecost[رقم المركز],MATCH(TableDailyJournal[[#This Row],[مركـــــــزالتكلفــــــة]],tablecost[الاسم],0)),0)</f>
        <v>1</v>
      </c>
      <c r="U115" s="122">
        <f>IFERROR(DATE(TableDailyJournal[[#This Row],[السنــــة]],TableDailyJournal[[#This Row],[الشهــــر]],TableDailyJournal[[#This Row],[الـــــيوم]]),"01-01-2026")</f>
        <v>46177</v>
      </c>
      <c r="V115" s="125">
        <f>INDEX(Tabledaily[تاريخ الإضافة],MATCH(TableDailyJournal[[#This Row],[رقم العملية]],Tabledaily[رقم العملية],0))</f>
        <v>46185.003472222219</v>
      </c>
      <c r="W115" s="58"/>
      <c r="X115" s="58">
        <f>IFERROR(YEAR(TableDailyJournal[[#This Row],[التاريخ]]),"")</f>
        <v>2026</v>
      </c>
      <c r="Y115" s="58">
        <f>IFERROR(MONTH(TableDailyJournal[[#This Row],[التاريخ]]),"")</f>
        <v>6</v>
      </c>
      <c r="Z115" s="58">
        <f>IFERROR(DAY(TableDailyJournal[[#This Row],[التاريخ]]),"")</f>
        <v>4</v>
      </c>
      <c r="AA115"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5 بامرالمالية</v>
      </c>
      <c r="AB115" s="58" t="str">
        <f>INDEX(Tabledaily[جهة الامر],MATCH(TableDailyJournal[[#This Row],[رقم العملية]],Tabledaily[رقم العملية],0))</f>
        <v>المالية</v>
      </c>
    </row>
    <row r="116" spans="2:28" ht="45.75" x14ac:dyDescent="0.55000000000000004">
      <c r="B116" s="58">
        <f t="shared" si="2"/>
        <v>112</v>
      </c>
      <c r="C116" s="59" t="s">
        <v>452</v>
      </c>
      <c r="D116" s="60">
        <f>INDEX(Tabledaily[date],MATCH(TableDailyJournal[[#This Row],[رقم العملية]],Tabledaily[رقم العملية],0))</f>
        <v>46177</v>
      </c>
      <c r="E116" s="58" t="str">
        <f>INDEX(Tabledaily[نوع العمليــة],MATCH(TableDailyJournal[[#This Row],[رقم العملية]],Tabledaily[رقم العملية],0))</f>
        <v>قيد عهده</v>
      </c>
      <c r="F116" s="58">
        <f>IFERROR(INDEX(TableJudje[رقم الحساب],MATCH(TableDailyJournal[[#This Row],[الحساب]],TableJudje[اسم الحساب],0)),0)</f>
        <v>31010101</v>
      </c>
      <c r="G116" s="58" t="s">
        <v>111</v>
      </c>
      <c r="H116"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بامرالمالية</v>
      </c>
      <c r="I116" s="60" t="str">
        <f>INDEX(Tabledaily[العملـــة],MATCH(TableDailyJournal[[#This Row],[رقم العملية]],Tabledaily[رقم العملية],0))</f>
        <v>ريال يمني</v>
      </c>
      <c r="J116" s="59">
        <f>IFERROR(INDEX(Tabledaily[سعــــــر
الصـــــرف],MATCH(C116,Tabledaily[رقم العملية],0)),1)</f>
        <v>405</v>
      </c>
      <c r="K116" s="123" cm="1">
        <f t="array" ref="K116">IFERROR(INDEX(Tabledaily[المبلـــــــغ],MATCH(1,(TableDailyJournal[[#This Row],[رقم العملية]]=Tabledaily[رقم العملية])*(TableDailyJournal[[#This Row],[الحساب]]=Tabledaily[الحســاب المديــــن]),0)),0)</f>
        <v>32000</v>
      </c>
      <c r="L116" s="123" cm="1">
        <f t="array" ref="L116">IFERROR(INDEX(Tabledaily[المبلـــــــغ],MATCH(1,(TableDailyJournal[[#This Row],[رقم العملية]]=Tabledaily[رقم العملية])*(TableDailyJournal[[#This Row],[الحساب]]=Tabledaily[الحســاب الدئـــن]),0)),0)</f>
        <v>0</v>
      </c>
      <c r="M116" s="119">
        <f>IFERROR(TableDailyJournal[[#This Row],[المبلغ مدين]]/TableDailyJournal[[#This Row],[سعــــــر
الصـــــرف]],0)</f>
        <v>79.012345679012341</v>
      </c>
      <c r="N116" s="119">
        <f>IFERROR(TableDailyJournal[[#This Row],[المبلغ دائن]]/TableDailyJournal[[#This Row],[سعــــــر
الصـــــرف]],0)</f>
        <v>0</v>
      </c>
      <c r="O116" s="121" t="str">
        <f>INDEX(Tabledaily[المستفيــــــــد],MATCH(TableDailyJournal[[#This Row],[رقم العملية]],Tabledaily[رقم العملية],0))</f>
        <v>الطبية والمحاسبين</v>
      </c>
      <c r="P116" s="121" t="str">
        <f>INDEX(Tabledaily[المــــرجـــــــــع],MATCH(TableDailyJournal[[#This Row],[رقم العملية]],Tabledaily[رقم العملية],0))</f>
        <v>كشف صرف</v>
      </c>
      <c r="Q116" s="121" t="str">
        <f>INDEX(Tabledaily[اســـــــم المــــرجــــع],MATCH(TableDailyJournal[[#This Row],[رقم العملية]],Tabledaily[رقم العملية],0))</f>
        <v>كشف صرف</v>
      </c>
      <c r="R116" s="121">
        <f>INDEX(Tabledaily[رقم المـــــرجـــع],MATCH(TableDailyJournal[[#This Row],[رقم العملية]],Tabledaily[رقم العملية],0))</f>
        <v>0</v>
      </c>
      <c r="S116" s="121" t="str">
        <f>INDEX(Tabledaily[مركـــــــزالتكلفــــــة],MATCH(TableDailyJournal[[#This Row],[رقم العملية]],Tabledaily[رقم العملية],0))</f>
        <v>الفرقة الثالثة</v>
      </c>
      <c r="T116" s="121">
        <f>IFERROR(INDEX(tablecost[رقم المركز],MATCH(TableDailyJournal[[#This Row],[مركـــــــزالتكلفــــــة]],tablecost[الاسم],0)),0)</f>
        <v>1</v>
      </c>
      <c r="U116" s="122">
        <f>IFERROR(DATE(TableDailyJournal[[#This Row],[السنــــة]],TableDailyJournal[[#This Row],[الشهــــر]],TableDailyJournal[[#This Row],[الـــــيوم]]),"01-01-2026")</f>
        <v>46177</v>
      </c>
      <c r="V116" s="125">
        <f>INDEX(Tabledaily[تاريخ الإضافة],MATCH(TableDailyJournal[[#This Row],[رقم العملية]],Tabledaily[رقم العملية],0))</f>
        <v>46185.004618055558</v>
      </c>
      <c r="W116" s="58"/>
      <c r="X116" s="58">
        <f>IFERROR(YEAR(TableDailyJournal[[#This Row],[التاريخ]]),"")</f>
        <v>2026</v>
      </c>
      <c r="Y116" s="58">
        <f>IFERROR(MONTH(TableDailyJournal[[#This Row],[التاريخ]]),"")</f>
        <v>6</v>
      </c>
      <c r="Z116" s="58">
        <f>IFERROR(DAY(TableDailyJournal[[#This Row],[التاريخ]]),"")</f>
        <v>4</v>
      </c>
      <c r="AA116"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بامرالمالية</v>
      </c>
      <c r="AB116" s="58" t="str">
        <f>INDEX(Tabledaily[جهة الامر],MATCH(TableDailyJournal[[#This Row],[رقم العملية]],Tabledaily[رقم العملية],0))</f>
        <v>المالية</v>
      </c>
    </row>
    <row r="117" spans="2:28" ht="45.75" x14ac:dyDescent="0.55000000000000004">
      <c r="B117" s="58">
        <f t="shared" si="2"/>
        <v>113</v>
      </c>
      <c r="C117" s="59" t="s">
        <v>452</v>
      </c>
      <c r="D117" s="60">
        <f>INDEX(Tabledaily[date],MATCH(TableDailyJournal[[#This Row],[رقم العملية]],Tabledaily[رقم العملية],0))</f>
        <v>46177</v>
      </c>
      <c r="E117" s="58" t="str">
        <f>INDEX(Tabledaily[نوع العمليــة],MATCH(TableDailyJournal[[#This Row],[رقم العملية]],Tabledaily[رقم العملية],0))</f>
        <v>قيد عهده</v>
      </c>
      <c r="F117" s="58">
        <f>IFERROR(INDEX(TableJudje[رقم الحساب],MATCH(TableDailyJournal[[#This Row],[الحساب]],TableJudje[اسم الحساب],0)),0)</f>
        <v>11060202</v>
      </c>
      <c r="G117" s="58" t="s">
        <v>159</v>
      </c>
      <c r="H117"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بامرالمالية</v>
      </c>
      <c r="I117" s="60" t="str">
        <f>INDEX(Tabledaily[العملـــة],MATCH(TableDailyJournal[[#This Row],[رقم العملية]],Tabledaily[رقم العملية],0))</f>
        <v>ريال يمني</v>
      </c>
      <c r="J117" s="59">
        <f>IFERROR(INDEX(Tabledaily[سعــــــر
الصـــــرف],MATCH(C117,Tabledaily[رقم العملية],0)),1)</f>
        <v>405</v>
      </c>
      <c r="K117" s="123" cm="1">
        <f t="array" ref="K117">IFERROR(INDEX(Tabledaily[المبلـــــــغ],MATCH(1,(TableDailyJournal[[#This Row],[رقم العملية]]=Tabledaily[رقم العملية])*(TableDailyJournal[[#This Row],[الحساب]]=Tabledaily[الحســاب المديــــن]),0)),0)</f>
        <v>0</v>
      </c>
      <c r="L117" s="123" cm="1">
        <f t="array" ref="L117">IFERROR(INDEX(Tabledaily[المبلـــــــغ],MATCH(1,(TableDailyJournal[[#This Row],[رقم العملية]]=Tabledaily[رقم العملية])*(TableDailyJournal[[#This Row],[الحساب]]=Tabledaily[الحســاب الدئـــن]),0)),0)</f>
        <v>32000</v>
      </c>
      <c r="M117" s="119">
        <f>IFERROR(TableDailyJournal[[#This Row],[المبلغ مدين]]/TableDailyJournal[[#This Row],[سعــــــر
الصـــــرف]],0)</f>
        <v>0</v>
      </c>
      <c r="N117" s="119">
        <f>IFERROR(TableDailyJournal[[#This Row],[المبلغ دائن]]/TableDailyJournal[[#This Row],[سعــــــر
الصـــــرف]],0)</f>
        <v>79.012345679012341</v>
      </c>
      <c r="O117" s="121" t="str">
        <f>INDEX(Tabledaily[المستفيــــــــد],MATCH(TableDailyJournal[[#This Row],[رقم العملية]],Tabledaily[رقم العملية],0))</f>
        <v>الطبية والمحاسبين</v>
      </c>
      <c r="P117" s="121" t="str">
        <f>INDEX(Tabledaily[المــــرجـــــــــع],MATCH(TableDailyJournal[[#This Row],[رقم العملية]],Tabledaily[رقم العملية],0))</f>
        <v>كشف صرف</v>
      </c>
      <c r="Q117" s="121" t="str">
        <f>INDEX(Tabledaily[اســـــــم المــــرجــــع],MATCH(TableDailyJournal[[#This Row],[رقم العملية]],Tabledaily[رقم العملية],0))</f>
        <v>كشف صرف</v>
      </c>
      <c r="R117" s="121">
        <f>INDEX(Tabledaily[رقم المـــــرجـــع],MATCH(TableDailyJournal[[#This Row],[رقم العملية]],Tabledaily[رقم العملية],0))</f>
        <v>0</v>
      </c>
      <c r="S117" s="121" t="str">
        <f>INDEX(Tabledaily[مركـــــــزالتكلفــــــة],MATCH(TableDailyJournal[[#This Row],[رقم العملية]],Tabledaily[رقم العملية],0))</f>
        <v>الفرقة الثالثة</v>
      </c>
      <c r="T117" s="121">
        <f>IFERROR(INDEX(tablecost[رقم المركز],MATCH(TableDailyJournal[[#This Row],[مركـــــــزالتكلفــــــة]],tablecost[الاسم],0)),0)</f>
        <v>1</v>
      </c>
      <c r="U117" s="122">
        <f>IFERROR(DATE(TableDailyJournal[[#This Row],[السنــــة]],TableDailyJournal[[#This Row],[الشهــــر]],TableDailyJournal[[#This Row],[الـــــيوم]]),"01-01-2026")</f>
        <v>46177</v>
      </c>
      <c r="V117" s="125">
        <f>INDEX(Tabledaily[تاريخ الإضافة],MATCH(TableDailyJournal[[#This Row],[رقم العملية]],Tabledaily[رقم العملية],0))</f>
        <v>46185.004618055558</v>
      </c>
      <c r="W117" s="58"/>
      <c r="X117" s="58">
        <f>IFERROR(YEAR(TableDailyJournal[[#This Row],[التاريخ]]),"")</f>
        <v>2026</v>
      </c>
      <c r="Y117" s="58">
        <f>IFERROR(MONTH(TableDailyJournal[[#This Row],[التاريخ]]),"")</f>
        <v>6</v>
      </c>
      <c r="Z117" s="58">
        <f>IFERROR(DAY(TableDailyJournal[[#This Row],[التاريخ]]),"")</f>
        <v>4</v>
      </c>
      <c r="AA117"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بامرالمالية</v>
      </c>
      <c r="AB117" s="58" t="str">
        <f>INDEX(Tabledaily[جهة الامر],MATCH(TableDailyJournal[[#This Row],[رقم العملية]],Tabledaily[رقم العملية],0))</f>
        <v>المالية</v>
      </c>
    </row>
    <row r="118" spans="2:28" ht="45.75" x14ac:dyDescent="0.55000000000000004">
      <c r="B118" s="58">
        <f t="shared" si="2"/>
        <v>114</v>
      </c>
      <c r="C118" s="59" t="s">
        <v>453</v>
      </c>
      <c r="D118" s="60">
        <f>INDEX(Tabledaily[date],MATCH(TableDailyJournal[[#This Row],[رقم العملية]],Tabledaily[رقم العملية],0))</f>
        <v>46177</v>
      </c>
      <c r="E118" s="58" t="str">
        <f>INDEX(Tabledaily[نوع العمليــة],MATCH(TableDailyJournal[[#This Row],[رقم العملية]],Tabledaily[رقم العملية],0))</f>
        <v>قيد عهده</v>
      </c>
      <c r="F118" s="58">
        <f>IFERROR(INDEX(TableJudje[رقم الحساب],MATCH(TableDailyJournal[[#This Row],[الحساب]],TableJudje[اسم الحساب],0)),0)</f>
        <v>31010101</v>
      </c>
      <c r="G118" s="58" t="s">
        <v>111</v>
      </c>
      <c r="H118"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6 بامرالمالية</v>
      </c>
      <c r="I118" s="60" t="str">
        <f>INDEX(Tabledaily[العملـــة],MATCH(TableDailyJournal[[#This Row],[رقم العملية]],Tabledaily[رقم العملية],0))</f>
        <v>ريال يمني</v>
      </c>
      <c r="J118" s="59">
        <f>IFERROR(INDEX(Tabledaily[سعــــــر
الصـــــرف],MATCH(C118,Tabledaily[رقم العملية],0)),1)</f>
        <v>405</v>
      </c>
      <c r="K118" s="123" cm="1">
        <f t="array" ref="K118">IFERROR(INDEX(Tabledaily[المبلـــــــغ],MATCH(1,(TableDailyJournal[[#This Row],[رقم العملية]]=Tabledaily[رقم العملية])*(TableDailyJournal[[#This Row],[الحساب]]=Tabledaily[الحســاب المديــــن]),0)),0)</f>
        <v>60000</v>
      </c>
      <c r="L118" s="123" cm="1">
        <f t="array" ref="L118">IFERROR(INDEX(Tabledaily[المبلـــــــغ],MATCH(1,(TableDailyJournal[[#This Row],[رقم العملية]]=Tabledaily[رقم العملية])*(TableDailyJournal[[#This Row],[الحساب]]=Tabledaily[الحســاب الدئـــن]),0)),0)</f>
        <v>0</v>
      </c>
      <c r="M118" s="119">
        <f>IFERROR(TableDailyJournal[[#This Row],[المبلغ مدين]]/TableDailyJournal[[#This Row],[سعــــــر
الصـــــرف]],0)</f>
        <v>148.14814814814815</v>
      </c>
      <c r="N118" s="119">
        <f>IFERROR(TableDailyJournal[[#This Row],[المبلغ دائن]]/TableDailyJournal[[#This Row],[سعــــــر
الصـــــرف]],0)</f>
        <v>0</v>
      </c>
      <c r="O118" s="121" t="str">
        <f>INDEX(Tabledaily[المستفيــــــــد],MATCH(TableDailyJournal[[#This Row],[رقم العملية]],Tabledaily[رقم العملية],0))</f>
        <v>الضباط السابقين</v>
      </c>
      <c r="P118" s="121" t="str">
        <f>INDEX(Tabledaily[المــــرجـــــــــع],MATCH(TableDailyJournal[[#This Row],[رقم العملية]],Tabledaily[رقم العملية],0))</f>
        <v>كشف صرف</v>
      </c>
      <c r="Q118" s="121" t="str">
        <f>INDEX(Tabledaily[اســـــــم المــــرجــــع],MATCH(TableDailyJournal[[#This Row],[رقم العملية]],Tabledaily[رقم العملية],0))</f>
        <v>كشف صرف</v>
      </c>
      <c r="R118" s="121">
        <f>INDEX(Tabledaily[رقم المـــــرجـــع],MATCH(TableDailyJournal[[#This Row],[رقم العملية]],Tabledaily[رقم العملية],0))</f>
        <v>0</v>
      </c>
      <c r="S118" s="121" t="str">
        <f>INDEX(Tabledaily[مركـــــــزالتكلفــــــة],MATCH(TableDailyJournal[[#This Row],[رقم العملية]],Tabledaily[رقم العملية],0))</f>
        <v>الفرقة الثالثة</v>
      </c>
      <c r="T118" s="121">
        <f>IFERROR(INDEX(tablecost[رقم المركز],MATCH(TableDailyJournal[[#This Row],[مركـــــــزالتكلفــــــة]],tablecost[الاسم],0)),0)</f>
        <v>1</v>
      </c>
      <c r="U118" s="122">
        <f>IFERROR(DATE(TableDailyJournal[[#This Row],[السنــــة]],TableDailyJournal[[#This Row],[الشهــــر]],TableDailyJournal[[#This Row],[الـــــيوم]]),"01-01-2026")</f>
        <v>46177</v>
      </c>
      <c r="V118" s="125">
        <f>INDEX(Tabledaily[تاريخ الإضافة],MATCH(TableDailyJournal[[#This Row],[رقم العملية]],Tabledaily[رقم العملية],0))</f>
        <v>46185.006099537037</v>
      </c>
      <c r="W118" s="58"/>
      <c r="X118" s="58">
        <f>IFERROR(YEAR(TableDailyJournal[[#This Row],[التاريخ]]),"")</f>
        <v>2026</v>
      </c>
      <c r="Y118" s="58">
        <f>IFERROR(MONTH(TableDailyJournal[[#This Row],[التاريخ]]),"")</f>
        <v>6</v>
      </c>
      <c r="Z118" s="58">
        <f>IFERROR(DAY(TableDailyJournal[[#This Row],[التاريخ]]),"")</f>
        <v>4</v>
      </c>
      <c r="AA118"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6 بامرالمالية</v>
      </c>
      <c r="AB118" s="58" t="str">
        <f>INDEX(Tabledaily[جهة الامر],MATCH(TableDailyJournal[[#This Row],[رقم العملية]],Tabledaily[رقم العملية],0))</f>
        <v>المالية</v>
      </c>
    </row>
    <row r="119" spans="2:28" ht="45.75" x14ac:dyDescent="0.55000000000000004">
      <c r="B119" s="58">
        <f t="shared" si="2"/>
        <v>115</v>
      </c>
      <c r="C119" s="59" t="s">
        <v>453</v>
      </c>
      <c r="D119" s="60">
        <f>INDEX(Tabledaily[date],MATCH(TableDailyJournal[[#This Row],[رقم العملية]],Tabledaily[رقم العملية],0))</f>
        <v>46177</v>
      </c>
      <c r="E119" s="58" t="str">
        <f>INDEX(Tabledaily[نوع العمليــة],MATCH(TableDailyJournal[[#This Row],[رقم العملية]],Tabledaily[رقم العملية],0))</f>
        <v>قيد عهده</v>
      </c>
      <c r="F119" s="58">
        <f>IFERROR(INDEX(TableJudje[رقم الحساب],MATCH(TableDailyJournal[[#This Row],[الحساب]],TableJudje[اسم الحساب],0)),0)</f>
        <v>11060202</v>
      </c>
      <c r="G119" s="58" t="s">
        <v>159</v>
      </c>
      <c r="H119"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6 بامرالمالية</v>
      </c>
      <c r="I119" s="60" t="str">
        <f>INDEX(Tabledaily[العملـــة],MATCH(TableDailyJournal[[#This Row],[رقم العملية]],Tabledaily[رقم العملية],0))</f>
        <v>ريال يمني</v>
      </c>
      <c r="J119" s="59">
        <f>IFERROR(INDEX(Tabledaily[سعــــــر
الصـــــرف],MATCH(C119,Tabledaily[رقم العملية],0)),1)</f>
        <v>405</v>
      </c>
      <c r="K119" s="123" cm="1">
        <f t="array" ref="K119">IFERROR(INDEX(Tabledaily[المبلـــــــغ],MATCH(1,(TableDailyJournal[[#This Row],[رقم العملية]]=Tabledaily[رقم العملية])*(TableDailyJournal[[#This Row],[الحساب]]=Tabledaily[الحســاب المديــــن]),0)),0)</f>
        <v>0</v>
      </c>
      <c r="L119" s="123" cm="1">
        <f t="array" ref="L119">IFERROR(INDEX(Tabledaily[المبلـــــــغ],MATCH(1,(TableDailyJournal[[#This Row],[رقم العملية]]=Tabledaily[رقم العملية])*(TableDailyJournal[[#This Row],[الحساب]]=Tabledaily[الحســاب الدئـــن]),0)),0)</f>
        <v>60000</v>
      </c>
      <c r="M119" s="119">
        <f>IFERROR(TableDailyJournal[[#This Row],[المبلغ مدين]]/TableDailyJournal[[#This Row],[سعــــــر
الصـــــرف]],0)</f>
        <v>0</v>
      </c>
      <c r="N119" s="119">
        <f>IFERROR(TableDailyJournal[[#This Row],[المبلغ دائن]]/TableDailyJournal[[#This Row],[سعــــــر
الصـــــرف]],0)</f>
        <v>148.14814814814815</v>
      </c>
      <c r="O119" s="121" t="str">
        <f>INDEX(Tabledaily[المستفيــــــــد],MATCH(TableDailyJournal[[#This Row],[رقم العملية]],Tabledaily[رقم العملية],0))</f>
        <v>الضباط السابقين</v>
      </c>
      <c r="P119" s="121" t="str">
        <f>INDEX(Tabledaily[المــــرجـــــــــع],MATCH(TableDailyJournal[[#This Row],[رقم العملية]],Tabledaily[رقم العملية],0))</f>
        <v>كشف صرف</v>
      </c>
      <c r="Q119" s="121" t="str">
        <f>INDEX(Tabledaily[اســـــــم المــــرجــــع],MATCH(TableDailyJournal[[#This Row],[رقم العملية]],Tabledaily[رقم العملية],0))</f>
        <v>كشف صرف</v>
      </c>
      <c r="R119" s="121">
        <f>INDEX(Tabledaily[رقم المـــــرجـــع],MATCH(TableDailyJournal[[#This Row],[رقم العملية]],Tabledaily[رقم العملية],0))</f>
        <v>0</v>
      </c>
      <c r="S119" s="121" t="str">
        <f>INDEX(Tabledaily[مركـــــــزالتكلفــــــة],MATCH(TableDailyJournal[[#This Row],[رقم العملية]],Tabledaily[رقم العملية],0))</f>
        <v>الفرقة الثالثة</v>
      </c>
      <c r="T119" s="121">
        <f>IFERROR(INDEX(tablecost[رقم المركز],MATCH(TableDailyJournal[[#This Row],[مركـــــــزالتكلفــــــة]],tablecost[الاسم],0)),0)</f>
        <v>1</v>
      </c>
      <c r="U119" s="122">
        <f>IFERROR(DATE(TableDailyJournal[[#This Row],[السنــــة]],TableDailyJournal[[#This Row],[الشهــــر]],TableDailyJournal[[#This Row],[الـــــيوم]]),"01-01-2026")</f>
        <v>46177</v>
      </c>
      <c r="V119" s="125">
        <f>INDEX(Tabledaily[تاريخ الإضافة],MATCH(TableDailyJournal[[#This Row],[رقم العملية]],Tabledaily[رقم العملية],0))</f>
        <v>46185.006099537037</v>
      </c>
      <c r="W119" s="58"/>
      <c r="X119" s="58">
        <f>IFERROR(YEAR(TableDailyJournal[[#This Row],[التاريخ]]),"")</f>
        <v>2026</v>
      </c>
      <c r="Y119" s="58">
        <f>IFERROR(MONTH(TableDailyJournal[[#This Row],[التاريخ]]),"")</f>
        <v>6</v>
      </c>
      <c r="Z119" s="58">
        <f>IFERROR(DAY(TableDailyJournal[[#This Row],[التاريخ]]),"")</f>
        <v>4</v>
      </c>
      <c r="AA119"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6 بامرالمالية</v>
      </c>
      <c r="AB119" s="58" t="str">
        <f>INDEX(Tabledaily[جهة الامر],MATCH(TableDailyJournal[[#This Row],[رقم العملية]],Tabledaily[رقم العملية],0))</f>
        <v>المالية</v>
      </c>
    </row>
    <row r="120" spans="2:28" ht="45.75" x14ac:dyDescent="0.55000000000000004">
      <c r="B120" s="58">
        <f t="shared" si="2"/>
        <v>116</v>
      </c>
      <c r="C120" s="59" t="s">
        <v>455</v>
      </c>
      <c r="D120" s="60">
        <f>INDEX(Tabledaily[date],MATCH(TableDailyJournal[[#This Row],[رقم العملية]],Tabledaily[رقم العملية],0))</f>
        <v>46177</v>
      </c>
      <c r="E120" s="58" t="str">
        <f>INDEX(Tabledaily[نوع العمليــة],MATCH(TableDailyJournal[[#This Row],[رقم العملية]],Tabledaily[رقم العملية],0))</f>
        <v>قيد عهده</v>
      </c>
      <c r="F120" s="58">
        <f>IFERROR(INDEX(TableJudje[رقم الحساب],MATCH(TableDailyJournal[[#This Row],[الحساب]],TableJudje[اسم الحساب],0)),0)</f>
        <v>31010101</v>
      </c>
      <c r="G120" s="58" t="s">
        <v>111</v>
      </c>
      <c r="H120"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اخورن عدد 10 بامرالمالية</v>
      </c>
      <c r="I120" s="60" t="str">
        <f>INDEX(Tabledaily[العملـــة],MATCH(TableDailyJournal[[#This Row],[رقم العملية]],Tabledaily[رقم العملية],0))</f>
        <v>ريال يمني</v>
      </c>
      <c r="J120" s="59">
        <f>IFERROR(INDEX(Tabledaily[سعــــــر
الصـــــرف],MATCH(C120,Tabledaily[رقم العملية],0)),1)</f>
        <v>405</v>
      </c>
      <c r="K120" s="123" cm="1">
        <f t="array" ref="K120">IFERROR(INDEX(Tabledaily[المبلـــــــغ],MATCH(1,(TableDailyJournal[[#This Row],[رقم العملية]]=Tabledaily[رقم العملية])*(TableDailyJournal[[#This Row],[الحساب]]=Tabledaily[الحســاب المديــــن]),0)),0)</f>
        <v>75000</v>
      </c>
      <c r="L120" s="123" cm="1">
        <f t="array" ref="L120">IFERROR(INDEX(Tabledaily[المبلـــــــغ],MATCH(1,(TableDailyJournal[[#This Row],[رقم العملية]]=Tabledaily[رقم العملية])*(TableDailyJournal[[#This Row],[الحساب]]=Tabledaily[الحســاب الدئـــن]),0)),0)</f>
        <v>0</v>
      </c>
      <c r="M120" s="119">
        <f>IFERROR(TableDailyJournal[[#This Row],[المبلغ مدين]]/TableDailyJournal[[#This Row],[سعــــــر
الصـــــرف]],0)</f>
        <v>185.18518518518519</v>
      </c>
      <c r="N120" s="119">
        <f>IFERROR(TableDailyJournal[[#This Row],[المبلغ دائن]]/TableDailyJournal[[#This Row],[سعــــــر
الصـــــرف]],0)</f>
        <v>0</v>
      </c>
      <c r="O120" s="121" t="str">
        <f>INDEX(Tabledaily[المستفيــــــــد],MATCH(TableDailyJournal[[#This Row],[رقم العملية]],Tabledaily[رقم العملية],0))</f>
        <v>اخرون</v>
      </c>
      <c r="P120" s="121" t="str">
        <f>INDEX(Tabledaily[المــــرجـــــــــع],MATCH(TableDailyJournal[[#This Row],[رقم العملية]],Tabledaily[رقم العملية],0))</f>
        <v>كشف صرف</v>
      </c>
      <c r="Q120" s="121" t="str">
        <f>INDEX(Tabledaily[اســـــــم المــــرجــــع],MATCH(TableDailyJournal[[#This Row],[رقم العملية]],Tabledaily[رقم العملية],0))</f>
        <v>كشف صرف</v>
      </c>
      <c r="R120" s="121">
        <f>INDEX(Tabledaily[رقم المـــــرجـــع],MATCH(TableDailyJournal[[#This Row],[رقم العملية]],Tabledaily[رقم العملية],0))</f>
        <v>0</v>
      </c>
      <c r="S120" s="121" t="str">
        <f>INDEX(Tabledaily[مركـــــــزالتكلفــــــة],MATCH(TableDailyJournal[[#This Row],[رقم العملية]],Tabledaily[رقم العملية],0))</f>
        <v>الفرقة الثالثة</v>
      </c>
      <c r="T120" s="121">
        <f>IFERROR(INDEX(tablecost[رقم المركز],MATCH(TableDailyJournal[[#This Row],[مركـــــــزالتكلفــــــة]],tablecost[الاسم],0)),0)</f>
        <v>1</v>
      </c>
      <c r="U120" s="122">
        <f>IFERROR(DATE(TableDailyJournal[[#This Row],[السنــــة]],TableDailyJournal[[#This Row],[الشهــــر]],TableDailyJournal[[#This Row],[الـــــيوم]]),"01-01-2026")</f>
        <v>46177</v>
      </c>
      <c r="V120" s="125">
        <f>INDEX(Tabledaily[تاريخ الإضافة],MATCH(TableDailyJournal[[#This Row],[رقم العملية]],Tabledaily[رقم العملية],0))</f>
        <v>46185.006921296299</v>
      </c>
      <c r="W120" s="58"/>
      <c r="X120" s="58">
        <f>IFERROR(YEAR(TableDailyJournal[[#This Row],[التاريخ]]),"")</f>
        <v>2026</v>
      </c>
      <c r="Y120" s="58">
        <f>IFERROR(MONTH(TableDailyJournal[[#This Row],[التاريخ]]),"")</f>
        <v>6</v>
      </c>
      <c r="Z120" s="58">
        <f>IFERROR(DAY(TableDailyJournal[[#This Row],[التاريخ]]),"")</f>
        <v>4</v>
      </c>
      <c r="AA120"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اخورن عدد 10 بامرالمالية</v>
      </c>
      <c r="AB120" s="58" t="str">
        <f>INDEX(Tabledaily[جهة الامر],MATCH(TableDailyJournal[[#This Row],[رقم العملية]],Tabledaily[رقم العملية],0))</f>
        <v>المالية</v>
      </c>
    </row>
    <row r="121" spans="2:28" ht="45.75" x14ac:dyDescent="0.55000000000000004">
      <c r="B121" s="58">
        <f t="shared" si="2"/>
        <v>117</v>
      </c>
      <c r="C121" s="59" t="s">
        <v>455</v>
      </c>
      <c r="D121" s="60">
        <f>INDEX(Tabledaily[date],MATCH(TableDailyJournal[[#This Row],[رقم العملية]],Tabledaily[رقم العملية],0))</f>
        <v>46177</v>
      </c>
      <c r="E121" s="58" t="str">
        <f>INDEX(Tabledaily[نوع العمليــة],MATCH(TableDailyJournal[[#This Row],[رقم العملية]],Tabledaily[رقم العملية],0))</f>
        <v>قيد عهده</v>
      </c>
      <c r="F121" s="58">
        <f>IFERROR(INDEX(TableJudje[رقم الحساب],MATCH(TableDailyJournal[[#This Row],[الحساب]],TableJudje[اسم الحساب],0)),0)</f>
        <v>11060202</v>
      </c>
      <c r="G121" s="58" t="s">
        <v>159</v>
      </c>
      <c r="H121"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اخورن عدد 10 بامرالمالية</v>
      </c>
      <c r="I121" s="60" t="str">
        <f>INDEX(Tabledaily[العملـــة],MATCH(TableDailyJournal[[#This Row],[رقم العملية]],Tabledaily[رقم العملية],0))</f>
        <v>ريال يمني</v>
      </c>
      <c r="J121" s="59">
        <f>IFERROR(INDEX(Tabledaily[سعــــــر
الصـــــرف],MATCH(C121,Tabledaily[رقم العملية],0)),1)</f>
        <v>405</v>
      </c>
      <c r="K121" s="123" cm="1">
        <f t="array" ref="K121">IFERROR(INDEX(Tabledaily[المبلـــــــغ],MATCH(1,(TableDailyJournal[[#This Row],[رقم العملية]]=Tabledaily[رقم العملية])*(TableDailyJournal[[#This Row],[الحساب]]=Tabledaily[الحســاب المديــــن]),0)),0)</f>
        <v>0</v>
      </c>
      <c r="L121" s="123" cm="1">
        <f t="array" ref="L121">IFERROR(INDEX(Tabledaily[المبلـــــــغ],MATCH(1,(TableDailyJournal[[#This Row],[رقم العملية]]=Tabledaily[رقم العملية])*(TableDailyJournal[[#This Row],[الحساب]]=Tabledaily[الحســاب الدئـــن]),0)),0)</f>
        <v>75000</v>
      </c>
      <c r="M121" s="119">
        <f>IFERROR(TableDailyJournal[[#This Row],[المبلغ مدين]]/TableDailyJournal[[#This Row],[سعــــــر
الصـــــرف]],0)</f>
        <v>0</v>
      </c>
      <c r="N121" s="119">
        <f>IFERROR(TableDailyJournal[[#This Row],[المبلغ دائن]]/TableDailyJournal[[#This Row],[سعــــــر
الصـــــرف]],0)</f>
        <v>185.18518518518519</v>
      </c>
      <c r="O121" s="121" t="str">
        <f>INDEX(Tabledaily[المستفيــــــــد],MATCH(TableDailyJournal[[#This Row],[رقم العملية]],Tabledaily[رقم العملية],0))</f>
        <v>اخرون</v>
      </c>
      <c r="P121" s="121" t="str">
        <f>INDEX(Tabledaily[المــــرجـــــــــع],MATCH(TableDailyJournal[[#This Row],[رقم العملية]],Tabledaily[رقم العملية],0))</f>
        <v>كشف صرف</v>
      </c>
      <c r="Q121" s="121" t="str">
        <f>INDEX(Tabledaily[اســـــــم المــــرجــــع],MATCH(TableDailyJournal[[#This Row],[رقم العملية]],Tabledaily[رقم العملية],0))</f>
        <v>كشف صرف</v>
      </c>
      <c r="R121" s="121">
        <f>INDEX(Tabledaily[رقم المـــــرجـــع],MATCH(TableDailyJournal[[#This Row],[رقم العملية]],Tabledaily[رقم العملية],0))</f>
        <v>0</v>
      </c>
      <c r="S121" s="121" t="str">
        <f>INDEX(Tabledaily[مركـــــــزالتكلفــــــة],MATCH(TableDailyJournal[[#This Row],[رقم العملية]],Tabledaily[رقم العملية],0))</f>
        <v>الفرقة الثالثة</v>
      </c>
      <c r="T121" s="121">
        <f>IFERROR(INDEX(tablecost[رقم المركز],MATCH(TableDailyJournal[[#This Row],[مركـــــــزالتكلفــــــة]],tablecost[الاسم],0)),0)</f>
        <v>1</v>
      </c>
      <c r="U121" s="122">
        <f>IFERROR(DATE(TableDailyJournal[[#This Row],[السنــــة]],TableDailyJournal[[#This Row],[الشهــــر]],TableDailyJournal[[#This Row],[الـــــيوم]]),"01-01-2026")</f>
        <v>46177</v>
      </c>
      <c r="V121" s="125">
        <f>INDEX(Tabledaily[تاريخ الإضافة],MATCH(TableDailyJournal[[#This Row],[رقم العملية]],Tabledaily[رقم العملية],0))</f>
        <v>46185.006921296299</v>
      </c>
      <c r="W121" s="58"/>
      <c r="X121" s="58">
        <f>IFERROR(YEAR(TableDailyJournal[[#This Row],[التاريخ]]),"")</f>
        <v>2026</v>
      </c>
      <c r="Y121" s="58">
        <f>IFERROR(MONTH(TableDailyJournal[[#This Row],[التاريخ]]),"")</f>
        <v>6</v>
      </c>
      <c r="Z121" s="58">
        <f>IFERROR(DAY(TableDailyJournal[[#This Row],[التاريخ]]),"")</f>
        <v>4</v>
      </c>
      <c r="AA121"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اخورن عدد 10 بامرالمالية</v>
      </c>
      <c r="AB121" s="58" t="str">
        <f>INDEX(Tabledaily[جهة الامر],MATCH(TableDailyJournal[[#This Row],[رقم العملية]],Tabledaily[رقم العملية],0))</f>
        <v>المالية</v>
      </c>
    </row>
    <row r="122" spans="2:28" ht="45.75" x14ac:dyDescent="0.55000000000000004">
      <c r="B122" s="58">
        <f t="shared" si="2"/>
        <v>118</v>
      </c>
      <c r="C122" s="59" t="s">
        <v>457</v>
      </c>
      <c r="D122" s="60">
        <f>INDEX(Tabledaily[date],MATCH(TableDailyJournal[[#This Row],[رقم العملية]],Tabledaily[رقم العملية],0))</f>
        <v>46177</v>
      </c>
      <c r="E122" s="58" t="str">
        <f>INDEX(Tabledaily[نوع العمليــة],MATCH(TableDailyJournal[[#This Row],[رقم العملية]],Tabledaily[رقم العملية],0))</f>
        <v>قيد عهده</v>
      </c>
      <c r="F122" s="58">
        <f>IFERROR(INDEX(TableJudje[رقم الحساب],MATCH(TableDailyJournal[[#This Row],[الحساب]],TableJudje[اسم الحساب],0)),0)</f>
        <v>31010101</v>
      </c>
      <c r="G122" s="58" t="s">
        <v>111</v>
      </c>
      <c r="H122"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بامرالمالية</v>
      </c>
      <c r="I122" s="60" t="str">
        <f>INDEX(Tabledaily[العملـــة],MATCH(TableDailyJournal[[#This Row],[رقم العملية]],Tabledaily[رقم العملية],0))</f>
        <v>ريال يمني</v>
      </c>
      <c r="J122" s="59">
        <f>IFERROR(INDEX(Tabledaily[سعــــــر
الصـــــرف],MATCH(C122,Tabledaily[رقم العملية],0)),1)</f>
        <v>405</v>
      </c>
      <c r="K122" s="123" cm="1">
        <f t="array" ref="K122">IFERROR(INDEX(Tabledaily[المبلـــــــغ],MATCH(1,(TableDailyJournal[[#This Row],[رقم العملية]]=Tabledaily[رقم العملية])*(TableDailyJournal[[#This Row],[الحساب]]=Tabledaily[الحســاب المديــــن]),0)),0)</f>
        <v>28000</v>
      </c>
      <c r="L122" s="123" cm="1">
        <f t="array" ref="L122">IFERROR(INDEX(Tabledaily[المبلـــــــغ],MATCH(1,(TableDailyJournal[[#This Row],[رقم العملية]]=Tabledaily[رقم العملية])*(TableDailyJournal[[#This Row],[الحساب]]=Tabledaily[الحســاب الدئـــن]),0)),0)</f>
        <v>0</v>
      </c>
      <c r="M122" s="119">
        <f>IFERROR(TableDailyJournal[[#This Row],[المبلغ مدين]]/TableDailyJournal[[#This Row],[سعــــــر
الصـــــرف]],0)</f>
        <v>69.135802469135797</v>
      </c>
      <c r="N122" s="119">
        <f>IFERROR(TableDailyJournal[[#This Row],[المبلغ دائن]]/TableDailyJournal[[#This Row],[سعــــــر
الصـــــرف]],0)</f>
        <v>0</v>
      </c>
      <c r="O122" s="121" t="str">
        <f>INDEX(Tabledaily[المستفيــــــــد],MATCH(TableDailyJournal[[#This Row],[رقم العملية]],Tabledaily[رقم العملية],0))</f>
        <v>الاشغال</v>
      </c>
      <c r="P122" s="121" t="str">
        <f>INDEX(Tabledaily[المــــرجـــــــــع],MATCH(TableDailyJournal[[#This Row],[رقم العملية]],Tabledaily[رقم العملية],0))</f>
        <v>كشف صرف</v>
      </c>
      <c r="Q122" s="121" t="str">
        <f>INDEX(Tabledaily[اســـــــم المــــرجــــع],MATCH(TableDailyJournal[[#This Row],[رقم العملية]],Tabledaily[رقم العملية],0))</f>
        <v>كشف صرف</v>
      </c>
      <c r="R122" s="121">
        <f>INDEX(Tabledaily[رقم المـــــرجـــع],MATCH(TableDailyJournal[[#This Row],[رقم العملية]],Tabledaily[رقم العملية],0))</f>
        <v>0</v>
      </c>
      <c r="S122" s="121" t="str">
        <f>INDEX(Tabledaily[مركـــــــزالتكلفــــــة],MATCH(TableDailyJournal[[#This Row],[رقم العملية]],Tabledaily[رقم العملية],0))</f>
        <v>الفرقة الثالثة</v>
      </c>
      <c r="T122" s="121">
        <f>IFERROR(INDEX(tablecost[رقم المركز],MATCH(TableDailyJournal[[#This Row],[مركـــــــزالتكلفــــــة]],tablecost[الاسم],0)),0)</f>
        <v>1</v>
      </c>
      <c r="U122" s="122">
        <f>IFERROR(DATE(TableDailyJournal[[#This Row],[السنــــة]],TableDailyJournal[[#This Row],[الشهــــر]],TableDailyJournal[[#This Row],[الـــــيوم]]),"01-01-2026")</f>
        <v>46177</v>
      </c>
      <c r="V122" s="125">
        <f>INDEX(Tabledaily[تاريخ الإضافة],MATCH(TableDailyJournal[[#This Row],[رقم العملية]],Tabledaily[رقم العملية],0))</f>
        <v>46185.0075462963</v>
      </c>
      <c r="W122" s="58"/>
      <c r="X122" s="58">
        <f>IFERROR(YEAR(TableDailyJournal[[#This Row],[التاريخ]]),"")</f>
        <v>2026</v>
      </c>
      <c r="Y122" s="58">
        <f>IFERROR(MONTH(TableDailyJournal[[#This Row],[التاريخ]]),"")</f>
        <v>6</v>
      </c>
      <c r="Z122" s="58">
        <f>IFERROR(DAY(TableDailyJournal[[#This Row],[التاريخ]]),"")</f>
        <v>4</v>
      </c>
      <c r="AA122"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بامرالمالية</v>
      </c>
      <c r="AB122" s="58" t="str">
        <f>INDEX(Tabledaily[جهة الامر],MATCH(TableDailyJournal[[#This Row],[رقم العملية]],Tabledaily[رقم العملية],0))</f>
        <v>المالية</v>
      </c>
    </row>
    <row r="123" spans="2:28" ht="45.75" x14ac:dyDescent="0.55000000000000004">
      <c r="B123" s="58">
        <f t="shared" si="2"/>
        <v>119</v>
      </c>
      <c r="C123" s="59" t="s">
        <v>457</v>
      </c>
      <c r="D123" s="60">
        <f>INDEX(Tabledaily[date],MATCH(TableDailyJournal[[#This Row],[رقم العملية]],Tabledaily[رقم العملية],0))</f>
        <v>46177</v>
      </c>
      <c r="E123" s="58" t="str">
        <f>INDEX(Tabledaily[نوع العمليــة],MATCH(TableDailyJournal[[#This Row],[رقم العملية]],Tabledaily[رقم العملية],0))</f>
        <v>قيد عهده</v>
      </c>
      <c r="F123" s="58">
        <f>IFERROR(INDEX(TableJudje[رقم الحساب],MATCH(TableDailyJournal[[#This Row],[الحساب]],TableJudje[اسم الحساب],0)),0)</f>
        <v>11060202</v>
      </c>
      <c r="G123" s="58" t="s">
        <v>159</v>
      </c>
      <c r="H123"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بامرالمالية</v>
      </c>
      <c r="I123" s="60" t="str">
        <f>INDEX(Tabledaily[العملـــة],MATCH(TableDailyJournal[[#This Row],[رقم العملية]],Tabledaily[رقم العملية],0))</f>
        <v>ريال يمني</v>
      </c>
      <c r="J123" s="59">
        <f>IFERROR(INDEX(Tabledaily[سعــــــر
الصـــــرف],MATCH(C123,Tabledaily[رقم العملية],0)),1)</f>
        <v>405</v>
      </c>
      <c r="K123" s="123" cm="1">
        <f t="array" ref="K123">IFERROR(INDEX(Tabledaily[المبلـــــــغ],MATCH(1,(TableDailyJournal[[#This Row],[رقم العملية]]=Tabledaily[رقم العملية])*(TableDailyJournal[[#This Row],[الحساب]]=Tabledaily[الحســاب المديــــن]),0)),0)</f>
        <v>0</v>
      </c>
      <c r="L123" s="123" cm="1">
        <f t="array" ref="L123">IFERROR(INDEX(Tabledaily[المبلـــــــغ],MATCH(1,(TableDailyJournal[[#This Row],[رقم العملية]]=Tabledaily[رقم العملية])*(TableDailyJournal[[#This Row],[الحساب]]=Tabledaily[الحســاب الدئـــن]),0)),0)</f>
        <v>28000</v>
      </c>
      <c r="M123" s="119">
        <f>IFERROR(TableDailyJournal[[#This Row],[المبلغ مدين]]/TableDailyJournal[[#This Row],[سعــــــر
الصـــــرف]],0)</f>
        <v>0</v>
      </c>
      <c r="N123" s="119">
        <f>IFERROR(TableDailyJournal[[#This Row],[المبلغ دائن]]/TableDailyJournal[[#This Row],[سعــــــر
الصـــــرف]],0)</f>
        <v>69.135802469135797</v>
      </c>
      <c r="O123" s="121" t="str">
        <f>INDEX(Tabledaily[المستفيــــــــد],MATCH(TableDailyJournal[[#This Row],[رقم العملية]],Tabledaily[رقم العملية],0))</f>
        <v>الاشغال</v>
      </c>
      <c r="P123" s="121" t="str">
        <f>INDEX(Tabledaily[المــــرجـــــــــع],MATCH(TableDailyJournal[[#This Row],[رقم العملية]],Tabledaily[رقم العملية],0))</f>
        <v>كشف صرف</v>
      </c>
      <c r="Q123" s="121" t="str">
        <f>INDEX(Tabledaily[اســـــــم المــــرجــــع],MATCH(TableDailyJournal[[#This Row],[رقم العملية]],Tabledaily[رقم العملية],0))</f>
        <v>كشف صرف</v>
      </c>
      <c r="R123" s="121">
        <f>INDEX(Tabledaily[رقم المـــــرجـــع],MATCH(TableDailyJournal[[#This Row],[رقم العملية]],Tabledaily[رقم العملية],0))</f>
        <v>0</v>
      </c>
      <c r="S123" s="121" t="str">
        <f>INDEX(Tabledaily[مركـــــــزالتكلفــــــة],MATCH(TableDailyJournal[[#This Row],[رقم العملية]],Tabledaily[رقم العملية],0))</f>
        <v>الفرقة الثالثة</v>
      </c>
      <c r="T123" s="121">
        <f>IFERROR(INDEX(tablecost[رقم المركز],MATCH(TableDailyJournal[[#This Row],[مركـــــــزالتكلفــــــة]],tablecost[الاسم],0)),0)</f>
        <v>1</v>
      </c>
      <c r="U123" s="122">
        <f>IFERROR(DATE(TableDailyJournal[[#This Row],[السنــــة]],TableDailyJournal[[#This Row],[الشهــــر]],TableDailyJournal[[#This Row],[الـــــيوم]]),"01-01-2026")</f>
        <v>46177</v>
      </c>
      <c r="V123" s="125">
        <f>INDEX(Tabledaily[تاريخ الإضافة],MATCH(TableDailyJournal[[#This Row],[رقم العملية]],Tabledaily[رقم العملية],0))</f>
        <v>46185.0075462963</v>
      </c>
      <c r="W123" s="58"/>
      <c r="X123" s="58">
        <f>IFERROR(YEAR(TableDailyJournal[[#This Row],[التاريخ]]),"")</f>
        <v>2026</v>
      </c>
      <c r="Y123" s="58">
        <f>IFERROR(MONTH(TableDailyJournal[[#This Row],[التاريخ]]),"")</f>
        <v>6</v>
      </c>
      <c r="Z123" s="58">
        <f>IFERROR(DAY(TableDailyJournal[[#This Row],[التاريخ]]),"")</f>
        <v>4</v>
      </c>
      <c r="AA123"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بامرالمالية</v>
      </c>
      <c r="AB123" s="58" t="str">
        <f>INDEX(Tabledaily[جهة الامر],MATCH(TableDailyJournal[[#This Row],[رقم العملية]],Tabledaily[رقم العملية],0))</f>
        <v>المالية</v>
      </c>
    </row>
    <row r="124" spans="2:28" ht="45.75" x14ac:dyDescent="0.55000000000000004">
      <c r="B124" s="58">
        <f t="shared" si="2"/>
        <v>120</v>
      </c>
      <c r="C124" s="59" t="s">
        <v>461</v>
      </c>
      <c r="D124" s="60">
        <f>INDEX(Tabledaily[date],MATCH(TableDailyJournal[[#This Row],[رقم العملية]],Tabledaily[رقم العملية],0))</f>
        <v>46177</v>
      </c>
      <c r="E124" s="58" t="str">
        <f>INDEX(Tabledaily[نوع العمليــة],MATCH(TableDailyJournal[[#This Row],[رقم العملية]],Tabledaily[رقم العملية],0))</f>
        <v>قيد عهده</v>
      </c>
      <c r="F124" s="58">
        <f>IFERROR(INDEX(TableJudje[رقم الحساب],MATCH(TableDailyJournal[[#This Row],[الحساب]],TableJudje[اسم الحساب],0)),0)</f>
        <v>11060204</v>
      </c>
      <c r="G124" s="58" t="s">
        <v>460</v>
      </c>
      <c r="H124" s="61" t="str">
        <f>INDEX(Tabledaily[المرجع البياني],MATCH(TableDailyJournal[[#This Row],[رقم العملية]],Tabledaily[رقم العملية],0))</f>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v>
      </c>
      <c r="I124" s="60" t="str">
        <f>INDEX(Tabledaily[العملـــة],MATCH(TableDailyJournal[[#This Row],[رقم العملية]],Tabledaily[رقم العملية],0))</f>
        <v>ريال يمني</v>
      </c>
      <c r="J124" s="59">
        <f>IFERROR(INDEX(Tabledaily[سعــــــر
الصـــــرف],MATCH(C124,Tabledaily[رقم العملية],0)),1)</f>
        <v>405</v>
      </c>
      <c r="K124" s="123" cm="1">
        <f t="array" ref="K124">IFERROR(INDEX(Tabledaily[المبلـــــــغ],MATCH(1,(TableDailyJournal[[#This Row],[رقم العملية]]=Tabledaily[رقم العملية])*(TableDailyJournal[[#This Row],[الحساب]]=Tabledaily[الحســاب المديــــن]),0)),0)</f>
        <v>700000</v>
      </c>
      <c r="L124" s="123" cm="1">
        <f t="array" ref="L124">IFERROR(INDEX(Tabledaily[المبلـــــــغ],MATCH(1,(TableDailyJournal[[#This Row],[رقم العملية]]=Tabledaily[رقم العملية])*(TableDailyJournal[[#This Row],[الحساب]]=Tabledaily[الحســاب الدئـــن]),0)),0)</f>
        <v>0</v>
      </c>
      <c r="M124" s="119">
        <f>IFERROR(TableDailyJournal[[#This Row],[المبلغ مدين]]/TableDailyJournal[[#This Row],[سعــــــر
الصـــــرف]],0)</f>
        <v>1728.3950617283951</v>
      </c>
      <c r="N124" s="119">
        <f>IFERROR(TableDailyJournal[[#This Row],[المبلغ دائن]]/TableDailyJournal[[#This Row],[سعــــــر
الصـــــرف]],0)</f>
        <v>0</v>
      </c>
      <c r="O124" s="121" t="str">
        <f>INDEX(Tabledaily[المستفيــــــــد],MATCH(TableDailyJournal[[#This Row],[رقم العملية]],Tabledaily[رقم العملية],0))</f>
        <v>حاتم عبده سيف</v>
      </c>
      <c r="P124" s="121" t="str">
        <f>INDEX(Tabledaily[المــــرجـــــــــع],MATCH(TableDailyJournal[[#This Row],[رقم العملية]],Tabledaily[رقم العملية],0))</f>
        <v>استلام نقدي</v>
      </c>
      <c r="Q124" s="121" t="str">
        <f>INDEX(Tabledaily[اســـــــم المــــرجــــع],MATCH(TableDailyJournal[[#This Row],[رقم العملية]],Tabledaily[رقم العملية],0))</f>
        <v>سند استلام</v>
      </c>
      <c r="R124" s="121" t="str">
        <f>INDEX(Tabledaily[رقم المـــــرجـــع],MATCH(TableDailyJournal[[#This Row],[رقم العملية]],Tabledaily[رقم العملية],0))</f>
        <v>استلام خطي</v>
      </c>
      <c r="S124" s="121" t="str">
        <f>INDEX(Tabledaily[مركـــــــزالتكلفــــــة],MATCH(TableDailyJournal[[#This Row],[رقم العملية]],Tabledaily[رقم العملية],0))</f>
        <v>اللواء السادس</v>
      </c>
      <c r="T124" s="121">
        <f>IFERROR(INDEX(tablecost[رقم المركز],MATCH(TableDailyJournal[[#This Row],[مركـــــــزالتكلفــــــة]],tablecost[الاسم],0)),0)</f>
        <v>7</v>
      </c>
      <c r="U124" s="122">
        <f>IFERROR(DATE(TableDailyJournal[[#This Row],[السنــــة]],TableDailyJournal[[#This Row],[الشهــــر]],TableDailyJournal[[#This Row],[الـــــيوم]]),"01-01-2026")</f>
        <v>46177</v>
      </c>
      <c r="V124" s="125">
        <f>INDEX(Tabledaily[تاريخ الإضافة],MATCH(TableDailyJournal[[#This Row],[رقم العملية]],Tabledaily[رقم العملية],0))</f>
        <v>46185.010335648149</v>
      </c>
      <c r="W124" s="58"/>
      <c r="X124" s="58">
        <f>IFERROR(YEAR(TableDailyJournal[[#This Row],[التاريخ]]),"")</f>
        <v>2026</v>
      </c>
      <c r="Y124" s="58">
        <f>IFERROR(MONTH(TableDailyJournal[[#This Row],[التاريخ]]),"")</f>
        <v>6</v>
      </c>
      <c r="Z124" s="58">
        <f>IFERROR(DAY(TableDailyJournal[[#This Row],[التاريخ]]),"")</f>
        <v>4</v>
      </c>
      <c r="AA124" s="126" t="str">
        <f>INDEX(Tabledaily[المرجع البياني],MATCH(TableDailyJournal[[#This Row],[رقم العملية]],Tabledaily[رقم العملية],0))</f>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v>
      </c>
      <c r="AB124" s="58" t="str">
        <f>INDEX(Tabledaily[جهة الامر],MATCH(TableDailyJournal[[#This Row],[رقم العملية]],Tabledaily[رقم العملية],0))</f>
        <v>القائد</v>
      </c>
    </row>
    <row r="125" spans="2:28" ht="45.75" x14ac:dyDescent="0.55000000000000004">
      <c r="B125" s="58">
        <f t="shared" si="2"/>
        <v>121</v>
      </c>
      <c r="C125" s="59" t="s">
        <v>461</v>
      </c>
      <c r="D125" s="60">
        <f>INDEX(Tabledaily[date],MATCH(TableDailyJournal[[#This Row],[رقم العملية]],Tabledaily[رقم العملية],0))</f>
        <v>46177</v>
      </c>
      <c r="E125" s="58" t="str">
        <f>INDEX(Tabledaily[نوع العمليــة],MATCH(TableDailyJournal[[#This Row],[رقم العملية]],Tabledaily[رقم العملية],0))</f>
        <v>قيد عهده</v>
      </c>
      <c r="F125" s="58">
        <f>IFERROR(INDEX(TableJudje[رقم الحساب],MATCH(TableDailyJournal[[#This Row],[الحساب]],TableJudje[اسم الحساب],0)),0)</f>
        <v>11060202</v>
      </c>
      <c r="G125" s="58" t="s">
        <v>159</v>
      </c>
      <c r="H125" s="61" t="str">
        <f>INDEX(Tabledaily[المرجع البياني],MATCH(TableDailyJournal[[#This Row],[رقم العملية]],Tabledaily[رقم العملية],0))</f>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v>
      </c>
      <c r="I125" s="60" t="str">
        <f>INDEX(Tabledaily[العملـــة],MATCH(TableDailyJournal[[#This Row],[رقم العملية]],Tabledaily[رقم العملية],0))</f>
        <v>ريال يمني</v>
      </c>
      <c r="J125" s="59">
        <f>IFERROR(INDEX(Tabledaily[سعــــــر
الصـــــرف],MATCH(C125,Tabledaily[رقم العملية],0)),1)</f>
        <v>405</v>
      </c>
      <c r="K125" s="123" cm="1">
        <f t="array" ref="K125">IFERROR(INDEX(Tabledaily[المبلـــــــغ],MATCH(1,(TableDailyJournal[[#This Row],[رقم العملية]]=Tabledaily[رقم العملية])*(TableDailyJournal[[#This Row],[الحساب]]=Tabledaily[الحســاب المديــــن]),0)),0)</f>
        <v>0</v>
      </c>
      <c r="L125" s="123" cm="1">
        <f t="array" ref="L125">IFERROR(INDEX(Tabledaily[المبلـــــــغ],MATCH(1,(TableDailyJournal[[#This Row],[رقم العملية]]=Tabledaily[رقم العملية])*(TableDailyJournal[[#This Row],[الحساب]]=Tabledaily[الحســاب الدئـــن]),0)),0)</f>
        <v>700000</v>
      </c>
      <c r="M125" s="119">
        <f>IFERROR(TableDailyJournal[[#This Row],[المبلغ مدين]]/TableDailyJournal[[#This Row],[سعــــــر
الصـــــرف]],0)</f>
        <v>0</v>
      </c>
      <c r="N125" s="119">
        <f>IFERROR(TableDailyJournal[[#This Row],[المبلغ دائن]]/TableDailyJournal[[#This Row],[سعــــــر
الصـــــرف]],0)</f>
        <v>1728.3950617283951</v>
      </c>
      <c r="O125" s="121" t="str">
        <f>INDEX(Tabledaily[المستفيــــــــد],MATCH(TableDailyJournal[[#This Row],[رقم العملية]],Tabledaily[رقم العملية],0))</f>
        <v>حاتم عبده سيف</v>
      </c>
      <c r="P125" s="121" t="str">
        <f>INDEX(Tabledaily[المــــرجـــــــــع],MATCH(TableDailyJournal[[#This Row],[رقم العملية]],Tabledaily[رقم العملية],0))</f>
        <v>استلام نقدي</v>
      </c>
      <c r="Q125" s="121" t="str">
        <f>INDEX(Tabledaily[اســـــــم المــــرجــــع],MATCH(TableDailyJournal[[#This Row],[رقم العملية]],Tabledaily[رقم العملية],0))</f>
        <v>سند استلام</v>
      </c>
      <c r="R125" s="121" t="str">
        <f>INDEX(Tabledaily[رقم المـــــرجـــع],MATCH(TableDailyJournal[[#This Row],[رقم العملية]],Tabledaily[رقم العملية],0))</f>
        <v>استلام خطي</v>
      </c>
      <c r="S125" s="121" t="str">
        <f>INDEX(Tabledaily[مركـــــــزالتكلفــــــة],MATCH(TableDailyJournal[[#This Row],[رقم العملية]],Tabledaily[رقم العملية],0))</f>
        <v>اللواء السادس</v>
      </c>
      <c r="T125" s="121">
        <f>IFERROR(INDEX(tablecost[رقم المركز],MATCH(TableDailyJournal[[#This Row],[مركـــــــزالتكلفــــــة]],tablecost[الاسم],0)),0)</f>
        <v>7</v>
      </c>
      <c r="U125" s="122">
        <f>IFERROR(DATE(TableDailyJournal[[#This Row],[السنــــة]],TableDailyJournal[[#This Row],[الشهــــر]],TableDailyJournal[[#This Row],[الـــــيوم]]),"01-01-2026")</f>
        <v>46177</v>
      </c>
      <c r="V125" s="125">
        <f>INDEX(Tabledaily[تاريخ الإضافة],MATCH(TableDailyJournal[[#This Row],[رقم العملية]],Tabledaily[رقم العملية],0))</f>
        <v>46185.010335648149</v>
      </c>
      <c r="W125" s="58"/>
      <c r="X125" s="58">
        <f>IFERROR(YEAR(TableDailyJournal[[#This Row],[التاريخ]]),"")</f>
        <v>2026</v>
      </c>
      <c r="Y125" s="58">
        <f>IFERROR(MONTH(TableDailyJournal[[#This Row],[التاريخ]]),"")</f>
        <v>6</v>
      </c>
      <c r="Z125" s="58">
        <f>IFERROR(DAY(TableDailyJournal[[#This Row],[التاريخ]]),"")</f>
        <v>4</v>
      </c>
      <c r="AA125" s="126" t="str">
        <f>INDEX(Tabledaily[المرجع البياني],MATCH(TableDailyJournal[[#This Row],[رقم العملية]],Tabledaily[رقم العملية],0))</f>
        <v>قيـد مقابـل:- (عهدة حاتم عبده سيف - حاتم عبده سيف - اللواء السادس)  - استلام نقدي رقم استلام خطي  سند استلام - صرف عهدة مصاريف نقل الجريح حازم عباس الى عدن بامرالقائد</v>
      </c>
      <c r="AB125" s="58" t="str">
        <f>INDEX(Tabledaily[جهة الامر],MATCH(TableDailyJournal[[#This Row],[رقم العملية]],Tabledaily[رقم العملية],0))</f>
        <v>القائد</v>
      </c>
    </row>
    <row r="126" spans="2:28" ht="67.5" x14ac:dyDescent="0.55000000000000004">
      <c r="B126" s="58">
        <f t="shared" si="2"/>
        <v>122</v>
      </c>
      <c r="C126" s="59" t="s">
        <v>465</v>
      </c>
      <c r="D126" s="60">
        <f>INDEX(Tabledaily[date],MATCH(TableDailyJournal[[#This Row],[رقم العملية]],Tabledaily[رقم العملية],0))</f>
        <v>46177</v>
      </c>
      <c r="E126" s="58" t="str">
        <f>INDEX(Tabledaily[نوع العمليــة],MATCH(TableDailyJournal[[#This Row],[رقم العملية]],Tabledaily[رقم العملية],0))</f>
        <v>قيد عهده</v>
      </c>
      <c r="F126" s="58">
        <f>IFERROR(INDEX(TableJudje[رقم الحساب],MATCH(TableDailyJournal[[#This Row],[الحساب]],TableJudje[اسم الحساب],0)),0)</f>
        <v>31010134</v>
      </c>
      <c r="G126" s="58" t="s">
        <v>164</v>
      </c>
      <c r="H126" s="61" t="str">
        <f>INDEX(Tabledaily[المرجع البياني],MATCH(TableDailyJournal[[#This Row],[رقم العملية]],Tabledaily[رقم العملية],0))</f>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v>
      </c>
      <c r="I126" s="60" t="str">
        <f>INDEX(Tabledaily[العملـــة],MATCH(TableDailyJournal[[#This Row],[رقم العملية]],Tabledaily[رقم العملية],0))</f>
        <v>ريال يمني</v>
      </c>
      <c r="J126" s="59">
        <f>IFERROR(INDEX(Tabledaily[سعــــــر
الصـــــرف],MATCH(C126,Tabledaily[رقم العملية],0)),1)</f>
        <v>405</v>
      </c>
      <c r="K126" s="123" cm="1">
        <f t="array" ref="K126">IFERROR(INDEX(Tabledaily[المبلـــــــغ],MATCH(1,(TableDailyJournal[[#This Row],[رقم العملية]]=Tabledaily[رقم العملية])*(TableDailyJournal[[#This Row],[الحساب]]=Tabledaily[الحســاب المديــــن]),0)),0)</f>
        <v>300000</v>
      </c>
      <c r="L126" s="123" cm="1">
        <f t="array" ref="L126">IFERROR(INDEX(Tabledaily[المبلـــــــغ],MATCH(1,(TableDailyJournal[[#This Row],[رقم العملية]]=Tabledaily[رقم العملية])*(TableDailyJournal[[#This Row],[الحساب]]=Tabledaily[الحســاب الدئـــن]),0)),0)</f>
        <v>0</v>
      </c>
      <c r="M126" s="119">
        <f>IFERROR(TableDailyJournal[[#This Row],[المبلغ مدين]]/TableDailyJournal[[#This Row],[سعــــــر
الصـــــرف]],0)</f>
        <v>740.74074074074076</v>
      </c>
      <c r="N126" s="119">
        <f>IFERROR(TableDailyJournal[[#This Row],[المبلغ دائن]]/TableDailyJournal[[#This Row],[سعــــــر
الصـــــرف]],0)</f>
        <v>0</v>
      </c>
      <c r="O126" s="121" t="str">
        <f>INDEX(Tabledaily[المستفيــــــــد],MATCH(TableDailyJournal[[#This Row],[رقم العملية]],Tabledaily[رقم العملية],0))</f>
        <v>حازم عباس ناجي و نشوان احمد سعيد</v>
      </c>
      <c r="P126" s="121" t="str">
        <f>INDEX(Tabledaily[المــــرجـــــــــع],MATCH(TableDailyJournal[[#This Row],[رقم العملية]],Tabledaily[رقم العملية],0))</f>
        <v>استلام نقدي</v>
      </c>
      <c r="Q126" s="121" t="str">
        <f>INDEX(Tabledaily[اســـــــم المــــرجــــع],MATCH(TableDailyJournal[[#This Row],[رقم العملية]],Tabledaily[رقم العملية],0))</f>
        <v>سند استلام</v>
      </c>
      <c r="R126" s="121" t="str">
        <f>INDEX(Tabledaily[رقم المـــــرجـــع],MATCH(TableDailyJournal[[#This Row],[رقم العملية]],Tabledaily[رقم العملية],0))</f>
        <v>استلام خطي</v>
      </c>
      <c r="S126" s="121" t="str">
        <f>INDEX(Tabledaily[مركـــــــزالتكلفــــــة],MATCH(TableDailyJournal[[#This Row],[رقم العملية]],Tabledaily[رقم العملية],0))</f>
        <v>اللواء السادس</v>
      </c>
      <c r="T126" s="121">
        <f>IFERROR(INDEX(tablecost[رقم المركز],MATCH(TableDailyJournal[[#This Row],[مركـــــــزالتكلفــــــة]],tablecost[الاسم],0)),0)</f>
        <v>7</v>
      </c>
      <c r="U126" s="122">
        <f>IFERROR(DATE(TableDailyJournal[[#This Row],[السنــــة]],TableDailyJournal[[#This Row],[الشهــــر]],TableDailyJournal[[#This Row],[الـــــيوم]]),"01-01-2026")</f>
        <v>46177</v>
      </c>
      <c r="V126" s="125">
        <f>INDEX(Tabledaily[تاريخ الإضافة],MATCH(TableDailyJournal[[#This Row],[رقم العملية]],Tabledaily[رقم العملية],0))</f>
        <v>46185.011597222219</v>
      </c>
      <c r="W126" s="58"/>
      <c r="X126" s="58">
        <f>IFERROR(YEAR(TableDailyJournal[[#This Row],[التاريخ]]),"")</f>
        <v>2026</v>
      </c>
      <c r="Y126" s="58">
        <f>IFERROR(MONTH(TableDailyJournal[[#This Row],[التاريخ]]),"")</f>
        <v>6</v>
      </c>
      <c r="Z126" s="58">
        <f>IFERROR(DAY(TableDailyJournal[[#This Row],[التاريخ]]),"")</f>
        <v>4</v>
      </c>
      <c r="AA126" s="126" t="str">
        <f>INDEX(Tabledaily[المرجع البياني],MATCH(TableDailyJournal[[#This Row],[رقم العملية]],Tabledaily[رقم العملية],0))</f>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v>
      </c>
      <c r="AB126" s="58" t="str">
        <f>INDEX(Tabledaily[جهة الامر],MATCH(TableDailyJournal[[#This Row],[رقم العملية]],Tabledaily[رقم العملية],0))</f>
        <v>القائد</v>
      </c>
    </row>
    <row r="127" spans="2:28" ht="67.5" x14ac:dyDescent="0.55000000000000004">
      <c r="B127" s="58">
        <f t="shared" si="2"/>
        <v>123</v>
      </c>
      <c r="C127" s="59" t="s">
        <v>465</v>
      </c>
      <c r="D127" s="60">
        <f>INDEX(Tabledaily[date],MATCH(TableDailyJournal[[#This Row],[رقم العملية]],Tabledaily[رقم العملية],0))</f>
        <v>46177</v>
      </c>
      <c r="E127" s="58" t="str">
        <f>INDEX(Tabledaily[نوع العمليــة],MATCH(TableDailyJournal[[#This Row],[رقم العملية]],Tabledaily[رقم العملية],0))</f>
        <v>قيد عهده</v>
      </c>
      <c r="F127" s="58">
        <f>IFERROR(INDEX(TableJudje[رقم الحساب],MATCH(TableDailyJournal[[#This Row],[الحساب]],TableJudje[اسم الحساب],0)),0)</f>
        <v>11060202</v>
      </c>
      <c r="G127" s="58" t="s">
        <v>159</v>
      </c>
      <c r="H127" s="61" t="str">
        <f>INDEX(Tabledaily[المرجع البياني],MATCH(TableDailyJournal[[#This Row],[رقم العملية]],Tabledaily[رقم العملية],0))</f>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v>
      </c>
      <c r="I127" s="60" t="str">
        <f>INDEX(Tabledaily[العملـــة],MATCH(TableDailyJournal[[#This Row],[رقم العملية]],Tabledaily[رقم العملية],0))</f>
        <v>ريال يمني</v>
      </c>
      <c r="J127" s="59">
        <f>IFERROR(INDEX(Tabledaily[سعــــــر
الصـــــرف],MATCH(C127,Tabledaily[رقم العملية],0)),1)</f>
        <v>405</v>
      </c>
      <c r="K127" s="123" cm="1">
        <f t="array" ref="K127">IFERROR(INDEX(Tabledaily[المبلـــــــغ],MATCH(1,(TableDailyJournal[[#This Row],[رقم العملية]]=Tabledaily[رقم العملية])*(TableDailyJournal[[#This Row],[الحساب]]=Tabledaily[الحســاب المديــــن]),0)),0)</f>
        <v>0</v>
      </c>
      <c r="L127" s="123" cm="1">
        <f t="array" ref="L127">IFERROR(INDEX(Tabledaily[المبلـــــــغ],MATCH(1,(TableDailyJournal[[#This Row],[رقم العملية]]=Tabledaily[رقم العملية])*(TableDailyJournal[[#This Row],[الحساب]]=Tabledaily[الحســاب الدئـــن]),0)),0)</f>
        <v>300000</v>
      </c>
      <c r="M127" s="119">
        <f>IFERROR(TableDailyJournal[[#This Row],[المبلغ مدين]]/TableDailyJournal[[#This Row],[سعــــــر
الصـــــرف]],0)</f>
        <v>0</v>
      </c>
      <c r="N127" s="119">
        <f>IFERROR(TableDailyJournal[[#This Row],[المبلغ دائن]]/TableDailyJournal[[#This Row],[سعــــــر
الصـــــرف]],0)</f>
        <v>740.74074074074076</v>
      </c>
      <c r="O127" s="121" t="str">
        <f>INDEX(Tabledaily[المستفيــــــــد],MATCH(TableDailyJournal[[#This Row],[رقم العملية]],Tabledaily[رقم العملية],0))</f>
        <v>حازم عباس ناجي و نشوان احمد سعيد</v>
      </c>
      <c r="P127" s="121" t="str">
        <f>INDEX(Tabledaily[المــــرجـــــــــع],MATCH(TableDailyJournal[[#This Row],[رقم العملية]],Tabledaily[رقم العملية],0))</f>
        <v>استلام نقدي</v>
      </c>
      <c r="Q127" s="121" t="str">
        <f>INDEX(Tabledaily[اســـــــم المــــرجــــع],MATCH(TableDailyJournal[[#This Row],[رقم العملية]],Tabledaily[رقم العملية],0))</f>
        <v>سند استلام</v>
      </c>
      <c r="R127" s="121" t="str">
        <f>INDEX(Tabledaily[رقم المـــــرجـــع],MATCH(TableDailyJournal[[#This Row],[رقم العملية]],Tabledaily[رقم العملية],0))</f>
        <v>استلام خطي</v>
      </c>
      <c r="S127" s="121" t="str">
        <f>INDEX(Tabledaily[مركـــــــزالتكلفــــــة],MATCH(TableDailyJournal[[#This Row],[رقم العملية]],Tabledaily[رقم العملية],0))</f>
        <v>اللواء السادس</v>
      </c>
      <c r="T127" s="121">
        <f>IFERROR(INDEX(tablecost[رقم المركز],MATCH(TableDailyJournal[[#This Row],[مركـــــــزالتكلفــــــة]],tablecost[الاسم],0)),0)</f>
        <v>7</v>
      </c>
      <c r="U127" s="122">
        <f>IFERROR(DATE(TableDailyJournal[[#This Row],[السنــــة]],TableDailyJournal[[#This Row],[الشهــــر]],TableDailyJournal[[#This Row],[الـــــيوم]]),"01-01-2026")</f>
        <v>46177</v>
      </c>
      <c r="V127" s="125">
        <f>INDEX(Tabledaily[تاريخ الإضافة],MATCH(TableDailyJournal[[#This Row],[رقم العملية]],Tabledaily[رقم العملية],0))</f>
        <v>46185.011597222219</v>
      </c>
      <c r="W127" s="58"/>
      <c r="X127" s="58">
        <f>IFERROR(YEAR(TableDailyJournal[[#This Row],[التاريخ]]),"")</f>
        <v>2026</v>
      </c>
      <c r="Y127" s="58">
        <f>IFERROR(MONTH(TableDailyJournal[[#This Row],[التاريخ]]),"")</f>
        <v>6</v>
      </c>
      <c r="Z127" s="58">
        <f>IFERROR(DAY(TableDailyJournal[[#This Row],[التاريخ]]),"")</f>
        <v>4</v>
      </c>
      <c r="AA127" s="126" t="str">
        <f>INDEX(Tabledaily[المرجع البياني],MATCH(TableDailyJournal[[#This Row],[رقم العملية]],Tabledaily[رقم العملية],0))</f>
        <v>قيـد مقابـل:- (مصاريف اكراميات جرحى - حازم عباس ناجي و نشوان احمد سعيد - اللواء السادس)  - استلام نقدي رقم استلام خطي  سند استلام - مصاريف للجريح ومرافقه الخارجين الى عدن  بامرالقائد</v>
      </c>
      <c r="AB127" s="58" t="str">
        <f>INDEX(Tabledaily[جهة الامر],MATCH(TableDailyJournal[[#This Row],[رقم العملية]],Tabledaily[رقم العملية],0))</f>
        <v>القائد</v>
      </c>
    </row>
    <row r="128" spans="2:28" ht="45.75" x14ac:dyDescent="0.55000000000000004">
      <c r="B128" s="58">
        <f t="shared" si="2"/>
        <v>124</v>
      </c>
      <c r="C128" s="59" t="s">
        <v>468</v>
      </c>
      <c r="D128" s="60">
        <f>INDEX(Tabledaily[date],MATCH(TableDailyJournal[[#This Row],[رقم العملية]],Tabledaily[رقم العملية],0))</f>
        <v>46177</v>
      </c>
      <c r="E128" s="58" t="str">
        <f>INDEX(Tabledaily[نوع العمليــة],MATCH(TableDailyJournal[[#This Row],[رقم العملية]],Tabledaily[رقم العملية],0))</f>
        <v>قيد عهده</v>
      </c>
      <c r="F128" s="58">
        <f>IFERROR(INDEX(TableJudje[رقم الحساب],MATCH(TableDailyJournal[[#This Row],[الحساب]],TableJudje[اسم الحساب],0)),0)</f>
        <v>31010101</v>
      </c>
      <c r="G128" s="58" t="s">
        <v>111</v>
      </c>
      <c r="H128"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42 بامرالقائد</v>
      </c>
      <c r="I128" s="60" t="str">
        <f>INDEX(Tabledaily[العملـــة],MATCH(TableDailyJournal[[#This Row],[رقم العملية]],Tabledaily[رقم العملية],0))</f>
        <v>ريال يمني</v>
      </c>
      <c r="J128" s="59">
        <f>IFERROR(INDEX(Tabledaily[سعــــــر
الصـــــرف],MATCH(C128,Tabledaily[رقم العملية],0)),1)</f>
        <v>405</v>
      </c>
      <c r="K128" s="123" cm="1">
        <f t="array" ref="K128">IFERROR(INDEX(Tabledaily[المبلـــــــغ],MATCH(1,(TableDailyJournal[[#This Row],[رقم العملية]]=Tabledaily[رقم العملية])*(TableDailyJournal[[#This Row],[الحساب]]=Tabledaily[الحســاب المديــــن]),0)),0)</f>
        <v>168000</v>
      </c>
      <c r="L128" s="123" cm="1">
        <f t="array" ref="L128">IFERROR(INDEX(Tabledaily[المبلـــــــغ],MATCH(1,(TableDailyJournal[[#This Row],[رقم العملية]]=Tabledaily[رقم العملية])*(TableDailyJournal[[#This Row],[الحساب]]=Tabledaily[الحســاب الدئـــن]),0)),0)</f>
        <v>0</v>
      </c>
      <c r="M128" s="119">
        <f>IFERROR(TableDailyJournal[[#This Row],[المبلغ مدين]]/TableDailyJournal[[#This Row],[سعــــــر
الصـــــرف]],0)</f>
        <v>414.81481481481484</v>
      </c>
      <c r="N128" s="119">
        <f>IFERROR(TableDailyJournal[[#This Row],[المبلغ دائن]]/TableDailyJournal[[#This Row],[سعــــــر
الصـــــرف]],0)</f>
        <v>0</v>
      </c>
      <c r="O128" s="121" t="str">
        <f>INDEX(Tabledaily[المستفيــــــــد],MATCH(TableDailyJournal[[#This Row],[رقم العملية]],Tabledaily[رقم العملية],0))</f>
        <v>سرية اللواء السادس</v>
      </c>
      <c r="P128" s="121" t="str">
        <f>INDEX(Tabledaily[المــــرجـــــــــع],MATCH(TableDailyJournal[[#This Row],[رقم العملية]],Tabledaily[رقم العملية],0))</f>
        <v>كشف صرف</v>
      </c>
      <c r="Q128" s="121" t="str">
        <f>INDEX(Tabledaily[اســـــــم المــــرجــــع],MATCH(TableDailyJournal[[#This Row],[رقم العملية]],Tabledaily[رقم العملية],0))</f>
        <v>كشف صرف</v>
      </c>
      <c r="R128" s="121">
        <f>INDEX(Tabledaily[رقم المـــــرجـــع],MATCH(TableDailyJournal[[#This Row],[رقم العملية]],Tabledaily[رقم العملية],0))</f>
        <v>0</v>
      </c>
      <c r="S128" s="121" t="str">
        <f>INDEX(Tabledaily[مركـــــــزالتكلفــــــة],MATCH(TableDailyJournal[[#This Row],[رقم العملية]],Tabledaily[رقم العملية],0))</f>
        <v>اللواء السادس</v>
      </c>
      <c r="T128" s="121">
        <f>IFERROR(INDEX(tablecost[رقم المركز],MATCH(TableDailyJournal[[#This Row],[مركـــــــزالتكلفــــــة]],tablecost[الاسم],0)),0)</f>
        <v>7</v>
      </c>
      <c r="U128" s="122">
        <f>IFERROR(DATE(TableDailyJournal[[#This Row],[السنــــة]],TableDailyJournal[[#This Row],[الشهــــر]],TableDailyJournal[[#This Row],[الـــــيوم]]),"01-01-2026")</f>
        <v>46177</v>
      </c>
      <c r="V128" s="125">
        <f>INDEX(Tabledaily[تاريخ الإضافة],MATCH(TableDailyJournal[[#This Row],[رقم العملية]],Tabledaily[رقم العملية],0))</f>
        <v>46185.013275462959</v>
      </c>
      <c r="W128" s="58"/>
      <c r="X128" s="58">
        <f>IFERROR(YEAR(TableDailyJournal[[#This Row],[التاريخ]]),"")</f>
        <v>2026</v>
      </c>
      <c r="Y128" s="58">
        <f>IFERROR(MONTH(TableDailyJournal[[#This Row],[التاريخ]]),"")</f>
        <v>6</v>
      </c>
      <c r="Z128" s="58">
        <f>IFERROR(DAY(TableDailyJournal[[#This Row],[التاريخ]]),"")</f>
        <v>4</v>
      </c>
      <c r="AA128"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42 بامرالقائد</v>
      </c>
      <c r="AB128" s="58" t="str">
        <f>INDEX(Tabledaily[جهة الامر],MATCH(TableDailyJournal[[#This Row],[رقم العملية]],Tabledaily[رقم العملية],0))</f>
        <v>القائد</v>
      </c>
    </row>
    <row r="129" spans="2:28" ht="45.75" x14ac:dyDescent="0.55000000000000004">
      <c r="B129" s="58">
        <f t="shared" si="2"/>
        <v>125</v>
      </c>
      <c r="C129" s="59" t="s">
        <v>468</v>
      </c>
      <c r="D129" s="60">
        <f>INDEX(Tabledaily[date],MATCH(TableDailyJournal[[#This Row],[رقم العملية]],Tabledaily[رقم العملية],0))</f>
        <v>46177</v>
      </c>
      <c r="E129" s="58" t="str">
        <f>INDEX(Tabledaily[نوع العمليــة],MATCH(TableDailyJournal[[#This Row],[رقم العملية]],Tabledaily[رقم العملية],0))</f>
        <v>قيد عهده</v>
      </c>
      <c r="F129" s="58">
        <f>IFERROR(INDEX(TableJudje[رقم الحساب],MATCH(TableDailyJournal[[#This Row],[الحساب]],TableJudje[اسم الحساب],0)),0)</f>
        <v>11060202</v>
      </c>
      <c r="G129" s="58" t="s">
        <v>159</v>
      </c>
      <c r="H129"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42 بامرالقائد</v>
      </c>
      <c r="I129" s="60" t="str">
        <f>INDEX(Tabledaily[العملـــة],MATCH(TableDailyJournal[[#This Row],[رقم العملية]],Tabledaily[رقم العملية],0))</f>
        <v>ريال يمني</v>
      </c>
      <c r="J129" s="59">
        <f>IFERROR(INDEX(Tabledaily[سعــــــر
الصـــــرف],MATCH(C129,Tabledaily[رقم العملية],0)),1)</f>
        <v>405</v>
      </c>
      <c r="K129" s="123" cm="1">
        <f t="array" ref="K129">IFERROR(INDEX(Tabledaily[المبلـــــــغ],MATCH(1,(TableDailyJournal[[#This Row],[رقم العملية]]=Tabledaily[رقم العملية])*(TableDailyJournal[[#This Row],[الحساب]]=Tabledaily[الحســاب المديــــن]),0)),0)</f>
        <v>0</v>
      </c>
      <c r="L129" s="123" cm="1">
        <f t="array" ref="L129">IFERROR(INDEX(Tabledaily[المبلـــــــغ],MATCH(1,(TableDailyJournal[[#This Row],[رقم العملية]]=Tabledaily[رقم العملية])*(TableDailyJournal[[#This Row],[الحساب]]=Tabledaily[الحســاب الدئـــن]),0)),0)</f>
        <v>168000</v>
      </c>
      <c r="M129" s="119">
        <f>IFERROR(TableDailyJournal[[#This Row],[المبلغ مدين]]/TableDailyJournal[[#This Row],[سعــــــر
الصـــــرف]],0)</f>
        <v>0</v>
      </c>
      <c r="N129" s="119">
        <f>IFERROR(TableDailyJournal[[#This Row],[المبلغ دائن]]/TableDailyJournal[[#This Row],[سعــــــر
الصـــــرف]],0)</f>
        <v>414.81481481481484</v>
      </c>
      <c r="O129" s="121" t="str">
        <f>INDEX(Tabledaily[المستفيــــــــد],MATCH(TableDailyJournal[[#This Row],[رقم العملية]],Tabledaily[رقم العملية],0))</f>
        <v>سرية اللواء السادس</v>
      </c>
      <c r="P129" s="121" t="str">
        <f>INDEX(Tabledaily[المــــرجـــــــــع],MATCH(TableDailyJournal[[#This Row],[رقم العملية]],Tabledaily[رقم العملية],0))</f>
        <v>كشف صرف</v>
      </c>
      <c r="Q129" s="121" t="str">
        <f>INDEX(Tabledaily[اســـــــم المــــرجــــع],MATCH(TableDailyJournal[[#This Row],[رقم العملية]],Tabledaily[رقم العملية],0))</f>
        <v>كشف صرف</v>
      </c>
      <c r="R129" s="121">
        <f>INDEX(Tabledaily[رقم المـــــرجـــع],MATCH(TableDailyJournal[[#This Row],[رقم العملية]],Tabledaily[رقم العملية],0))</f>
        <v>0</v>
      </c>
      <c r="S129" s="121" t="str">
        <f>INDEX(Tabledaily[مركـــــــزالتكلفــــــة],MATCH(TableDailyJournal[[#This Row],[رقم العملية]],Tabledaily[رقم العملية],0))</f>
        <v>اللواء السادس</v>
      </c>
      <c r="T129" s="121">
        <f>IFERROR(INDEX(tablecost[رقم المركز],MATCH(TableDailyJournal[[#This Row],[مركـــــــزالتكلفــــــة]],tablecost[الاسم],0)),0)</f>
        <v>7</v>
      </c>
      <c r="U129" s="122">
        <f>IFERROR(DATE(TableDailyJournal[[#This Row],[السنــــة]],TableDailyJournal[[#This Row],[الشهــــر]],TableDailyJournal[[#This Row],[الـــــيوم]]),"01-01-2026")</f>
        <v>46177</v>
      </c>
      <c r="V129" s="125">
        <f>INDEX(Tabledaily[تاريخ الإضافة],MATCH(TableDailyJournal[[#This Row],[رقم العملية]],Tabledaily[رقم العملية],0))</f>
        <v>46185.013275462959</v>
      </c>
      <c r="W129" s="58"/>
      <c r="X129" s="58">
        <f>IFERROR(YEAR(TableDailyJournal[[#This Row],[التاريخ]]),"")</f>
        <v>2026</v>
      </c>
      <c r="Y129" s="58">
        <f>IFERROR(MONTH(TableDailyJournal[[#This Row],[التاريخ]]),"")</f>
        <v>6</v>
      </c>
      <c r="Z129" s="58">
        <f>IFERROR(DAY(TableDailyJournal[[#This Row],[التاريخ]]),"")</f>
        <v>4</v>
      </c>
      <c r="AA129"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42 بامرالقائد</v>
      </c>
      <c r="AB129" s="58" t="str">
        <f>INDEX(Tabledaily[جهة الامر],MATCH(TableDailyJournal[[#This Row],[رقم العملية]],Tabledaily[رقم العملية],0))</f>
        <v>القائد</v>
      </c>
    </row>
    <row r="130" spans="2:28" ht="67.5" x14ac:dyDescent="0.55000000000000004">
      <c r="B130" s="58">
        <f t="shared" si="2"/>
        <v>126</v>
      </c>
      <c r="C130" s="59" t="s">
        <v>470</v>
      </c>
      <c r="D130" s="60">
        <f>INDEX(Tabledaily[date],MATCH(TableDailyJournal[[#This Row],[رقم العملية]],Tabledaily[رقم العملية],0))</f>
        <v>46177</v>
      </c>
      <c r="E130" s="58" t="str">
        <f>INDEX(Tabledaily[نوع العمليــة],MATCH(TableDailyJournal[[#This Row],[رقم العملية]],Tabledaily[رقم العملية],0))</f>
        <v>قيد عهده</v>
      </c>
      <c r="F130" s="58">
        <f>IFERROR(INDEX(TableJudje[رقم الحساب],MATCH(TableDailyJournal[[#This Row],[الحساب]],TableJudje[اسم الحساب],0)),0)</f>
        <v>31010134</v>
      </c>
      <c r="G130" s="58" t="s">
        <v>164</v>
      </c>
      <c r="H130" s="61" t="str">
        <f>INDEX(Tabledaily[المرجع البياني],MATCH(TableDailyJournal[[#This Row],[رقم العملية]],Tabledaily[رقم العملية],0))</f>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v>
      </c>
      <c r="I130" s="60" t="str">
        <f>INDEX(Tabledaily[العملـــة],MATCH(TableDailyJournal[[#This Row],[رقم العملية]],Tabledaily[رقم العملية],0))</f>
        <v>ريال يمني</v>
      </c>
      <c r="J130" s="59">
        <f>IFERROR(INDEX(Tabledaily[سعــــــر
الصـــــرف],MATCH(C130,Tabledaily[رقم العملية],0)),1)</f>
        <v>405</v>
      </c>
      <c r="K130" s="123" cm="1">
        <f t="array" ref="K130">IFERROR(INDEX(Tabledaily[المبلـــــــغ],MATCH(1,(TableDailyJournal[[#This Row],[رقم العملية]]=Tabledaily[رقم العملية])*(TableDailyJournal[[#This Row],[الحساب]]=Tabledaily[الحســاب المديــــن]),0)),0)</f>
        <v>60000</v>
      </c>
      <c r="L130" s="123" cm="1">
        <f t="array" ref="L130">IFERROR(INDEX(Tabledaily[المبلـــــــغ],MATCH(1,(TableDailyJournal[[#This Row],[رقم العملية]]=Tabledaily[رقم العملية])*(TableDailyJournal[[#This Row],[الحساب]]=Tabledaily[الحســاب الدئـــن]),0)),0)</f>
        <v>0</v>
      </c>
      <c r="M130" s="119">
        <f>IFERROR(TableDailyJournal[[#This Row],[المبلغ مدين]]/TableDailyJournal[[#This Row],[سعــــــر
الصـــــرف]],0)</f>
        <v>148.14814814814815</v>
      </c>
      <c r="N130" s="119">
        <f>IFERROR(TableDailyJournal[[#This Row],[المبلغ دائن]]/TableDailyJournal[[#This Row],[سعــــــر
الصـــــرف]],0)</f>
        <v>0</v>
      </c>
      <c r="O130" s="121" t="str">
        <f>INDEX(Tabledaily[المستفيــــــــد],MATCH(TableDailyJournal[[#This Row],[رقم العملية]],Tabledaily[رقم العملية],0))</f>
        <v>حازم عباس ناجي ونشوان احمد سعيد</v>
      </c>
      <c r="P130" s="121" t="str">
        <f>INDEX(Tabledaily[المــــرجـــــــــع],MATCH(TableDailyJournal[[#This Row],[رقم العملية]],Tabledaily[رقم العملية],0))</f>
        <v>استلام نقدي</v>
      </c>
      <c r="Q130" s="121" t="str">
        <f>INDEX(Tabledaily[اســـــــم المــــرجــــع],MATCH(TableDailyJournal[[#This Row],[رقم العملية]],Tabledaily[رقم العملية],0))</f>
        <v>سند استلام</v>
      </c>
      <c r="R130" s="121" t="str">
        <f>INDEX(Tabledaily[رقم المـــــرجـــع],MATCH(TableDailyJournal[[#This Row],[رقم العملية]],Tabledaily[رقم العملية],0))</f>
        <v>استلام خطي</v>
      </c>
      <c r="S130" s="121" t="str">
        <f>INDEX(Tabledaily[مركـــــــزالتكلفــــــة],MATCH(TableDailyJournal[[#This Row],[رقم العملية]],Tabledaily[رقم العملية],0))</f>
        <v>اللواء السادس</v>
      </c>
      <c r="T130" s="121">
        <f>IFERROR(INDEX(tablecost[رقم المركز],MATCH(TableDailyJournal[[#This Row],[مركـــــــزالتكلفــــــة]],tablecost[الاسم],0)),0)</f>
        <v>7</v>
      </c>
      <c r="U130" s="122">
        <f>IFERROR(DATE(TableDailyJournal[[#This Row],[السنــــة]],TableDailyJournal[[#This Row],[الشهــــر]],TableDailyJournal[[#This Row],[الـــــيوم]]),"01-01-2026")</f>
        <v>46177</v>
      </c>
      <c r="V130" s="125">
        <f>INDEX(Tabledaily[تاريخ الإضافة],MATCH(TableDailyJournal[[#This Row],[رقم العملية]],Tabledaily[رقم العملية],0))</f>
        <v>46185.015335648146</v>
      </c>
      <c r="W130" s="58"/>
      <c r="X130" s="58">
        <f>IFERROR(YEAR(TableDailyJournal[[#This Row],[التاريخ]]),"")</f>
        <v>2026</v>
      </c>
      <c r="Y130" s="58">
        <f>IFERROR(MONTH(TableDailyJournal[[#This Row],[التاريخ]]),"")</f>
        <v>6</v>
      </c>
      <c r="Z130" s="58">
        <f>IFERROR(DAY(TableDailyJournal[[#This Row],[التاريخ]]),"")</f>
        <v>4</v>
      </c>
      <c r="AA130" s="126" t="str">
        <f>INDEX(Tabledaily[المرجع البياني],MATCH(TableDailyJournal[[#This Row],[رقم العملية]],Tabledaily[رقم العملية],0))</f>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v>
      </c>
      <c r="AB130" s="58" t="str">
        <f>INDEX(Tabledaily[جهة الامر],MATCH(TableDailyJournal[[#This Row],[رقم العملية]],Tabledaily[رقم العملية],0))</f>
        <v>الأركان جمال مسدوس</v>
      </c>
    </row>
    <row r="131" spans="2:28" ht="67.5" x14ac:dyDescent="0.55000000000000004">
      <c r="B131" s="58">
        <f t="shared" si="2"/>
        <v>127</v>
      </c>
      <c r="C131" s="59" t="s">
        <v>470</v>
      </c>
      <c r="D131" s="60">
        <f>INDEX(Tabledaily[date],MATCH(TableDailyJournal[[#This Row],[رقم العملية]],Tabledaily[رقم العملية],0))</f>
        <v>46177</v>
      </c>
      <c r="E131" s="58" t="str">
        <f>INDEX(Tabledaily[نوع العمليــة],MATCH(TableDailyJournal[[#This Row],[رقم العملية]],Tabledaily[رقم العملية],0))</f>
        <v>قيد عهده</v>
      </c>
      <c r="F131" s="58">
        <f>IFERROR(INDEX(TableJudje[رقم الحساب],MATCH(TableDailyJournal[[#This Row],[الحساب]],TableJudje[اسم الحساب],0)),0)</f>
        <v>11060202</v>
      </c>
      <c r="G131" s="58" t="s">
        <v>159</v>
      </c>
      <c r="H131" s="61" t="str">
        <f>INDEX(Tabledaily[المرجع البياني],MATCH(TableDailyJournal[[#This Row],[رقم العملية]],Tabledaily[رقم العملية],0))</f>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v>
      </c>
      <c r="I131" s="60" t="str">
        <f>INDEX(Tabledaily[العملـــة],MATCH(TableDailyJournal[[#This Row],[رقم العملية]],Tabledaily[رقم العملية],0))</f>
        <v>ريال يمني</v>
      </c>
      <c r="J131" s="59">
        <f>IFERROR(INDEX(Tabledaily[سعــــــر
الصـــــرف],MATCH(C131,Tabledaily[رقم العملية],0)),1)</f>
        <v>405</v>
      </c>
      <c r="K131" s="123" cm="1">
        <f t="array" ref="K131">IFERROR(INDEX(Tabledaily[المبلـــــــغ],MATCH(1,(TableDailyJournal[[#This Row],[رقم العملية]]=Tabledaily[رقم العملية])*(TableDailyJournal[[#This Row],[الحساب]]=Tabledaily[الحســاب المديــــن]),0)),0)</f>
        <v>0</v>
      </c>
      <c r="L131" s="123" cm="1">
        <f t="array" ref="L131">IFERROR(INDEX(Tabledaily[المبلـــــــغ],MATCH(1,(TableDailyJournal[[#This Row],[رقم العملية]]=Tabledaily[رقم العملية])*(TableDailyJournal[[#This Row],[الحساب]]=Tabledaily[الحســاب الدئـــن]),0)),0)</f>
        <v>60000</v>
      </c>
      <c r="M131" s="119">
        <f>IFERROR(TableDailyJournal[[#This Row],[المبلغ مدين]]/TableDailyJournal[[#This Row],[سعــــــر
الصـــــرف]],0)</f>
        <v>0</v>
      </c>
      <c r="N131" s="119">
        <f>IFERROR(TableDailyJournal[[#This Row],[المبلغ دائن]]/TableDailyJournal[[#This Row],[سعــــــر
الصـــــرف]],0)</f>
        <v>148.14814814814815</v>
      </c>
      <c r="O131" s="121" t="str">
        <f>INDEX(Tabledaily[المستفيــــــــد],MATCH(TableDailyJournal[[#This Row],[رقم العملية]],Tabledaily[رقم العملية],0))</f>
        <v>حازم عباس ناجي ونشوان احمد سعيد</v>
      </c>
      <c r="P131" s="121" t="str">
        <f>INDEX(Tabledaily[المــــرجـــــــــع],MATCH(TableDailyJournal[[#This Row],[رقم العملية]],Tabledaily[رقم العملية],0))</f>
        <v>استلام نقدي</v>
      </c>
      <c r="Q131" s="121" t="str">
        <f>INDEX(Tabledaily[اســـــــم المــــرجــــع],MATCH(TableDailyJournal[[#This Row],[رقم العملية]],Tabledaily[رقم العملية],0))</f>
        <v>سند استلام</v>
      </c>
      <c r="R131" s="121" t="str">
        <f>INDEX(Tabledaily[رقم المـــــرجـــع],MATCH(TableDailyJournal[[#This Row],[رقم العملية]],Tabledaily[رقم العملية],0))</f>
        <v>استلام خطي</v>
      </c>
      <c r="S131" s="121" t="str">
        <f>INDEX(Tabledaily[مركـــــــزالتكلفــــــة],MATCH(TableDailyJournal[[#This Row],[رقم العملية]],Tabledaily[رقم العملية],0))</f>
        <v>اللواء السادس</v>
      </c>
      <c r="T131" s="121">
        <f>IFERROR(INDEX(tablecost[رقم المركز],MATCH(TableDailyJournal[[#This Row],[مركـــــــزالتكلفــــــة]],tablecost[الاسم],0)),0)</f>
        <v>7</v>
      </c>
      <c r="U131" s="122">
        <f>IFERROR(DATE(TableDailyJournal[[#This Row],[السنــــة]],TableDailyJournal[[#This Row],[الشهــــر]],TableDailyJournal[[#This Row],[الـــــيوم]]),"01-01-2026")</f>
        <v>46177</v>
      </c>
      <c r="V131" s="125">
        <f>INDEX(Tabledaily[تاريخ الإضافة],MATCH(TableDailyJournal[[#This Row],[رقم العملية]],Tabledaily[رقم العملية],0))</f>
        <v>46185.015335648146</v>
      </c>
      <c r="W131" s="58"/>
      <c r="X131" s="58">
        <f>IFERROR(YEAR(TableDailyJournal[[#This Row],[التاريخ]]),"")</f>
        <v>2026</v>
      </c>
      <c r="Y131" s="58">
        <f>IFERROR(MONTH(TableDailyJournal[[#This Row],[التاريخ]]),"")</f>
        <v>6</v>
      </c>
      <c r="Z131" s="58">
        <f>IFERROR(DAY(TableDailyJournal[[#This Row],[التاريخ]]),"")</f>
        <v>4</v>
      </c>
      <c r="AA131" s="126" t="str">
        <f>INDEX(Tabledaily[المرجع البياني],MATCH(TableDailyJournal[[#This Row],[رقم العملية]],Tabledaily[رقم العملية],0))</f>
        <v>قيـد مقابـل:- (مصاريف اكراميات جرحى - حازم عباس ناجي ونشوان احمد سعيد - اللواء السادس)  - استلام نقدي رقم استلام خطي  سند استلام - مصاريف فندق وعشاء للجريح ومرافقه بامرالأركان جمال مسدوس</v>
      </c>
      <c r="AB131" s="58" t="str">
        <f>INDEX(Tabledaily[جهة الامر],MATCH(TableDailyJournal[[#This Row],[رقم العملية]],Tabledaily[رقم العملية],0))</f>
        <v>الأركان جمال مسدوس</v>
      </c>
    </row>
    <row r="132" spans="2:28" ht="45.75" x14ac:dyDescent="0.55000000000000004">
      <c r="B132" s="58">
        <f t="shared" ref="B132:B145" si="3">ROW()-4</f>
        <v>128</v>
      </c>
      <c r="C132" s="59" t="s">
        <v>489</v>
      </c>
      <c r="D132" s="60">
        <f>INDEX(Tabledaily[date],MATCH(TableDailyJournal[[#This Row],[رقم العملية]],Tabledaily[رقم العملية],0))</f>
        <v>46177</v>
      </c>
      <c r="E132" s="58" t="str">
        <f>INDEX(Tabledaily[نوع العمليــة],MATCH(TableDailyJournal[[#This Row],[رقم العملية]],Tabledaily[رقم العملية],0))</f>
        <v>قيد عهده</v>
      </c>
      <c r="F132" s="58">
        <f>IFERROR(INDEX(TableJudje[رقم الحساب],MATCH(TableDailyJournal[[#This Row],[الحساب]],TableJudje[اسم الحساب],0)),0)</f>
        <v>31010135</v>
      </c>
      <c r="G132" s="58" t="s">
        <v>473</v>
      </c>
      <c r="H132" s="61" t="str">
        <f>INDEX(Tabledaily[المرجع البياني],MATCH(TableDailyJournal[[#This Row],[رقم العملية]],Tabledaily[رقم العملية],0))</f>
        <v>قيـد مقابـل:- (اجور يومية - معسكر العفاريت - الفرقة الثالثة)  - استلام نقدي رقم استلام خطي  سند استلام - اجور عمال لتنظيف مجاري الحمامات بامرالأركان جمال مسدوس</v>
      </c>
      <c r="I132" s="60" t="str">
        <f>INDEX(Tabledaily[العملـــة],MATCH(TableDailyJournal[[#This Row],[رقم العملية]],Tabledaily[رقم العملية],0))</f>
        <v>ريال يمني</v>
      </c>
      <c r="J132" s="59">
        <f>IFERROR(INDEX(Tabledaily[سعــــــر
الصـــــرف],MATCH(C132,Tabledaily[رقم العملية],0)),1)</f>
        <v>405</v>
      </c>
      <c r="K132" s="123" cm="1">
        <f t="array" ref="K132">IFERROR(INDEX(Tabledaily[المبلـــــــغ],MATCH(1,(TableDailyJournal[[#This Row],[رقم العملية]]=Tabledaily[رقم العملية])*(TableDailyJournal[[#This Row],[الحساب]]=Tabledaily[الحســاب المديــــن]),0)),0)</f>
        <v>60000</v>
      </c>
      <c r="L132" s="123" cm="1">
        <f t="array" ref="L132">IFERROR(INDEX(Tabledaily[المبلـــــــغ],MATCH(1,(TableDailyJournal[[#This Row],[رقم العملية]]=Tabledaily[رقم العملية])*(TableDailyJournal[[#This Row],[الحساب]]=Tabledaily[الحســاب الدئـــن]),0)),0)</f>
        <v>0</v>
      </c>
      <c r="M132" s="119">
        <f>IFERROR(TableDailyJournal[[#This Row],[المبلغ مدين]]/TableDailyJournal[[#This Row],[سعــــــر
الصـــــرف]],0)</f>
        <v>148.14814814814815</v>
      </c>
      <c r="N132" s="119">
        <f>IFERROR(TableDailyJournal[[#This Row],[المبلغ دائن]]/TableDailyJournal[[#This Row],[سعــــــر
الصـــــرف]],0)</f>
        <v>0</v>
      </c>
      <c r="O132" s="121" t="str">
        <f>INDEX(Tabledaily[المستفيــــــــد],MATCH(TableDailyJournal[[#This Row],[رقم العملية]],Tabledaily[رقم العملية],0))</f>
        <v>معسكر العفاريت</v>
      </c>
      <c r="P132" s="121" t="str">
        <f>INDEX(Tabledaily[المــــرجـــــــــع],MATCH(TableDailyJournal[[#This Row],[رقم العملية]],Tabledaily[رقم العملية],0))</f>
        <v>استلام نقدي</v>
      </c>
      <c r="Q132" s="121" t="str">
        <f>INDEX(Tabledaily[اســـــــم المــــرجــــع],MATCH(TableDailyJournal[[#This Row],[رقم العملية]],Tabledaily[رقم العملية],0))</f>
        <v>سند استلام</v>
      </c>
      <c r="R132" s="121" t="str">
        <f>INDEX(Tabledaily[رقم المـــــرجـــع],MATCH(TableDailyJournal[[#This Row],[رقم العملية]],Tabledaily[رقم العملية],0))</f>
        <v>استلام خطي</v>
      </c>
      <c r="S132" s="121" t="str">
        <f>INDEX(Tabledaily[مركـــــــزالتكلفــــــة],MATCH(TableDailyJournal[[#This Row],[رقم العملية]],Tabledaily[رقم العملية],0))</f>
        <v>الفرقة الثالثة</v>
      </c>
      <c r="T132" s="121">
        <f>IFERROR(INDEX(tablecost[رقم المركز],MATCH(TableDailyJournal[[#This Row],[مركـــــــزالتكلفــــــة]],tablecost[الاسم],0)),0)</f>
        <v>1</v>
      </c>
      <c r="U132" s="122">
        <f>IFERROR(DATE(TableDailyJournal[[#This Row],[السنــــة]],TableDailyJournal[[#This Row],[الشهــــر]],TableDailyJournal[[#This Row],[الـــــيوم]]),"01-01-2026")</f>
        <v>46177</v>
      </c>
      <c r="V132" s="126"/>
      <c r="W132" s="58"/>
      <c r="X132" s="58">
        <f>IFERROR(YEAR(TableDailyJournal[[#This Row],[التاريخ]]),"")</f>
        <v>2026</v>
      </c>
      <c r="Y132" s="58">
        <f>IFERROR(MONTH(TableDailyJournal[[#This Row],[التاريخ]]),"")</f>
        <v>6</v>
      </c>
      <c r="Z132" s="58">
        <f>IFERROR(DAY(TableDailyJournal[[#This Row],[التاريخ]]),"")</f>
        <v>4</v>
      </c>
      <c r="AA132" s="126" t="str">
        <f>INDEX(Tabledaily[المرجع البياني],MATCH(TableDailyJournal[[#This Row],[رقم العملية]],Tabledaily[رقم العملية],0))</f>
        <v>قيـد مقابـل:- (اجور يومية - معسكر العفاريت - الفرقة الثالثة)  - استلام نقدي رقم استلام خطي  سند استلام - اجور عمال لتنظيف مجاري الحمامات بامرالأركان جمال مسدوس</v>
      </c>
      <c r="AB132" s="121" t="str">
        <f>INDEX(Tabledaily[جهة الامر],MATCH(TableDailyJournal[[#This Row],[رقم العملية]],Tabledaily[رقم العملية],0))</f>
        <v>الأركان جمال مسدوس</v>
      </c>
    </row>
    <row r="133" spans="2:28" ht="45.75" x14ac:dyDescent="0.55000000000000004">
      <c r="B133" s="58">
        <f t="shared" si="3"/>
        <v>129</v>
      </c>
      <c r="C133" s="59" t="s">
        <v>489</v>
      </c>
      <c r="D133" s="60">
        <f>INDEX(Tabledaily[date],MATCH(TableDailyJournal[[#This Row],[رقم العملية]],Tabledaily[رقم العملية],0))</f>
        <v>46177</v>
      </c>
      <c r="E133" s="58" t="str">
        <f>INDEX(Tabledaily[نوع العمليــة],MATCH(TableDailyJournal[[#This Row],[رقم العملية]],Tabledaily[رقم العملية],0))</f>
        <v>قيد عهده</v>
      </c>
      <c r="F133" s="58">
        <f>IFERROR(INDEX(TableJudje[رقم الحساب],MATCH(TableDailyJournal[[#This Row],[الحساب]],TableJudje[اسم الحساب],0)),0)</f>
        <v>11060202</v>
      </c>
      <c r="G133" s="58" t="s">
        <v>159</v>
      </c>
      <c r="H133" s="61" t="str">
        <f>INDEX(Tabledaily[المرجع البياني],MATCH(TableDailyJournal[[#This Row],[رقم العملية]],Tabledaily[رقم العملية],0))</f>
        <v>قيـد مقابـل:- (اجور يومية - معسكر العفاريت - الفرقة الثالثة)  - استلام نقدي رقم استلام خطي  سند استلام - اجور عمال لتنظيف مجاري الحمامات بامرالأركان جمال مسدوس</v>
      </c>
      <c r="I133" s="60" t="str">
        <f>INDEX(Tabledaily[العملـــة],MATCH(TableDailyJournal[[#This Row],[رقم العملية]],Tabledaily[رقم العملية],0))</f>
        <v>ريال يمني</v>
      </c>
      <c r="J133" s="59">
        <f>IFERROR(INDEX(Tabledaily[سعــــــر
الصـــــرف],MATCH(C133,Tabledaily[رقم العملية],0)),1)</f>
        <v>405</v>
      </c>
      <c r="K133" s="123" cm="1">
        <f t="array" ref="K133">IFERROR(INDEX(Tabledaily[المبلـــــــغ],MATCH(1,(TableDailyJournal[[#This Row],[رقم العملية]]=Tabledaily[رقم العملية])*(TableDailyJournal[[#This Row],[الحساب]]=Tabledaily[الحســاب المديــــن]),0)),0)</f>
        <v>0</v>
      </c>
      <c r="L133" s="123" cm="1">
        <f t="array" ref="L133">IFERROR(INDEX(Tabledaily[المبلـــــــغ],MATCH(1,(TableDailyJournal[[#This Row],[رقم العملية]]=Tabledaily[رقم العملية])*(TableDailyJournal[[#This Row],[الحساب]]=Tabledaily[الحســاب الدئـــن]),0)),0)</f>
        <v>60000</v>
      </c>
      <c r="M133" s="119">
        <f>IFERROR(TableDailyJournal[[#This Row],[المبلغ مدين]]/TableDailyJournal[[#This Row],[سعــــــر
الصـــــرف]],0)</f>
        <v>0</v>
      </c>
      <c r="N133" s="119">
        <f>IFERROR(TableDailyJournal[[#This Row],[المبلغ دائن]]/TableDailyJournal[[#This Row],[سعــــــر
الصـــــرف]],0)</f>
        <v>148.14814814814815</v>
      </c>
      <c r="O133" s="121" t="str">
        <f>INDEX(Tabledaily[المستفيــــــــد],MATCH(TableDailyJournal[[#This Row],[رقم العملية]],Tabledaily[رقم العملية],0))</f>
        <v>معسكر العفاريت</v>
      </c>
      <c r="P133" s="121" t="str">
        <f>INDEX(Tabledaily[المــــرجـــــــــع],MATCH(TableDailyJournal[[#This Row],[رقم العملية]],Tabledaily[رقم العملية],0))</f>
        <v>استلام نقدي</v>
      </c>
      <c r="Q133" s="121" t="str">
        <f>INDEX(Tabledaily[اســـــــم المــــرجــــع],MATCH(TableDailyJournal[[#This Row],[رقم العملية]],Tabledaily[رقم العملية],0))</f>
        <v>سند استلام</v>
      </c>
      <c r="R133" s="121" t="str">
        <f>INDEX(Tabledaily[رقم المـــــرجـــع],MATCH(TableDailyJournal[[#This Row],[رقم العملية]],Tabledaily[رقم العملية],0))</f>
        <v>استلام خطي</v>
      </c>
      <c r="S133" s="121" t="str">
        <f>INDEX(Tabledaily[مركـــــــزالتكلفــــــة],MATCH(TableDailyJournal[[#This Row],[رقم العملية]],Tabledaily[رقم العملية],0))</f>
        <v>الفرقة الثالثة</v>
      </c>
      <c r="T133" s="121">
        <f>IFERROR(INDEX(tablecost[رقم المركز],MATCH(TableDailyJournal[[#This Row],[مركـــــــزالتكلفــــــة]],tablecost[الاسم],0)),0)</f>
        <v>1</v>
      </c>
      <c r="U133" s="122">
        <f>IFERROR(DATE(TableDailyJournal[[#This Row],[السنــــة]],TableDailyJournal[[#This Row],[الشهــــر]],TableDailyJournal[[#This Row],[الـــــيوم]]),"01-01-2026")</f>
        <v>46177</v>
      </c>
      <c r="V133" s="126"/>
      <c r="W133" s="58"/>
      <c r="X133" s="58">
        <f>IFERROR(YEAR(TableDailyJournal[[#This Row],[التاريخ]]),"")</f>
        <v>2026</v>
      </c>
      <c r="Y133" s="58">
        <f>IFERROR(MONTH(TableDailyJournal[[#This Row],[التاريخ]]),"")</f>
        <v>6</v>
      </c>
      <c r="Z133" s="58">
        <f>IFERROR(DAY(TableDailyJournal[[#This Row],[التاريخ]]),"")</f>
        <v>4</v>
      </c>
      <c r="AA133" s="126" t="str">
        <f>INDEX(Tabledaily[المرجع البياني],MATCH(TableDailyJournal[[#This Row],[رقم العملية]],Tabledaily[رقم العملية],0))</f>
        <v>قيـد مقابـل:- (اجور يومية - معسكر العفاريت - الفرقة الثالثة)  - استلام نقدي رقم استلام خطي  سند استلام - اجور عمال لتنظيف مجاري الحمامات بامرالأركان جمال مسدوس</v>
      </c>
      <c r="AB133" s="121" t="str">
        <f>INDEX(Tabledaily[جهة الامر],MATCH(TableDailyJournal[[#This Row],[رقم العملية]],Tabledaily[رقم العملية],0))</f>
        <v>الأركان جمال مسدوس</v>
      </c>
    </row>
    <row r="134" spans="2:28" ht="45.75" x14ac:dyDescent="0.55000000000000004">
      <c r="B134" s="58">
        <f t="shared" si="3"/>
        <v>130</v>
      </c>
      <c r="C134" s="59" t="s">
        <v>492</v>
      </c>
      <c r="D134" s="60">
        <f>INDEX(Tabledaily[date],MATCH(TableDailyJournal[[#This Row],[رقم العملية]],Tabledaily[رقم العملية],0))</f>
        <v>46177</v>
      </c>
      <c r="E134" s="58" t="str">
        <f>INDEX(Tabledaily[نوع العمليــة],MATCH(TableDailyJournal[[#This Row],[رقم العملية]],Tabledaily[رقم العملية],0))</f>
        <v>قيد عهده</v>
      </c>
      <c r="F134" s="58">
        <f>IFERROR(INDEX(TableJudje[رقم الحساب],MATCH(TableDailyJournal[[#This Row],[الحساب]],TableJudje[اسم الحساب],0)),0)</f>
        <v>31010109</v>
      </c>
      <c r="G134" s="58" t="s">
        <v>484</v>
      </c>
      <c r="H134" s="61" t="str">
        <f>INDEX(Tabledaily[المرجع البياني],MATCH(TableDailyJournal[[#This Row],[رقم العملية]],Tabledaily[رقم العملية],0))</f>
        <v>قيـد مقابـل:- (مصاريف نثريات أخرى - جمال مسدوس - الفرقة الثالثة)  - استلام نقدي رقم استلام خطي  سند استلام - مصاريف بيد الاركان بامرالأركان جمال مسدوس</v>
      </c>
      <c r="I134" s="60" t="str">
        <f>INDEX(Tabledaily[العملـــة],MATCH(TableDailyJournal[[#This Row],[رقم العملية]],Tabledaily[رقم العملية],0))</f>
        <v>ريال يمني</v>
      </c>
      <c r="J134" s="59">
        <f>IFERROR(INDEX(Tabledaily[سعــــــر
الصـــــرف],MATCH(C134,Tabledaily[رقم العملية],0)),1)</f>
        <v>405</v>
      </c>
      <c r="K134" s="123" cm="1">
        <f t="array" ref="K134">IFERROR(INDEX(Tabledaily[المبلـــــــغ],MATCH(1,(TableDailyJournal[[#This Row],[رقم العملية]]=Tabledaily[رقم العملية])*(TableDailyJournal[[#This Row],[الحساب]]=Tabledaily[الحســاب المديــــن]),0)),0)</f>
        <v>100000</v>
      </c>
      <c r="L134" s="123" cm="1">
        <f t="array" ref="L134">IFERROR(INDEX(Tabledaily[المبلـــــــغ],MATCH(1,(TableDailyJournal[[#This Row],[رقم العملية]]=Tabledaily[رقم العملية])*(TableDailyJournal[[#This Row],[الحساب]]=Tabledaily[الحســاب الدئـــن]),0)),0)</f>
        <v>0</v>
      </c>
      <c r="M134" s="119">
        <f>IFERROR(TableDailyJournal[[#This Row],[المبلغ مدين]]/TableDailyJournal[[#This Row],[سعــــــر
الصـــــرف]],0)</f>
        <v>246.91358024691357</v>
      </c>
      <c r="N134" s="119">
        <f>IFERROR(TableDailyJournal[[#This Row],[المبلغ دائن]]/TableDailyJournal[[#This Row],[سعــــــر
الصـــــرف]],0)</f>
        <v>0</v>
      </c>
      <c r="O134" s="121" t="str">
        <f>INDEX(Tabledaily[المستفيــــــــد],MATCH(TableDailyJournal[[#This Row],[رقم العملية]],Tabledaily[رقم العملية],0))</f>
        <v>جمال مسدوس</v>
      </c>
      <c r="P134" s="121" t="str">
        <f>INDEX(Tabledaily[المــــرجـــــــــع],MATCH(TableDailyJournal[[#This Row],[رقم العملية]],Tabledaily[رقم العملية],0))</f>
        <v>استلام نقدي</v>
      </c>
      <c r="Q134" s="121" t="str">
        <f>INDEX(Tabledaily[اســـــــم المــــرجــــع],MATCH(TableDailyJournal[[#This Row],[رقم العملية]],Tabledaily[رقم العملية],0))</f>
        <v>سند استلام</v>
      </c>
      <c r="R134" s="121" t="str">
        <f>INDEX(Tabledaily[رقم المـــــرجـــع],MATCH(TableDailyJournal[[#This Row],[رقم العملية]],Tabledaily[رقم العملية],0))</f>
        <v>استلام خطي</v>
      </c>
      <c r="S134" s="121" t="str">
        <f>INDEX(Tabledaily[مركـــــــزالتكلفــــــة],MATCH(TableDailyJournal[[#This Row],[رقم العملية]],Tabledaily[رقم العملية],0))</f>
        <v>الفرقة الثالثة</v>
      </c>
      <c r="T134" s="121">
        <f>IFERROR(INDEX(tablecost[رقم المركز],MATCH(TableDailyJournal[[#This Row],[مركـــــــزالتكلفــــــة]],tablecost[الاسم],0)),0)</f>
        <v>1</v>
      </c>
      <c r="U134" s="122">
        <f>IFERROR(DATE(TableDailyJournal[[#This Row],[السنــــة]],TableDailyJournal[[#This Row],[الشهــــر]],TableDailyJournal[[#This Row],[الـــــيوم]]),"01-01-2026")</f>
        <v>46177</v>
      </c>
      <c r="V134" s="126"/>
      <c r="W134" s="58"/>
      <c r="X134" s="58">
        <f>IFERROR(YEAR(TableDailyJournal[[#This Row],[التاريخ]]),"")</f>
        <v>2026</v>
      </c>
      <c r="Y134" s="58">
        <f>IFERROR(MONTH(TableDailyJournal[[#This Row],[التاريخ]]),"")</f>
        <v>6</v>
      </c>
      <c r="Z134" s="58">
        <f>IFERROR(DAY(TableDailyJournal[[#This Row],[التاريخ]]),"")</f>
        <v>4</v>
      </c>
      <c r="AA134" s="126" t="str">
        <f>INDEX(Tabledaily[المرجع البياني],MATCH(TableDailyJournal[[#This Row],[رقم العملية]],Tabledaily[رقم العملية],0))</f>
        <v>قيـد مقابـل:- (مصاريف نثريات أخرى - جمال مسدوس - الفرقة الثالثة)  - استلام نقدي رقم استلام خطي  سند استلام - مصاريف بيد الاركان بامرالأركان جمال مسدوس</v>
      </c>
      <c r="AB134" s="121" t="str">
        <f>INDEX(Tabledaily[جهة الامر],MATCH(TableDailyJournal[[#This Row],[رقم العملية]],Tabledaily[رقم العملية],0))</f>
        <v>الأركان جمال مسدوس</v>
      </c>
    </row>
    <row r="135" spans="2:28" ht="45.75" x14ac:dyDescent="0.55000000000000004">
      <c r="B135" s="58">
        <f t="shared" si="3"/>
        <v>131</v>
      </c>
      <c r="C135" s="59" t="s">
        <v>492</v>
      </c>
      <c r="D135" s="60">
        <f>INDEX(Tabledaily[date],MATCH(TableDailyJournal[[#This Row],[رقم العملية]],Tabledaily[رقم العملية],0))</f>
        <v>46177</v>
      </c>
      <c r="E135" s="58" t="str">
        <f>INDEX(Tabledaily[نوع العمليــة],MATCH(TableDailyJournal[[#This Row],[رقم العملية]],Tabledaily[رقم العملية],0))</f>
        <v>قيد عهده</v>
      </c>
      <c r="F135" s="58">
        <f>IFERROR(INDEX(TableJudje[رقم الحساب],MATCH(TableDailyJournal[[#This Row],[الحساب]],TableJudje[اسم الحساب],0)),0)</f>
        <v>11060202</v>
      </c>
      <c r="G135" s="58" t="s">
        <v>159</v>
      </c>
      <c r="H135" s="61" t="str">
        <f>INDEX(Tabledaily[المرجع البياني],MATCH(TableDailyJournal[[#This Row],[رقم العملية]],Tabledaily[رقم العملية],0))</f>
        <v>قيـد مقابـل:- (مصاريف نثريات أخرى - جمال مسدوس - الفرقة الثالثة)  - استلام نقدي رقم استلام خطي  سند استلام - مصاريف بيد الاركان بامرالأركان جمال مسدوس</v>
      </c>
      <c r="I135" s="60" t="str">
        <f>INDEX(Tabledaily[العملـــة],MATCH(TableDailyJournal[[#This Row],[رقم العملية]],Tabledaily[رقم العملية],0))</f>
        <v>ريال يمني</v>
      </c>
      <c r="J135" s="59">
        <f>IFERROR(INDEX(Tabledaily[سعــــــر
الصـــــرف],MATCH(C135,Tabledaily[رقم العملية],0)),1)</f>
        <v>405</v>
      </c>
      <c r="K135" s="123" cm="1">
        <f t="array" ref="K135">IFERROR(INDEX(Tabledaily[المبلـــــــغ],MATCH(1,(TableDailyJournal[[#This Row],[رقم العملية]]=Tabledaily[رقم العملية])*(TableDailyJournal[[#This Row],[الحساب]]=Tabledaily[الحســاب المديــــن]),0)),0)</f>
        <v>0</v>
      </c>
      <c r="L135" s="123" cm="1">
        <f t="array" ref="L135">IFERROR(INDEX(Tabledaily[المبلـــــــغ],MATCH(1,(TableDailyJournal[[#This Row],[رقم العملية]]=Tabledaily[رقم العملية])*(TableDailyJournal[[#This Row],[الحساب]]=Tabledaily[الحســاب الدئـــن]),0)),0)</f>
        <v>100000</v>
      </c>
      <c r="M135" s="119">
        <f>IFERROR(TableDailyJournal[[#This Row],[المبلغ مدين]]/TableDailyJournal[[#This Row],[سعــــــر
الصـــــرف]],0)</f>
        <v>0</v>
      </c>
      <c r="N135" s="119">
        <f>IFERROR(TableDailyJournal[[#This Row],[المبلغ دائن]]/TableDailyJournal[[#This Row],[سعــــــر
الصـــــرف]],0)</f>
        <v>246.91358024691357</v>
      </c>
      <c r="O135" s="121" t="str">
        <f>INDEX(Tabledaily[المستفيــــــــد],MATCH(TableDailyJournal[[#This Row],[رقم العملية]],Tabledaily[رقم العملية],0))</f>
        <v>جمال مسدوس</v>
      </c>
      <c r="P135" s="121" t="str">
        <f>INDEX(Tabledaily[المــــرجـــــــــع],MATCH(TableDailyJournal[[#This Row],[رقم العملية]],Tabledaily[رقم العملية],0))</f>
        <v>استلام نقدي</v>
      </c>
      <c r="Q135" s="121" t="str">
        <f>INDEX(Tabledaily[اســـــــم المــــرجــــع],MATCH(TableDailyJournal[[#This Row],[رقم العملية]],Tabledaily[رقم العملية],0))</f>
        <v>سند استلام</v>
      </c>
      <c r="R135" s="121" t="str">
        <f>INDEX(Tabledaily[رقم المـــــرجـــع],MATCH(TableDailyJournal[[#This Row],[رقم العملية]],Tabledaily[رقم العملية],0))</f>
        <v>استلام خطي</v>
      </c>
      <c r="S135" s="121" t="str">
        <f>INDEX(Tabledaily[مركـــــــزالتكلفــــــة],MATCH(TableDailyJournal[[#This Row],[رقم العملية]],Tabledaily[رقم العملية],0))</f>
        <v>الفرقة الثالثة</v>
      </c>
      <c r="T135" s="121">
        <f>IFERROR(INDEX(tablecost[رقم المركز],MATCH(TableDailyJournal[[#This Row],[مركـــــــزالتكلفــــــة]],tablecost[الاسم],0)),0)</f>
        <v>1</v>
      </c>
      <c r="U135" s="122">
        <f>IFERROR(DATE(TableDailyJournal[[#This Row],[السنــــة]],TableDailyJournal[[#This Row],[الشهــــر]],TableDailyJournal[[#This Row],[الـــــيوم]]),"01-01-2026")</f>
        <v>46177</v>
      </c>
      <c r="V135" s="126"/>
      <c r="W135" s="58"/>
      <c r="X135" s="58">
        <f>IFERROR(YEAR(TableDailyJournal[[#This Row],[التاريخ]]),"")</f>
        <v>2026</v>
      </c>
      <c r="Y135" s="58">
        <f>IFERROR(MONTH(TableDailyJournal[[#This Row],[التاريخ]]),"")</f>
        <v>6</v>
      </c>
      <c r="Z135" s="58">
        <f>IFERROR(DAY(TableDailyJournal[[#This Row],[التاريخ]]),"")</f>
        <v>4</v>
      </c>
      <c r="AA135" s="126" t="str">
        <f>INDEX(Tabledaily[المرجع البياني],MATCH(TableDailyJournal[[#This Row],[رقم العملية]],Tabledaily[رقم العملية],0))</f>
        <v>قيـد مقابـل:- (مصاريف نثريات أخرى - جمال مسدوس - الفرقة الثالثة)  - استلام نقدي رقم استلام خطي  سند استلام - مصاريف بيد الاركان بامرالأركان جمال مسدوس</v>
      </c>
      <c r="AB135" s="121" t="str">
        <f>INDEX(Tabledaily[جهة الامر],MATCH(TableDailyJournal[[#This Row],[رقم العملية]],Tabledaily[رقم العملية],0))</f>
        <v>الأركان جمال مسدوس</v>
      </c>
    </row>
    <row r="136" spans="2:28" ht="45.75" x14ac:dyDescent="0.55000000000000004">
      <c r="B136" s="58">
        <f t="shared" si="3"/>
        <v>132</v>
      </c>
      <c r="C136" s="59" t="s">
        <v>494</v>
      </c>
      <c r="D136" s="60">
        <f>INDEX(Tabledaily[date],MATCH(TableDailyJournal[[#This Row],[رقم العملية]],Tabledaily[رقم العملية],0))</f>
        <v>46177</v>
      </c>
      <c r="E136" s="58" t="str">
        <f>INDEX(Tabledaily[نوع العمليــة],MATCH(TableDailyJournal[[#This Row],[رقم العملية]],Tabledaily[رقم العملية],0))</f>
        <v>قيد عهده</v>
      </c>
      <c r="F136" s="58">
        <f>IFERROR(INDEX(TableJudje[رقم الحساب],MATCH(TableDailyJournal[[#This Row],[الحساب]],TableJudje[اسم الحساب],0)),0)</f>
        <v>31010114</v>
      </c>
      <c r="G136" s="58" t="s">
        <v>121</v>
      </c>
      <c r="H136" s="61" t="str">
        <f>INDEX(Tabledaily[المرجع البياني],MATCH(TableDailyJournal[[#This Row],[رقم العملية]],Tabledaily[رقم العملية],0))</f>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v>
      </c>
      <c r="I136" s="60" t="str">
        <f>INDEX(Tabledaily[العملـــة],MATCH(TableDailyJournal[[#This Row],[رقم العملية]],Tabledaily[رقم العملية],0))</f>
        <v>ريال يمني</v>
      </c>
      <c r="J136" s="59">
        <f>IFERROR(INDEX(Tabledaily[سعــــــر
الصـــــرف],MATCH(C136,Tabledaily[رقم العملية],0)),1)</f>
        <v>405</v>
      </c>
      <c r="K136" s="123" cm="1">
        <f t="array" ref="K136">IFERROR(INDEX(Tabledaily[المبلـــــــغ],MATCH(1,(TableDailyJournal[[#This Row],[رقم العملية]]=Tabledaily[رقم العملية])*(TableDailyJournal[[#This Row],[الحساب]]=Tabledaily[الحســاب المديــــن]),0)),0)</f>
        <v>40000</v>
      </c>
      <c r="L136" s="123" cm="1">
        <f t="array" ref="L136">IFERROR(INDEX(Tabledaily[المبلـــــــغ],MATCH(1,(TableDailyJournal[[#This Row],[رقم العملية]]=Tabledaily[رقم العملية])*(TableDailyJournal[[#This Row],[الحساب]]=Tabledaily[الحســاب الدئـــن]),0)),0)</f>
        <v>0</v>
      </c>
      <c r="M136" s="119">
        <f>IFERROR(TableDailyJournal[[#This Row],[المبلغ مدين]]/TableDailyJournal[[#This Row],[سعــــــر
الصـــــرف]],0)</f>
        <v>98.76543209876543</v>
      </c>
      <c r="N136" s="119">
        <f>IFERROR(TableDailyJournal[[#This Row],[المبلغ دائن]]/TableDailyJournal[[#This Row],[سعــــــر
الصـــــرف]],0)</f>
        <v>0</v>
      </c>
      <c r="O136" s="121" t="str">
        <f>INDEX(Tabledaily[المستفيــــــــد],MATCH(TableDailyJournal[[#This Row],[رقم العملية]],Tabledaily[رقم العملية],0))</f>
        <v>محمد البيحاني</v>
      </c>
      <c r="P136" s="121" t="str">
        <f>INDEX(Tabledaily[المــــرجـــــــــع],MATCH(TableDailyJournal[[#This Row],[رقم العملية]],Tabledaily[رقم العملية],0))</f>
        <v>استلام نقدي</v>
      </c>
      <c r="Q136" s="121" t="str">
        <f>INDEX(Tabledaily[اســـــــم المــــرجــــع],MATCH(TableDailyJournal[[#This Row],[رقم العملية]],Tabledaily[رقم العملية],0))</f>
        <v>سند استلام</v>
      </c>
      <c r="R136" s="121" t="str">
        <f>INDEX(Tabledaily[رقم المـــــرجـــع],MATCH(TableDailyJournal[[#This Row],[رقم العملية]],Tabledaily[رقم العملية],0))</f>
        <v>استلام خطي</v>
      </c>
      <c r="S136" s="121" t="str">
        <f>INDEX(Tabledaily[مركـــــــزالتكلفــــــة],MATCH(TableDailyJournal[[#This Row],[رقم العملية]],Tabledaily[رقم العملية],0))</f>
        <v>الفرقة الثالثة</v>
      </c>
      <c r="T136" s="121">
        <f>IFERROR(INDEX(tablecost[رقم المركز],MATCH(TableDailyJournal[[#This Row],[مركـــــــزالتكلفــــــة]],tablecost[الاسم],0)),0)</f>
        <v>1</v>
      </c>
      <c r="U136" s="122">
        <f>IFERROR(DATE(TableDailyJournal[[#This Row],[السنــــة]],TableDailyJournal[[#This Row],[الشهــــر]],TableDailyJournal[[#This Row],[الـــــيوم]]),"01-01-2026")</f>
        <v>46177</v>
      </c>
      <c r="V136" s="126"/>
      <c r="W136" s="58"/>
      <c r="X136" s="58">
        <f>IFERROR(YEAR(TableDailyJournal[[#This Row],[التاريخ]]),"")</f>
        <v>2026</v>
      </c>
      <c r="Y136" s="58">
        <f>IFERROR(MONTH(TableDailyJournal[[#This Row],[التاريخ]]),"")</f>
        <v>6</v>
      </c>
      <c r="Z136" s="58">
        <f>IFERROR(DAY(TableDailyJournal[[#This Row],[التاريخ]]),"")</f>
        <v>4</v>
      </c>
      <c r="AA136" s="126" t="str">
        <f>INDEX(Tabledaily[المرجع البياني],MATCH(TableDailyJournal[[#This Row],[رقم العملية]],Tabledaily[رقم العملية],0))</f>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v>
      </c>
      <c r="AB136" s="121" t="str">
        <f>INDEX(Tabledaily[جهة الامر],MATCH(TableDailyJournal[[#This Row],[رقم العملية]],Tabledaily[رقم العملية],0))</f>
        <v>الأركان جمال مسدوس</v>
      </c>
    </row>
    <row r="137" spans="2:28" ht="45.75" x14ac:dyDescent="0.55000000000000004">
      <c r="B137" s="58">
        <f t="shared" si="3"/>
        <v>133</v>
      </c>
      <c r="C137" s="59" t="s">
        <v>494</v>
      </c>
      <c r="D137" s="60">
        <f>INDEX(Tabledaily[date],MATCH(TableDailyJournal[[#This Row],[رقم العملية]],Tabledaily[رقم العملية],0))</f>
        <v>46177</v>
      </c>
      <c r="E137" s="58" t="str">
        <f>INDEX(Tabledaily[نوع العمليــة],MATCH(TableDailyJournal[[#This Row],[رقم العملية]],Tabledaily[رقم العملية],0))</f>
        <v>قيد عهده</v>
      </c>
      <c r="F137" s="58">
        <f>IFERROR(INDEX(TableJudje[رقم الحساب],MATCH(TableDailyJournal[[#This Row],[الحساب]],TableJudje[اسم الحساب],0)),0)</f>
        <v>11060202</v>
      </c>
      <c r="G137" s="58" t="s">
        <v>159</v>
      </c>
      <c r="H137" s="61" t="str">
        <f>INDEX(Tabledaily[المرجع البياني],MATCH(TableDailyJournal[[#This Row],[رقم العملية]],Tabledaily[رقم العملية],0))</f>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v>
      </c>
      <c r="I137" s="60" t="str">
        <f>INDEX(Tabledaily[العملـــة],MATCH(TableDailyJournal[[#This Row],[رقم العملية]],Tabledaily[رقم العملية],0))</f>
        <v>ريال يمني</v>
      </c>
      <c r="J137" s="59">
        <f>IFERROR(INDEX(Tabledaily[سعــــــر
الصـــــرف],MATCH(C137,Tabledaily[رقم العملية],0)),1)</f>
        <v>405</v>
      </c>
      <c r="K137" s="123" cm="1">
        <f t="array" ref="K137">IFERROR(INDEX(Tabledaily[المبلـــــــغ],MATCH(1,(TableDailyJournal[[#This Row],[رقم العملية]]=Tabledaily[رقم العملية])*(TableDailyJournal[[#This Row],[الحساب]]=Tabledaily[الحســاب المديــــن]),0)),0)</f>
        <v>0</v>
      </c>
      <c r="L137" s="123" cm="1">
        <f t="array" ref="L137">IFERROR(INDEX(Tabledaily[المبلـــــــغ],MATCH(1,(TableDailyJournal[[#This Row],[رقم العملية]]=Tabledaily[رقم العملية])*(TableDailyJournal[[#This Row],[الحساب]]=Tabledaily[الحســاب الدئـــن]),0)),0)</f>
        <v>40000</v>
      </c>
      <c r="M137" s="119">
        <f>IFERROR(TableDailyJournal[[#This Row],[المبلغ مدين]]/TableDailyJournal[[#This Row],[سعــــــر
الصـــــرف]],0)</f>
        <v>0</v>
      </c>
      <c r="N137" s="119">
        <f>IFERROR(TableDailyJournal[[#This Row],[المبلغ دائن]]/TableDailyJournal[[#This Row],[سعــــــر
الصـــــرف]],0)</f>
        <v>98.76543209876543</v>
      </c>
      <c r="O137" s="121" t="str">
        <f>INDEX(Tabledaily[المستفيــــــــد],MATCH(TableDailyJournal[[#This Row],[رقم العملية]],Tabledaily[رقم العملية],0))</f>
        <v>محمد البيحاني</v>
      </c>
      <c r="P137" s="121" t="str">
        <f>INDEX(Tabledaily[المــــرجـــــــــع],MATCH(TableDailyJournal[[#This Row],[رقم العملية]],Tabledaily[رقم العملية],0))</f>
        <v>استلام نقدي</v>
      </c>
      <c r="Q137" s="121" t="str">
        <f>INDEX(Tabledaily[اســـــــم المــــرجــــع],MATCH(TableDailyJournal[[#This Row],[رقم العملية]],Tabledaily[رقم العملية],0))</f>
        <v>سند استلام</v>
      </c>
      <c r="R137" s="121" t="str">
        <f>INDEX(Tabledaily[رقم المـــــرجـــع],MATCH(TableDailyJournal[[#This Row],[رقم العملية]],Tabledaily[رقم العملية],0))</f>
        <v>استلام خطي</v>
      </c>
      <c r="S137" s="121" t="str">
        <f>INDEX(Tabledaily[مركـــــــزالتكلفــــــة],MATCH(TableDailyJournal[[#This Row],[رقم العملية]],Tabledaily[رقم العملية],0))</f>
        <v>الفرقة الثالثة</v>
      </c>
      <c r="T137" s="121">
        <f>IFERROR(INDEX(tablecost[رقم المركز],MATCH(TableDailyJournal[[#This Row],[مركـــــــزالتكلفــــــة]],tablecost[الاسم],0)),0)</f>
        <v>1</v>
      </c>
      <c r="U137" s="122">
        <f>IFERROR(DATE(TableDailyJournal[[#This Row],[السنــــة]],TableDailyJournal[[#This Row],[الشهــــر]],TableDailyJournal[[#This Row],[الـــــيوم]]),"01-01-2026")</f>
        <v>46177</v>
      </c>
      <c r="V137" s="126"/>
      <c r="W137" s="58"/>
      <c r="X137" s="58">
        <f>IFERROR(YEAR(TableDailyJournal[[#This Row],[التاريخ]]),"")</f>
        <v>2026</v>
      </c>
      <c r="Y137" s="58">
        <f>IFERROR(MONTH(TableDailyJournal[[#This Row],[التاريخ]]),"")</f>
        <v>6</v>
      </c>
      <c r="Z137" s="58">
        <f>IFERROR(DAY(TableDailyJournal[[#This Row],[التاريخ]]),"")</f>
        <v>4</v>
      </c>
      <c r="AA137" s="126" t="str">
        <f>INDEX(Tabledaily[المرجع البياني],MATCH(TableDailyJournal[[#This Row],[رقم العملية]],Tabledaily[رقم العملية],0))</f>
        <v>قيـد مقابـل:- (مصاريف حوافز ومكافئات  - محمد البيحاني - الفرقة الثالثة)  - استلام نقدي رقم استلام خطي  سند استلام - مصاريف للاخ محمد البيحاني  بامرالأركان جمال مسدوس</v>
      </c>
      <c r="AB137" s="121" t="str">
        <f>INDEX(Tabledaily[جهة الامر],MATCH(TableDailyJournal[[#This Row],[رقم العملية]],Tabledaily[رقم العملية],0))</f>
        <v>الأركان جمال مسدوس</v>
      </c>
    </row>
    <row r="138" spans="2:28" ht="45.75" x14ac:dyDescent="0.55000000000000004">
      <c r="B138" s="58">
        <f t="shared" si="3"/>
        <v>134</v>
      </c>
      <c r="C138" s="59" t="s">
        <v>497</v>
      </c>
      <c r="D138" s="60">
        <f>INDEX(Tabledaily[date],MATCH(TableDailyJournal[[#This Row],[رقم العملية]],Tabledaily[رقم العملية],0))</f>
        <v>46177</v>
      </c>
      <c r="E138" s="58" t="str">
        <f>INDEX(Tabledaily[نوع العمليــة],MATCH(TableDailyJournal[[#This Row],[رقم العملية]],Tabledaily[رقم العملية],0))</f>
        <v>قيد عهده</v>
      </c>
      <c r="F138" s="58">
        <f>IFERROR(INDEX(TableJudje[رقم الحساب],MATCH(TableDailyJournal[[#This Row],[الحساب]],TableJudje[اسم الحساب],0)),0)</f>
        <v>31010114</v>
      </c>
      <c r="G138" s="58" t="s">
        <v>121</v>
      </c>
      <c r="H138" s="61" t="str">
        <f>INDEX(Tabledaily[المرجع البياني],MATCH(TableDailyJournal[[#This Row],[رقم العملية]],Tabledaily[رقم العملية],0))</f>
        <v>قيـد مقابـل:- (مصاريف حوافز ومكافئات  - شفيع محمود - الفرقة الثالثة)  - استلام نقدي رقم استلام خطي  سند استلام - مصاريف محولة ل شفيع محمود بامرالقائد</v>
      </c>
      <c r="I138" s="60" t="str">
        <f>INDEX(Tabledaily[العملـــة],MATCH(TableDailyJournal[[#This Row],[رقم العملية]],Tabledaily[رقم العملية],0))</f>
        <v>ريال يمني</v>
      </c>
      <c r="J138" s="59">
        <f>IFERROR(INDEX(Tabledaily[سعــــــر
الصـــــرف],MATCH(C138,Tabledaily[رقم العملية],0)),1)</f>
        <v>405</v>
      </c>
      <c r="K138" s="123" cm="1">
        <f t="array" ref="K138">IFERROR(INDEX(Tabledaily[المبلـــــــغ],MATCH(1,(TableDailyJournal[[#This Row],[رقم العملية]]=Tabledaily[رقم العملية])*(TableDailyJournal[[#This Row],[الحساب]]=Tabledaily[الحســاب المديــــن]),0)),0)</f>
        <v>100000</v>
      </c>
      <c r="L138" s="123" cm="1">
        <f t="array" ref="L138">IFERROR(INDEX(Tabledaily[المبلـــــــغ],MATCH(1,(TableDailyJournal[[#This Row],[رقم العملية]]=Tabledaily[رقم العملية])*(TableDailyJournal[[#This Row],[الحساب]]=Tabledaily[الحســاب الدئـــن]),0)),0)</f>
        <v>0</v>
      </c>
      <c r="M138" s="119">
        <f>IFERROR(TableDailyJournal[[#This Row],[المبلغ مدين]]/TableDailyJournal[[#This Row],[سعــــــر
الصـــــرف]],0)</f>
        <v>246.91358024691357</v>
      </c>
      <c r="N138" s="119">
        <f>IFERROR(TableDailyJournal[[#This Row],[المبلغ دائن]]/TableDailyJournal[[#This Row],[سعــــــر
الصـــــرف]],0)</f>
        <v>0</v>
      </c>
      <c r="O138" s="121" t="str">
        <f>INDEX(Tabledaily[المستفيــــــــد],MATCH(TableDailyJournal[[#This Row],[رقم العملية]],Tabledaily[رقم العملية],0))</f>
        <v>شفيع محمود</v>
      </c>
      <c r="P138" s="121" t="str">
        <f>INDEX(Tabledaily[المــــرجـــــــــع],MATCH(TableDailyJournal[[#This Row],[رقم العملية]],Tabledaily[رقم العملية],0))</f>
        <v>استلام نقدي</v>
      </c>
      <c r="Q138" s="121" t="str">
        <f>INDEX(Tabledaily[اســـــــم المــــرجــــع],MATCH(TableDailyJournal[[#This Row],[رقم العملية]],Tabledaily[رقم العملية],0))</f>
        <v>سند استلام</v>
      </c>
      <c r="R138" s="121" t="str">
        <f>INDEX(Tabledaily[رقم المـــــرجـــع],MATCH(TableDailyJournal[[#This Row],[رقم العملية]],Tabledaily[رقم العملية],0))</f>
        <v>استلام خطي</v>
      </c>
      <c r="S138" s="121" t="str">
        <f>INDEX(Tabledaily[مركـــــــزالتكلفــــــة],MATCH(TableDailyJournal[[#This Row],[رقم العملية]],Tabledaily[رقم العملية],0))</f>
        <v>الفرقة الثالثة</v>
      </c>
      <c r="T138" s="121">
        <f>IFERROR(INDEX(tablecost[رقم المركز],MATCH(TableDailyJournal[[#This Row],[مركـــــــزالتكلفــــــة]],tablecost[الاسم],0)),0)</f>
        <v>1</v>
      </c>
      <c r="U138" s="122">
        <f>IFERROR(DATE(TableDailyJournal[[#This Row],[السنــــة]],TableDailyJournal[[#This Row],[الشهــــر]],TableDailyJournal[[#This Row],[الـــــيوم]]),"01-01-2026")</f>
        <v>46177</v>
      </c>
      <c r="V138" s="126"/>
      <c r="W138" s="58"/>
      <c r="X138" s="58">
        <f>IFERROR(YEAR(TableDailyJournal[[#This Row],[التاريخ]]),"")</f>
        <v>2026</v>
      </c>
      <c r="Y138" s="58">
        <f>IFERROR(MONTH(TableDailyJournal[[#This Row],[التاريخ]]),"")</f>
        <v>6</v>
      </c>
      <c r="Z138" s="58">
        <f>IFERROR(DAY(TableDailyJournal[[#This Row],[التاريخ]]),"")</f>
        <v>4</v>
      </c>
      <c r="AA138" s="126" t="str">
        <f>INDEX(Tabledaily[المرجع البياني],MATCH(TableDailyJournal[[#This Row],[رقم العملية]],Tabledaily[رقم العملية],0))</f>
        <v>قيـد مقابـل:- (مصاريف حوافز ومكافئات  - شفيع محمود - الفرقة الثالثة)  - استلام نقدي رقم استلام خطي  سند استلام - مصاريف محولة ل شفيع محمود بامرالقائد</v>
      </c>
      <c r="AB138" s="121" t="str">
        <f>INDEX(Tabledaily[جهة الامر],MATCH(TableDailyJournal[[#This Row],[رقم العملية]],Tabledaily[رقم العملية],0))</f>
        <v>القائد</v>
      </c>
    </row>
    <row r="139" spans="2:28" ht="45.75" x14ac:dyDescent="0.55000000000000004">
      <c r="B139" s="58">
        <f t="shared" si="3"/>
        <v>135</v>
      </c>
      <c r="C139" s="59" t="s">
        <v>497</v>
      </c>
      <c r="D139" s="60">
        <f>INDEX(Tabledaily[date],MATCH(TableDailyJournal[[#This Row],[رقم العملية]],Tabledaily[رقم العملية],0))</f>
        <v>46177</v>
      </c>
      <c r="E139" s="58" t="str">
        <f>INDEX(Tabledaily[نوع العمليــة],MATCH(TableDailyJournal[[#This Row],[رقم العملية]],Tabledaily[رقم العملية],0))</f>
        <v>قيد عهده</v>
      </c>
      <c r="F139" s="58">
        <f>IFERROR(INDEX(TableJudje[رقم الحساب],MATCH(TableDailyJournal[[#This Row],[الحساب]],TableJudje[اسم الحساب],0)),0)</f>
        <v>11060202</v>
      </c>
      <c r="G139" s="58" t="s">
        <v>159</v>
      </c>
      <c r="H139" s="61" t="str">
        <f>INDEX(Tabledaily[المرجع البياني],MATCH(TableDailyJournal[[#This Row],[رقم العملية]],Tabledaily[رقم العملية],0))</f>
        <v>قيـد مقابـل:- (مصاريف حوافز ومكافئات  - شفيع محمود - الفرقة الثالثة)  - استلام نقدي رقم استلام خطي  سند استلام - مصاريف محولة ل شفيع محمود بامرالقائد</v>
      </c>
      <c r="I139" s="60" t="str">
        <f>INDEX(Tabledaily[العملـــة],MATCH(TableDailyJournal[[#This Row],[رقم العملية]],Tabledaily[رقم العملية],0))</f>
        <v>ريال يمني</v>
      </c>
      <c r="J139" s="59">
        <f>IFERROR(INDEX(Tabledaily[سعــــــر
الصـــــرف],MATCH(C139,Tabledaily[رقم العملية],0)),1)</f>
        <v>405</v>
      </c>
      <c r="K139" s="123" cm="1">
        <f t="array" ref="K139">IFERROR(INDEX(Tabledaily[المبلـــــــغ],MATCH(1,(TableDailyJournal[[#This Row],[رقم العملية]]=Tabledaily[رقم العملية])*(TableDailyJournal[[#This Row],[الحساب]]=Tabledaily[الحســاب المديــــن]),0)),0)</f>
        <v>0</v>
      </c>
      <c r="L139" s="123" cm="1">
        <f t="array" ref="L139">IFERROR(INDEX(Tabledaily[المبلـــــــغ],MATCH(1,(TableDailyJournal[[#This Row],[رقم العملية]]=Tabledaily[رقم العملية])*(TableDailyJournal[[#This Row],[الحساب]]=Tabledaily[الحســاب الدئـــن]),0)),0)</f>
        <v>100000</v>
      </c>
      <c r="M139" s="119">
        <f>IFERROR(TableDailyJournal[[#This Row],[المبلغ مدين]]/TableDailyJournal[[#This Row],[سعــــــر
الصـــــرف]],0)</f>
        <v>0</v>
      </c>
      <c r="N139" s="119">
        <f>IFERROR(TableDailyJournal[[#This Row],[المبلغ دائن]]/TableDailyJournal[[#This Row],[سعــــــر
الصـــــرف]],0)</f>
        <v>246.91358024691357</v>
      </c>
      <c r="O139" s="121" t="str">
        <f>INDEX(Tabledaily[المستفيــــــــد],MATCH(TableDailyJournal[[#This Row],[رقم العملية]],Tabledaily[رقم العملية],0))</f>
        <v>شفيع محمود</v>
      </c>
      <c r="P139" s="121" t="str">
        <f>INDEX(Tabledaily[المــــرجـــــــــع],MATCH(TableDailyJournal[[#This Row],[رقم العملية]],Tabledaily[رقم العملية],0))</f>
        <v>استلام نقدي</v>
      </c>
      <c r="Q139" s="121" t="str">
        <f>INDEX(Tabledaily[اســـــــم المــــرجــــع],MATCH(TableDailyJournal[[#This Row],[رقم العملية]],Tabledaily[رقم العملية],0))</f>
        <v>سند استلام</v>
      </c>
      <c r="R139" s="121" t="str">
        <f>INDEX(Tabledaily[رقم المـــــرجـــع],MATCH(TableDailyJournal[[#This Row],[رقم العملية]],Tabledaily[رقم العملية],0))</f>
        <v>استلام خطي</v>
      </c>
      <c r="S139" s="121" t="str">
        <f>INDEX(Tabledaily[مركـــــــزالتكلفــــــة],MATCH(TableDailyJournal[[#This Row],[رقم العملية]],Tabledaily[رقم العملية],0))</f>
        <v>الفرقة الثالثة</v>
      </c>
      <c r="T139" s="121">
        <f>IFERROR(INDEX(tablecost[رقم المركز],MATCH(TableDailyJournal[[#This Row],[مركـــــــزالتكلفــــــة]],tablecost[الاسم],0)),0)</f>
        <v>1</v>
      </c>
      <c r="U139" s="122">
        <f>IFERROR(DATE(TableDailyJournal[[#This Row],[السنــــة]],TableDailyJournal[[#This Row],[الشهــــر]],TableDailyJournal[[#This Row],[الـــــيوم]]),"01-01-2026")</f>
        <v>46177</v>
      </c>
      <c r="V139" s="126"/>
      <c r="W139" s="58"/>
      <c r="X139" s="58">
        <f>IFERROR(YEAR(TableDailyJournal[[#This Row],[التاريخ]]),"")</f>
        <v>2026</v>
      </c>
      <c r="Y139" s="58">
        <f>IFERROR(MONTH(TableDailyJournal[[#This Row],[التاريخ]]),"")</f>
        <v>6</v>
      </c>
      <c r="Z139" s="58">
        <f>IFERROR(DAY(TableDailyJournal[[#This Row],[التاريخ]]),"")</f>
        <v>4</v>
      </c>
      <c r="AA139" s="126" t="str">
        <f>INDEX(Tabledaily[المرجع البياني],MATCH(TableDailyJournal[[#This Row],[رقم العملية]],Tabledaily[رقم العملية],0))</f>
        <v>قيـد مقابـل:- (مصاريف حوافز ومكافئات  - شفيع محمود - الفرقة الثالثة)  - استلام نقدي رقم استلام خطي  سند استلام - مصاريف محولة ل شفيع محمود بامرالقائد</v>
      </c>
      <c r="AB139" s="121" t="str">
        <f>INDEX(Tabledaily[جهة الامر],MATCH(TableDailyJournal[[#This Row],[رقم العملية]],Tabledaily[رقم العملية],0))</f>
        <v>القائد</v>
      </c>
    </row>
    <row r="140" spans="2:28" ht="45.75" x14ac:dyDescent="0.55000000000000004">
      <c r="B140" s="58">
        <f t="shared" si="3"/>
        <v>136</v>
      </c>
      <c r="C140" s="59" t="s">
        <v>500</v>
      </c>
      <c r="D140" s="60">
        <f>INDEX(Tabledaily[date],MATCH(TableDailyJournal[[#This Row],[رقم العملية]],Tabledaily[رقم العملية],0))</f>
        <v>46177</v>
      </c>
      <c r="E140" s="58" t="str">
        <f>INDEX(Tabledaily[نوع العمليــة],MATCH(TableDailyJournal[[#This Row],[رقم العملية]],Tabledaily[رقم العملية],0))</f>
        <v>قيد عهده</v>
      </c>
      <c r="F140" s="58">
        <f>IFERROR(INDEX(TableJudje[رقم الحساب],MATCH(TableDailyJournal[[#This Row],[الحساب]],TableJudje[اسم الحساب],0)),0)</f>
        <v>31010122</v>
      </c>
      <c r="G140" s="58" t="s">
        <v>487</v>
      </c>
      <c r="H140" s="61" t="str">
        <f>INDEX(Tabledaily[المرجع البياني],MATCH(TableDailyJournal[[#This Row],[رقم العملية]],Tabledaily[رقم العملية],0))</f>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v>
      </c>
      <c r="I140" s="60" t="str">
        <f>INDEX(Tabledaily[العملـــة],MATCH(TableDailyJournal[[#This Row],[رقم العملية]],Tabledaily[رقم العملية],0))</f>
        <v>ريال يمني</v>
      </c>
      <c r="J140" s="59">
        <f>IFERROR(INDEX(Tabledaily[سعــــــر
الصـــــرف],MATCH(C140,Tabledaily[رقم العملية],0)),1)</f>
        <v>405</v>
      </c>
      <c r="K140" s="123" cm="1">
        <f t="array" ref="K140">IFERROR(INDEX(Tabledaily[المبلـــــــغ],MATCH(1,(TableDailyJournal[[#This Row],[رقم العملية]]=Tabledaily[رقم العملية])*(TableDailyJournal[[#This Row],[الحساب]]=Tabledaily[الحســاب المديــــن]),0)),0)</f>
        <v>80000</v>
      </c>
      <c r="L140" s="123" cm="1">
        <f t="array" ref="L140">IFERROR(INDEX(Tabledaily[المبلـــــــغ],MATCH(1,(TableDailyJournal[[#This Row],[رقم العملية]]=Tabledaily[رقم العملية])*(TableDailyJournal[[#This Row],[الحساب]]=Tabledaily[الحســاب الدئـــن]),0)),0)</f>
        <v>0</v>
      </c>
      <c r="M140" s="119">
        <f>IFERROR(TableDailyJournal[[#This Row],[المبلغ مدين]]/TableDailyJournal[[#This Row],[سعــــــر
الصـــــرف]],0)</f>
        <v>197.53086419753086</v>
      </c>
      <c r="N140" s="119">
        <f>IFERROR(TableDailyJournal[[#This Row],[المبلغ دائن]]/TableDailyJournal[[#This Row],[سعــــــر
الصـــــرف]],0)</f>
        <v>0</v>
      </c>
      <c r="O140" s="121" t="str">
        <f>INDEX(Tabledaily[المستفيــــــــد],MATCH(TableDailyJournal[[#This Row],[رقم العملية]],Tabledaily[رقم العملية],0))</f>
        <v>باسم البشرية</v>
      </c>
      <c r="P140" s="121" t="str">
        <f>INDEX(Tabledaily[المــــرجـــــــــع],MATCH(TableDailyJournal[[#This Row],[رقم العملية]],Tabledaily[رقم العملية],0))</f>
        <v>استلام نقدي</v>
      </c>
      <c r="Q140" s="121" t="str">
        <f>INDEX(Tabledaily[اســـــــم المــــرجــــع],MATCH(TableDailyJournal[[#This Row],[رقم العملية]],Tabledaily[رقم العملية],0))</f>
        <v>سند استلام</v>
      </c>
      <c r="R140" s="121" t="str">
        <f>INDEX(Tabledaily[رقم المـــــرجـــع],MATCH(TableDailyJournal[[#This Row],[رقم العملية]],Tabledaily[رقم العملية],0))</f>
        <v>استلام خطي</v>
      </c>
      <c r="S140" s="121" t="str">
        <f>INDEX(Tabledaily[مركـــــــزالتكلفــــــة],MATCH(TableDailyJournal[[#This Row],[رقم العملية]],Tabledaily[رقم العملية],0))</f>
        <v>الفرقة الثالثة</v>
      </c>
      <c r="T140" s="121">
        <f>IFERROR(INDEX(tablecost[رقم المركز],MATCH(TableDailyJournal[[#This Row],[مركـــــــزالتكلفــــــة]],tablecost[الاسم],0)),0)</f>
        <v>1</v>
      </c>
      <c r="U140" s="122">
        <f>IFERROR(DATE(TableDailyJournal[[#This Row],[السنــــة]],TableDailyJournal[[#This Row],[الشهــــر]],TableDailyJournal[[#This Row],[الـــــيوم]]),"01-01-2026")</f>
        <v>46177</v>
      </c>
      <c r="V140" s="126"/>
      <c r="W140" s="58"/>
      <c r="X140" s="58">
        <f>IFERROR(YEAR(TableDailyJournal[[#This Row],[التاريخ]]),"")</f>
        <v>2026</v>
      </c>
      <c r="Y140" s="58">
        <f>IFERROR(MONTH(TableDailyJournal[[#This Row],[التاريخ]]),"")</f>
        <v>6</v>
      </c>
      <c r="Z140" s="58">
        <f>IFERROR(DAY(TableDailyJournal[[#This Row],[التاريخ]]),"")</f>
        <v>4</v>
      </c>
      <c r="AA140" s="126" t="str">
        <f>INDEX(Tabledaily[المرجع البياني],MATCH(TableDailyJournal[[#This Row],[رقم العملية]],Tabledaily[رقم العملية],0))</f>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v>
      </c>
      <c r="AB140" s="121" t="str">
        <f>INDEX(Tabledaily[جهة الامر],MATCH(TableDailyJournal[[#This Row],[رقم العملية]],Tabledaily[رقم العملية],0))</f>
        <v>الأركان جمال مسدوس</v>
      </c>
    </row>
    <row r="141" spans="2:28" ht="45.75" x14ac:dyDescent="0.55000000000000004">
      <c r="B141" s="58">
        <f t="shared" si="3"/>
        <v>137</v>
      </c>
      <c r="C141" s="59" t="s">
        <v>500</v>
      </c>
      <c r="D141" s="60">
        <f>INDEX(Tabledaily[date],MATCH(TableDailyJournal[[#This Row],[رقم العملية]],Tabledaily[رقم العملية],0))</f>
        <v>46177</v>
      </c>
      <c r="E141" s="58" t="str">
        <f>INDEX(Tabledaily[نوع العمليــة],MATCH(TableDailyJournal[[#This Row],[رقم العملية]],Tabledaily[رقم العملية],0))</f>
        <v>قيد عهده</v>
      </c>
      <c r="F141" s="58">
        <f>IFERROR(INDEX(TableJudje[رقم الحساب],MATCH(TableDailyJournal[[#This Row],[الحساب]],TableJudje[اسم الحساب],0)),0)</f>
        <v>11060202</v>
      </c>
      <c r="G141" s="58" t="s">
        <v>159</v>
      </c>
      <c r="H141" s="61" t="str">
        <f>INDEX(Tabledaily[المرجع البياني],MATCH(TableDailyJournal[[#This Row],[رقم العملية]],Tabledaily[رقم العملية],0))</f>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v>
      </c>
      <c r="I141" s="60" t="str">
        <f>INDEX(Tabledaily[العملـــة],MATCH(TableDailyJournal[[#This Row],[رقم العملية]],Tabledaily[رقم العملية],0))</f>
        <v>ريال يمني</v>
      </c>
      <c r="J141" s="59">
        <f>IFERROR(INDEX(Tabledaily[سعــــــر
الصـــــرف],MATCH(C141,Tabledaily[رقم العملية],0)),1)</f>
        <v>405</v>
      </c>
      <c r="K141" s="123" cm="1">
        <f t="array" ref="K141">IFERROR(INDEX(Tabledaily[المبلـــــــغ],MATCH(1,(TableDailyJournal[[#This Row],[رقم العملية]]=Tabledaily[رقم العملية])*(TableDailyJournal[[#This Row],[الحساب]]=Tabledaily[الحســاب المديــــن]),0)),0)</f>
        <v>0</v>
      </c>
      <c r="L141" s="123" cm="1">
        <f t="array" ref="L141">IFERROR(INDEX(Tabledaily[المبلـــــــغ],MATCH(1,(TableDailyJournal[[#This Row],[رقم العملية]]=Tabledaily[رقم العملية])*(TableDailyJournal[[#This Row],[الحساب]]=Tabledaily[الحســاب الدئـــن]),0)),0)</f>
        <v>80000</v>
      </c>
      <c r="M141" s="119">
        <f>IFERROR(TableDailyJournal[[#This Row],[المبلغ مدين]]/TableDailyJournal[[#This Row],[سعــــــر
الصـــــرف]],0)</f>
        <v>0</v>
      </c>
      <c r="N141" s="119">
        <f>IFERROR(TableDailyJournal[[#This Row],[المبلغ دائن]]/TableDailyJournal[[#This Row],[سعــــــر
الصـــــرف]],0)</f>
        <v>197.53086419753086</v>
      </c>
      <c r="O141" s="121" t="str">
        <f>INDEX(Tabledaily[المستفيــــــــد],MATCH(TableDailyJournal[[#This Row],[رقم العملية]],Tabledaily[رقم العملية],0))</f>
        <v>باسم البشرية</v>
      </c>
      <c r="P141" s="121" t="str">
        <f>INDEX(Tabledaily[المــــرجـــــــــع],MATCH(TableDailyJournal[[#This Row],[رقم العملية]],Tabledaily[رقم العملية],0))</f>
        <v>استلام نقدي</v>
      </c>
      <c r="Q141" s="121" t="str">
        <f>INDEX(Tabledaily[اســـــــم المــــرجــــع],MATCH(TableDailyJournal[[#This Row],[رقم العملية]],Tabledaily[رقم العملية],0))</f>
        <v>سند استلام</v>
      </c>
      <c r="R141" s="121" t="str">
        <f>INDEX(Tabledaily[رقم المـــــرجـــع],MATCH(TableDailyJournal[[#This Row],[رقم العملية]],Tabledaily[رقم العملية],0))</f>
        <v>استلام خطي</v>
      </c>
      <c r="S141" s="121" t="str">
        <f>INDEX(Tabledaily[مركـــــــزالتكلفــــــة],MATCH(TableDailyJournal[[#This Row],[رقم العملية]],Tabledaily[رقم العملية],0))</f>
        <v>الفرقة الثالثة</v>
      </c>
      <c r="T141" s="121">
        <f>IFERROR(INDEX(tablecost[رقم المركز],MATCH(TableDailyJournal[[#This Row],[مركـــــــزالتكلفــــــة]],tablecost[الاسم],0)),0)</f>
        <v>1</v>
      </c>
      <c r="U141" s="122">
        <f>IFERROR(DATE(TableDailyJournal[[#This Row],[السنــــة]],TableDailyJournal[[#This Row],[الشهــــر]],TableDailyJournal[[#This Row],[الـــــيوم]]),"01-01-2026")</f>
        <v>46177</v>
      </c>
      <c r="V141" s="126"/>
      <c r="W141" s="58"/>
      <c r="X141" s="58">
        <f>IFERROR(YEAR(TableDailyJournal[[#This Row],[التاريخ]]),"")</f>
        <v>2026</v>
      </c>
      <c r="Y141" s="58">
        <f>IFERROR(MONTH(TableDailyJournal[[#This Row],[التاريخ]]),"")</f>
        <v>6</v>
      </c>
      <c r="Z141" s="58">
        <f>IFERROR(DAY(TableDailyJournal[[#This Row],[التاريخ]]),"")</f>
        <v>4</v>
      </c>
      <c r="AA141" s="126" t="str">
        <f>INDEX(Tabledaily[المرجع البياني],MATCH(TableDailyJournal[[#This Row],[رقم العملية]],Tabledaily[رقم العملية],0))</f>
        <v>قيـد مقابـل:- (مصاريف سفر وتنقلات  - باسم البشرية - الفرقة الثالثة)  - استلام نقدي رقم استلام خطي  سند استلام - مصاريف سفر عيد لباسم الابشرية بامرالأركان جمال مسدوس</v>
      </c>
      <c r="AB141" s="121" t="str">
        <f>INDEX(Tabledaily[جهة الامر],MATCH(TableDailyJournal[[#This Row],[رقم العملية]],Tabledaily[رقم العملية],0))</f>
        <v>الأركان جمال مسدوس</v>
      </c>
    </row>
    <row r="142" spans="2:28" ht="45.75" x14ac:dyDescent="0.55000000000000004">
      <c r="B142" s="58">
        <f t="shared" si="3"/>
        <v>138</v>
      </c>
      <c r="C142" s="59" t="s">
        <v>503</v>
      </c>
      <c r="D142" s="60">
        <f>INDEX(Tabledaily[date],MATCH(TableDailyJournal[[#This Row],[رقم العملية]],Tabledaily[رقم العملية],0))</f>
        <v>46177</v>
      </c>
      <c r="E142" s="58" t="str">
        <f>INDEX(Tabledaily[نوع العمليــة],MATCH(TableDailyJournal[[#This Row],[رقم العملية]],Tabledaily[رقم العملية],0))</f>
        <v>قيد عهده</v>
      </c>
      <c r="F142" s="58">
        <f>IFERROR(INDEX(TableJudje[رقم الحساب],MATCH(TableDailyJournal[[#This Row],[الحساب]],TableJudje[اسم الحساب],0)),0)</f>
        <v>31010103</v>
      </c>
      <c r="G142" s="58" t="s">
        <v>112</v>
      </c>
      <c r="H142" s="61" t="str">
        <f>INDEX(Tabledaily[المرجع البياني],MATCH(TableDailyJournal[[#This Row],[رقم العملية]],Tabledaily[رقم العملية],0))</f>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v>
      </c>
      <c r="I142" s="60" t="str">
        <f>INDEX(Tabledaily[العملـــة],MATCH(TableDailyJournal[[#This Row],[رقم العملية]],Tabledaily[رقم العملية],0))</f>
        <v>ريال يمني</v>
      </c>
      <c r="J142" s="59">
        <f>IFERROR(INDEX(Tabledaily[سعــــــر
الصـــــرف],MATCH(C142,Tabledaily[رقم العملية],0)),1)</f>
        <v>405</v>
      </c>
      <c r="K142" s="123" cm="1">
        <f t="array" ref="K142">IFERROR(INDEX(Tabledaily[المبلـــــــغ],MATCH(1,(TableDailyJournal[[#This Row],[رقم العملية]]=Tabledaily[رقم العملية])*(TableDailyJournal[[#This Row],[الحساب]]=Tabledaily[الحســاب المديــــن]),0)),0)</f>
        <v>250000</v>
      </c>
      <c r="L142" s="123" cm="1">
        <f t="array" ref="L142">IFERROR(INDEX(Tabledaily[المبلـــــــغ],MATCH(1,(TableDailyJournal[[#This Row],[رقم العملية]]=Tabledaily[رقم العملية])*(TableDailyJournal[[#This Row],[الحساب]]=Tabledaily[الحســاب الدئـــن]),0)),0)</f>
        <v>0</v>
      </c>
      <c r="M142" s="119">
        <f>IFERROR(TableDailyJournal[[#This Row],[المبلغ مدين]]/TableDailyJournal[[#This Row],[سعــــــر
الصـــــرف]],0)</f>
        <v>617.28395061728395</v>
      </c>
      <c r="N142" s="119">
        <f>IFERROR(TableDailyJournal[[#This Row],[المبلغ دائن]]/TableDailyJournal[[#This Row],[سعــــــر
الصـــــرف]],0)</f>
        <v>0</v>
      </c>
      <c r="O142" s="121" t="str">
        <f>INDEX(Tabledaily[المستفيــــــــد],MATCH(TableDailyJournal[[#This Row],[رقم العملية]],Tabledaily[رقم العملية],0))</f>
        <v xml:space="preserve">محمد ياسين سعيد </v>
      </c>
      <c r="P142" s="121" t="str">
        <f>INDEX(Tabledaily[المــــرجـــــــــع],MATCH(TableDailyJournal[[#This Row],[رقم العملية]],Tabledaily[رقم العملية],0))</f>
        <v>استلام نقدي</v>
      </c>
      <c r="Q142" s="121" t="str">
        <f>INDEX(Tabledaily[اســـــــم المــــرجــــع],MATCH(TableDailyJournal[[#This Row],[رقم العملية]],Tabledaily[رقم العملية],0))</f>
        <v>سند استلام</v>
      </c>
      <c r="R142" s="121">
        <f>INDEX(Tabledaily[رقم المـــــرجـــع],MATCH(TableDailyJournal[[#This Row],[رقم العملية]],Tabledaily[رقم العملية],0))</f>
        <v>0</v>
      </c>
      <c r="S142" s="121" t="str">
        <f>INDEX(Tabledaily[مركـــــــزالتكلفــــــة],MATCH(TableDailyJournal[[#This Row],[رقم العملية]],Tabledaily[رقم العملية],0))</f>
        <v>الفرقة الثالثة</v>
      </c>
      <c r="T142" s="121">
        <f>IFERROR(INDEX(tablecost[رقم المركز],MATCH(TableDailyJournal[[#This Row],[مركـــــــزالتكلفــــــة]],tablecost[الاسم],0)),0)</f>
        <v>1</v>
      </c>
      <c r="U142" s="122">
        <f>IFERROR(DATE(TableDailyJournal[[#This Row],[السنــــة]],TableDailyJournal[[#This Row],[الشهــــر]],TableDailyJournal[[#This Row],[الـــــيوم]]),"01-01-2026")</f>
        <v>46177</v>
      </c>
      <c r="V142" s="126"/>
      <c r="W142" s="58"/>
      <c r="X142" s="58">
        <f>IFERROR(YEAR(TableDailyJournal[[#This Row],[التاريخ]]),"")</f>
        <v>2026</v>
      </c>
      <c r="Y142" s="58">
        <f>IFERROR(MONTH(TableDailyJournal[[#This Row],[التاريخ]]),"")</f>
        <v>6</v>
      </c>
      <c r="Z142" s="58">
        <f>IFERROR(DAY(TableDailyJournal[[#This Row],[التاريخ]]),"")</f>
        <v>4</v>
      </c>
      <c r="AA142" s="126" t="str">
        <f>INDEX(Tabledaily[المرجع البياني],MATCH(TableDailyJournal[[#This Row],[رقم العملية]],Tabledaily[رقم العملية],0))</f>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v>
      </c>
      <c r="AB142" s="121" t="str">
        <f>INDEX(Tabledaily[جهة الامر],MATCH(TableDailyJournal[[#This Row],[رقم العملية]],Tabledaily[رقم العملية],0))</f>
        <v>الأركان جمال مسدوس</v>
      </c>
    </row>
    <row r="143" spans="2:28" ht="45.75" x14ac:dyDescent="0.55000000000000004">
      <c r="B143" s="58">
        <f t="shared" si="3"/>
        <v>139</v>
      </c>
      <c r="C143" s="59" t="s">
        <v>503</v>
      </c>
      <c r="D143" s="60">
        <f>INDEX(Tabledaily[date],MATCH(TableDailyJournal[[#This Row],[رقم العملية]],Tabledaily[رقم العملية],0))</f>
        <v>46177</v>
      </c>
      <c r="E143" s="58" t="str">
        <f>INDEX(Tabledaily[نوع العمليــة],MATCH(TableDailyJournal[[#This Row],[رقم العملية]],Tabledaily[رقم العملية],0))</f>
        <v>قيد عهده</v>
      </c>
      <c r="F143" s="58">
        <f>IFERROR(INDEX(TableJudje[رقم الحساب],MATCH(TableDailyJournal[[#This Row],[الحساب]],TableJudje[اسم الحساب],0)),0)</f>
        <v>11060202</v>
      </c>
      <c r="G143" s="58" t="s">
        <v>159</v>
      </c>
      <c r="H143" s="61" t="str">
        <f>INDEX(Tabledaily[المرجع البياني],MATCH(TableDailyJournal[[#This Row],[رقم العملية]],Tabledaily[رقم العملية],0))</f>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v>
      </c>
      <c r="I143" s="60" t="str">
        <f>INDEX(Tabledaily[العملـــة],MATCH(TableDailyJournal[[#This Row],[رقم العملية]],Tabledaily[رقم العملية],0))</f>
        <v>ريال يمني</v>
      </c>
      <c r="J143" s="59">
        <f>IFERROR(INDEX(Tabledaily[سعــــــر
الصـــــرف],MATCH(C143,Tabledaily[رقم العملية],0)),1)</f>
        <v>405</v>
      </c>
      <c r="K143" s="123" cm="1">
        <f t="array" ref="K143">IFERROR(INDEX(Tabledaily[المبلـــــــغ],MATCH(1,(TableDailyJournal[[#This Row],[رقم العملية]]=Tabledaily[رقم العملية])*(TableDailyJournal[[#This Row],[الحساب]]=Tabledaily[الحســاب المديــــن]),0)),0)</f>
        <v>0</v>
      </c>
      <c r="L143" s="123" cm="1">
        <f t="array" ref="L143">IFERROR(INDEX(Tabledaily[المبلـــــــغ],MATCH(1,(TableDailyJournal[[#This Row],[رقم العملية]]=Tabledaily[رقم العملية])*(TableDailyJournal[[#This Row],[الحساب]]=Tabledaily[الحســاب الدئـــن]),0)),0)</f>
        <v>250000</v>
      </c>
      <c r="M143" s="119">
        <f>IFERROR(TableDailyJournal[[#This Row],[المبلغ مدين]]/TableDailyJournal[[#This Row],[سعــــــر
الصـــــرف]],0)</f>
        <v>0</v>
      </c>
      <c r="N143" s="119">
        <f>IFERROR(TableDailyJournal[[#This Row],[المبلغ دائن]]/TableDailyJournal[[#This Row],[سعــــــر
الصـــــرف]],0)</f>
        <v>617.28395061728395</v>
      </c>
      <c r="O143" s="121" t="str">
        <f>INDEX(Tabledaily[المستفيــــــــد],MATCH(TableDailyJournal[[#This Row],[رقم العملية]],Tabledaily[رقم العملية],0))</f>
        <v xml:space="preserve">محمد ياسين سعيد </v>
      </c>
      <c r="P143" s="121" t="str">
        <f>INDEX(Tabledaily[المــــرجـــــــــع],MATCH(TableDailyJournal[[#This Row],[رقم العملية]],Tabledaily[رقم العملية],0))</f>
        <v>استلام نقدي</v>
      </c>
      <c r="Q143" s="121" t="str">
        <f>INDEX(Tabledaily[اســـــــم المــــرجــــع],MATCH(TableDailyJournal[[#This Row],[رقم العملية]],Tabledaily[رقم العملية],0))</f>
        <v>سند استلام</v>
      </c>
      <c r="R143" s="121">
        <f>INDEX(Tabledaily[رقم المـــــرجـــع],MATCH(TableDailyJournal[[#This Row],[رقم العملية]],Tabledaily[رقم العملية],0))</f>
        <v>0</v>
      </c>
      <c r="S143" s="121" t="str">
        <f>INDEX(Tabledaily[مركـــــــزالتكلفــــــة],MATCH(TableDailyJournal[[#This Row],[رقم العملية]],Tabledaily[رقم العملية],0))</f>
        <v>الفرقة الثالثة</v>
      </c>
      <c r="T143" s="121">
        <f>IFERROR(INDEX(tablecost[رقم المركز],MATCH(TableDailyJournal[[#This Row],[مركـــــــزالتكلفــــــة]],tablecost[الاسم],0)),0)</f>
        <v>1</v>
      </c>
      <c r="U143" s="122">
        <f>IFERROR(DATE(TableDailyJournal[[#This Row],[السنــــة]],TableDailyJournal[[#This Row],[الشهــــر]],TableDailyJournal[[#This Row],[الـــــيوم]]),"01-01-2026")</f>
        <v>46177</v>
      </c>
      <c r="V143" s="126"/>
      <c r="W143" s="58"/>
      <c r="X143" s="58">
        <f>IFERROR(YEAR(TableDailyJournal[[#This Row],[التاريخ]]),"")</f>
        <v>2026</v>
      </c>
      <c r="Y143" s="58">
        <f>IFERROR(MONTH(TableDailyJournal[[#This Row],[التاريخ]]),"")</f>
        <v>6</v>
      </c>
      <c r="Z143" s="58">
        <f>IFERROR(DAY(TableDailyJournal[[#This Row],[التاريخ]]),"")</f>
        <v>4</v>
      </c>
      <c r="AA143" s="126" t="str">
        <f>INDEX(Tabledaily[المرجع البياني],MATCH(TableDailyJournal[[#This Row],[رقم العملية]],Tabledaily[رقم العملية],0))</f>
        <v>قيـد مقابـل:- (مصاريف طبية وعلاجات  - محمد ياسين سعيد  - الفرقة الثالثة)  - استلام نقدي رقم   سند استلام - حوالة لرئيس الشعبه الطبية مصاريف سفر بامرالأركان جمال مسدوس</v>
      </c>
      <c r="AB143" s="121" t="str">
        <f>INDEX(Tabledaily[جهة الامر],MATCH(TableDailyJournal[[#This Row],[رقم العملية]],Tabledaily[رقم العملية],0))</f>
        <v>الأركان جمال مسدوس</v>
      </c>
    </row>
    <row r="144" spans="2:28" ht="45.75" x14ac:dyDescent="0.55000000000000004">
      <c r="B144" s="58">
        <f t="shared" si="3"/>
        <v>140</v>
      </c>
      <c r="C144" s="59" t="s">
        <v>506</v>
      </c>
      <c r="D144" s="60">
        <f>INDEX(Tabledaily[date],MATCH(TableDailyJournal[[#This Row],[رقم العملية]],Tabledaily[رقم العملية],0))</f>
        <v>46177</v>
      </c>
      <c r="E144" s="58" t="str">
        <f>INDEX(Tabledaily[نوع العمليــة],MATCH(TableDailyJournal[[#This Row],[رقم العملية]],Tabledaily[رقم العملية],0))</f>
        <v>قيد عهده</v>
      </c>
      <c r="F144" s="58">
        <f>IFERROR(INDEX(TableJudje[رقم الحساب],MATCH(TableDailyJournal[[#This Row],[الحساب]],TableJudje[اسم الحساب],0)),0)</f>
        <v>31010122</v>
      </c>
      <c r="G144" s="58" t="s">
        <v>487</v>
      </c>
      <c r="H144" s="61" t="str">
        <f>INDEX(Tabledaily[المرجع البياني],MATCH(TableDailyJournal[[#This Row],[رقم العملية]],Tabledaily[رقم العملية],0))</f>
        <v>قيـد مقابـل:- (مصاريف سفر وتنقلات  - افراد اللواء السادس - اللواء السادس)  - استلام نقدي رقم   سند استلام - مصاريف سفر 5 افراد  اللواء السادس بامرالأركان جمال مسدوس</v>
      </c>
      <c r="I144" s="60" t="str">
        <f>INDEX(Tabledaily[العملـــة],MATCH(TableDailyJournal[[#This Row],[رقم العملية]],Tabledaily[رقم العملية],0))</f>
        <v>ريال يمني</v>
      </c>
      <c r="J144" s="59">
        <f>IFERROR(INDEX(Tabledaily[سعــــــر
الصـــــرف],MATCH(C144,Tabledaily[رقم العملية],0)),1)</f>
        <v>405</v>
      </c>
      <c r="K144" s="123" cm="1">
        <f t="array" ref="K144">IFERROR(INDEX(Tabledaily[المبلـــــــغ],MATCH(1,(TableDailyJournal[[#This Row],[رقم العملية]]=Tabledaily[رقم العملية])*(TableDailyJournal[[#This Row],[الحساب]]=Tabledaily[الحســاب المديــــن]),0)),0)</f>
        <v>340000</v>
      </c>
      <c r="L144" s="123" cm="1">
        <f t="array" ref="L144">IFERROR(INDEX(Tabledaily[المبلـــــــغ],MATCH(1,(TableDailyJournal[[#This Row],[رقم العملية]]=Tabledaily[رقم العملية])*(TableDailyJournal[[#This Row],[الحساب]]=Tabledaily[الحســاب الدئـــن]),0)),0)</f>
        <v>0</v>
      </c>
      <c r="M144" s="119">
        <f>IFERROR(TableDailyJournal[[#This Row],[المبلغ مدين]]/TableDailyJournal[[#This Row],[سعــــــر
الصـــــرف]],0)</f>
        <v>839.50617283950612</v>
      </c>
      <c r="N144" s="119">
        <f>IFERROR(TableDailyJournal[[#This Row],[المبلغ دائن]]/TableDailyJournal[[#This Row],[سعــــــر
الصـــــرف]],0)</f>
        <v>0</v>
      </c>
      <c r="O144" s="121" t="str">
        <f>INDEX(Tabledaily[المستفيــــــــد],MATCH(TableDailyJournal[[#This Row],[رقم العملية]],Tabledaily[رقم العملية],0))</f>
        <v>افراد اللواء السادس</v>
      </c>
      <c r="P144" s="121" t="str">
        <f>INDEX(Tabledaily[المــــرجـــــــــع],MATCH(TableDailyJournal[[#This Row],[رقم العملية]],Tabledaily[رقم العملية],0))</f>
        <v>استلام نقدي</v>
      </c>
      <c r="Q144" s="121" t="str">
        <f>INDEX(Tabledaily[اســـــــم المــــرجــــع],MATCH(TableDailyJournal[[#This Row],[رقم العملية]],Tabledaily[رقم العملية],0))</f>
        <v>سند استلام</v>
      </c>
      <c r="R144" s="121">
        <f>INDEX(Tabledaily[رقم المـــــرجـــع],MATCH(TableDailyJournal[[#This Row],[رقم العملية]],Tabledaily[رقم العملية],0))</f>
        <v>0</v>
      </c>
      <c r="S144" s="121" t="str">
        <f>INDEX(Tabledaily[مركـــــــزالتكلفــــــة],MATCH(TableDailyJournal[[#This Row],[رقم العملية]],Tabledaily[رقم العملية],0))</f>
        <v>اللواء السادس</v>
      </c>
      <c r="T144" s="121">
        <f>IFERROR(INDEX(tablecost[رقم المركز],MATCH(TableDailyJournal[[#This Row],[مركـــــــزالتكلفــــــة]],tablecost[الاسم],0)),0)</f>
        <v>7</v>
      </c>
      <c r="U144" s="122">
        <f>IFERROR(DATE(TableDailyJournal[[#This Row],[السنــــة]],TableDailyJournal[[#This Row],[الشهــــر]],TableDailyJournal[[#This Row],[الـــــيوم]]),"01-01-2026")</f>
        <v>46177</v>
      </c>
      <c r="V144" s="126"/>
      <c r="W144" s="58"/>
      <c r="X144" s="58">
        <f>IFERROR(YEAR(TableDailyJournal[[#This Row],[التاريخ]]),"")</f>
        <v>2026</v>
      </c>
      <c r="Y144" s="58">
        <f>IFERROR(MONTH(TableDailyJournal[[#This Row],[التاريخ]]),"")</f>
        <v>6</v>
      </c>
      <c r="Z144" s="58">
        <f>IFERROR(DAY(TableDailyJournal[[#This Row],[التاريخ]]),"")</f>
        <v>4</v>
      </c>
      <c r="AA144" s="126" t="str">
        <f>INDEX(Tabledaily[المرجع البياني],MATCH(TableDailyJournal[[#This Row],[رقم العملية]],Tabledaily[رقم العملية],0))</f>
        <v>قيـد مقابـل:- (مصاريف سفر وتنقلات  - افراد اللواء السادس - اللواء السادس)  - استلام نقدي رقم   سند استلام - مصاريف سفر 5 افراد  اللواء السادس بامرالأركان جمال مسدوس</v>
      </c>
      <c r="AB144" s="121" t="str">
        <f>INDEX(Tabledaily[جهة الامر],MATCH(TableDailyJournal[[#This Row],[رقم العملية]],Tabledaily[رقم العملية],0))</f>
        <v>الأركان جمال مسدوس</v>
      </c>
    </row>
    <row r="145" spans="2:28" ht="45.75" x14ac:dyDescent="0.55000000000000004">
      <c r="B145" s="58">
        <f t="shared" si="3"/>
        <v>141</v>
      </c>
      <c r="C145" s="59" t="s">
        <v>506</v>
      </c>
      <c r="D145" s="60">
        <f>INDEX(Tabledaily[date],MATCH(TableDailyJournal[[#This Row],[رقم العملية]],Tabledaily[رقم العملية],0))</f>
        <v>46177</v>
      </c>
      <c r="E145" s="58" t="str">
        <f>INDEX(Tabledaily[نوع العمليــة],MATCH(TableDailyJournal[[#This Row],[رقم العملية]],Tabledaily[رقم العملية],0))</f>
        <v>قيد عهده</v>
      </c>
      <c r="F145" s="58">
        <f>IFERROR(INDEX(TableJudje[رقم الحساب],MATCH(TableDailyJournal[[#This Row],[الحساب]],TableJudje[اسم الحساب],0)),0)</f>
        <v>11060202</v>
      </c>
      <c r="G145" s="58" t="s">
        <v>159</v>
      </c>
      <c r="H145" s="61" t="str">
        <f>INDEX(Tabledaily[المرجع البياني],MATCH(TableDailyJournal[[#This Row],[رقم العملية]],Tabledaily[رقم العملية],0))</f>
        <v>قيـد مقابـل:- (مصاريف سفر وتنقلات  - افراد اللواء السادس - اللواء السادس)  - استلام نقدي رقم   سند استلام - مصاريف سفر 5 افراد  اللواء السادس بامرالأركان جمال مسدوس</v>
      </c>
      <c r="I145" s="60" t="str">
        <f>INDEX(Tabledaily[العملـــة],MATCH(TableDailyJournal[[#This Row],[رقم العملية]],Tabledaily[رقم العملية],0))</f>
        <v>ريال يمني</v>
      </c>
      <c r="J145" s="59">
        <f>IFERROR(INDEX(Tabledaily[سعــــــر
الصـــــرف],MATCH(C145,Tabledaily[رقم العملية],0)),1)</f>
        <v>405</v>
      </c>
      <c r="K145" s="123" cm="1">
        <f t="array" ref="K145">IFERROR(INDEX(Tabledaily[المبلـــــــغ],MATCH(1,(TableDailyJournal[[#This Row],[رقم العملية]]=Tabledaily[رقم العملية])*(TableDailyJournal[[#This Row],[الحساب]]=Tabledaily[الحســاب المديــــن]),0)),0)</f>
        <v>0</v>
      </c>
      <c r="L145" s="123" cm="1">
        <f t="array" ref="L145">IFERROR(INDEX(Tabledaily[المبلـــــــغ],MATCH(1,(TableDailyJournal[[#This Row],[رقم العملية]]=Tabledaily[رقم العملية])*(TableDailyJournal[[#This Row],[الحساب]]=Tabledaily[الحســاب الدئـــن]),0)),0)</f>
        <v>340000</v>
      </c>
      <c r="M145" s="119">
        <f>IFERROR(TableDailyJournal[[#This Row],[المبلغ مدين]]/TableDailyJournal[[#This Row],[سعــــــر
الصـــــرف]],0)</f>
        <v>0</v>
      </c>
      <c r="N145" s="119">
        <f>IFERROR(TableDailyJournal[[#This Row],[المبلغ دائن]]/TableDailyJournal[[#This Row],[سعــــــر
الصـــــرف]],0)</f>
        <v>839.50617283950612</v>
      </c>
      <c r="O145" s="121" t="str">
        <f>INDEX(Tabledaily[المستفيــــــــد],MATCH(TableDailyJournal[[#This Row],[رقم العملية]],Tabledaily[رقم العملية],0))</f>
        <v>افراد اللواء السادس</v>
      </c>
      <c r="P145" s="121" t="str">
        <f>INDEX(Tabledaily[المــــرجـــــــــع],MATCH(TableDailyJournal[[#This Row],[رقم العملية]],Tabledaily[رقم العملية],0))</f>
        <v>استلام نقدي</v>
      </c>
      <c r="Q145" s="121" t="str">
        <f>INDEX(Tabledaily[اســـــــم المــــرجــــع],MATCH(TableDailyJournal[[#This Row],[رقم العملية]],Tabledaily[رقم العملية],0))</f>
        <v>سند استلام</v>
      </c>
      <c r="R145" s="121">
        <f>INDEX(Tabledaily[رقم المـــــرجـــع],MATCH(TableDailyJournal[[#This Row],[رقم العملية]],Tabledaily[رقم العملية],0))</f>
        <v>0</v>
      </c>
      <c r="S145" s="121" t="str">
        <f>INDEX(Tabledaily[مركـــــــزالتكلفــــــة],MATCH(TableDailyJournal[[#This Row],[رقم العملية]],Tabledaily[رقم العملية],0))</f>
        <v>اللواء السادس</v>
      </c>
      <c r="T145" s="121">
        <f>IFERROR(INDEX(tablecost[رقم المركز],MATCH(TableDailyJournal[[#This Row],[مركـــــــزالتكلفــــــة]],tablecost[الاسم],0)),0)</f>
        <v>7</v>
      </c>
      <c r="U145" s="122">
        <f>IFERROR(DATE(TableDailyJournal[[#This Row],[السنــــة]],TableDailyJournal[[#This Row],[الشهــــر]],TableDailyJournal[[#This Row],[الـــــيوم]]),"01-01-2026")</f>
        <v>46177</v>
      </c>
      <c r="V145" s="126"/>
      <c r="W145" s="58"/>
      <c r="X145" s="58">
        <f>IFERROR(YEAR(TableDailyJournal[[#This Row],[التاريخ]]),"")</f>
        <v>2026</v>
      </c>
      <c r="Y145" s="58">
        <f>IFERROR(MONTH(TableDailyJournal[[#This Row],[التاريخ]]),"")</f>
        <v>6</v>
      </c>
      <c r="Z145" s="58">
        <f>IFERROR(DAY(TableDailyJournal[[#This Row],[التاريخ]]),"")</f>
        <v>4</v>
      </c>
      <c r="AA145" s="126" t="str">
        <f>INDEX(Tabledaily[المرجع البياني],MATCH(TableDailyJournal[[#This Row],[رقم العملية]],Tabledaily[رقم العملية],0))</f>
        <v>قيـد مقابـل:- (مصاريف سفر وتنقلات  - افراد اللواء السادس - اللواء السادس)  - استلام نقدي رقم   سند استلام - مصاريف سفر 5 افراد  اللواء السادس بامرالأركان جمال مسدوس</v>
      </c>
      <c r="AB145" s="121" t="str">
        <f>INDEX(Tabledaily[جهة الامر],MATCH(TableDailyJournal[[#This Row],[رقم العملية]],Tabledaily[رقم العملية],0))</f>
        <v>الأركان جمال مسدوس</v>
      </c>
    </row>
    <row r="146" spans="2:28" ht="45.75" x14ac:dyDescent="0.55000000000000004">
      <c r="B146" s="58">
        <f t="shared" ref="B146:B181" si="4">ROW()-4</f>
        <v>142</v>
      </c>
      <c r="C146" s="59" t="s">
        <v>514</v>
      </c>
      <c r="D146" s="60">
        <f>INDEX(Tabledaily[date],MATCH(TableDailyJournal[[#This Row],[رقم العملية]],Tabledaily[رقم العملية],0))</f>
        <v>46180</v>
      </c>
      <c r="E146" s="58" t="str">
        <f>INDEX(Tabledaily[نوع العمليــة],MATCH(TableDailyJournal[[#This Row],[رقم العملية]],Tabledaily[رقم العملية],0))</f>
        <v>قبض عهدة</v>
      </c>
      <c r="F146" s="58">
        <f>IFERROR(INDEX(TableJudje[رقم الحساب],MATCH(TableDailyJournal[[#This Row],[الحساب]],TableJudje[اسم الحساب],0)),0)</f>
        <v>11060205</v>
      </c>
      <c r="G146" s="58" t="s">
        <v>513</v>
      </c>
      <c r="H146" s="61"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عهدة عبد المغني بامر</v>
      </c>
      <c r="I146" s="60" t="str">
        <f>INDEX(Tabledaily[العملـــة],MATCH(TableDailyJournal[[#This Row],[رقم العملية]],Tabledaily[رقم العملية],0))</f>
        <v>ريال يمني</v>
      </c>
      <c r="J146" s="59">
        <f>IFERROR(INDEX(Tabledaily[سعــــــر
الصـــــرف],MATCH(C146,Tabledaily[رقم العملية],0)),1)</f>
        <v>405</v>
      </c>
      <c r="K146" s="123" cm="1">
        <f t="array" ref="K146">IFERROR(INDEX(Tabledaily[المبلـــــــغ],MATCH(1,(TableDailyJournal[[#This Row],[رقم العملية]]=Tabledaily[رقم العملية])*(TableDailyJournal[[#This Row],[الحساب]]=Tabledaily[الحســاب المديــــن]),0)),0)</f>
        <v>1006500</v>
      </c>
      <c r="L146" s="123" cm="1">
        <f t="array" ref="L146">IFERROR(INDEX(Tabledaily[المبلـــــــغ],MATCH(1,(TableDailyJournal[[#This Row],[رقم العملية]]=Tabledaily[رقم العملية])*(TableDailyJournal[[#This Row],[الحساب]]=Tabledaily[الحســاب الدئـــن]),0)),0)</f>
        <v>0</v>
      </c>
      <c r="M146" s="119">
        <f>IFERROR(TableDailyJournal[[#This Row],[المبلغ مدين]]/TableDailyJournal[[#This Row],[سعــــــر
الصـــــرف]],0)</f>
        <v>2485.1851851851852</v>
      </c>
      <c r="N146" s="119">
        <f>IFERROR(TableDailyJournal[[#This Row],[المبلغ دائن]]/TableDailyJournal[[#This Row],[سعــــــر
الصـــــرف]],0)</f>
        <v>0</v>
      </c>
      <c r="O146" s="121" t="str">
        <f>INDEX(Tabledaily[المستفيــــــــد],MATCH(TableDailyJournal[[#This Row],[رقم العملية]],Tabledaily[رقم العملية],0))</f>
        <v>عبدالحفيظ</v>
      </c>
      <c r="P146" s="121" t="str">
        <f>INDEX(Tabledaily[المــــرجـــــــــع],MATCH(TableDailyJournal[[#This Row],[رقم العملية]],Tabledaily[رقم العملية],0))</f>
        <v>استلام نقدي</v>
      </c>
      <c r="Q146" s="121" t="str">
        <f>INDEX(Tabledaily[اســـــــم المــــرجــــع],MATCH(TableDailyJournal[[#This Row],[رقم العملية]],Tabledaily[رقم العملية],0))</f>
        <v>سند استلام</v>
      </c>
      <c r="R146" s="121">
        <f>INDEX(Tabledaily[رقم المـــــرجـــع],MATCH(TableDailyJournal[[#This Row],[رقم العملية]],Tabledaily[رقم العملية],0))</f>
        <v>0</v>
      </c>
      <c r="S146" s="121" t="str">
        <f>INDEX(Tabledaily[مركـــــــزالتكلفــــــة],MATCH(TableDailyJournal[[#This Row],[رقم العملية]],Tabledaily[رقم العملية],0))</f>
        <v>الفرقة الثالثة</v>
      </c>
      <c r="T146" s="121">
        <f>IFERROR(INDEX(tablecost[رقم المركز],MATCH(TableDailyJournal[[#This Row],[مركـــــــزالتكلفــــــة]],tablecost[الاسم],0)),0)</f>
        <v>1</v>
      </c>
      <c r="U146" s="122">
        <f>IFERROR(DATE(TableDailyJournal[[#This Row],[السنــــة]],TableDailyJournal[[#This Row],[الشهــــر]],TableDailyJournal[[#This Row],[الـــــيوم]]),"01-01-2026")</f>
        <v>46180</v>
      </c>
      <c r="V146" s="126"/>
      <c r="W146" s="58"/>
      <c r="X146" s="58">
        <f>IFERROR(YEAR(TableDailyJournal[[#This Row],[التاريخ]]),"")</f>
        <v>2026</v>
      </c>
      <c r="Y146" s="58">
        <f>IFERROR(MONTH(TableDailyJournal[[#This Row],[التاريخ]]),"")</f>
        <v>6</v>
      </c>
      <c r="Z146" s="58">
        <f>IFERROR(DAY(TableDailyJournal[[#This Row],[التاريخ]]),"")</f>
        <v>7</v>
      </c>
      <c r="AA146" s="126"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عهدة عبد المغني بامر</v>
      </c>
      <c r="AB146" s="121">
        <f>INDEX(Tabledaily[جهة الامر],MATCH(TableDailyJournal[[#This Row],[رقم العملية]],Tabledaily[رقم العملية],0))</f>
        <v>0</v>
      </c>
    </row>
    <row r="147" spans="2:28" ht="45.75" x14ac:dyDescent="0.55000000000000004">
      <c r="B147" s="58">
        <f t="shared" si="4"/>
        <v>143</v>
      </c>
      <c r="C147" s="59" t="s">
        <v>514</v>
      </c>
      <c r="D147" s="60">
        <f>INDEX(Tabledaily[date],MATCH(TableDailyJournal[[#This Row],[رقم العملية]],Tabledaily[رقم العملية],0))</f>
        <v>46180</v>
      </c>
      <c r="E147" s="58" t="str">
        <f>INDEX(Tabledaily[نوع العمليــة],MATCH(TableDailyJournal[[#This Row],[رقم العملية]],Tabledaily[رقم العملية],0))</f>
        <v>قبض عهدة</v>
      </c>
      <c r="F147" s="58">
        <f>IFERROR(INDEX(TableJudje[رقم الحساب],MATCH(TableDailyJournal[[#This Row],[الحساب]],TableJudje[اسم الحساب],0)),0)</f>
        <v>11060202</v>
      </c>
      <c r="G147" s="58" t="s">
        <v>159</v>
      </c>
      <c r="H147" s="61"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عهدة عبد المغني بامر</v>
      </c>
      <c r="I147" s="60" t="str">
        <f>INDEX(Tabledaily[العملـــة],MATCH(TableDailyJournal[[#This Row],[رقم العملية]],Tabledaily[رقم العملية],0))</f>
        <v>ريال يمني</v>
      </c>
      <c r="J147" s="59">
        <f>IFERROR(INDEX(Tabledaily[سعــــــر
الصـــــرف],MATCH(C147,Tabledaily[رقم العملية],0)),1)</f>
        <v>405</v>
      </c>
      <c r="K147" s="123" cm="1">
        <f t="array" ref="K147">IFERROR(INDEX(Tabledaily[المبلـــــــغ],MATCH(1,(TableDailyJournal[[#This Row],[رقم العملية]]=Tabledaily[رقم العملية])*(TableDailyJournal[[#This Row],[الحساب]]=Tabledaily[الحســاب المديــــن]),0)),0)</f>
        <v>0</v>
      </c>
      <c r="L147" s="123" cm="1">
        <f t="array" ref="L147">IFERROR(INDEX(Tabledaily[المبلـــــــغ],MATCH(1,(TableDailyJournal[[#This Row],[رقم العملية]]=Tabledaily[رقم العملية])*(TableDailyJournal[[#This Row],[الحساب]]=Tabledaily[الحســاب الدئـــن]),0)),0)</f>
        <v>1006500</v>
      </c>
      <c r="M147" s="119">
        <f>IFERROR(TableDailyJournal[[#This Row],[المبلغ مدين]]/TableDailyJournal[[#This Row],[سعــــــر
الصـــــرف]],0)</f>
        <v>0</v>
      </c>
      <c r="N147" s="119">
        <f>IFERROR(TableDailyJournal[[#This Row],[المبلغ دائن]]/TableDailyJournal[[#This Row],[سعــــــر
الصـــــرف]],0)</f>
        <v>2485.1851851851852</v>
      </c>
      <c r="O147" s="121" t="str">
        <f>INDEX(Tabledaily[المستفيــــــــد],MATCH(TableDailyJournal[[#This Row],[رقم العملية]],Tabledaily[رقم العملية],0))</f>
        <v>عبدالحفيظ</v>
      </c>
      <c r="P147" s="121" t="str">
        <f>INDEX(Tabledaily[المــــرجـــــــــع],MATCH(TableDailyJournal[[#This Row],[رقم العملية]],Tabledaily[رقم العملية],0))</f>
        <v>استلام نقدي</v>
      </c>
      <c r="Q147" s="121" t="str">
        <f>INDEX(Tabledaily[اســـــــم المــــرجــــع],MATCH(TableDailyJournal[[#This Row],[رقم العملية]],Tabledaily[رقم العملية],0))</f>
        <v>سند استلام</v>
      </c>
      <c r="R147" s="121">
        <f>INDEX(Tabledaily[رقم المـــــرجـــع],MATCH(TableDailyJournal[[#This Row],[رقم العملية]],Tabledaily[رقم العملية],0))</f>
        <v>0</v>
      </c>
      <c r="S147" s="121" t="str">
        <f>INDEX(Tabledaily[مركـــــــزالتكلفــــــة],MATCH(TableDailyJournal[[#This Row],[رقم العملية]],Tabledaily[رقم العملية],0))</f>
        <v>الفرقة الثالثة</v>
      </c>
      <c r="T147" s="121">
        <f>IFERROR(INDEX(tablecost[رقم المركز],MATCH(TableDailyJournal[[#This Row],[مركـــــــزالتكلفــــــة]],tablecost[الاسم],0)),0)</f>
        <v>1</v>
      </c>
      <c r="U147" s="122">
        <f>IFERROR(DATE(TableDailyJournal[[#This Row],[السنــــة]],TableDailyJournal[[#This Row],[الشهــــر]],TableDailyJournal[[#This Row],[الـــــيوم]]),"01-01-2026")</f>
        <v>46180</v>
      </c>
      <c r="V147" s="126"/>
      <c r="W147" s="58"/>
      <c r="X147" s="58">
        <f>IFERROR(YEAR(TableDailyJournal[[#This Row],[التاريخ]]),"")</f>
        <v>2026</v>
      </c>
      <c r="Y147" s="58">
        <f>IFERROR(MONTH(TableDailyJournal[[#This Row],[التاريخ]]),"")</f>
        <v>6</v>
      </c>
      <c r="Z147" s="58">
        <f>IFERROR(DAY(TableDailyJournal[[#This Row],[التاريخ]]),"")</f>
        <v>7</v>
      </c>
      <c r="AA147" s="126"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عهدة عبد المغني بامر</v>
      </c>
      <c r="AB147" s="121">
        <f>INDEX(Tabledaily[جهة الامر],MATCH(TableDailyJournal[[#This Row],[رقم العملية]],Tabledaily[رقم العملية],0))</f>
        <v>0</v>
      </c>
    </row>
    <row r="148" spans="2:28" ht="45.75" x14ac:dyDescent="0.55000000000000004">
      <c r="B148" s="58">
        <f t="shared" si="4"/>
        <v>144</v>
      </c>
      <c r="C148" s="59" t="s">
        <v>518</v>
      </c>
      <c r="D148" s="60">
        <f>INDEX(Tabledaily[date],MATCH(TableDailyJournal[[#This Row],[رقم العملية]],Tabledaily[رقم العملية],0))</f>
        <v>46180</v>
      </c>
      <c r="E148" s="58" t="str">
        <f>INDEX(Tabledaily[نوع العمليــة],MATCH(TableDailyJournal[[#This Row],[رقم العملية]],Tabledaily[رقم العملية],0))</f>
        <v>قيد عهده</v>
      </c>
      <c r="F148" s="58">
        <f>IFERROR(INDEX(TableJudje[رقم الحساب],MATCH(TableDailyJournal[[#This Row],[الحساب]],TableJudje[اسم الحساب],0)),0)</f>
        <v>31010101</v>
      </c>
      <c r="G148" s="58" t="s">
        <v>111</v>
      </c>
      <c r="H148"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I148" s="60" t="str">
        <f>INDEX(Tabledaily[العملـــة],MATCH(TableDailyJournal[[#This Row],[رقم العملية]],Tabledaily[رقم العملية],0))</f>
        <v>ريال يمني</v>
      </c>
      <c r="J148" s="59">
        <f>IFERROR(INDEX(Tabledaily[سعــــــر
الصـــــرف],MATCH(C148,Tabledaily[رقم العملية],0)),1)</f>
        <v>405</v>
      </c>
      <c r="K148" s="123" cm="1">
        <f t="array" ref="K148">IFERROR(INDEX(Tabledaily[المبلـــــــغ],MATCH(1,(TableDailyJournal[[#This Row],[رقم العملية]]=Tabledaily[رقم العملية])*(TableDailyJournal[[#This Row],[الحساب]]=Tabledaily[الحســاب المديــــن]),0)),0)</f>
        <v>43000</v>
      </c>
      <c r="L148" s="123" cm="1">
        <f t="array" ref="L148">IFERROR(INDEX(Tabledaily[المبلـــــــغ],MATCH(1,(TableDailyJournal[[#This Row],[رقم العملية]]=Tabledaily[رقم العملية])*(TableDailyJournal[[#This Row],[الحساب]]=Tabledaily[الحســاب الدئـــن]),0)),0)</f>
        <v>0</v>
      </c>
      <c r="M148" s="119">
        <f>IFERROR(TableDailyJournal[[#This Row],[المبلغ مدين]]/TableDailyJournal[[#This Row],[سعــــــر
الصـــــرف]],0)</f>
        <v>106.17283950617283</v>
      </c>
      <c r="N148" s="119">
        <f>IFERROR(TableDailyJournal[[#This Row],[المبلغ دائن]]/TableDailyJournal[[#This Row],[سعــــــر
الصـــــرف]],0)</f>
        <v>0</v>
      </c>
      <c r="O148" s="121" t="str">
        <f>INDEX(Tabledaily[المستفيــــــــد],MATCH(TableDailyJournal[[#This Row],[رقم العملية]],Tabledaily[رقم العملية],0))</f>
        <v>السيطرة والاتصالات</v>
      </c>
      <c r="P148" s="121" t="str">
        <f>INDEX(Tabledaily[المــــرجـــــــــع],MATCH(TableDailyJournal[[#This Row],[رقم العملية]],Tabledaily[رقم العملية],0))</f>
        <v>كشف صرف</v>
      </c>
      <c r="Q148" s="121" t="str">
        <f>INDEX(Tabledaily[اســـــــم المــــرجــــع],MATCH(TableDailyJournal[[#This Row],[رقم العملية]],Tabledaily[رقم العملية],0))</f>
        <v>كشف صرف</v>
      </c>
      <c r="R148" s="121">
        <f>INDEX(Tabledaily[رقم المـــــرجـــع],MATCH(TableDailyJournal[[#This Row],[رقم العملية]],Tabledaily[رقم العملية],0))</f>
        <v>0</v>
      </c>
      <c r="S148" s="121" t="str">
        <f>INDEX(Tabledaily[مركـــــــزالتكلفــــــة],MATCH(TableDailyJournal[[#This Row],[رقم العملية]],Tabledaily[رقم العملية],0))</f>
        <v>الفرقة الثالثة</v>
      </c>
      <c r="T148" s="121">
        <f>IFERROR(INDEX(tablecost[رقم المركز],MATCH(TableDailyJournal[[#This Row],[مركـــــــزالتكلفــــــة]],tablecost[الاسم],0)),0)</f>
        <v>1</v>
      </c>
      <c r="U148" s="122">
        <f>IFERROR(DATE(TableDailyJournal[[#This Row],[السنــــة]],TableDailyJournal[[#This Row],[الشهــــر]],TableDailyJournal[[#This Row],[الـــــيوم]]),"01-01-2026")</f>
        <v>46180</v>
      </c>
      <c r="V148" s="126"/>
      <c r="W148" s="58"/>
      <c r="X148" s="58">
        <f>IFERROR(YEAR(TableDailyJournal[[#This Row],[التاريخ]]),"")</f>
        <v>2026</v>
      </c>
      <c r="Y148" s="58">
        <f>IFERROR(MONTH(TableDailyJournal[[#This Row],[التاريخ]]),"")</f>
        <v>6</v>
      </c>
      <c r="Z148" s="58">
        <f>IFERROR(DAY(TableDailyJournal[[#This Row],[التاريخ]]),"")</f>
        <v>7</v>
      </c>
      <c r="AA148"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AB148" s="121">
        <f>INDEX(Tabledaily[جهة الامر],MATCH(TableDailyJournal[[#This Row],[رقم العملية]],Tabledaily[رقم العملية],0))</f>
        <v>0</v>
      </c>
    </row>
    <row r="149" spans="2:28" ht="45.75" x14ac:dyDescent="0.55000000000000004">
      <c r="B149" s="58">
        <f t="shared" si="4"/>
        <v>145</v>
      </c>
      <c r="C149" s="59" t="s">
        <v>518</v>
      </c>
      <c r="D149" s="60">
        <f>INDEX(Tabledaily[date],MATCH(TableDailyJournal[[#This Row],[رقم العملية]],Tabledaily[رقم العملية],0))</f>
        <v>46180</v>
      </c>
      <c r="E149" s="58" t="str">
        <f>INDEX(Tabledaily[نوع العمليــة],MATCH(TableDailyJournal[[#This Row],[رقم العملية]],Tabledaily[رقم العملية],0))</f>
        <v>قيد عهده</v>
      </c>
      <c r="F149" s="58">
        <f>IFERROR(INDEX(TableJudje[رقم الحساب],MATCH(TableDailyJournal[[#This Row],[الحساب]],TableJudje[اسم الحساب],0)),0)</f>
        <v>11060205</v>
      </c>
      <c r="G149" s="58" t="s">
        <v>513</v>
      </c>
      <c r="H149"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I149" s="60" t="str">
        <f>INDEX(Tabledaily[العملـــة],MATCH(TableDailyJournal[[#This Row],[رقم العملية]],Tabledaily[رقم العملية],0))</f>
        <v>ريال يمني</v>
      </c>
      <c r="J149" s="59">
        <f>IFERROR(INDEX(Tabledaily[سعــــــر
الصـــــرف],MATCH(C149,Tabledaily[رقم العملية],0)),1)</f>
        <v>405</v>
      </c>
      <c r="K149" s="123" cm="1">
        <f t="array" ref="K149">IFERROR(INDEX(Tabledaily[المبلـــــــغ],MATCH(1,(TableDailyJournal[[#This Row],[رقم العملية]]=Tabledaily[رقم العملية])*(TableDailyJournal[[#This Row],[الحساب]]=Tabledaily[الحســاب المديــــن]),0)),0)</f>
        <v>0</v>
      </c>
      <c r="L149" s="123" cm="1">
        <f t="array" ref="L149">IFERROR(INDEX(Tabledaily[المبلـــــــغ],MATCH(1,(TableDailyJournal[[#This Row],[رقم العملية]]=Tabledaily[رقم العملية])*(TableDailyJournal[[#This Row],[الحساب]]=Tabledaily[الحســاب الدئـــن]),0)),0)</f>
        <v>43000</v>
      </c>
      <c r="M149" s="119">
        <f>IFERROR(TableDailyJournal[[#This Row],[المبلغ مدين]]/TableDailyJournal[[#This Row],[سعــــــر
الصـــــرف]],0)</f>
        <v>0</v>
      </c>
      <c r="N149" s="119">
        <f>IFERROR(TableDailyJournal[[#This Row],[المبلغ دائن]]/TableDailyJournal[[#This Row],[سعــــــر
الصـــــرف]],0)</f>
        <v>106.17283950617283</v>
      </c>
      <c r="O149" s="121" t="str">
        <f>INDEX(Tabledaily[المستفيــــــــد],MATCH(TableDailyJournal[[#This Row],[رقم العملية]],Tabledaily[رقم العملية],0))</f>
        <v>السيطرة والاتصالات</v>
      </c>
      <c r="P149" s="121" t="str">
        <f>INDEX(Tabledaily[المــــرجـــــــــع],MATCH(TableDailyJournal[[#This Row],[رقم العملية]],Tabledaily[رقم العملية],0))</f>
        <v>كشف صرف</v>
      </c>
      <c r="Q149" s="121" t="str">
        <f>INDEX(Tabledaily[اســـــــم المــــرجــــع],MATCH(TableDailyJournal[[#This Row],[رقم العملية]],Tabledaily[رقم العملية],0))</f>
        <v>كشف صرف</v>
      </c>
      <c r="R149" s="121">
        <f>INDEX(Tabledaily[رقم المـــــرجـــع],MATCH(TableDailyJournal[[#This Row],[رقم العملية]],Tabledaily[رقم العملية],0))</f>
        <v>0</v>
      </c>
      <c r="S149" s="121" t="str">
        <f>INDEX(Tabledaily[مركـــــــزالتكلفــــــة],MATCH(TableDailyJournal[[#This Row],[رقم العملية]],Tabledaily[رقم العملية],0))</f>
        <v>الفرقة الثالثة</v>
      </c>
      <c r="T149" s="121">
        <f>IFERROR(INDEX(tablecost[رقم المركز],MATCH(TableDailyJournal[[#This Row],[مركـــــــزالتكلفــــــة]],tablecost[الاسم],0)),0)</f>
        <v>1</v>
      </c>
      <c r="U149" s="122">
        <f>IFERROR(DATE(TableDailyJournal[[#This Row],[السنــــة]],TableDailyJournal[[#This Row],[الشهــــر]],TableDailyJournal[[#This Row],[الـــــيوم]]),"01-01-2026")</f>
        <v>46180</v>
      </c>
      <c r="V149" s="126"/>
      <c r="W149" s="58"/>
      <c r="X149" s="58">
        <f>IFERROR(YEAR(TableDailyJournal[[#This Row],[التاريخ]]),"")</f>
        <v>2026</v>
      </c>
      <c r="Y149" s="58">
        <f>IFERROR(MONTH(TableDailyJournal[[#This Row],[التاريخ]]),"")</f>
        <v>6</v>
      </c>
      <c r="Z149" s="58">
        <f>IFERROR(DAY(TableDailyJournal[[#This Row],[التاريخ]]),"")</f>
        <v>7</v>
      </c>
      <c r="AA149"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AB149" s="121">
        <f>INDEX(Tabledaily[جهة الامر],MATCH(TableDailyJournal[[#This Row],[رقم العملية]],Tabledaily[رقم العملية],0))</f>
        <v>0</v>
      </c>
    </row>
    <row r="150" spans="2:28" ht="45.75" x14ac:dyDescent="0.55000000000000004">
      <c r="B150" s="58">
        <f t="shared" si="4"/>
        <v>146</v>
      </c>
      <c r="C150" s="59" t="s">
        <v>519</v>
      </c>
      <c r="D150" s="60">
        <f>INDEX(Tabledaily[date],MATCH(TableDailyJournal[[#This Row],[رقم العملية]],Tabledaily[رقم العملية],0))</f>
        <v>46180</v>
      </c>
      <c r="E150" s="58" t="str">
        <f>INDEX(Tabledaily[نوع العمليــة],MATCH(TableDailyJournal[[#This Row],[رقم العملية]],Tabledaily[رقم العملية],0))</f>
        <v>قيد عهده</v>
      </c>
      <c r="F150" s="58">
        <f>IFERROR(INDEX(TableJudje[رقم الحساب],MATCH(TableDailyJournal[[#This Row],[الحساب]],TableJudje[اسم الحساب],0)),0)</f>
        <v>31010101</v>
      </c>
      <c r="G150" s="58" t="s">
        <v>111</v>
      </c>
      <c r="H150"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150" s="60" t="str">
        <f>INDEX(Tabledaily[العملـــة],MATCH(TableDailyJournal[[#This Row],[رقم العملية]],Tabledaily[رقم العملية],0))</f>
        <v>ريال يمني</v>
      </c>
      <c r="J150" s="59">
        <f>IFERROR(INDEX(Tabledaily[سعــــــر
الصـــــرف],MATCH(C150,Tabledaily[رقم العملية],0)),1)</f>
        <v>405</v>
      </c>
      <c r="K150" s="123" cm="1">
        <f t="array" ref="K150">IFERROR(INDEX(Tabledaily[المبلـــــــغ],MATCH(1,(TableDailyJournal[[#This Row],[رقم العملية]]=Tabledaily[رقم العملية])*(TableDailyJournal[[#This Row],[الحساب]]=Tabledaily[الحســاب المديــــن]),0)),0)</f>
        <v>30000</v>
      </c>
      <c r="L150" s="123" cm="1">
        <f t="array" ref="L150">IFERROR(INDEX(Tabledaily[المبلـــــــغ],MATCH(1,(TableDailyJournal[[#This Row],[رقم العملية]]=Tabledaily[رقم العملية])*(TableDailyJournal[[#This Row],[الحساب]]=Tabledaily[الحســاب الدئـــن]),0)),0)</f>
        <v>0</v>
      </c>
      <c r="M150" s="119">
        <f>IFERROR(TableDailyJournal[[#This Row],[المبلغ مدين]]/TableDailyJournal[[#This Row],[سعــــــر
الصـــــرف]],0)</f>
        <v>74.074074074074076</v>
      </c>
      <c r="N150" s="119">
        <f>IFERROR(TableDailyJournal[[#This Row],[المبلغ دائن]]/TableDailyJournal[[#This Row],[سعــــــر
الصـــــرف]],0)</f>
        <v>0</v>
      </c>
      <c r="O150" s="121" t="str">
        <f>INDEX(Tabledaily[المستفيــــــــد],MATCH(TableDailyJournal[[#This Row],[رقم العملية]],Tabledaily[رقم العملية],0))</f>
        <v>التوجيه</v>
      </c>
      <c r="P150" s="121" t="str">
        <f>INDEX(Tabledaily[المــــرجـــــــــع],MATCH(TableDailyJournal[[#This Row],[رقم العملية]],Tabledaily[رقم العملية],0))</f>
        <v>كشف صرف</v>
      </c>
      <c r="Q150" s="121" t="str">
        <f>INDEX(Tabledaily[اســـــــم المــــرجــــع],MATCH(TableDailyJournal[[#This Row],[رقم العملية]],Tabledaily[رقم العملية],0))</f>
        <v>كشف صرف</v>
      </c>
      <c r="R150" s="121">
        <f>INDEX(Tabledaily[رقم المـــــرجـــع],MATCH(TableDailyJournal[[#This Row],[رقم العملية]],Tabledaily[رقم العملية],0))</f>
        <v>0</v>
      </c>
      <c r="S150" s="121" t="str">
        <f>INDEX(Tabledaily[مركـــــــزالتكلفــــــة],MATCH(TableDailyJournal[[#This Row],[رقم العملية]],Tabledaily[رقم العملية],0))</f>
        <v>الفرقة الثالثة</v>
      </c>
      <c r="T150" s="121">
        <f>IFERROR(INDEX(tablecost[رقم المركز],MATCH(TableDailyJournal[[#This Row],[مركـــــــزالتكلفــــــة]],tablecost[الاسم],0)),0)</f>
        <v>1</v>
      </c>
      <c r="U150" s="122">
        <f>IFERROR(DATE(TableDailyJournal[[#This Row],[السنــــة]],TableDailyJournal[[#This Row],[الشهــــر]],TableDailyJournal[[#This Row],[الـــــيوم]]),"01-01-2026")</f>
        <v>46180</v>
      </c>
      <c r="V150" s="126"/>
      <c r="W150" s="58"/>
      <c r="X150" s="58">
        <f>IFERROR(YEAR(TableDailyJournal[[#This Row],[التاريخ]]),"")</f>
        <v>2026</v>
      </c>
      <c r="Y150" s="58">
        <f>IFERROR(MONTH(TableDailyJournal[[#This Row],[التاريخ]]),"")</f>
        <v>6</v>
      </c>
      <c r="Z150" s="58">
        <f>IFERROR(DAY(TableDailyJournal[[#This Row],[التاريخ]]),"")</f>
        <v>7</v>
      </c>
      <c r="AA150"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150" s="121">
        <f>INDEX(Tabledaily[جهة الامر],MATCH(TableDailyJournal[[#This Row],[رقم العملية]],Tabledaily[رقم العملية],0))</f>
        <v>0</v>
      </c>
    </row>
    <row r="151" spans="2:28" ht="45.75" x14ac:dyDescent="0.55000000000000004">
      <c r="B151" s="58">
        <f t="shared" si="4"/>
        <v>147</v>
      </c>
      <c r="C151" s="59" t="s">
        <v>519</v>
      </c>
      <c r="D151" s="60">
        <f>INDEX(Tabledaily[date],MATCH(TableDailyJournal[[#This Row],[رقم العملية]],Tabledaily[رقم العملية],0))</f>
        <v>46180</v>
      </c>
      <c r="E151" s="58" t="str">
        <f>INDEX(Tabledaily[نوع العمليــة],MATCH(TableDailyJournal[[#This Row],[رقم العملية]],Tabledaily[رقم العملية],0))</f>
        <v>قيد عهده</v>
      </c>
      <c r="F151" s="58">
        <f>IFERROR(INDEX(TableJudje[رقم الحساب],MATCH(TableDailyJournal[[#This Row],[الحساب]],TableJudje[اسم الحساب],0)),0)</f>
        <v>11060205</v>
      </c>
      <c r="G151" s="58" t="s">
        <v>513</v>
      </c>
      <c r="H151"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151" s="60" t="str">
        <f>INDEX(Tabledaily[العملـــة],MATCH(TableDailyJournal[[#This Row],[رقم العملية]],Tabledaily[رقم العملية],0))</f>
        <v>ريال يمني</v>
      </c>
      <c r="J151" s="59">
        <f>IFERROR(INDEX(Tabledaily[سعــــــر
الصـــــرف],MATCH(C151,Tabledaily[رقم العملية],0)),1)</f>
        <v>405</v>
      </c>
      <c r="K151" s="123" cm="1">
        <f t="array" ref="K151">IFERROR(INDEX(Tabledaily[المبلـــــــغ],MATCH(1,(TableDailyJournal[[#This Row],[رقم العملية]]=Tabledaily[رقم العملية])*(TableDailyJournal[[#This Row],[الحساب]]=Tabledaily[الحســاب المديــــن]),0)),0)</f>
        <v>0</v>
      </c>
      <c r="L151" s="123" cm="1">
        <f t="array" ref="L151">IFERROR(INDEX(Tabledaily[المبلـــــــغ],MATCH(1,(TableDailyJournal[[#This Row],[رقم العملية]]=Tabledaily[رقم العملية])*(TableDailyJournal[[#This Row],[الحساب]]=Tabledaily[الحســاب الدئـــن]),0)),0)</f>
        <v>30000</v>
      </c>
      <c r="M151" s="119">
        <f>IFERROR(TableDailyJournal[[#This Row],[المبلغ مدين]]/TableDailyJournal[[#This Row],[سعــــــر
الصـــــرف]],0)</f>
        <v>0</v>
      </c>
      <c r="N151" s="119">
        <f>IFERROR(TableDailyJournal[[#This Row],[المبلغ دائن]]/TableDailyJournal[[#This Row],[سعــــــر
الصـــــرف]],0)</f>
        <v>74.074074074074076</v>
      </c>
      <c r="O151" s="121" t="str">
        <f>INDEX(Tabledaily[المستفيــــــــد],MATCH(TableDailyJournal[[#This Row],[رقم العملية]],Tabledaily[رقم العملية],0))</f>
        <v>التوجيه</v>
      </c>
      <c r="P151" s="121" t="str">
        <f>INDEX(Tabledaily[المــــرجـــــــــع],MATCH(TableDailyJournal[[#This Row],[رقم العملية]],Tabledaily[رقم العملية],0))</f>
        <v>كشف صرف</v>
      </c>
      <c r="Q151" s="121" t="str">
        <f>INDEX(Tabledaily[اســـــــم المــــرجــــع],MATCH(TableDailyJournal[[#This Row],[رقم العملية]],Tabledaily[رقم العملية],0))</f>
        <v>كشف صرف</v>
      </c>
      <c r="R151" s="121">
        <f>INDEX(Tabledaily[رقم المـــــرجـــع],MATCH(TableDailyJournal[[#This Row],[رقم العملية]],Tabledaily[رقم العملية],0))</f>
        <v>0</v>
      </c>
      <c r="S151" s="121" t="str">
        <f>INDEX(Tabledaily[مركـــــــزالتكلفــــــة],MATCH(TableDailyJournal[[#This Row],[رقم العملية]],Tabledaily[رقم العملية],0))</f>
        <v>الفرقة الثالثة</v>
      </c>
      <c r="T151" s="121">
        <f>IFERROR(INDEX(tablecost[رقم المركز],MATCH(TableDailyJournal[[#This Row],[مركـــــــزالتكلفــــــة]],tablecost[الاسم],0)),0)</f>
        <v>1</v>
      </c>
      <c r="U151" s="122">
        <f>IFERROR(DATE(TableDailyJournal[[#This Row],[السنــــة]],TableDailyJournal[[#This Row],[الشهــــر]],TableDailyJournal[[#This Row],[الـــــيوم]]),"01-01-2026")</f>
        <v>46180</v>
      </c>
      <c r="V151" s="126"/>
      <c r="W151" s="58"/>
      <c r="X151" s="58">
        <f>IFERROR(YEAR(TableDailyJournal[[#This Row],[التاريخ]]),"")</f>
        <v>2026</v>
      </c>
      <c r="Y151" s="58">
        <f>IFERROR(MONTH(TableDailyJournal[[#This Row],[التاريخ]]),"")</f>
        <v>6</v>
      </c>
      <c r="Z151" s="58">
        <f>IFERROR(DAY(TableDailyJournal[[#This Row],[التاريخ]]),"")</f>
        <v>7</v>
      </c>
      <c r="AA151"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151" s="121">
        <f>INDEX(Tabledaily[جهة الامر],MATCH(TableDailyJournal[[#This Row],[رقم العملية]],Tabledaily[رقم العملية],0))</f>
        <v>0</v>
      </c>
    </row>
    <row r="152" spans="2:28" ht="45.75" x14ac:dyDescent="0.55000000000000004">
      <c r="B152" s="58">
        <f t="shared" si="4"/>
        <v>148</v>
      </c>
      <c r="C152" s="59" t="s">
        <v>522</v>
      </c>
      <c r="D152" s="60">
        <f>INDEX(Tabledaily[date],MATCH(TableDailyJournal[[#This Row],[رقم العملية]],Tabledaily[رقم العملية],0))</f>
        <v>46180</v>
      </c>
      <c r="E152" s="58" t="str">
        <f>INDEX(Tabledaily[نوع العمليــة],MATCH(TableDailyJournal[[#This Row],[رقم العملية]],Tabledaily[رقم العملية],0))</f>
        <v>قيد عهده</v>
      </c>
      <c r="F152" s="58">
        <f>IFERROR(INDEX(TableJudje[رقم الحساب],MATCH(TableDailyJournal[[#This Row],[الحساب]],TableJudje[اسم الحساب],0)),0)</f>
        <v>31010101</v>
      </c>
      <c r="G152" s="58" t="s">
        <v>111</v>
      </c>
      <c r="H152"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I152" s="60" t="str">
        <f>INDEX(Tabledaily[العملـــة],MATCH(TableDailyJournal[[#This Row],[رقم العملية]],Tabledaily[رقم العملية],0))</f>
        <v>ريال يمني</v>
      </c>
      <c r="J152" s="59">
        <f>IFERROR(INDEX(Tabledaily[سعــــــر
الصـــــرف],MATCH(C152,Tabledaily[رقم العملية],0)),1)</f>
        <v>405</v>
      </c>
      <c r="K152" s="123" cm="1">
        <f t="array" ref="K152">IFERROR(INDEX(Tabledaily[المبلـــــــغ],MATCH(1,(TableDailyJournal[[#This Row],[رقم العملية]]=Tabledaily[رقم العملية])*(TableDailyJournal[[#This Row],[الحساب]]=Tabledaily[الحســاب المديــــن]),0)),0)</f>
        <v>128000</v>
      </c>
      <c r="L152" s="123" cm="1">
        <f t="array" ref="L152">IFERROR(INDEX(Tabledaily[المبلـــــــغ],MATCH(1,(TableDailyJournal[[#This Row],[رقم العملية]]=Tabledaily[رقم العملية])*(TableDailyJournal[[#This Row],[الحساب]]=Tabledaily[الحســاب الدئـــن]),0)),0)</f>
        <v>0</v>
      </c>
      <c r="M152" s="119">
        <f>IFERROR(TableDailyJournal[[#This Row],[المبلغ مدين]]/TableDailyJournal[[#This Row],[سعــــــر
الصـــــرف]],0)</f>
        <v>316.04938271604937</v>
      </c>
      <c r="N152" s="119">
        <f>IFERROR(TableDailyJournal[[#This Row],[المبلغ دائن]]/TableDailyJournal[[#This Row],[سعــــــر
الصـــــرف]],0)</f>
        <v>0</v>
      </c>
      <c r="O152" s="121" t="str">
        <f>INDEX(Tabledaily[المستفيــــــــد],MATCH(TableDailyJournal[[#This Row],[رقم العملية]],Tabledaily[رقم العملية],0))</f>
        <v>الامداد</v>
      </c>
      <c r="P152" s="121" t="str">
        <f>INDEX(Tabledaily[المــــرجـــــــــع],MATCH(TableDailyJournal[[#This Row],[رقم العملية]],Tabledaily[رقم العملية],0))</f>
        <v>كشف صرف</v>
      </c>
      <c r="Q152" s="121" t="str">
        <f>INDEX(Tabledaily[اســـــــم المــــرجــــع],MATCH(TableDailyJournal[[#This Row],[رقم العملية]],Tabledaily[رقم العملية],0))</f>
        <v>كشف صرف</v>
      </c>
      <c r="R152" s="121">
        <f>INDEX(Tabledaily[رقم المـــــرجـــع],MATCH(TableDailyJournal[[#This Row],[رقم العملية]],Tabledaily[رقم العملية],0))</f>
        <v>0</v>
      </c>
      <c r="S152" s="121" t="str">
        <f>INDEX(Tabledaily[مركـــــــزالتكلفــــــة],MATCH(TableDailyJournal[[#This Row],[رقم العملية]],Tabledaily[رقم العملية],0))</f>
        <v>الفرقة الثالثة</v>
      </c>
      <c r="T152" s="121">
        <f>IFERROR(INDEX(tablecost[رقم المركز],MATCH(TableDailyJournal[[#This Row],[مركـــــــزالتكلفــــــة]],tablecost[الاسم],0)),0)</f>
        <v>1</v>
      </c>
      <c r="U152" s="122">
        <f>IFERROR(DATE(TableDailyJournal[[#This Row],[السنــــة]],TableDailyJournal[[#This Row],[الشهــــر]],TableDailyJournal[[#This Row],[الـــــيوم]]),"01-01-2026")</f>
        <v>46180</v>
      </c>
      <c r="V152" s="126"/>
      <c r="W152" s="58"/>
      <c r="X152" s="58">
        <f>IFERROR(YEAR(TableDailyJournal[[#This Row],[التاريخ]]),"")</f>
        <v>2026</v>
      </c>
      <c r="Y152" s="58">
        <f>IFERROR(MONTH(TableDailyJournal[[#This Row],[التاريخ]]),"")</f>
        <v>6</v>
      </c>
      <c r="Z152" s="58">
        <f>IFERROR(DAY(TableDailyJournal[[#This Row],[التاريخ]]),"")</f>
        <v>7</v>
      </c>
      <c r="AA152"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AB152" s="121">
        <f>INDEX(Tabledaily[جهة الامر],MATCH(TableDailyJournal[[#This Row],[رقم العملية]],Tabledaily[رقم العملية],0))</f>
        <v>0</v>
      </c>
    </row>
    <row r="153" spans="2:28" ht="45.75" x14ac:dyDescent="0.55000000000000004">
      <c r="B153" s="58">
        <f t="shared" si="4"/>
        <v>149</v>
      </c>
      <c r="C153" s="59" t="s">
        <v>522</v>
      </c>
      <c r="D153" s="60">
        <f>INDEX(Tabledaily[date],MATCH(TableDailyJournal[[#This Row],[رقم العملية]],Tabledaily[رقم العملية],0))</f>
        <v>46180</v>
      </c>
      <c r="E153" s="58" t="str">
        <f>INDEX(Tabledaily[نوع العمليــة],MATCH(TableDailyJournal[[#This Row],[رقم العملية]],Tabledaily[رقم العملية],0))</f>
        <v>قيد عهده</v>
      </c>
      <c r="F153" s="58">
        <f>IFERROR(INDEX(TableJudje[رقم الحساب],MATCH(TableDailyJournal[[#This Row],[الحساب]],TableJudje[اسم الحساب],0)),0)</f>
        <v>11060205</v>
      </c>
      <c r="G153" s="58" t="s">
        <v>513</v>
      </c>
      <c r="H153"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I153" s="60" t="str">
        <f>INDEX(Tabledaily[العملـــة],MATCH(TableDailyJournal[[#This Row],[رقم العملية]],Tabledaily[رقم العملية],0))</f>
        <v>ريال يمني</v>
      </c>
      <c r="J153" s="59">
        <f>IFERROR(INDEX(Tabledaily[سعــــــر
الصـــــرف],MATCH(C153,Tabledaily[رقم العملية],0)),1)</f>
        <v>405</v>
      </c>
      <c r="K153" s="123" cm="1">
        <f t="array" ref="K153">IFERROR(INDEX(Tabledaily[المبلـــــــغ],MATCH(1,(TableDailyJournal[[#This Row],[رقم العملية]]=Tabledaily[رقم العملية])*(TableDailyJournal[[#This Row],[الحساب]]=Tabledaily[الحســاب المديــــن]),0)),0)</f>
        <v>0</v>
      </c>
      <c r="L153" s="123" cm="1">
        <f t="array" ref="L153">IFERROR(INDEX(Tabledaily[المبلـــــــغ],MATCH(1,(TableDailyJournal[[#This Row],[رقم العملية]]=Tabledaily[رقم العملية])*(TableDailyJournal[[#This Row],[الحساب]]=Tabledaily[الحســاب الدئـــن]),0)),0)</f>
        <v>128000</v>
      </c>
      <c r="M153" s="119">
        <f>IFERROR(TableDailyJournal[[#This Row],[المبلغ مدين]]/TableDailyJournal[[#This Row],[سعــــــر
الصـــــرف]],0)</f>
        <v>0</v>
      </c>
      <c r="N153" s="119">
        <f>IFERROR(TableDailyJournal[[#This Row],[المبلغ دائن]]/TableDailyJournal[[#This Row],[سعــــــر
الصـــــرف]],0)</f>
        <v>316.04938271604937</v>
      </c>
      <c r="O153" s="121" t="str">
        <f>INDEX(Tabledaily[المستفيــــــــد],MATCH(TableDailyJournal[[#This Row],[رقم العملية]],Tabledaily[رقم العملية],0))</f>
        <v>الامداد</v>
      </c>
      <c r="P153" s="121" t="str">
        <f>INDEX(Tabledaily[المــــرجـــــــــع],MATCH(TableDailyJournal[[#This Row],[رقم العملية]],Tabledaily[رقم العملية],0))</f>
        <v>كشف صرف</v>
      </c>
      <c r="Q153" s="121" t="str">
        <f>INDEX(Tabledaily[اســـــــم المــــرجــــع],MATCH(TableDailyJournal[[#This Row],[رقم العملية]],Tabledaily[رقم العملية],0))</f>
        <v>كشف صرف</v>
      </c>
      <c r="R153" s="121">
        <f>INDEX(Tabledaily[رقم المـــــرجـــع],MATCH(TableDailyJournal[[#This Row],[رقم العملية]],Tabledaily[رقم العملية],0))</f>
        <v>0</v>
      </c>
      <c r="S153" s="121" t="str">
        <f>INDEX(Tabledaily[مركـــــــزالتكلفــــــة],MATCH(TableDailyJournal[[#This Row],[رقم العملية]],Tabledaily[رقم العملية],0))</f>
        <v>الفرقة الثالثة</v>
      </c>
      <c r="T153" s="121">
        <f>IFERROR(INDEX(tablecost[رقم المركز],MATCH(TableDailyJournal[[#This Row],[مركـــــــزالتكلفــــــة]],tablecost[الاسم],0)),0)</f>
        <v>1</v>
      </c>
      <c r="U153" s="122">
        <f>IFERROR(DATE(TableDailyJournal[[#This Row],[السنــــة]],TableDailyJournal[[#This Row],[الشهــــر]],TableDailyJournal[[#This Row],[الـــــيوم]]),"01-01-2026")</f>
        <v>46180</v>
      </c>
      <c r="V153" s="126"/>
      <c r="W153" s="58"/>
      <c r="X153" s="58">
        <f>IFERROR(YEAR(TableDailyJournal[[#This Row],[التاريخ]]),"")</f>
        <v>2026</v>
      </c>
      <c r="Y153" s="58">
        <f>IFERROR(MONTH(TableDailyJournal[[#This Row],[التاريخ]]),"")</f>
        <v>6</v>
      </c>
      <c r="Z153" s="58">
        <f>IFERROR(DAY(TableDailyJournal[[#This Row],[التاريخ]]),"")</f>
        <v>7</v>
      </c>
      <c r="AA153"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AB153" s="121">
        <f>INDEX(Tabledaily[جهة الامر],MATCH(TableDailyJournal[[#This Row],[رقم العملية]],Tabledaily[رقم العملية],0))</f>
        <v>0</v>
      </c>
    </row>
    <row r="154" spans="2:28" ht="45.75" x14ac:dyDescent="0.55000000000000004">
      <c r="B154" s="58">
        <f t="shared" si="4"/>
        <v>150</v>
      </c>
      <c r="C154" s="59" t="s">
        <v>523</v>
      </c>
      <c r="D154" s="60">
        <f>INDEX(Tabledaily[date],MATCH(TableDailyJournal[[#This Row],[رقم العملية]],Tabledaily[رقم العملية],0))</f>
        <v>46180</v>
      </c>
      <c r="E154" s="58" t="str">
        <f>INDEX(Tabledaily[نوع العمليــة],MATCH(TableDailyJournal[[#This Row],[رقم العملية]],Tabledaily[رقم العملية],0))</f>
        <v>قيد عهده</v>
      </c>
      <c r="F154" s="58">
        <f>IFERROR(INDEX(TableJudje[رقم الحساب],MATCH(TableDailyJournal[[#This Row],[الحساب]],TableJudje[اسم الحساب],0)),0)</f>
        <v>31010101</v>
      </c>
      <c r="G154" s="58" t="s">
        <v>111</v>
      </c>
      <c r="H154"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154" s="60" t="str">
        <f>INDEX(Tabledaily[العملـــة],MATCH(TableDailyJournal[[#This Row],[رقم العملية]],Tabledaily[رقم العملية],0))</f>
        <v>ريال يمني</v>
      </c>
      <c r="J154" s="59">
        <f>IFERROR(INDEX(Tabledaily[سعــــــر
الصـــــرف],MATCH(C154,Tabledaily[رقم العملية],0)),1)</f>
        <v>405</v>
      </c>
      <c r="K154" s="123" cm="1">
        <f t="array" ref="K154">IFERROR(INDEX(Tabledaily[المبلـــــــغ],MATCH(1,(TableDailyJournal[[#This Row],[رقم العملية]]=Tabledaily[رقم العملية])*(TableDailyJournal[[#This Row],[الحساب]]=Tabledaily[الحســاب المديــــن]),0)),0)</f>
        <v>15000</v>
      </c>
      <c r="L154" s="123" cm="1">
        <f t="array" ref="L154">IFERROR(INDEX(Tabledaily[المبلـــــــغ],MATCH(1,(TableDailyJournal[[#This Row],[رقم العملية]]=Tabledaily[رقم العملية])*(TableDailyJournal[[#This Row],[الحساب]]=Tabledaily[الحســاب الدئـــن]),0)),0)</f>
        <v>0</v>
      </c>
      <c r="M154" s="119">
        <f>IFERROR(TableDailyJournal[[#This Row],[المبلغ مدين]]/TableDailyJournal[[#This Row],[سعــــــر
الصـــــرف]],0)</f>
        <v>37.037037037037038</v>
      </c>
      <c r="N154" s="119">
        <f>IFERROR(TableDailyJournal[[#This Row],[المبلغ دائن]]/TableDailyJournal[[#This Row],[سعــــــر
الصـــــرف]],0)</f>
        <v>0</v>
      </c>
      <c r="O154" s="121" t="str">
        <f>INDEX(Tabledaily[المستفيــــــــد],MATCH(TableDailyJournal[[#This Row],[رقم العملية]],Tabledaily[رقم العملية],0))</f>
        <v>البشرية و الصراف</v>
      </c>
      <c r="P154" s="121" t="str">
        <f>INDEX(Tabledaily[المــــرجـــــــــع],MATCH(TableDailyJournal[[#This Row],[رقم العملية]],Tabledaily[رقم العملية],0))</f>
        <v>كشف صرف</v>
      </c>
      <c r="Q154" s="121" t="str">
        <f>INDEX(Tabledaily[اســـــــم المــــرجــــع],MATCH(TableDailyJournal[[#This Row],[رقم العملية]],Tabledaily[رقم العملية],0))</f>
        <v>كشف صرف</v>
      </c>
      <c r="R154" s="121">
        <f>INDEX(Tabledaily[رقم المـــــرجـــع],MATCH(TableDailyJournal[[#This Row],[رقم العملية]],Tabledaily[رقم العملية],0))</f>
        <v>0</v>
      </c>
      <c r="S154" s="121" t="str">
        <f>INDEX(Tabledaily[مركـــــــزالتكلفــــــة],MATCH(TableDailyJournal[[#This Row],[رقم العملية]],Tabledaily[رقم العملية],0))</f>
        <v>الفرقة الثالثة</v>
      </c>
      <c r="T154" s="121">
        <f>IFERROR(INDEX(tablecost[رقم المركز],MATCH(TableDailyJournal[[#This Row],[مركـــــــزالتكلفــــــة]],tablecost[الاسم],0)),0)</f>
        <v>1</v>
      </c>
      <c r="U154" s="122">
        <f>IFERROR(DATE(TableDailyJournal[[#This Row],[السنــــة]],TableDailyJournal[[#This Row],[الشهــــر]],TableDailyJournal[[#This Row],[الـــــيوم]]),"01-01-2026")</f>
        <v>46180</v>
      </c>
      <c r="V154" s="126"/>
      <c r="W154" s="58"/>
      <c r="X154" s="58">
        <f>IFERROR(YEAR(TableDailyJournal[[#This Row],[التاريخ]]),"")</f>
        <v>2026</v>
      </c>
      <c r="Y154" s="58">
        <f>IFERROR(MONTH(TableDailyJournal[[#This Row],[التاريخ]]),"")</f>
        <v>6</v>
      </c>
      <c r="Z154" s="58">
        <f>IFERROR(DAY(TableDailyJournal[[#This Row],[التاريخ]]),"")</f>
        <v>7</v>
      </c>
      <c r="AA154"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154" s="121">
        <f>INDEX(Tabledaily[جهة الامر],MATCH(TableDailyJournal[[#This Row],[رقم العملية]],Tabledaily[رقم العملية],0))</f>
        <v>0</v>
      </c>
    </row>
    <row r="155" spans="2:28" ht="45.75" x14ac:dyDescent="0.55000000000000004">
      <c r="B155" s="58">
        <f t="shared" si="4"/>
        <v>151</v>
      </c>
      <c r="C155" s="59" t="s">
        <v>523</v>
      </c>
      <c r="D155" s="60">
        <f>INDEX(Tabledaily[date],MATCH(TableDailyJournal[[#This Row],[رقم العملية]],Tabledaily[رقم العملية],0))</f>
        <v>46180</v>
      </c>
      <c r="E155" s="58" t="str">
        <f>INDEX(Tabledaily[نوع العمليــة],MATCH(TableDailyJournal[[#This Row],[رقم العملية]],Tabledaily[رقم العملية],0))</f>
        <v>قيد عهده</v>
      </c>
      <c r="F155" s="58">
        <f>IFERROR(INDEX(TableJudje[رقم الحساب],MATCH(TableDailyJournal[[#This Row],[الحساب]],TableJudje[اسم الحساب],0)),0)</f>
        <v>11060205</v>
      </c>
      <c r="G155" s="58" t="s">
        <v>513</v>
      </c>
      <c r="H155"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155" s="60" t="str">
        <f>INDEX(Tabledaily[العملـــة],MATCH(TableDailyJournal[[#This Row],[رقم العملية]],Tabledaily[رقم العملية],0))</f>
        <v>ريال يمني</v>
      </c>
      <c r="J155" s="59">
        <f>IFERROR(INDEX(Tabledaily[سعــــــر
الصـــــرف],MATCH(C155,Tabledaily[رقم العملية],0)),1)</f>
        <v>405</v>
      </c>
      <c r="K155" s="123" cm="1">
        <f t="array" ref="K155">IFERROR(INDEX(Tabledaily[المبلـــــــغ],MATCH(1,(TableDailyJournal[[#This Row],[رقم العملية]]=Tabledaily[رقم العملية])*(TableDailyJournal[[#This Row],[الحساب]]=Tabledaily[الحســاب المديــــن]),0)),0)</f>
        <v>0</v>
      </c>
      <c r="L155" s="123" cm="1">
        <f t="array" ref="L155">IFERROR(INDEX(Tabledaily[المبلـــــــغ],MATCH(1,(TableDailyJournal[[#This Row],[رقم العملية]]=Tabledaily[رقم العملية])*(TableDailyJournal[[#This Row],[الحساب]]=Tabledaily[الحســاب الدئـــن]),0)),0)</f>
        <v>15000</v>
      </c>
      <c r="M155" s="119">
        <f>IFERROR(TableDailyJournal[[#This Row],[المبلغ مدين]]/TableDailyJournal[[#This Row],[سعــــــر
الصـــــرف]],0)</f>
        <v>0</v>
      </c>
      <c r="N155" s="119">
        <f>IFERROR(TableDailyJournal[[#This Row],[المبلغ دائن]]/TableDailyJournal[[#This Row],[سعــــــر
الصـــــرف]],0)</f>
        <v>37.037037037037038</v>
      </c>
      <c r="O155" s="121" t="str">
        <f>INDEX(Tabledaily[المستفيــــــــد],MATCH(TableDailyJournal[[#This Row],[رقم العملية]],Tabledaily[رقم العملية],0))</f>
        <v>البشرية و الصراف</v>
      </c>
      <c r="P155" s="121" t="str">
        <f>INDEX(Tabledaily[المــــرجـــــــــع],MATCH(TableDailyJournal[[#This Row],[رقم العملية]],Tabledaily[رقم العملية],0))</f>
        <v>كشف صرف</v>
      </c>
      <c r="Q155" s="121" t="str">
        <f>INDEX(Tabledaily[اســـــــم المــــرجــــع],MATCH(TableDailyJournal[[#This Row],[رقم العملية]],Tabledaily[رقم العملية],0))</f>
        <v>كشف صرف</v>
      </c>
      <c r="R155" s="121">
        <f>INDEX(Tabledaily[رقم المـــــرجـــع],MATCH(TableDailyJournal[[#This Row],[رقم العملية]],Tabledaily[رقم العملية],0))</f>
        <v>0</v>
      </c>
      <c r="S155" s="121" t="str">
        <f>INDEX(Tabledaily[مركـــــــزالتكلفــــــة],MATCH(TableDailyJournal[[#This Row],[رقم العملية]],Tabledaily[رقم العملية],0))</f>
        <v>الفرقة الثالثة</v>
      </c>
      <c r="T155" s="121">
        <f>IFERROR(INDEX(tablecost[رقم المركز],MATCH(TableDailyJournal[[#This Row],[مركـــــــزالتكلفــــــة]],tablecost[الاسم],0)),0)</f>
        <v>1</v>
      </c>
      <c r="U155" s="122">
        <f>IFERROR(DATE(TableDailyJournal[[#This Row],[السنــــة]],TableDailyJournal[[#This Row],[الشهــــر]],TableDailyJournal[[#This Row],[الـــــيوم]]),"01-01-2026")</f>
        <v>46180</v>
      </c>
      <c r="V155" s="126"/>
      <c r="W155" s="58"/>
      <c r="X155" s="58">
        <f>IFERROR(YEAR(TableDailyJournal[[#This Row],[التاريخ]]),"")</f>
        <v>2026</v>
      </c>
      <c r="Y155" s="58">
        <f>IFERROR(MONTH(TableDailyJournal[[#This Row],[التاريخ]]),"")</f>
        <v>6</v>
      </c>
      <c r="Z155" s="58">
        <f>IFERROR(DAY(TableDailyJournal[[#This Row],[التاريخ]]),"")</f>
        <v>7</v>
      </c>
      <c r="AA155"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155" s="121">
        <f>INDEX(Tabledaily[جهة الامر],MATCH(TableDailyJournal[[#This Row],[رقم العملية]],Tabledaily[رقم العملية],0))</f>
        <v>0</v>
      </c>
    </row>
    <row r="156" spans="2:28" ht="45.75" x14ac:dyDescent="0.55000000000000004">
      <c r="B156" s="58">
        <f t="shared" si="4"/>
        <v>152</v>
      </c>
      <c r="C156" s="59" t="s">
        <v>525</v>
      </c>
      <c r="D156" s="60">
        <f>INDEX(Tabledaily[date],MATCH(TableDailyJournal[[#This Row],[رقم العملية]],Tabledaily[رقم العملية],0))</f>
        <v>46180</v>
      </c>
      <c r="E156" s="58" t="str">
        <f>INDEX(Tabledaily[نوع العمليــة],MATCH(TableDailyJournal[[#This Row],[رقم العملية]],Tabledaily[رقم العملية],0))</f>
        <v>قيد عهده</v>
      </c>
      <c r="F156" s="58">
        <f>IFERROR(INDEX(TableJudje[رقم الحساب],MATCH(TableDailyJournal[[#This Row],[الحساب]],TableJudje[اسم الحساب],0)),0)</f>
        <v>31010101</v>
      </c>
      <c r="G156" s="58" t="s">
        <v>111</v>
      </c>
      <c r="H156"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156" s="60" t="str">
        <f>INDEX(Tabledaily[العملـــة],MATCH(TableDailyJournal[[#This Row],[رقم العملية]],Tabledaily[رقم العملية],0))</f>
        <v>ريال يمني</v>
      </c>
      <c r="J156" s="59">
        <f>IFERROR(INDEX(Tabledaily[سعــــــر
الصـــــرف],MATCH(C156,Tabledaily[رقم العملية],0)),1)</f>
        <v>405</v>
      </c>
      <c r="K156" s="123" cm="1">
        <f t="array" ref="K156">IFERROR(INDEX(Tabledaily[المبلـــــــغ],MATCH(1,(TableDailyJournal[[#This Row],[رقم العملية]]=Tabledaily[رقم العملية])*(TableDailyJournal[[#This Row],[الحساب]]=Tabledaily[الحســاب المديــــن]),0)),0)</f>
        <v>65000</v>
      </c>
      <c r="L156" s="123" cm="1">
        <f t="array" ref="L156">IFERROR(INDEX(Tabledaily[المبلـــــــغ],MATCH(1,(TableDailyJournal[[#This Row],[رقم العملية]]=Tabledaily[رقم العملية])*(TableDailyJournal[[#This Row],[الحساب]]=Tabledaily[الحســاب الدئـــن]),0)),0)</f>
        <v>0</v>
      </c>
      <c r="M156" s="119">
        <f>IFERROR(TableDailyJournal[[#This Row],[المبلغ مدين]]/TableDailyJournal[[#This Row],[سعــــــر
الصـــــرف]],0)</f>
        <v>160.49382716049382</v>
      </c>
      <c r="N156" s="119">
        <f>IFERROR(TableDailyJournal[[#This Row],[المبلغ دائن]]/TableDailyJournal[[#This Row],[سعــــــر
الصـــــرف]],0)</f>
        <v>0</v>
      </c>
      <c r="O156" s="121" t="str">
        <f>INDEX(Tabledaily[المستفيــــــــد],MATCH(TableDailyJournal[[#This Row],[رقم العملية]],Tabledaily[رقم العملية],0))</f>
        <v>الاستخبارات</v>
      </c>
      <c r="P156" s="121" t="str">
        <f>INDEX(Tabledaily[المــــرجـــــــــع],MATCH(TableDailyJournal[[#This Row],[رقم العملية]],Tabledaily[رقم العملية],0))</f>
        <v>كشف صرف</v>
      </c>
      <c r="Q156" s="121" t="str">
        <f>INDEX(Tabledaily[اســـــــم المــــرجــــع],MATCH(TableDailyJournal[[#This Row],[رقم العملية]],Tabledaily[رقم العملية],0))</f>
        <v>كشف صرف</v>
      </c>
      <c r="R156" s="121">
        <f>INDEX(Tabledaily[رقم المـــــرجـــع],MATCH(TableDailyJournal[[#This Row],[رقم العملية]],Tabledaily[رقم العملية],0))</f>
        <v>0</v>
      </c>
      <c r="S156" s="121" t="str">
        <f>INDEX(Tabledaily[مركـــــــزالتكلفــــــة],MATCH(TableDailyJournal[[#This Row],[رقم العملية]],Tabledaily[رقم العملية],0))</f>
        <v>الفرقة الثالثة</v>
      </c>
      <c r="T156" s="121">
        <f>IFERROR(INDEX(tablecost[رقم المركز],MATCH(TableDailyJournal[[#This Row],[مركـــــــزالتكلفــــــة]],tablecost[الاسم],0)),0)</f>
        <v>1</v>
      </c>
      <c r="U156" s="122">
        <f>IFERROR(DATE(TableDailyJournal[[#This Row],[السنــــة]],TableDailyJournal[[#This Row],[الشهــــر]],TableDailyJournal[[#This Row],[الـــــيوم]]),"01-01-2026")</f>
        <v>46180</v>
      </c>
      <c r="V156" s="126"/>
      <c r="W156" s="58"/>
      <c r="X156" s="58">
        <f>IFERROR(YEAR(TableDailyJournal[[#This Row],[التاريخ]]),"")</f>
        <v>2026</v>
      </c>
      <c r="Y156" s="58">
        <f>IFERROR(MONTH(TableDailyJournal[[#This Row],[التاريخ]]),"")</f>
        <v>6</v>
      </c>
      <c r="Z156" s="58">
        <f>IFERROR(DAY(TableDailyJournal[[#This Row],[التاريخ]]),"")</f>
        <v>7</v>
      </c>
      <c r="AA156"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156" s="121">
        <f>INDEX(Tabledaily[جهة الامر],MATCH(TableDailyJournal[[#This Row],[رقم العملية]],Tabledaily[رقم العملية],0))</f>
        <v>0</v>
      </c>
    </row>
    <row r="157" spans="2:28" ht="45.75" x14ac:dyDescent="0.55000000000000004">
      <c r="B157" s="58">
        <f t="shared" si="4"/>
        <v>153</v>
      </c>
      <c r="C157" s="59" t="s">
        <v>525</v>
      </c>
      <c r="D157" s="60">
        <f>INDEX(Tabledaily[date],MATCH(TableDailyJournal[[#This Row],[رقم العملية]],Tabledaily[رقم العملية],0))</f>
        <v>46180</v>
      </c>
      <c r="E157" s="58" t="str">
        <f>INDEX(Tabledaily[نوع العمليــة],MATCH(TableDailyJournal[[#This Row],[رقم العملية]],Tabledaily[رقم العملية],0))</f>
        <v>قيد عهده</v>
      </c>
      <c r="F157" s="58">
        <f>IFERROR(INDEX(TableJudje[رقم الحساب],MATCH(TableDailyJournal[[#This Row],[الحساب]],TableJudje[اسم الحساب],0)),0)</f>
        <v>11060205</v>
      </c>
      <c r="G157" s="58" t="s">
        <v>513</v>
      </c>
      <c r="H157"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157" s="60" t="str">
        <f>INDEX(Tabledaily[العملـــة],MATCH(TableDailyJournal[[#This Row],[رقم العملية]],Tabledaily[رقم العملية],0))</f>
        <v>ريال يمني</v>
      </c>
      <c r="J157" s="59">
        <f>IFERROR(INDEX(Tabledaily[سعــــــر
الصـــــرف],MATCH(C157,Tabledaily[رقم العملية],0)),1)</f>
        <v>405</v>
      </c>
      <c r="K157" s="123" cm="1">
        <f t="array" ref="K157">IFERROR(INDEX(Tabledaily[المبلـــــــغ],MATCH(1,(TableDailyJournal[[#This Row],[رقم العملية]]=Tabledaily[رقم العملية])*(TableDailyJournal[[#This Row],[الحساب]]=Tabledaily[الحســاب المديــــن]),0)),0)</f>
        <v>0</v>
      </c>
      <c r="L157" s="123" cm="1">
        <f t="array" ref="L157">IFERROR(INDEX(Tabledaily[المبلـــــــغ],MATCH(1,(TableDailyJournal[[#This Row],[رقم العملية]]=Tabledaily[رقم العملية])*(TableDailyJournal[[#This Row],[الحساب]]=Tabledaily[الحســاب الدئـــن]),0)),0)</f>
        <v>65000</v>
      </c>
      <c r="M157" s="119">
        <f>IFERROR(TableDailyJournal[[#This Row],[المبلغ مدين]]/TableDailyJournal[[#This Row],[سعــــــر
الصـــــرف]],0)</f>
        <v>0</v>
      </c>
      <c r="N157" s="119">
        <f>IFERROR(TableDailyJournal[[#This Row],[المبلغ دائن]]/TableDailyJournal[[#This Row],[سعــــــر
الصـــــرف]],0)</f>
        <v>160.49382716049382</v>
      </c>
      <c r="O157" s="121" t="str">
        <f>INDEX(Tabledaily[المستفيــــــــد],MATCH(TableDailyJournal[[#This Row],[رقم العملية]],Tabledaily[رقم العملية],0))</f>
        <v>الاستخبارات</v>
      </c>
      <c r="P157" s="121" t="str">
        <f>INDEX(Tabledaily[المــــرجـــــــــع],MATCH(TableDailyJournal[[#This Row],[رقم العملية]],Tabledaily[رقم العملية],0))</f>
        <v>كشف صرف</v>
      </c>
      <c r="Q157" s="121" t="str">
        <f>INDEX(Tabledaily[اســـــــم المــــرجــــع],MATCH(TableDailyJournal[[#This Row],[رقم العملية]],Tabledaily[رقم العملية],0))</f>
        <v>كشف صرف</v>
      </c>
      <c r="R157" s="121">
        <f>INDEX(Tabledaily[رقم المـــــرجـــع],MATCH(TableDailyJournal[[#This Row],[رقم العملية]],Tabledaily[رقم العملية],0))</f>
        <v>0</v>
      </c>
      <c r="S157" s="121" t="str">
        <f>INDEX(Tabledaily[مركـــــــزالتكلفــــــة],MATCH(TableDailyJournal[[#This Row],[رقم العملية]],Tabledaily[رقم العملية],0))</f>
        <v>الفرقة الثالثة</v>
      </c>
      <c r="T157" s="121">
        <f>IFERROR(INDEX(tablecost[رقم المركز],MATCH(TableDailyJournal[[#This Row],[مركـــــــزالتكلفــــــة]],tablecost[الاسم],0)),0)</f>
        <v>1</v>
      </c>
      <c r="U157" s="122">
        <f>IFERROR(DATE(TableDailyJournal[[#This Row],[السنــــة]],TableDailyJournal[[#This Row],[الشهــــر]],TableDailyJournal[[#This Row],[الـــــيوم]]),"01-01-2026")</f>
        <v>46180</v>
      </c>
      <c r="V157" s="126"/>
      <c r="W157" s="58"/>
      <c r="X157" s="58">
        <f>IFERROR(YEAR(TableDailyJournal[[#This Row],[التاريخ]]),"")</f>
        <v>2026</v>
      </c>
      <c r="Y157" s="58">
        <f>IFERROR(MONTH(TableDailyJournal[[#This Row],[التاريخ]]),"")</f>
        <v>6</v>
      </c>
      <c r="Z157" s="58">
        <f>IFERROR(DAY(TableDailyJournal[[#This Row],[التاريخ]]),"")</f>
        <v>7</v>
      </c>
      <c r="AA157"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157" s="121">
        <f>INDEX(Tabledaily[جهة الامر],MATCH(TableDailyJournal[[#This Row],[رقم العملية]],Tabledaily[رقم العملية],0))</f>
        <v>0</v>
      </c>
    </row>
    <row r="158" spans="2:28" ht="45.75" x14ac:dyDescent="0.55000000000000004">
      <c r="B158" s="58">
        <f t="shared" si="4"/>
        <v>154</v>
      </c>
      <c r="C158" s="59" t="s">
        <v>526</v>
      </c>
      <c r="D158" s="60">
        <f>INDEX(Tabledaily[date],MATCH(TableDailyJournal[[#This Row],[رقم العملية]],Tabledaily[رقم العملية],0))</f>
        <v>46180</v>
      </c>
      <c r="E158" s="58" t="str">
        <f>INDEX(Tabledaily[نوع العمليــة],MATCH(TableDailyJournal[[#This Row],[رقم العملية]],Tabledaily[رقم العملية],0))</f>
        <v>قيد عهده</v>
      </c>
      <c r="F158" s="58">
        <f>IFERROR(INDEX(TableJudje[رقم الحساب],MATCH(TableDailyJournal[[#This Row],[الحساب]],TableJudje[اسم الحساب],0)),0)</f>
        <v>31010101</v>
      </c>
      <c r="G158" s="58" t="s">
        <v>111</v>
      </c>
      <c r="H158"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6 بامر</v>
      </c>
      <c r="I158" s="60" t="str">
        <f>INDEX(Tabledaily[العملـــة],MATCH(TableDailyJournal[[#This Row],[رقم العملية]],Tabledaily[رقم العملية],0))</f>
        <v>ريال يمني</v>
      </c>
      <c r="J158" s="59">
        <f>IFERROR(INDEX(Tabledaily[سعــــــر
الصـــــرف],MATCH(C158,Tabledaily[رقم العملية],0)),1)</f>
        <v>405</v>
      </c>
      <c r="K158" s="123" cm="1">
        <f t="array" ref="K158">IFERROR(INDEX(Tabledaily[المبلـــــــغ],MATCH(1,(TableDailyJournal[[#This Row],[رقم العملية]]=Tabledaily[رقم العملية])*(TableDailyJournal[[#This Row],[الحساب]]=Tabledaily[الحســاب المديــــن]),0)),0)</f>
        <v>60000</v>
      </c>
      <c r="L158" s="123" cm="1">
        <f t="array" ref="L158">IFERROR(INDEX(Tabledaily[المبلـــــــغ],MATCH(1,(TableDailyJournal[[#This Row],[رقم العملية]]=Tabledaily[رقم العملية])*(TableDailyJournal[[#This Row],[الحساب]]=Tabledaily[الحســاب الدئـــن]),0)),0)</f>
        <v>0</v>
      </c>
      <c r="M158" s="119">
        <f>IFERROR(TableDailyJournal[[#This Row],[المبلغ مدين]]/TableDailyJournal[[#This Row],[سعــــــر
الصـــــرف]],0)</f>
        <v>148.14814814814815</v>
      </c>
      <c r="N158" s="119">
        <f>IFERROR(TableDailyJournal[[#This Row],[المبلغ دائن]]/TableDailyJournal[[#This Row],[سعــــــر
الصـــــرف]],0)</f>
        <v>0</v>
      </c>
      <c r="O158" s="121" t="str">
        <f>INDEX(Tabledaily[المستفيــــــــد],MATCH(TableDailyJournal[[#This Row],[رقم العملية]],Tabledaily[رقم العملية],0))</f>
        <v>المستشارين والمساعدين</v>
      </c>
      <c r="P158" s="121" t="str">
        <f>INDEX(Tabledaily[المــــرجـــــــــع],MATCH(TableDailyJournal[[#This Row],[رقم العملية]],Tabledaily[رقم العملية],0))</f>
        <v>كشف صرف</v>
      </c>
      <c r="Q158" s="121" t="str">
        <f>INDEX(Tabledaily[اســـــــم المــــرجــــع],MATCH(TableDailyJournal[[#This Row],[رقم العملية]],Tabledaily[رقم العملية],0))</f>
        <v>كشف صرف</v>
      </c>
      <c r="R158" s="121">
        <f>INDEX(Tabledaily[رقم المـــــرجـــع],MATCH(TableDailyJournal[[#This Row],[رقم العملية]],Tabledaily[رقم العملية],0))</f>
        <v>0</v>
      </c>
      <c r="S158" s="121" t="str">
        <f>INDEX(Tabledaily[مركـــــــزالتكلفــــــة],MATCH(TableDailyJournal[[#This Row],[رقم العملية]],Tabledaily[رقم العملية],0))</f>
        <v>الفرقة الثالثة</v>
      </c>
      <c r="T158" s="121">
        <f>IFERROR(INDEX(tablecost[رقم المركز],MATCH(TableDailyJournal[[#This Row],[مركـــــــزالتكلفــــــة]],tablecost[الاسم],0)),0)</f>
        <v>1</v>
      </c>
      <c r="U158" s="122">
        <f>IFERROR(DATE(TableDailyJournal[[#This Row],[السنــــة]],TableDailyJournal[[#This Row],[الشهــــر]],TableDailyJournal[[#This Row],[الـــــيوم]]),"01-01-2026")</f>
        <v>46180</v>
      </c>
      <c r="V158" s="126"/>
      <c r="W158" s="58"/>
      <c r="X158" s="58">
        <f>IFERROR(YEAR(TableDailyJournal[[#This Row],[التاريخ]]),"")</f>
        <v>2026</v>
      </c>
      <c r="Y158" s="58">
        <f>IFERROR(MONTH(TableDailyJournal[[#This Row],[التاريخ]]),"")</f>
        <v>6</v>
      </c>
      <c r="Z158" s="58">
        <f>IFERROR(DAY(TableDailyJournal[[#This Row],[التاريخ]]),"")</f>
        <v>7</v>
      </c>
      <c r="AA158"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6 بامر</v>
      </c>
      <c r="AB158" s="121">
        <f>INDEX(Tabledaily[جهة الامر],MATCH(TableDailyJournal[[#This Row],[رقم العملية]],Tabledaily[رقم العملية],0))</f>
        <v>0</v>
      </c>
    </row>
    <row r="159" spans="2:28" ht="45.75" x14ac:dyDescent="0.55000000000000004">
      <c r="B159" s="58">
        <f t="shared" si="4"/>
        <v>155</v>
      </c>
      <c r="C159" s="59" t="s">
        <v>526</v>
      </c>
      <c r="D159" s="60">
        <f>INDEX(Tabledaily[date],MATCH(TableDailyJournal[[#This Row],[رقم العملية]],Tabledaily[رقم العملية],0))</f>
        <v>46180</v>
      </c>
      <c r="E159" s="58" t="str">
        <f>INDEX(Tabledaily[نوع العمليــة],MATCH(TableDailyJournal[[#This Row],[رقم العملية]],Tabledaily[رقم العملية],0))</f>
        <v>قيد عهده</v>
      </c>
      <c r="F159" s="58">
        <f>IFERROR(INDEX(TableJudje[رقم الحساب],MATCH(TableDailyJournal[[#This Row],[الحساب]],TableJudje[اسم الحساب],0)),0)</f>
        <v>11060205</v>
      </c>
      <c r="G159" s="58" t="s">
        <v>513</v>
      </c>
      <c r="H159"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6 بامر</v>
      </c>
      <c r="I159" s="60" t="str">
        <f>INDEX(Tabledaily[العملـــة],MATCH(TableDailyJournal[[#This Row],[رقم العملية]],Tabledaily[رقم العملية],0))</f>
        <v>ريال يمني</v>
      </c>
      <c r="J159" s="59">
        <f>IFERROR(INDEX(Tabledaily[سعــــــر
الصـــــرف],MATCH(C159,Tabledaily[رقم العملية],0)),1)</f>
        <v>405</v>
      </c>
      <c r="K159" s="123" cm="1">
        <f t="array" ref="K159">IFERROR(INDEX(Tabledaily[المبلـــــــغ],MATCH(1,(TableDailyJournal[[#This Row],[رقم العملية]]=Tabledaily[رقم العملية])*(TableDailyJournal[[#This Row],[الحساب]]=Tabledaily[الحســاب المديــــن]),0)),0)</f>
        <v>0</v>
      </c>
      <c r="L159" s="123" cm="1">
        <f t="array" ref="L159">IFERROR(INDEX(Tabledaily[المبلـــــــغ],MATCH(1,(TableDailyJournal[[#This Row],[رقم العملية]]=Tabledaily[رقم العملية])*(TableDailyJournal[[#This Row],[الحساب]]=Tabledaily[الحســاب الدئـــن]),0)),0)</f>
        <v>60000</v>
      </c>
      <c r="M159" s="119">
        <f>IFERROR(TableDailyJournal[[#This Row],[المبلغ مدين]]/TableDailyJournal[[#This Row],[سعــــــر
الصـــــرف]],0)</f>
        <v>0</v>
      </c>
      <c r="N159" s="119">
        <f>IFERROR(TableDailyJournal[[#This Row],[المبلغ دائن]]/TableDailyJournal[[#This Row],[سعــــــر
الصـــــرف]],0)</f>
        <v>148.14814814814815</v>
      </c>
      <c r="O159" s="121" t="str">
        <f>INDEX(Tabledaily[المستفيــــــــد],MATCH(TableDailyJournal[[#This Row],[رقم العملية]],Tabledaily[رقم العملية],0))</f>
        <v>المستشارين والمساعدين</v>
      </c>
      <c r="P159" s="121" t="str">
        <f>INDEX(Tabledaily[المــــرجـــــــــع],MATCH(TableDailyJournal[[#This Row],[رقم العملية]],Tabledaily[رقم العملية],0))</f>
        <v>كشف صرف</v>
      </c>
      <c r="Q159" s="121" t="str">
        <f>INDEX(Tabledaily[اســـــــم المــــرجــــع],MATCH(TableDailyJournal[[#This Row],[رقم العملية]],Tabledaily[رقم العملية],0))</f>
        <v>كشف صرف</v>
      </c>
      <c r="R159" s="121">
        <f>INDEX(Tabledaily[رقم المـــــرجـــع],MATCH(TableDailyJournal[[#This Row],[رقم العملية]],Tabledaily[رقم العملية],0))</f>
        <v>0</v>
      </c>
      <c r="S159" s="121" t="str">
        <f>INDEX(Tabledaily[مركـــــــزالتكلفــــــة],MATCH(TableDailyJournal[[#This Row],[رقم العملية]],Tabledaily[رقم العملية],0))</f>
        <v>الفرقة الثالثة</v>
      </c>
      <c r="T159" s="121">
        <f>IFERROR(INDEX(tablecost[رقم المركز],MATCH(TableDailyJournal[[#This Row],[مركـــــــزالتكلفــــــة]],tablecost[الاسم],0)),0)</f>
        <v>1</v>
      </c>
      <c r="U159" s="122">
        <f>IFERROR(DATE(TableDailyJournal[[#This Row],[السنــــة]],TableDailyJournal[[#This Row],[الشهــــر]],TableDailyJournal[[#This Row],[الـــــيوم]]),"01-01-2026")</f>
        <v>46180</v>
      </c>
      <c r="V159" s="126"/>
      <c r="W159" s="58"/>
      <c r="X159" s="58">
        <f>IFERROR(YEAR(TableDailyJournal[[#This Row],[التاريخ]]),"")</f>
        <v>2026</v>
      </c>
      <c r="Y159" s="58">
        <f>IFERROR(MONTH(TableDailyJournal[[#This Row],[التاريخ]]),"")</f>
        <v>6</v>
      </c>
      <c r="Z159" s="58">
        <f>IFERROR(DAY(TableDailyJournal[[#This Row],[التاريخ]]),"")</f>
        <v>7</v>
      </c>
      <c r="AA159"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6 بامر</v>
      </c>
      <c r="AB159" s="121">
        <f>INDEX(Tabledaily[جهة الامر],MATCH(TableDailyJournal[[#This Row],[رقم العملية]],Tabledaily[رقم العملية],0))</f>
        <v>0</v>
      </c>
    </row>
    <row r="160" spans="2:28" ht="45.75" x14ac:dyDescent="0.55000000000000004">
      <c r="B160" s="58">
        <f t="shared" si="4"/>
        <v>156</v>
      </c>
      <c r="C160" s="59" t="s">
        <v>528</v>
      </c>
      <c r="D160" s="60">
        <f>INDEX(Tabledaily[date],MATCH(TableDailyJournal[[#This Row],[رقم العملية]],Tabledaily[رقم العملية],0))</f>
        <v>46180</v>
      </c>
      <c r="E160" s="58" t="str">
        <f>INDEX(Tabledaily[نوع العمليــة],MATCH(TableDailyJournal[[#This Row],[رقم العملية]],Tabledaily[رقم العملية],0))</f>
        <v>قيد عهده</v>
      </c>
      <c r="F160" s="58">
        <f>IFERROR(INDEX(TableJudje[رقم الحساب],MATCH(TableDailyJournal[[#This Row],[الحساب]],TableJudje[اسم الحساب],0)),0)</f>
        <v>31010101</v>
      </c>
      <c r="G160" s="58" t="s">
        <v>111</v>
      </c>
      <c r="H160"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I160" s="60" t="str">
        <f>INDEX(Tabledaily[العملـــة],MATCH(TableDailyJournal[[#This Row],[رقم العملية]],Tabledaily[رقم العملية],0))</f>
        <v>ريال يمني</v>
      </c>
      <c r="J160" s="59">
        <f>IFERROR(INDEX(Tabledaily[سعــــــر
الصـــــرف],MATCH(C160,Tabledaily[رقم العملية],0)),1)</f>
        <v>405</v>
      </c>
      <c r="K160" s="123" cm="1">
        <f t="array" ref="K160">IFERROR(INDEX(Tabledaily[المبلـــــــغ],MATCH(1,(TableDailyJournal[[#This Row],[رقم العملية]]=Tabledaily[رقم العملية])*(TableDailyJournal[[#This Row],[الحساب]]=Tabledaily[الحســاب المديــــن]),0)),0)</f>
        <v>32000</v>
      </c>
      <c r="L160" s="123" cm="1">
        <f t="array" ref="L160">IFERROR(INDEX(Tabledaily[المبلـــــــغ],MATCH(1,(TableDailyJournal[[#This Row],[رقم العملية]]=Tabledaily[رقم العملية])*(TableDailyJournal[[#This Row],[الحساب]]=Tabledaily[الحســاب الدئـــن]),0)),0)</f>
        <v>0</v>
      </c>
      <c r="M160" s="119">
        <f>IFERROR(TableDailyJournal[[#This Row],[المبلغ مدين]]/TableDailyJournal[[#This Row],[سعــــــر
الصـــــرف]],0)</f>
        <v>79.012345679012341</v>
      </c>
      <c r="N160" s="119">
        <f>IFERROR(TableDailyJournal[[#This Row],[المبلغ دائن]]/TableDailyJournal[[#This Row],[سعــــــر
الصـــــرف]],0)</f>
        <v>0</v>
      </c>
      <c r="O160" s="121" t="str">
        <f>INDEX(Tabledaily[المستفيــــــــد],MATCH(TableDailyJournal[[#This Row],[رقم العملية]],Tabledaily[رقم العملية],0))</f>
        <v>الطبية والمحاسبين</v>
      </c>
      <c r="P160" s="121" t="str">
        <f>INDEX(Tabledaily[المــــرجـــــــــع],MATCH(TableDailyJournal[[#This Row],[رقم العملية]],Tabledaily[رقم العملية],0))</f>
        <v>كشف صرف</v>
      </c>
      <c r="Q160" s="121" t="str">
        <f>INDEX(Tabledaily[اســـــــم المــــرجــــع],MATCH(TableDailyJournal[[#This Row],[رقم العملية]],Tabledaily[رقم العملية],0))</f>
        <v>كشف صرف</v>
      </c>
      <c r="R160" s="121">
        <f>INDEX(Tabledaily[رقم المـــــرجـــع],MATCH(TableDailyJournal[[#This Row],[رقم العملية]],Tabledaily[رقم العملية],0))</f>
        <v>0</v>
      </c>
      <c r="S160" s="121" t="str">
        <f>INDEX(Tabledaily[مركـــــــزالتكلفــــــة],MATCH(TableDailyJournal[[#This Row],[رقم العملية]],Tabledaily[رقم العملية],0))</f>
        <v>الفرقة الثالثة</v>
      </c>
      <c r="T160" s="121">
        <f>IFERROR(INDEX(tablecost[رقم المركز],MATCH(TableDailyJournal[[#This Row],[مركـــــــزالتكلفــــــة]],tablecost[الاسم],0)),0)</f>
        <v>1</v>
      </c>
      <c r="U160" s="122">
        <f>IFERROR(DATE(TableDailyJournal[[#This Row],[السنــــة]],TableDailyJournal[[#This Row],[الشهــــر]],TableDailyJournal[[#This Row],[الـــــيوم]]),"01-01-2026")</f>
        <v>46180</v>
      </c>
      <c r="V160" s="126"/>
      <c r="W160" s="58"/>
      <c r="X160" s="58">
        <f>IFERROR(YEAR(TableDailyJournal[[#This Row],[التاريخ]]),"")</f>
        <v>2026</v>
      </c>
      <c r="Y160" s="58">
        <f>IFERROR(MONTH(TableDailyJournal[[#This Row],[التاريخ]]),"")</f>
        <v>6</v>
      </c>
      <c r="Z160" s="58">
        <f>IFERROR(DAY(TableDailyJournal[[#This Row],[التاريخ]]),"")</f>
        <v>7</v>
      </c>
      <c r="AA160"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AB160" s="121">
        <f>INDEX(Tabledaily[جهة الامر],MATCH(TableDailyJournal[[#This Row],[رقم العملية]],Tabledaily[رقم العملية],0))</f>
        <v>0</v>
      </c>
    </row>
    <row r="161" spans="2:28" ht="45.75" x14ac:dyDescent="0.55000000000000004">
      <c r="B161" s="58">
        <f t="shared" si="4"/>
        <v>157</v>
      </c>
      <c r="C161" s="59" t="s">
        <v>528</v>
      </c>
      <c r="D161" s="60">
        <f>INDEX(Tabledaily[date],MATCH(TableDailyJournal[[#This Row],[رقم العملية]],Tabledaily[رقم العملية],0))</f>
        <v>46180</v>
      </c>
      <c r="E161" s="58" t="str">
        <f>INDEX(Tabledaily[نوع العمليــة],MATCH(TableDailyJournal[[#This Row],[رقم العملية]],Tabledaily[رقم العملية],0))</f>
        <v>قيد عهده</v>
      </c>
      <c r="F161" s="58">
        <f>IFERROR(INDEX(TableJudje[رقم الحساب],MATCH(TableDailyJournal[[#This Row],[الحساب]],TableJudje[اسم الحساب],0)),0)</f>
        <v>11060205</v>
      </c>
      <c r="G161" s="58" t="s">
        <v>513</v>
      </c>
      <c r="H161"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I161" s="60" t="str">
        <f>INDEX(Tabledaily[العملـــة],MATCH(TableDailyJournal[[#This Row],[رقم العملية]],Tabledaily[رقم العملية],0))</f>
        <v>ريال يمني</v>
      </c>
      <c r="J161" s="59">
        <f>IFERROR(INDEX(Tabledaily[سعــــــر
الصـــــرف],MATCH(C161,Tabledaily[رقم العملية],0)),1)</f>
        <v>405</v>
      </c>
      <c r="K161" s="123" cm="1">
        <f t="array" ref="K161">IFERROR(INDEX(Tabledaily[المبلـــــــغ],MATCH(1,(TableDailyJournal[[#This Row],[رقم العملية]]=Tabledaily[رقم العملية])*(TableDailyJournal[[#This Row],[الحساب]]=Tabledaily[الحســاب المديــــن]),0)),0)</f>
        <v>0</v>
      </c>
      <c r="L161" s="123" cm="1">
        <f t="array" ref="L161">IFERROR(INDEX(Tabledaily[المبلـــــــغ],MATCH(1,(TableDailyJournal[[#This Row],[رقم العملية]]=Tabledaily[رقم العملية])*(TableDailyJournal[[#This Row],[الحساب]]=Tabledaily[الحســاب الدئـــن]),0)),0)</f>
        <v>32000</v>
      </c>
      <c r="M161" s="119">
        <f>IFERROR(TableDailyJournal[[#This Row],[المبلغ مدين]]/TableDailyJournal[[#This Row],[سعــــــر
الصـــــرف]],0)</f>
        <v>0</v>
      </c>
      <c r="N161" s="119">
        <f>IFERROR(TableDailyJournal[[#This Row],[المبلغ دائن]]/TableDailyJournal[[#This Row],[سعــــــر
الصـــــرف]],0)</f>
        <v>79.012345679012341</v>
      </c>
      <c r="O161" s="121" t="str">
        <f>INDEX(Tabledaily[المستفيــــــــد],MATCH(TableDailyJournal[[#This Row],[رقم العملية]],Tabledaily[رقم العملية],0))</f>
        <v>الطبية والمحاسبين</v>
      </c>
      <c r="P161" s="121" t="str">
        <f>INDEX(Tabledaily[المــــرجـــــــــع],MATCH(TableDailyJournal[[#This Row],[رقم العملية]],Tabledaily[رقم العملية],0))</f>
        <v>كشف صرف</v>
      </c>
      <c r="Q161" s="121" t="str">
        <f>INDEX(Tabledaily[اســـــــم المــــرجــــع],MATCH(TableDailyJournal[[#This Row],[رقم العملية]],Tabledaily[رقم العملية],0))</f>
        <v>كشف صرف</v>
      </c>
      <c r="R161" s="121">
        <f>INDEX(Tabledaily[رقم المـــــرجـــع],MATCH(TableDailyJournal[[#This Row],[رقم العملية]],Tabledaily[رقم العملية],0))</f>
        <v>0</v>
      </c>
      <c r="S161" s="121" t="str">
        <f>INDEX(Tabledaily[مركـــــــزالتكلفــــــة],MATCH(TableDailyJournal[[#This Row],[رقم العملية]],Tabledaily[رقم العملية],0))</f>
        <v>الفرقة الثالثة</v>
      </c>
      <c r="T161" s="121">
        <f>IFERROR(INDEX(tablecost[رقم المركز],MATCH(TableDailyJournal[[#This Row],[مركـــــــزالتكلفــــــة]],tablecost[الاسم],0)),0)</f>
        <v>1</v>
      </c>
      <c r="U161" s="122">
        <f>IFERROR(DATE(TableDailyJournal[[#This Row],[السنــــة]],TableDailyJournal[[#This Row],[الشهــــر]],TableDailyJournal[[#This Row],[الـــــيوم]]),"01-01-2026")</f>
        <v>46180</v>
      </c>
      <c r="V161" s="126"/>
      <c r="W161" s="58"/>
      <c r="X161" s="58">
        <f>IFERROR(YEAR(TableDailyJournal[[#This Row],[التاريخ]]),"")</f>
        <v>2026</v>
      </c>
      <c r="Y161" s="58">
        <f>IFERROR(MONTH(TableDailyJournal[[#This Row],[التاريخ]]),"")</f>
        <v>6</v>
      </c>
      <c r="Z161" s="58">
        <f>IFERROR(DAY(TableDailyJournal[[#This Row],[التاريخ]]),"")</f>
        <v>7</v>
      </c>
      <c r="AA161"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AB161" s="121">
        <f>INDEX(Tabledaily[جهة الامر],MATCH(TableDailyJournal[[#This Row],[رقم العملية]],Tabledaily[رقم العملية],0))</f>
        <v>0</v>
      </c>
    </row>
    <row r="162" spans="2:28" ht="45.75" x14ac:dyDescent="0.55000000000000004">
      <c r="B162" s="58">
        <f t="shared" si="4"/>
        <v>158</v>
      </c>
      <c r="C162" s="59" t="s">
        <v>529</v>
      </c>
      <c r="D162" s="60">
        <f>INDEX(Tabledaily[date],MATCH(TableDailyJournal[[#This Row],[رقم العملية]],Tabledaily[رقم العملية],0))</f>
        <v>46180</v>
      </c>
      <c r="E162" s="58" t="str">
        <f>INDEX(Tabledaily[نوع العمليــة],MATCH(TableDailyJournal[[#This Row],[رقم العملية]],Tabledaily[رقم العملية],0))</f>
        <v>قيد عهده</v>
      </c>
      <c r="F162" s="58">
        <f>IFERROR(INDEX(TableJudje[رقم الحساب],MATCH(TableDailyJournal[[#This Row],[الحساب]],TableJudje[اسم الحساب],0)),0)</f>
        <v>31010101</v>
      </c>
      <c r="G162" s="58" t="s">
        <v>111</v>
      </c>
      <c r="H162"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162" s="60" t="str">
        <f>INDEX(Tabledaily[العملـــة],MATCH(TableDailyJournal[[#This Row],[رقم العملية]],Tabledaily[رقم العملية],0))</f>
        <v>ريال يمني</v>
      </c>
      <c r="J162" s="59">
        <f>IFERROR(INDEX(Tabledaily[سعــــــر
الصـــــرف],MATCH(C162,Tabledaily[رقم العملية],0)),1)</f>
        <v>405</v>
      </c>
      <c r="K162" s="123" cm="1">
        <f t="array" ref="K162">IFERROR(INDEX(Tabledaily[المبلـــــــغ],MATCH(1,(TableDailyJournal[[#This Row],[رقم العملية]]=Tabledaily[رقم العملية])*(TableDailyJournal[[#This Row],[الحساب]]=Tabledaily[الحســاب المديــــن]),0)),0)</f>
        <v>70000</v>
      </c>
      <c r="L162" s="123" cm="1">
        <f t="array" ref="L162">IFERROR(INDEX(Tabledaily[المبلـــــــغ],MATCH(1,(TableDailyJournal[[#This Row],[رقم العملية]]=Tabledaily[رقم العملية])*(TableDailyJournal[[#This Row],[الحساب]]=Tabledaily[الحســاب الدئـــن]),0)),0)</f>
        <v>0</v>
      </c>
      <c r="M162" s="119">
        <f>IFERROR(TableDailyJournal[[#This Row],[المبلغ مدين]]/TableDailyJournal[[#This Row],[سعــــــر
الصـــــرف]],0)</f>
        <v>172.83950617283949</v>
      </c>
      <c r="N162" s="119">
        <f>IFERROR(TableDailyJournal[[#This Row],[المبلغ دائن]]/TableDailyJournal[[#This Row],[سعــــــر
الصـــــرف]],0)</f>
        <v>0</v>
      </c>
      <c r="O162" s="121" t="str">
        <f>INDEX(Tabledaily[المستفيــــــــد],MATCH(TableDailyJournal[[#This Row],[رقم العملية]],Tabledaily[رقم العملية],0))</f>
        <v>الضباط السابقين</v>
      </c>
      <c r="P162" s="121" t="str">
        <f>INDEX(Tabledaily[المــــرجـــــــــع],MATCH(TableDailyJournal[[#This Row],[رقم العملية]],Tabledaily[رقم العملية],0))</f>
        <v>كشف صرف</v>
      </c>
      <c r="Q162" s="121" t="str">
        <f>INDEX(Tabledaily[اســـــــم المــــرجــــع],MATCH(TableDailyJournal[[#This Row],[رقم العملية]],Tabledaily[رقم العملية],0))</f>
        <v>كشف صرف</v>
      </c>
      <c r="R162" s="121">
        <f>INDEX(Tabledaily[رقم المـــــرجـــع],MATCH(TableDailyJournal[[#This Row],[رقم العملية]],Tabledaily[رقم العملية],0))</f>
        <v>0</v>
      </c>
      <c r="S162" s="121" t="str">
        <f>INDEX(Tabledaily[مركـــــــزالتكلفــــــة],MATCH(TableDailyJournal[[#This Row],[رقم العملية]],Tabledaily[رقم العملية],0))</f>
        <v>الفرقة الثالثة</v>
      </c>
      <c r="T162" s="121">
        <f>IFERROR(INDEX(tablecost[رقم المركز],MATCH(TableDailyJournal[[#This Row],[مركـــــــزالتكلفــــــة]],tablecost[الاسم],0)),0)</f>
        <v>1</v>
      </c>
      <c r="U162" s="122">
        <f>IFERROR(DATE(TableDailyJournal[[#This Row],[السنــــة]],TableDailyJournal[[#This Row],[الشهــــر]],TableDailyJournal[[#This Row],[الـــــيوم]]),"01-01-2026")</f>
        <v>46180</v>
      </c>
      <c r="V162" s="126"/>
      <c r="W162" s="58"/>
      <c r="X162" s="58">
        <f>IFERROR(YEAR(TableDailyJournal[[#This Row],[التاريخ]]),"")</f>
        <v>2026</v>
      </c>
      <c r="Y162" s="58">
        <f>IFERROR(MONTH(TableDailyJournal[[#This Row],[التاريخ]]),"")</f>
        <v>6</v>
      </c>
      <c r="Z162" s="58">
        <f>IFERROR(DAY(TableDailyJournal[[#This Row],[التاريخ]]),"")</f>
        <v>7</v>
      </c>
      <c r="AA162"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162" s="121">
        <f>INDEX(Tabledaily[جهة الامر],MATCH(TableDailyJournal[[#This Row],[رقم العملية]],Tabledaily[رقم العملية],0))</f>
        <v>0</v>
      </c>
    </row>
    <row r="163" spans="2:28" ht="45.75" x14ac:dyDescent="0.55000000000000004">
      <c r="B163" s="58">
        <f t="shared" si="4"/>
        <v>159</v>
      </c>
      <c r="C163" s="59" t="s">
        <v>529</v>
      </c>
      <c r="D163" s="60">
        <f>INDEX(Tabledaily[date],MATCH(TableDailyJournal[[#This Row],[رقم العملية]],Tabledaily[رقم العملية],0))</f>
        <v>46180</v>
      </c>
      <c r="E163" s="58" t="str">
        <f>INDEX(Tabledaily[نوع العمليــة],MATCH(TableDailyJournal[[#This Row],[رقم العملية]],Tabledaily[رقم العملية],0))</f>
        <v>قيد عهده</v>
      </c>
      <c r="F163" s="58">
        <f>IFERROR(INDEX(TableJudje[رقم الحساب],MATCH(TableDailyJournal[[#This Row],[الحساب]],TableJudje[اسم الحساب],0)),0)</f>
        <v>11060205</v>
      </c>
      <c r="G163" s="58" t="s">
        <v>513</v>
      </c>
      <c r="H163"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163" s="60" t="str">
        <f>INDEX(Tabledaily[العملـــة],MATCH(TableDailyJournal[[#This Row],[رقم العملية]],Tabledaily[رقم العملية],0))</f>
        <v>ريال يمني</v>
      </c>
      <c r="J163" s="59">
        <f>IFERROR(INDEX(Tabledaily[سعــــــر
الصـــــرف],MATCH(C163,Tabledaily[رقم العملية],0)),1)</f>
        <v>405</v>
      </c>
      <c r="K163" s="123" cm="1">
        <f t="array" ref="K163">IFERROR(INDEX(Tabledaily[المبلـــــــغ],MATCH(1,(TableDailyJournal[[#This Row],[رقم العملية]]=Tabledaily[رقم العملية])*(TableDailyJournal[[#This Row],[الحساب]]=Tabledaily[الحســاب المديــــن]),0)),0)</f>
        <v>0</v>
      </c>
      <c r="L163" s="123" cm="1">
        <f t="array" ref="L163">IFERROR(INDEX(Tabledaily[المبلـــــــغ],MATCH(1,(TableDailyJournal[[#This Row],[رقم العملية]]=Tabledaily[رقم العملية])*(TableDailyJournal[[#This Row],[الحساب]]=Tabledaily[الحســاب الدئـــن]),0)),0)</f>
        <v>70000</v>
      </c>
      <c r="M163" s="119">
        <f>IFERROR(TableDailyJournal[[#This Row],[المبلغ مدين]]/TableDailyJournal[[#This Row],[سعــــــر
الصـــــرف]],0)</f>
        <v>0</v>
      </c>
      <c r="N163" s="119">
        <f>IFERROR(TableDailyJournal[[#This Row],[المبلغ دائن]]/TableDailyJournal[[#This Row],[سعــــــر
الصـــــرف]],0)</f>
        <v>172.83950617283949</v>
      </c>
      <c r="O163" s="121" t="str">
        <f>INDEX(Tabledaily[المستفيــــــــد],MATCH(TableDailyJournal[[#This Row],[رقم العملية]],Tabledaily[رقم العملية],0))</f>
        <v>الضباط السابقين</v>
      </c>
      <c r="P163" s="121" t="str">
        <f>INDEX(Tabledaily[المــــرجـــــــــع],MATCH(TableDailyJournal[[#This Row],[رقم العملية]],Tabledaily[رقم العملية],0))</f>
        <v>كشف صرف</v>
      </c>
      <c r="Q163" s="121" t="str">
        <f>INDEX(Tabledaily[اســـــــم المــــرجــــع],MATCH(TableDailyJournal[[#This Row],[رقم العملية]],Tabledaily[رقم العملية],0))</f>
        <v>كشف صرف</v>
      </c>
      <c r="R163" s="121">
        <f>INDEX(Tabledaily[رقم المـــــرجـــع],MATCH(TableDailyJournal[[#This Row],[رقم العملية]],Tabledaily[رقم العملية],0))</f>
        <v>0</v>
      </c>
      <c r="S163" s="121" t="str">
        <f>INDEX(Tabledaily[مركـــــــزالتكلفــــــة],MATCH(TableDailyJournal[[#This Row],[رقم العملية]],Tabledaily[رقم العملية],0))</f>
        <v>الفرقة الثالثة</v>
      </c>
      <c r="T163" s="121">
        <f>IFERROR(INDEX(tablecost[رقم المركز],MATCH(TableDailyJournal[[#This Row],[مركـــــــزالتكلفــــــة]],tablecost[الاسم],0)),0)</f>
        <v>1</v>
      </c>
      <c r="U163" s="122">
        <f>IFERROR(DATE(TableDailyJournal[[#This Row],[السنــــة]],TableDailyJournal[[#This Row],[الشهــــر]],TableDailyJournal[[#This Row],[الـــــيوم]]),"01-01-2026")</f>
        <v>46180</v>
      </c>
      <c r="V163" s="126"/>
      <c r="W163" s="58"/>
      <c r="X163" s="58">
        <f>IFERROR(YEAR(TableDailyJournal[[#This Row],[التاريخ]]),"")</f>
        <v>2026</v>
      </c>
      <c r="Y163" s="58">
        <f>IFERROR(MONTH(TableDailyJournal[[#This Row],[التاريخ]]),"")</f>
        <v>6</v>
      </c>
      <c r="Z163" s="58">
        <f>IFERROR(DAY(TableDailyJournal[[#This Row],[التاريخ]]),"")</f>
        <v>7</v>
      </c>
      <c r="AA163"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163" s="121">
        <f>INDEX(Tabledaily[جهة الامر],MATCH(TableDailyJournal[[#This Row],[رقم العملية]],Tabledaily[رقم العملية],0))</f>
        <v>0</v>
      </c>
    </row>
    <row r="164" spans="2:28" ht="45.75" x14ac:dyDescent="0.55000000000000004">
      <c r="B164" s="58">
        <f t="shared" si="4"/>
        <v>160</v>
      </c>
      <c r="C164" s="59" t="s">
        <v>530</v>
      </c>
      <c r="D164" s="60">
        <f>INDEX(Tabledaily[date],MATCH(TableDailyJournal[[#This Row],[رقم العملية]],Tabledaily[رقم العملية],0))</f>
        <v>46180</v>
      </c>
      <c r="E164" s="58" t="str">
        <f>INDEX(Tabledaily[نوع العمليــة],MATCH(TableDailyJournal[[#This Row],[رقم العملية]],Tabledaily[رقم العملية],0))</f>
        <v>قيد عهده</v>
      </c>
      <c r="F164" s="58">
        <f>IFERROR(INDEX(TableJudje[رقم الحساب],MATCH(TableDailyJournal[[#This Row],[الحساب]],TableJudje[اسم الحساب],0)),0)</f>
        <v>31010101</v>
      </c>
      <c r="G164" s="58" t="s">
        <v>111</v>
      </c>
      <c r="H164"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6 بامر</v>
      </c>
      <c r="I164" s="60" t="str">
        <f>INDEX(Tabledaily[العملـــة],MATCH(TableDailyJournal[[#This Row],[رقم العملية]],Tabledaily[رقم العملية],0))</f>
        <v>ريال يمني</v>
      </c>
      <c r="J164" s="59">
        <f>IFERROR(INDEX(Tabledaily[سعــــــر
الصـــــرف],MATCH(C164,Tabledaily[رقم العملية],0)),1)</f>
        <v>405</v>
      </c>
      <c r="K164" s="123" cm="1">
        <f t="array" ref="K164">IFERROR(INDEX(Tabledaily[المبلـــــــغ],MATCH(1,(TableDailyJournal[[#This Row],[رقم العملية]]=Tabledaily[رقم العملية])*(TableDailyJournal[[#This Row],[الحساب]]=Tabledaily[الحســاب المديــــن]),0)),0)</f>
        <v>60000</v>
      </c>
      <c r="L164" s="123" cm="1">
        <f t="array" ref="L164">IFERROR(INDEX(Tabledaily[المبلـــــــغ],MATCH(1,(TableDailyJournal[[#This Row],[رقم العملية]]=Tabledaily[رقم العملية])*(TableDailyJournal[[#This Row],[الحساب]]=Tabledaily[الحســاب الدئـــن]),0)),0)</f>
        <v>0</v>
      </c>
      <c r="M164" s="119">
        <f>IFERROR(TableDailyJournal[[#This Row],[المبلغ مدين]]/TableDailyJournal[[#This Row],[سعــــــر
الصـــــرف]],0)</f>
        <v>148.14814814814815</v>
      </c>
      <c r="N164" s="119">
        <f>IFERROR(TableDailyJournal[[#This Row],[المبلغ دائن]]/TableDailyJournal[[#This Row],[سعــــــر
الصـــــرف]],0)</f>
        <v>0</v>
      </c>
      <c r="O164" s="121" t="str">
        <f>INDEX(Tabledaily[المستفيــــــــد],MATCH(TableDailyJournal[[#This Row],[رقم العملية]],Tabledaily[رقم العملية],0))</f>
        <v>اخرون</v>
      </c>
      <c r="P164" s="121" t="str">
        <f>INDEX(Tabledaily[المــــرجـــــــــع],MATCH(TableDailyJournal[[#This Row],[رقم العملية]],Tabledaily[رقم العملية],0))</f>
        <v>كشف صرف</v>
      </c>
      <c r="Q164" s="121" t="str">
        <f>INDEX(Tabledaily[اســـــــم المــــرجــــع],MATCH(TableDailyJournal[[#This Row],[رقم العملية]],Tabledaily[رقم العملية],0))</f>
        <v>كشف صرف</v>
      </c>
      <c r="R164" s="121">
        <f>INDEX(Tabledaily[رقم المـــــرجـــع],MATCH(TableDailyJournal[[#This Row],[رقم العملية]],Tabledaily[رقم العملية],0))</f>
        <v>0</v>
      </c>
      <c r="S164" s="121" t="str">
        <f>INDEX(Tabledaily[مركـــــــزالتكلفــــــة],MATCH(TableDailyJournal[[#This Row],[رقم العملية]],Tabledaily[رقم العملية],0))</f>
        <v>الفرقة الثالثة</v>
      </c>
      <c r="T164" s="121">
        <f>IFERROR(INDEX(tablecost[رقم المركز],MATCH(TableDailyJournal[[#This Row],[مركـــــــزالتكلفــــــة]],tablecost[الاسم],0)),0)</f>
        <v>1</v>
      </c>
      <c r="U164" s="122">
        <f>IFERROR(DATE(TableDailyJournal[[#This Row],[السنــــة]],TableDailyJournal[[#This Row],[الشهــــر]],TableDailyJournal[[#This Row],[الـــــيوم]]),"01-01-2026")</f>
        <v>46180</v>
      </c>
      <c r="V164" s="126"/>
      <c r="W164" s="58"/>
      <c r="X164" s="58">
        <f>IFERROR(YEAR(TableDailyJournal[[#This Row],[التاريخ]]),"")</f>
        <v>2026</v>
      </c>
      <c r="Y164" s="58">
        <f>IFERROR(MONTH(TableDailyJournal[[#This Row],[التاريخ]]),"")</f>
        <v>6</v>
      </c>
      <c r="Z164" s="58">
        <f>IFERROR(DAY(TableDailyJournal[[#This Row],[التاريخ]]),"")</f>
        <v>7</v>
      </c>
      <c r="AA164"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6 بامر</v>
      </c>
      <c r="AB164" s="121">
        <f>INDEX(Tabledaily[جهة الامر],MATCH(TableDailyJournal[[#This Row],[رقم العملية]],Tabledaily[رقم العملية],0))</f>
        <v>0</v>
      </c>
    </row>
    <row r="165" spans="2:28" ht="45.75" x14ac:dyDescent="0.55000000000000004">
      <c r="B165" s="58">
        <f t="shared" si="4"/>
        <v>161</v>
      </c>
      <c r="C165" s="59" t="s">
        <v>530</v>
      </c>
      <c r="D165" s="60">
        <f>INDEX(Tabledaily[date],MATCH(TableDailyJournal[[#This Row],[رقم العملية]],Tabledaily[رقم العملية],0))</f>
        <v>46180</v>
      </c>
      <c r="E165" s="58" t="str">
        <f>INDEX(Tabledaily[نوع العمليــة],MATCH(TableDailyJournal[[#This Row],[رقم العملية]],Tabledaily[رقم العملية],0))</f>
        <v>قيد عهده</v>
      </c>
      <c r="F165" s="58">
        <f>IFERROR(INDEX(TableJudje[رقم الحساب],MATCH(TableDailyJournal[[#This Row],[الحساب]],TableJudje[اسم الحساب],0)),0)</f>
        <v>11060205</v>
      </c>
      <c r="G165" s="58" t="s">
        <v>513</v>
      </c>
      <c r="H165"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6 بامر</v>
      </c>
      <c r="I165" s="60" t="str">
        <f>INDEX(Tabledaily[العملـــة],MATCH(TableDailyJournal[[#This Row],[رقم العملية]],Tabledaily[رقم العملية],0))</f>
        <v>ريال يمني</v>
      </c>
      <c r="J165" s="59">
        <f>IFERROR(INDEX(Tabledaily[سعــــــر
الصـــــرف],MATCH(C165,Tabledaily[رقم العملية],0)),1)</f>
        <v>405</v>
      </c>
      <c r="K165" s="123" cm="1">
        <f t="array" ref="K165">IFERROR(INDEX(Tabledaily[المبلـــــــغ],MATCH(1,(TableDailyJournal[[#This Row],[رقم العملية]]=Tabledaily[رقم العملية])*(TableDailyJournal[[#This Row],[الحساب]]=Tabledaily[الحســاب المديــــن]),0)),0)</f>
        <v>0</v>
      </c>
      <c r="L165" s="123" cm="1">
        <f t="array" ref="L165">IFERROR(INDEX(Tabledaily[المبلـــــــغ],MATCH(1,(TableDailyJournal[[#This Row],[رقم العملية]]=Tabledaily[رقم العملية])*(TableDailyJournal[[#This Row],[الحساب]]=Tabledaily[الحســاب الدئـــن]),0)),0)</f>
        <v>60000</v>
      </c>
      <c r="M165" s="119">
        <f>IFERROR(TableDailyJournal[[#This Row],[المبلغ مدين]]/TableDailyJournal[[#This Row],[سعــــــر
الصـــــرف]],0)</f>
        <v>0</v>
      </c>
      <c r="N165" s="119">
        <f>IFERROR(TableDailyJournal[[#This Row],[المبلغ دائن]]/TableDailyJournal[[#This Row],[سعــــــر
الصـــــرف]],0)</f>
        <v>148.14814814814815</v>
      </c>
      <c r="O165" s="121" t="str">
        <f>INDEX(Tabledaily[المستفيــــــــد],MATCH(TableDailyJournal[[#This Row],[رقم العملية]],Tabledaily[رقم العملية],0))</f>
        <v>اخرون</v>
      </c>
      <c r="P165" s="121" t="str">
        <f>INDEX(Tabledaily[المــــرجـــــــــع],MATCH(TableDailyJournal[[#This Row],[رقم العملية]],Tabledaily[رقم العملية],0))</f>
        <v>كشف صرف</v>
      </c>
      <c r="Q165" s="121" t="str">
        <f>INDEX(Tabledaily[اســـــــم المــــرجــــع],MATCH(TableDailyJournal[[#This Row],[رقم العملية]],Tabledaily[رقم العملية],0))</f>
        <v>كشف صرف</v>
      </c>
      <c r="R165" s="121">
        <f>INDEX(Tabledaily[رقم المـــــرجـــع],MATCH(TableDailyJournal[[#This Row],[رقم العملية]],Tabledaily[رقم العملية],0))</f>
        <v>0</v>
      </c>
      <c r="S165" s="121" t="str">
        <f>INDEX(Tabledaily[مركـــــــزالتكلفــــــة],MATCH(TableDailyJournal[[#This Row],[رقم العملية]],Tabledaily[رقم العملية],0))</f>
        <v>الفرقة الثالثة</v>
      </c>
      <c r="T165" s="121">
        <f>IFERROR(INDEX(tablecost[رقم المركز],MATCH(TableDailyJournal[[#This Row],[مركـــــــزالتكلفــــــة]],tablecost[الاسم],0)),0)</f>
        <v>1</v>
      </c>
      <c r="U165" s="122">
        <f>IFERROR(DATE(TableDailyJournal[[#This Row],[السنــــة]],TableDailyJournal[[#This Row],[الشهــــر]],TableDailyJournal[[#This Row],[الـــــيوم]]),"01-01-2026")</f>
        <v>46180</v>
      </c>
      <c r="V165" s="126"/>
      <c r="W165" s="58"/>
      <c r="X165" s="58">
        <f>IFERROR(YEAR(TableDailyJournal[[#This Row],[التاريخ]]),"")</f>
        <v>2026</v>
      </c>
      <c r="Y165" s="58">
        <f>IFERROR(MONTH(TableDailyJournal[[#This Row],[التاريخ]]),"")</f>
        <v>6</v>
      </c>
      <c r="Z165" s="58">
        <f>IFERROR(DAY(TableDailyJournal[[#This Row],[التاريخ]]),"")</f>
        <v>7</v>
      </c>
      <c r="AA165"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6 بامر</v>
      </c>
      <c r="AB165" s="121">
        <f>INDEX(Tabledaily[جهة الامر],MATCH(TableDailyJournal[[#This Row],[رقم العملية]],Tabledaily[رقم العملية],0))</f>
        <v>0</v>
      </c>
    </row>
    <row r="166" spans="2:28" ht="45.75" x14ac:dyDescent="0.55000000000000004">
      <c r="B166" s="58">
        <f t="shared" si="4"/>
        <v>162</v>
      </c>
      <c r="C166" s="59" t="s">
        <v>532</v>
      </c>
      <c r="D166" s="60">
        <f>INDEX(Tabledaily[date],MATCH(TableDailyJournal[[#This Row],[رقم العملية]],Tabledaily[رقم العملية],0))</f>
        <v>46180</v>
      </c>
      <c r="E166" s="58" t="str">
        <f>INDEX(Tabledaily[نوع العمليــة],MATCH(TableDailyJournal[[#This Row],[رقم العملية]],Tabledaily[رقم العملية],0))</f>
        <v>قيد عهده</v>
      </c>
      <c r="F166" s="58">
        <f>IFERROR(INDEX(TableJudje[رقم الحساب],MATCH(TableDailyJournal[[#This Row],[الحساب]],TableJudje[اسم الحساب],0)),0)</f>
        <v>31010101</v>
      </c>
      <c r="G166" s="58" t="s">
        <v>111</v>
      </c>
      <c r="H166"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مصاريف 1 افراد من اللواء السابع بامر</v>
      </c>
      <c r="I166" s="60" t="str">
        <f>INDEX(Tabledaily[العملـــة],MATCH(TableDailyJournal[[#This Row],[رقم العملية]],Tabledaily[رقم العملية],0))</f>
        <v>ريال يمني</v>
      </c>
      <c r="J166" s="59">
        <f>IFERROR(INDEX(Tabledaily[سعــــــر
الصـــــرف],MATCH(C166,Tabledaily[رقم العملية],0)),1)</f>
        <v>405</v>
      </c>
      <c r="K166" s="123" cm="1">
        <f t="array" ref="K166">IFERROR(INDEX(Tabledaily[المبلـــــــغ],MATCH(1,(TableDailyJournal[[#This Row],[رقم العملية]]=Tabledaily[رقم العملية])*(TableDailyJournal[[#This Row],[الحساب]]=Tabledaily[الحســاب المديــــن]),0)),0)</f>
        <v>6000</v>
      </c>
      <c r="L166" s="123" cm="1">
        <f t="array" ref="L166">IFERROR(INDEX(Tabledaily[المبلـــــــغ],MATCH(1,(TableDailyJournal[[#This Row],[رقم العملية]]=Tabledaily[رقم العملية])*(TableDailyJournal[[#This Row],[الحساب]]=Tabledaily[الحســاب الدئـــن]),0)),0)</f>
        <v>0</v>
      </c>
      <c r="M166" s="119">
        <f>IFERROR(TableDailyJournal[[#This Row],[المبلغ مدين]]/TableDailyJournal[[#This Row],[سعــــــر
الصـــــرف]],0)</f>
        <v>14.814814814814815</v>
      </c>
      <c r="N166" s="119">
        <f>IFERROR(TableDailyJournal[[#This Row],[المبلغ دائن]]/TableDailyJournal[[#This Row],[سعــــــر
الصـــــرف]],0)</f>
        <v>0</v>
      </c>
      <c r="O166" s="121" t="str">
        <f>INDEX(Tabledaily[المستفيــــــــد],MATCH(TableDailyJournal[[#This Row],[رقم العملية]],Tabledaily[رقم العملية],0))</f>
        <v>افراد طقم اللواء السابع مرافقين</v>
      </c>
      <c r="P166" s="121" t="str">
        <f>INDEX(Tabledaily[المــــرجـــــــــع],MATCH(TableDailyJournal[[#This Row],[رقم العملية]],Tabledaily[رقم العملية],0))</f>
        <v>كشف صرف</v>
      </c>
      <c r="Q166" s="121" t="str">
        <f>INDEX(Tabledaily[اســـــــم المــــرجــــع],MATCH(TableDailyJournal[[#This Row],[رقم العملية]],Tabledaily[رقم العملية],0))</f>
        <v>كشف صرف</v>
      </c>
      <c r="R166" s="121">
        <f>INDEX(Tabledaily[رقم المـــــرجـــع],MATCH(TableDailyJournal[[#This Row],[رقم العملية]],Tabledaily[رقم العملية],0))</f>
        <v>0</v>
      </c>
      <c r="S166" s="121" t="str">
        <f>INDEX(Tabledaily[مركـــــــزالتكلفــــــة],MATCH(TableDailyJournal[[#This Row],[رقم العملية]],Tabledaily[رقم العملية],0))</f>
        <v>الفرقة الثالثة</v>
      </c>
      <c r="T166" s="121">
        <f>IFERROR(INDEX(tablecost[رقم المركز],MATCH(TableDailyJournal[[#This Row],[مركـــــــزالتكلفــــــة]],tablecost[الاسم],0)),0)</f>
        <v>1</v>
      </c>
      <c r="U166" s="122">
        <f>IFERROR(DATE(TableDailyJournal[[#This Row],[السنــــة]],TableDailyJournal[[#This Row],[الشهــــر]],TableDailyJournal[[#This Row],[الـــــيوم]]),"01-01-2026")</f>
        <v>46180</v>
      </c>
      <c r="V166" s="126"/>
      <c r="W166" s="58"/>
      <c r="X166" s="58">
        <f>IFERROR(YEAR(TableDailyJournal[[#This Row],[التاريخ]]),"")</f>
        <v>2026</v>
      </c>
      <c r="Y166" s="58">
        <f>IFERROR(MONTH(TableDailyJournal[[#This Row],[التاريخ]]),"")</f>
        <v>6</v>
      </c>
      <c r="Z166" s="58">
        <f>IFERROR(DAY(TableDailyJournal[[#This Row],[التاريخ]]),"")</f>
        <v>7</v>
      </c>
      <c r="AA166"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مصاريف 1 افراد من اللواء السابع بامر</v>
      </c>
      <c r="AB166" s="121">
        <f>INDEX(Tabledaily[جهة الامر],MATCH(TableDailyJournal[[#This Row],[رقم العملية]],Tabledaily[رقم العملية],0))</f>
        <v>0</v>
      </c>
    </row>
    <row r="167" spans="2:28" ht="45.75" x14ac:dyDescent="0.55000000000000004">
      <c r="B167" s="58">
        <f t="shared" si="4"/>
        <v>163</v>
      </c>
      <c r="C167" s="59" t="s">
        <v>532</v>
      </c>
      <c r="D167" s="60">
        <f>INDEX(Tabledaily[date],MATCH(TableDailyJournal[[#This Row],[رقم العملية]],Tabledaily[رقم العملية],0))</f>
        <v>46180</v>
      </c>
      <c r="E167" s="58" t="str">
        <f>INDEX(Tabledaily[نوع العمليــة],MATCH(TableDailyJournal[[#This Row],[رقم العملية]],Tabledaily[رقم العملية],0))</f>
        <v>قيد عهده</v>
      </c>
      <c r="F167" s="58">
        <f>IFERROR(INDEX(TableJudje[رقم الحساب],MATCH(TableDailyJournal[[#This Row],[الحساب]],TableJudje[اسم الحساب],0)),0)</f>
        <v>11060205</v>
      </c>
      <c r="G167" s="58" t="s">
        <v>513</v>
      </c>
      <c r="H167"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مصاريف 1 افراد من اللواء السابع بامر</v>
      </c>
      <c r="I167" s="60" t="str">
        <f>INDEX(Tabledaily[العملـــة],MATCH(TableDailyJournal[[#This Row],[رقم العملية]],Tabledaily[رقم العملية],0))</f>
        <v>ريال يمني</v>
      </c>
      <c r="J167" s="59">
        <f>IFERROR(INDEX(Tabledaily[سعــــــر
الصـــــرف],MATCH(C167,Tabledaily[رقم العملية],0)),1)</f>
        <v>405</v>
      </c>
      <c r="K167" s="123" cm="1">
        <f t="array" ref="K167">IFERROR(INDEX(Tabledaily[المبلـــــــغ],MATCH(1,(TableDailyJournal[[#This Row],[رقم العملية]]=Tabledaily[رقم العملية])*(TableDailyJournal[[#This Row],[الحساب]]=Tabledaily[الحســاب المديــــن]),0)),0)</f>
        <v>0</v>
      </c>
      <c r="L167" s="123" cm="1">
        <f t="array" ref="L167">IFERROR(INDEX(Tabledaily[المبلـــــــغ],MATCH(1,(TableDailyJournal[[#This Row],[رقم العملية]]=Tabledaily[رقم العملية])*(TableDailyJournal[[#This Row],[الحساب]]=Tabledaily[الحســاب الدئـــن]),0)),0)</f>
        <v>6000</v>
      </c>
      <c r="M167" s="119">
        <f>IFERROR(TableDailyJournal[[#This Row],[المبلغ مدين]]/TableDailyJournal[[#This Row],[سعــــــر
الصـــــرف]],0)</f>
        <v>0</v>
      </c>
      <c r="N167" s="119">
        <f>IFERROR(TableDailyJournal[[#This Row],[المبلغ دائن]]/TableDailyJournal[[#This Row],[سعــــــر
الصـــــرف]],0)</f>
        <v>14.814814814814815</v>
      </c>
      <c r="O167" s="121" t="str">
        <f>INDEX(Tabledaily[المستفيــــــــد],MATCH(TableDailyJournal[[#This Row],[رقم العملية]],Tabledaily[رقم العملية],0))</f>
        <v>افراد طقم اللواء السابع مرافقين</v>
      </c>
      <c r="P167" s="121" t="str">
        <f>INDEX(Tabledaily[المــــرجـــــــــع],MATCH(TableDailyJournal[[#This Row],[رقم العملية]],Tabledaily[رقم العملية],0))</f>
        <v>كشف صرف</v>
      </c>
      <c r="Q167" s="121" t="str">
        <f>INDEX(Tabledaily[اســـــــم المــــرجــــع],MATCH(TableDailyJournal[[#This Row],[رقم العملية]],Tabledaily[رقم العملية],0))</f>
        <v>كشف صرف</v>
      </c>
      <c r="R167" s="121">
        <f>INDEX(Tabledaily[رقم المـــــرجـــع],MATCH(TableDailyJournal[[#This Row],[رقم العملية]],Tabledaily[رقم العملية],0))</f>
        <v>0</v>
      </c>
      <c r="S167" s="121" t="str">
        <f>INDEX(Tabledaily[مركـــــــزالتكلفــــــة],MATCH(TableDailyJournal[[#This Row],[رقم العملية]],Tabledaily[رقم العملية],0))</f>
        <v>الفرقة الثالثة</v>
      </c>
      <c r="T167" s="121">
        <f>IFERROR(INDEX(tablecost[رقم المركز],MATCH(TableDailyJournal[[#This Row],[مركـــــــزالتكلفــــــة]],tablecost[الاسم],0)),0)</f>
        <v>1</v>
      </c>
      <c r="U167" s="122">
        <f>IFERROR(DATE(TableDailyJournal[[#This Row],[السنــــة]],TableDailyJournal[[#This Row],[الشهــــر]],TableDailyJournal[[#This Row],[الـــــيوم]]),"01-01-2026")</f>
        <v>46180</v>
      </c>
      <c r="V167" s="126"/>
      <c r="W167" s="58"/>
      <c r="X167" s="58">
        <f>IFERROR(YEAR(TableDailyJournal[[#This Row],[التاريخ]]),"")</f>
        <v>2026</v>
      </c>
      <c r="Y167" s="58">
        <f>IFERROR(MONTH(TableDailyJournal[[#This Row],[التاريخ]]),"")</f>
        <v>6</v>
      </c>
      <c r="Z167" s="58">
        <f>IFERROR(DAY(TableDailyJournal[[#This Row],[التاريخ]]),"")</f>
        <v>7</v>
      </c>
      <c r="AA167"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مصاريف 1 افراد من اللواء السابع بامر</v>
      </c>
      <c r="AB167" s="121">
        <f>INDEX(Tabledaily[جهة الامر],MATCH(TableDailyJournal[[#This Row],[رقم العملية]],Tabledaily[رقم العملية],0))</f>
        <v>0</v>
      </c>
    </row>
    <row r="168" spans="2:28" ht="45.75" x14ac:dyDescent="0.55000000000000004">
      <c r="B168" s="58">
        <f t="shared" si="4"/>
        <v>164</v>
      </c>
      <c r="C168" s="59" t="s">
        <v>534</v>
      </c>
      <c r="D168" s="60">
        <f>INDEX(Tabledaily[date],MATCH(TableDailyJournal[[#This Row],[رقم العملية]],Tabledaily[رقم العملية],0))</f>
        <v>46180</v>
      </c>
      <c r="E168" s="58" t="str">
        <f>INDEX(Tabledaily[نوع العمليــة],MATCH(TableDailyJournal[[#This Row],[رقم العملية]],Tabledaily[رقم العملية],0))</f>
        <v>قيد عهده</v>
      </c>
      <c r="F168" s="58">
        <f>IFERROR(INDEX(TableJudje[رقم الحساب],MATCH(TableDailyJournal[[#This Row],[الحساب]],TableJudje[اسم الحساب],0)),0)</f>
        <v>31010101</v>
      </c>
      <c r="G168" s="58" t="s">
        <v>111</v>
      </c>
      <c r="H168"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168" s="60" t="str">
        <f>INDEX(Tabledaily[العملـــة],MATCH(TableDailyJournal[[#This Row],[رقم العملية]],Tabledaily[رقم العملية],0))</f>
        <v>ريال يمني</v>
      </c>
      <c r="J168" s="59">
        <f>IFERROR(INDEX(Tabledaily[سعــــــر
الصـــــرف],MATCH(C168,Tabledaily[رقم العملية],0)),1)</f>
        <v>405</v>
      </c>
      <c r="K168" s="123" cm="1">
        <f t="array" ref="K168">IFERROR(INDEX(Tabledaily[المبلـــــــغ],MATCH(1,(TableDailyJournal[[#This Row],[رقم العملية]]=Tabledaily[رقم العملية])*(TableDailyJournal[[#This Row],[الحساب]]=Tabledaily[الحســاب المديــــن]),0)),0)</f>
        <v>28000</v>
      </c>
      <c r="L168" s="123" cm="1">
        <f t="array" ref="L168">IFERROR(INDEX(Tabledaily[المبلـــــــغ],MATCH(1,(TableDailyJournal[[#This Row],[رقم العملية]]=Tabledaily[رقم العملية])*(TableDailyJournal[[#This Row],[الحساب]]=Tabledaily[الحســاب الدئـــن]),0)),0)</f>
        <v>0</v>
      </c>
      <c r="M168" s="119">
        <f>IFERROR(TableDailyJournal[[#This Row],[المبلغ مدين]]/TableDailyJournal[[#This Row],[سعــــــر
الصـــــرف]],0)</f>
        <v>69.135802469135797</v>
      </c>
      <c r="N168" s="119">
        <f>IFERROR(TableDailyJournal[[#This Row],[المبلغ دائن]]/TableDailyJournal[[#This Row],[سعــــــر
الصـــــرف]],0)</f>
        <v>0</v>
      </c>
      <c r="O168" s="121" t="str">
        <f>INDEX(Tabledaily[المستفيــــــــد],MATCH(TableDailyJournal[[#This Row],[رقم العملية]],Tabledaily[رقم العملية],0))</f>
        <v>الاشغال</v>
      </c>
      <c r="P168" s="121" t="str">
        <f>INDEX(Tabledaily[المــــرجـــــــــع],MATCH(TableDailyJournal[[#This Row],[رقم العملية]],Tabledaily[رقم العملية],0))</f>
        <v>كشف صرف</v>
      </c>
      <c r="Q168" s="121" t="str">
        <f>INDEX(Tabledaily[اســـــــم المــــرجــــع],MATCH(TableDailyJournal[[#This Row],[رقم العملية]],Tabledaily[رقم العملية],0))</f>
        <v>كشف صرف</v>
      </c>
      <c r="R168" s="121">
        <f>INDEX(Tabledaily[رقم المـــــرجـــع],MATCH(TableDailyJournal[[#This Row],[رقم العملية]],Tabledaily[رقم العملية],0))</f>
        <v>0</v>
      </c>
      <c r="S168" s="121" t="str">
        <f>INDEX(Tabledaily[مركـــــــزالتكلفــــــة],MATCH(TableDailyJournal[[#This Row],[رقم العملية]],Tabledaily[رقم العملية],0))</f>
        <v>الفرقة الثالثة</v>
      </c>
      <c r="T168" s="121">
        <f>IFERROR(INDEX(tablecost[رقم المركز],MATCH(TableDailyJournal[[#This Row],[مركـــــــزالتكلفــــــة]],tablecost[الاسم],0)),0)</f>
        <v>1</v>
      </c>
      <c r="U168" s="122">
        <f>IFERROR(DATE(TableDailyJournal[[#This Row],[السنــــة]],TableDailyJournal[[#This Row],[الشهــــر]],TableDailyJournal[[#This Row],[الـــــيوم]]),"01-01-2026")</f>
        <v>46180</v>
      </c>
      <c r="V168" s="126"/>
      <c r="W168" s="58"/>
      <c r="X168" s="58">
        <f>IFERROR(YEAR(TableDailyJournal[[#This Row],[التاريخ]]),"")</f>
        <v>2026</v>
      </c>
      <c r="Y168" s="58">
        <f>IFERROR(MONTH(TableDailyJournal[[#This Row],[التاريخ]]),"")</f>
        <v>6</v>
      </c>
      <c r="Z168" s="58">
        <f>IFERROR(DAY(TableDailyJournal[[#This Row],[التاريخ]]),"")</f>
        <v>7</v>
      </c>
      <c r="AA168"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168" s="121">
        <f>INDEX(Tabledaily[جهة الامر],MATCH(TableDailyJournal[[#This Row],[رقم العملية]],Tabledaily[رقم العملية],0))</f>
        <v>0</v>
      </c>
    </row>
    <row r="169" spans="2:28" ht="45.75" x14ac:dyDescent="0.55000000000000004">
      <c r="B169" s="58">
        <f t="shared" si="4"/>
        <v>165</v>
      </c>
      <c r="C169" s="59" t="s">
        <v>534</v>
      </c>
      <c r="D169" s="60">
        <f>INDEX(Tabledaily[date],MATCH(TableDailyJournal[[#This Row],[رقم العملية]],Tabledaily[رقم العملية],0))</f>
        <v>46180</v>
      </c>
      <c r="E169" s="58" t="str">
        <f>INDEX(Tabledaily[نوع العمليــة],MATCH(TableDailyJournal[[#This Row],[رقم العملية]],Tabledaily[رقم العملية],0))</f>
        <v>قيد عهده</v>
      </c>
      <c r="F169" s="58">
        <f>IFERROR(INDEX(TableJudje[رقم الحساب],MATCH(TableDailyJournal[[#This Row],[الحساب]],TableJudje[اسم الحساب],0)),0)</f>
        <v>11060205</v>
      </c>
      <c r="G169" s="58" t="s">
        <v>513</v>
      </c>
      <c r="H169"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169" s="60" t="str">
        <f>INDEX(Tabledaily[العملـــة],MATCH(TableDailyJournal[[#This Row],[رقم العملية]],Tabledaily[رقم العملية],0))</f>
        <v>ريال يمني</v>
      </c>
      <c r="J169" s="59">
        <f>IFERROR(INDEX(Tabledaily[سعــــــر
الصـــــرف],MATCH(C169,Tabledaily[رقم العملية],0)),1)</f>
        <v>405</v>
      </c>
      <c r="K169" s="123" cm="1">
        <f t="array" ref="K169">IFERROR(INDEX(Tabledaily[المبلـــــــغ],MATCH(1,(TableDailyJournal[[#This Row],[رقم العملية]]=Tabledaily[رقم العملية])*(TableDailyJournal[[#This Row],[الحساب]]=Tabledaily[الحســاب المديــــن]),0)),0)</f>
        <v>0</v>
      </c>
      <c r="L169" s="123" cm="1">
        <f t="array" ref="L169">IFERROR(INDEX(Tabledaily[المبلـــــــغ],MATCH(1,(TableDailyJournal[[#This Row],[رقم العملية]]=Tabledaily[رقم العملية])*(TableDailyJournal[[#This Row],[الحساب]]=Tabledaily[الحســاب الدئـــن]),0)),0)</f>
        <v>28000</v>
      </c>
      <c r="M169" s="119">
        <f>IFERROR(TableDailyJournal[[#This Row],[المبلغ مدين]]/TableDailyJournal[[#This Row],[سعــــــر
الصـــــرف]],0)</f>
        <v>0</v>
      </c>
      <c r="N169" s="119">
        <f>IFERROR(TableDailyJournal[[#This Row],[المبلغ دائن]]/TableDailyJournal[[#This Row],[سعــــــر
الصـــــرف]],0)</f>
        <v>69.135802469135797</v>
      </c>
      <c r="O169" s="121" t="str">
        <f>INDEX(Tabledaily[المستفيــــــــد],MATCH(TableDailyJournal[[#This Row],[رقم العملية]],Tabledaily[رقم العملية],0))</f>
        <v>الاشغال</v>
      </c>
      <c r="P169" s="121" t="str">
        <f>INDEX(Tabledaily[المــــرجـــــــــع],MATCH(TableDailyJournal[[#This Row],[رقم العملية]],Tabledaily[رقم العملية],0))</f>
        <v>كشف صرف</v>
      </c>
      <c r="Q169" s="121" t="str">
        <f>INDEX(Tabledaily[اســـــــم المــــرجــــع],MATCH(TableDailyJournal[[#This Row],[رقم العملية]],Tabledaily[رقم العملية],0))</f>
        <v>كشف صرف</v>
      </c>
      <c r="R169" s="121">
        <f>INDEX(Tabledaily[رقم المـــــرجـــع],MATCH(TableDailyJournal[[#This Row],[رقم العملية]],Tabledaily[رقم العملية],0))</f>
        <v>0</v>
      </c>
      <c r="S169" s="121" t="str">
        <f>INDEX(Tabledaily[مركـــــــزالتكلفــــــة],MATCH(TableDailyJournal[[#This Row],[رقم العملية]],Tabledaily[رقم العملية],0))</f>
        <v>الفرقة الثالثة</v>
      </c>
      <c r="T169" s="121">
        <f>IFERROR(INDEX(tablecost[رقم المركز],MATCH(TableDailyJournal[[#This Row],[مركـــــــزالتكلفــــــة]],tablecost[الاسم],0)),0)</f>
        <v>1</v>
      </c>
      <c r="U169" s="122">
        <f>IFERROR(DATE(TableDailyJournal[[#This Row],[السنــــة]],TableDailyJournal[[#This Row],[الشهــــر]],TableDailyJournal[[#This Row],[الـــــيوم]]),"01-01-2026")</f>
        <v>46180</v>
      </c>
      <c r="V169" s="126"/>
      <c r="W169" s="58"/>
      <c r="X169" s="58">
        <f>IFERROR(YEAR(TableDailyJournal[[#This Row],[التاريخ]]),"")</f>
        <v>2026</v>
      </c>
      <c r="Y169" s="58">
        <f>IFERROR(MONTH(TableDailyJournal[[#This Row],[التاريخ]]),"")</f>
        <v>6</v>
      </c>
      <c r="Z169" s="58">
        <f>IFERROR(DAY(TableDailyJournal[[#This Row],[التاريخ]]),"")</f>
        <v>7</v>
      </c>
      <c r="AA169"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169" s="121">
        <f>INDEX(Tabledaily[جهة الامر],MATCH(TableDailyJournal[[#This Row],[رقم العملية]],Tabledaily[رقم العملية],0))</f>
        <v>0</v>
      </c>
    </row>
    <row r="170" spans="2:28" ht="45.75" x14ac:dyDescent="0.55000000000000004">
      <c r="B170" s="58">
        <f t="shared" si="4"/>
        <v>166</v>
      </c>
      <c r="C170" s="59" t="s">
        <v>535</v>
      </c>
      <c r="D170" s="60">
        <f>INDEX(Tabledaily[date],MATCH(TableDailyJournal[[#This Row],[رقم العملية]],Tabledaily[رقم العملية],0))</f>
        <v>46180</v>
      </c>
      <c r="E170" s="58" t="str">
        <f>INDEX(Tabledaily[نوع العمليــة],MATCH(TableDailyJournal[[#This Row],[رقم العملية]],Tabledaily[رقم العملية],0))</f>
        <v>قيد عهده</v>
      </c>
      <c r="F170" s="58">
        <f>IFERROR(INDEX(TableJudje[رقم الحساب],MATCH(TableDailyJournal[[#This Row],[الحساب]],TableJudje[اسم الحساب],0)),0)</f>
        <v>31010101</v>
      </c>
      <c r="G170" s="58" t="s">
        <v>111</v>
      </c>
      <c r="H170"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44 بامر</v>
      </c>
      <c r="I170" s="60" t="str">
        <f>INDEX(Tabledaily[العملـــة],MATCH(TableDailyJournal[[#This Row],[رقم العملية]],Tabledaily[رقم العملية],0))</f>
        <v>ريال يمني</v>
      </c>
      <c r="J170" s="59">
        <f>IFERROR(INDEX(Tabledaily[سعــــــر
الصـــــرف],MATCH(C170,Tabledaily[رقم العملية],0)),1)</f>
        <v>405</v>
      </c>
      <c r="K170" s="123" cm="1">
        <f t="array" ref="K170">IFERROR(INDEX(Tabledaily[المبلـــــــغ],MATCH(1,(TableDailyJournal[[#This Row],[رقم العملية]]=Tabledaily[رقم العملية])*(TableDailyJournal[[#This Row],[الحساب]]=Tabledaily[الحســاب المديــــن]),0)),0)</f>
        <v>176000</v>
      </c>
      <c r="L170" s="123" cm="1">
        <f t="array" ref="L170">IFERROR(INDEX(Tabledaily[المبلـــــــغ],MATCH(1,(TableDailyJournal[[#This Row],[رقم العملية]]=Tabledaily[رقم العملية])*(TableDailyJournal[[#This Row],[الحساب]]=Tabledaily[الحســاب الدئـــن]),0)),0)</f>
        <v>0</v>
      </c>
      <c r="M170" s="119">
        <f>IFERROR(TableDailyJournal[[#This Row],[المبلغ مدين]]/TableDailyJournal[[#This Row],[سعــــــر
الصـــــرف]],0)</f>
        <v>434.5679012345679</v>
      </c>
      <c r="N170" s="119">
        <f>IFERROR(TableDailyJournal[[#This Row],[المبلغ دائن]]/TableDailyJournal[[#This Row],[سعــــــر
الصـــــرف]],0)</f>
        <v>0</v>
      </c>
      <c r="O170" s="121" t="str">
        <f>INDEX(Tabledaily[المستفيــــــــد],MATCH(TableDailyJournal[[#This Row],[رقم العملية]],Tabledaily[رقم العملية],0))</f>
        <v>سرية اللواء السادس</v>
      </c>
      <c r="P170" s="121" t="str">
        <f>INDEX(Tabledaily[المــــرجـــــــــع],MATCH(TableDailyJournal[[#This Row],[رقم العملية]],Tabledaily[رقم العملية],0))</f>
        <v>كشف صرف</v>
      </c>
      <c r="Q170" s="121" t="str">
        <f>INDEX(Tabledaily[اســـــــم المــــرجــــع],MATCH(TableDailyJournal[[#This Row],[رقم العملية]],Tabledaily[رقم العملية],0))</f>
        <v>كشف صرف</v>
      </c>
      <c r="R170" s="121">
        <f>INDEX(Tabledaily[رقم المـــــرجـــع],MATCH(TableDailyJournal[[#This Row],[رقم العملية]],Tabledaily[رقم العملية],0))</f>
        <v>0</v>
      </c>
      <c r="S170" s="121" t="str">
        <f>INDEX(Tabledaily[مركـــــــزالتكلفــــــة],MATCH(TableDailyJournal[[#This Row],[رقم العملية]],Tabledaily[رقم العملية],0))</f>
        <v>اللواء السادس</v>
      </c>
      <c r="T170" s="121">
        <f>IFERROR(INDEX(tablecost[رقم المركز],MATCH(TableDailyJournal[[#This Row],[مركـــــــزالتكلفــــــة]],tablecost[الاسم],0)),0)</f>
        <v>7</v>
      </c>
      <c r="U170" s="122">
        <f>IFERROR(DATE(TableDailyJournal[[#This Row],[السنــــة]],TableDailyJournal[[#This Row],[الشهــــر]],TableDailyJournal[[#This Row],[الـــــيوم]]),"01-01-2026")</f>
        <v>46180</v>
      </c>
      <c r="V170" s="126"/>
      <c r="W170" s="58"/>
      <c r="X170" s="58">
        <f>IFERROR(YEAR(TableDailyJournal[[#This Row],[التاريخ]]),"")</f>
        <v>2026</v>
      </c>
      <c r="Y170" s="58">
        <f>IFERROR(MONTH(TableDailyJournal[[#This Row],[التاريخ]]),"")</f>
        <v>6</v>
      </c>
      <c r="Z170" s="58">
        <f>IFERROR(DAY(TableDailyJournal[[#This Row],[التاريخ]]),"")</f>
        <v>7</v>
      </c>
      <c r="AA170"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44 بامر</v>
      </c>
      <c r="AB170" s="121">
        <f>INDEX(Tabledaily[جهة الامر],MATCH(TableDailyJournal[[#This Row],[رقم العملية]],Tabledaily[رقم العملية],0))</f>
        <v>0</v>
      </c>
    </row>
    <row r="171" spans="2:28" ht="45.75" x14ac:dyDescent="0.55000000000000004">
      <c r="B171" s="58">
        <f t="shared" si="4"/>
        <v>167</v>
      </c>
      <c r="C171" s="59" t="s">
        <v>535</v>
      </c>
      <c r="D171" s="60">
        <f>INDEX(Tabledaily[date],MATCH(TableDailyJournal[[#This Row],[رقم العملية]],Tabledaily[رقم العملية],0))</f>
        <v>46180</v>
      </c>
      <c r="E171" s="58" t="str">
        <f>INDEX(Tabledaily[نوع العمليــة],MATCH(TableDailyJournal[[#This Row],[رقم العملية]],Tabledaily[رقم العملية],0))</f>
        <v>قيد عهده</v>
      </c>
      <c r="F171" s="58">
        <f>IFERROR(INDEX(TableJudje[رقم الحساب],MATCH(TableDailyJournal[[#This Row],[الحساب]],TableJudje[اسم الحساب],0)),0)</f>
        <v>11060205</v>
      </c>
      <c r="G171" s="58" t="s">
        <v>513</v>
      </c>
      <c r="H171"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44 بامر</v>
      </c>
      <c r="I171" s="60" t="str">
        <f>INDEX(Tabledaily[العملـــة],MATCH(TableDailyJournal[[#This Row],[رقم العملية]],Tabledaily[رقم العملية],0))</f>
        <v>ريال يمني</v>
      </c>
      <c r="J171" s="59">
        <f>IFERROR(INDEX(Tabledaily[سعــــــر
الصـــــرف],MATCH(C171,Tabledaily[رقم العملية],0)),1)</f>
        <v>405</v>
      </c>
      <c r="K171" s="123" cm="1">
        <f t="array" ref="K171">IFERROR(INDEX(Tabledaily[المبلـــــــغ],MATCH(1,(TableDailyJournal[[#This Row],[رقم العملية]]=Tabledaily[رقم العملية])*(TableDailyJournal[[#This Row],[الحساب]]=Tabledaily[الحســاب المديــــن]),0)),0)</f>
        <v>0</v>
      </c>
      <c r="L171" s="123" cm="1">
        <f t="array" ref="L171">IFERROR(INDEX(Tabledaily[المبلـــــــغ],MATCH(1,(TableDailyJournal[[#This Row],[رقم العملية]]=Tabledaily[رقم العملية])*(TableDailyJournal[[#This Row],[الحساب]]=Tabledaily[الحســاب الدئـــن]),0)),0)</f>
        <v>176000</v>
      </c>
      <c r="M171" s="119">
        <f>IFERROR(TableDailyJournal[[#This Row],[المبلغ مدين]]/TableDailyJournal[[#This Row],[سعــــــر
الصـــــرف]],0)</f>
        <v>0</v>
      </c>
      <c r="N171" s="119">
        <f>IFERROR(TableDailyJournal[[#This Row],[المبلغ دائن]]/TableDailyJournal[[#This Row],[سعــــــر
الصـــــرف]],0)</f>
        <v>434.5679012345679</v>
      </c>
      <c r="O171" s="121" t="str">
        <f>INDEX(Tabledaily[المستفيــــــــد],MATCH(TableDailyJournal[[#This Row],[رقم العملية]],Tabledaily[رقم العملية],0))</f>
        <v>سرية اللواء السادس</v>
      </c>
      <c r="P171" s="121" t="str">
        <f>INDEX(Tabledaily[المــــرجـــــــــع],MATCH(TableDailyJournal[[#This Row],[رقم العملية]],Tabledaily[رقم العملية],0))</f>
        <v>كشف صرف</v>
      </c>
      <c r="Q171" s="121" t="str">
        <f>INDEX(Tabledaily[اســـــــم المــــرجــــع],MATCH(TableDailyJournal[[#This Row],[رقم العملية]],Tabledaily[رقم العملية],0))</f>
        <v>كشف صرف</v>
      </c>
      <c r="R171" s="121">
        <f>INDEX(Tabledaily[رقم المـــــرجـــع],MATCH(TableDailyJournal[[#This Row],[رقم العملية]],Tabledaily[رقم العملية],0))</f>
        <v>0</v>
      </c>
      <c r="S171" s="121" t="str">
        <f>INDEX(Tabledaily[مركـــــــزالتكلفــــــة],MATCH(TableDailyJournal[[#This Row],[رقم العملية]],Tabledaily[رقم العملية],0))</f>
        <v>اللواء السادس</v>
      </c>
      <c r="T171" s="121">
        <f>IFERROR(INDEX(tablecost[رقم المركز],MATCH(TableDailyJournal[[#This Row],[مركـــــــزالتكلفــــــة]],tablecost[الاسم],0)),0)</f>
        <v>7</v>
      </c>
      <c r="U171" s="122">
        <f>IFERROR(DATE(TableDailyJournal[[#This Row],[السنــــة]],TableDailyJournal[[#This Row],[الشهــــر]],TableDailyJournal[[#This Row],[الـــــيوم]]),"01-01-2026")</f>
        <v>46180</v>
      </c>
      <c r="V171" s="126"/>
      <c r="W171" s="58"/>
      <c r="X171" s="58">
        <f>IFERROR(YEAR(TableDailyJournal[[#This Row],[التاريخ]]),"")</f>
        <v>2026</v>
      </c>
      <c r="Y171" s="58">
        <f>IFERROR(MONTH(TableDailyJournal[[#This Row],[التاريخ]]),"")</f>
        <v>6</v>
      </c>
      <c r="Z171" s="58">
        <f>IFERROR(DAY(TableDailyJournal[[#This Row],[التاريخ]]),"")</f>
        <v>7</v>
      </c>
      <c r="AA171"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44 بامر</v>
      </c>
      <c r="AB171" s="121">
        <f>INDEX(Tabledaily[جهة الامر],MATCH(TableDailyJournal[[#This Row],[رقم العملية]],Tabledaily[رقم العملية],0))</f>
        <v>0</v>
      </c>
    </row>
    <row r="172" spans="2:28" ht="67.5" x14ac:dyDescent="0.55000000000000004">
      <c r="B172" s="58">
        <f t="shared" si="4"/>
        <v>168</v>
      </c>
      <c r="C172" s="59" t="s">
        <v>537</v>
      </c>
      <c r="D172" s="60">
        <f>INDEX(Tabledaily[date],MATCH(TableDailyJournal[[#This Row],[رقم العملية]],Tabledaily[رقم العملية],0))</f>
        <v>46180</v>
      </c>
      <c r="E172" s="58" t="str">
        <f>INDEX(Tabledaily[نوع العمليــة],MATCH(TableDailyJournal[[#This Row],[رقم العملية]],Tabledaily[رقم العملية],0))</f>
        <v>قيد عهده</v>
      </c>
      <c r="F172" s="58">
        <f>IFERROR(INDEX(TableJudje[رقم الحساب],MATCH(TableDailyJournal[[#This Row],[الحساب]],TableJudje[اسم الحساب],0)),0)</f>
        <v>31010116</v>
      </c>
      <c r="G172" s="58" t="s">
        <v>122</v>
      </c>
      <c r="H172" s="61" t="str">
        <f>INDEX(Tabledaily[المرجع البياني],MATCH(TableDailyJournal[[#This Row],[رقم العملية]],Tabledaily[رقم العملية],0))</f>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v>
      </c>
      <c r="I172" s="60" t="str">
        <f>INDEX(Tabledaily[العملـــة],MATCH(TableDailyJournal[[#This Row],[رقم العملية]],Tabledaily[رقم العملية],0))</f>
        <v>ريال يمني</v>
      </c>
      <c r="J172" s="59">
        <f>IFERROR(INDEX(Tabledaily[سعــــــر
الصـــــرف],MATCH(C172,Tabledaily[رقم العملية],0)),1)</f>
        <v>405</v>
      </c>
      <c r="K172" s="123" cm="1">
        <f t="array" ref="K172">IFERROR(INDEX(Tabledaily[المبلـــــــغ],MATCH(1,(TableDailyJournal[[#This Row],[رقم العملية]]=Tabledaily[رقم العملية])*(TableDailyJournal[[#This Row],[الحساب]]=Tabledaily[الحســاب المديــــن]),0)),0)</f>
        <v>200000</v>
      </c>
      <c r="L172" s="123" cm="1">
        <f t="array" ref="L172">IFERROR(INDEX(Tabledaily[المبلـــــــغ],MATCH(1,(TableDailyJournal[[#This Row],[رقم العملية]]=Tabledaily[رقم العملية])*(TableDailyJournal[[#This Row],[الحساب]]=Tabledaily[الحســاب الدئـــن]),0)),0)</f>
        <v>0</v>
      </c>
      <c r="M172" s="119">
        <f>IFERROR(TableDailyJournal[[#This Row],[المبلغ مدين]]/TableDailyJournal[[#This Row],[سعــــــر
الصـــــرف]],0)</f>
        <v>493.82716049382714</v>
      </c>
      <c r="N172" s="119">
        <f>IFERROR(TableDailyJournal[[#This Row],[المبلغ دائن]]/TableDailyJournal[[#This Row],[سعــــــر
الصـــــرف]],0)</f>
        <v>0</v>
      </c>
      <c r="O172" s="121" t="str">
        <f>INDEX(Tabledaily[المستفيــــــــد],MATCH(TableDailyJournal[[#This Row],[رقم العملية]],Tabledaily[رقم العملية],0))</f>
        <v>محمد سمير سعيد</v>
      </c>
      <c r="P172" s="121" t="str">
        <f>INDEX(Tabledaily[المــــرجـــــــــع],MATCH(TableDailyJournal[[#This Row],[رقم العملية]],Tabledaily[رقم العملية],0))</f>
        <v>استلام نقدي</v>
      </c>
      <c r="Q172" s="121" t="str">
        <f>INDEX(Tabledaily[اســـــــم المــــرجــــع],MATCH(TableDailyJournal[[#This Row],[رقم العملية]],Tabledaily[رقم العملية],0))</f>
        <v>سند استلام</v>
      </c>
      <c r="R172" s="121">
        <f>INDEX(Tabledaily[رقم المـــــرجـــع],MATCH(TableDailyJournal[[#This Row],[رقم العملية]],Tabledaily[رقم العملية],0))</f>
        <v>0</v>
      </c>
      <c r="S172" s="121" t="str">
        <f>INDEX(Tabledaily[مركـــــــزالتكلفــــــة],MATCH(TableDailyJournal[[#This Row],[رقم العملية]],Tabledaily[رقم العملية],0))</f>
        <v>الفرقة الثالثة</v>
      </c>
      <c r="T172" s="121">
        <f>IFERROR(INDEX(tablecost[رقم المركز],MATCH(TableDailyJournal[[#This Row],[مركـــــــزالتكلفــــــة]],tablecost[الاسم],0)),0)</f>
        <v>1</v>
      </c>
      <c r="U172" s="122">
        <f>IFERROR(DATE(TableDailyJournal[[#This Row],[السنــــة]],TableDailyJournal[[#This Row],[الشهــــر]],TableDailyJournal[[#This Row],[الـــــيوم]]),"01-01-2026")</f>
        <v>46180</v>
      </c>
      <c r="V172" s="126"/>
      <c r="W172" s="58"/>
      <c r="X172" s="58">
        <f>IFERROR(YEAR(TableDailyJournal[[#This Row],[التاريخ]]),"")</f>
        <v>2026</v>
      </c>
      <c r="Y172" s="58">
        <f>IFERROR(MONTH(TableDailyJournal[[#This Row],[التاريخ]]),"")</f>
        <v>6</v>
      </c>
      <c r="Z172" s="58">
        <f>IFERROR(DAY(TableDailyJournal[[#This Row],[التاريخ]]),"")</f>
        <v>7</v>
      </c>
      <c r="AA172" s="126" t="str">
        <f>INDEX(Tabledaily[المرجع البياني],MATCH(TableDailyJournal[[#This Row],[رقم العملية]],Tabledaily[رقم العملية],0))</f>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v>
      </c>
      <c r="AB172" s="121" t="str">
        <f>INDEX(Tabledaily[جهة الامر],MATCH(TableDailyJournal[[#This Row],[رقم العملية]],Tabledaily[رقم العملية],0))</f>
        <v>القائد</v>
      </c>
    </row>
    <row r="173" spans="2:28" ht="67.5" x14ac:dyDescent="0.55000000000000004">
      <c r="B173" s="58">
        <f t="shared" si="4"/>
        <v>169</v>
      </c>
      <c r="C173" s="59" t="s">
        <v>537</v>
      </c>
      <c r="D173" s="60">
        <f>INDEX(Tabledaily[date],MATCH(TableDailyJournal[[#This Row],[رقم العملية]],Tabledaily[رقم العملية],0))</f>
        <v>46180</v>
      </c>
      <c r="E173" s="58" t="str">
        <f>INDEX(Tabledaily[نوع العمليــة],MATCH(TableDailyJournal[[#This Row],[رقم العملية]],Tabledaily[رقم العملية],0))</f>
        <v>قيد عهده</v>
      </c>
      <c r="F173" s="58">
        <f>IFERROR(INDEX(TableJudje[رقم الحساب],MATCH(TableDailyJournal[[#This Row],[الحساب]],TableJudje[اسم الحساب],0)),0)</f>
        <v>11060205</v>
      </c>
      <c r="G173" s="58" t="s">
        <v>513</v>
      </c>
      <c r="H173" s="61" t="str">
        <f>INDEX(Tabledaily[المرجع البياني],MATCH(TableDailyJournal[[#This Row],[رقم العملية]],Tabledaily[رقم العملية],0))</f>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v>
      </c>
      <c r="I173" s="60" t="str">
        <f>INDEX(Tabledaily[العملـــة],MATCH(TableDailyJournal[[#This Row],[رقم العملية]],Tabledaily[رقم العملية],0))</f>
        <v>ريال يمني</v>
      </c>
      <c r="J173" s="59">
        <f>IFERROR(INDEX(Tabledaily[سعــــــر
الصـــــرف],MATCH(C173,Tabledaily[رقم العملية],0)),1)</f>
        <v>405</v>
      </c>
      <c r="K173" s="123" cm="1">
        <f t="array" ref="K173">IFERROR(INDEX(Tabledaily[المبلـــــــغ],MATCH(1,(TableDailyJournal[[#This Row],[رقم العملية]]=Tabledaily[رقم العملية])*(TableDailyJournal[[#This Row],[الحساب]]=Tabledaily[الحســاب المديــــن]),0)),0)</f>
        <v>0</v>
      </c>
      <c r="L173" s="123" cm="1">
        <f t="array" ref="L173">IFERROR(INDEX(Tabledaily[المبلـــــــغ],MATCH(1,(TableDailyJournal[[#This Row],[رقم العملية]]=Tabledaily[رقم العملية])*(TableDailyJournal[[#This Row],[الحساب]]=Tabledaily[الحســاب الدئـــن]),0)),0)</f>
        <v>200000</v>
      </c>
      <c r="M173" s="119">
        <f>IFERROR(TableDailyJournal[[#This Row],[المبلغ مدين]]/TableDailyJournal[[#This Row],[سعــــــر
الصـــــرف]],0)</f>
        <v>0</v>
      </c>
      <c r="N173" s="119">
        <f>IFERROR(TableDailyJournal[[#This Row],[المبلغ دائن]]/TableDailyJournal[[#This Row],[سعــــــر
الصـــــرف]],0)</f>
        <v>493.82716049382714</v>
      </c>
      <c r="O173" s="121" t="str">
        <f>INDEX(Tabledaily[المستفيــــــــد],MATCH(TableDailyJournal[[#This Row],[رقم العملية]],Tabledaily[رقم العملية],0))</f>
        <v>محمد سمير سعيد</v>
      </c>
      <c r="P173" s="121" t="str">
        <f>INDEX(Tabledaily[المــــرجـــــــــع],MATCH(TableDailyJournal[[#This Row],[رقم العملية]],Tabledaily[رقم العملية],0))</f>
        <v>استلام نقدي</v>
      </c>
      <c r="Q173" s="121" t="str">
        <f>INDEX(Tabledaily[اســـــــم المــــرجــــع],MATCH(TableDailyJournal[[#This Row],[رقم العملية]],Tabledaily[رقم العملية],0))</f>
        <v>سند استلام</v>
      </c>
      <c r="R173" s="121">
        <f>INDEX(Tabledaily[رقم المـــــرجـــع],MATCH(TableDailyJournal[[#This Row],[رقم العملية]],Tabledaily[رقم العملية],0))</f>
        <v>0</v>
      </c>
      <c r="S173" s="121" t="str">
        <f>INDEX(Tabledaily[مركـــــــزالتكلفــــــة],MATCH(TableDailyJournal[[#This Row],[رقم العملية]],Tabledaily[رقم العملية],0))</f>
        <v>الفرقة الثالثة</v>
      </c>
      <c r="T173" s="121">
        <f>IFERROR(INDEX(tablecost[رقم المركز],MATCH(TableDailyJournal[[#This Row],[مركـــــــزالتكلفــــــة]],tablecost[الاسم],0)),0)</f>
        <v>1</v>
      </c>
      <c r="U173" s="122">
        <f>IFERROR(DATE(TableDailyJournal[[#This Row],[السنــــة]],TableDailyJournal[[#This Row],[الشهــــر]],TableDailyJournal[[#This Row],[الـــــيوم]]),"01-01-2026")</f>
        <v>46180</v>
      </c>
      <c r="V173" s="126"/>
      <c r="W173" s="58"/>
      <c r="X173" s="58">
        <f>IFERROR(YEAR(TableDailyJournal[[#This Row],[التاريخ]]),"")</f>
        <v>2026</v>
      </c>
      <c r="Y173" s="58">
        <f>IFERROR(MONTH(TableDailyJournal[[#This Row],[التاريخ]]),"")</f>
        <v>6</v>
      </c>
      <c r="Z173" s="58">
        <f>IFERROR(DAY(TableDailyJournal[[#This Row],[التاريخ]]),"")</f>
        <v>7</v>
      </c>
      <c r="AA173" s="126" t="str">
        <f>INDEX(Tabledaily[المرجع البياني],MATCH(TableDailyJournal[[#This Row],[رقم العملية]],Tabledaily[رقم العملية],0))</f>
        <v>قيـد مقابـل:- (مصاريف نزول مهام  - محمد سمير سعيد - الفرقة الثالثة)  - استلام نقدي رقم   سند استلام - صرف مبلغ لرئيس الشعبة الطبية للنزول الى سيؤون لزيارة الجرحى وحساب المستشفى  بامرالقائد</v>
      </c>
      <c r="AB173" s="121" t="str">
        <f>INDEX(Tabledaily[جهة الامر],MATCH(TableDailyJournal[[#This Row],[رقم العملية]],Tabledaily[رقم العملية],0))</f>
        <v>القائد</v>
      </c>
    </row>
    <row r="174" spans="2:28" ht="67.5" x14ac:dyDescent="0.55000000000000004">
      <c r="B174" s="58">
        <f t="shared" si="4"/>
        <v>170</v>
      </c>
      <c r="C174" s="59" t="s">
        <v>540</v>
      </c>
      <c r="D174" s="60">
        <f>INDEX(Tabledaily[date],MATCH(TableDailyJournal[[#This Row],[رقم العملية]],Tabledaily[رقم العملية],0))</f>
        <v>46180</v>
      </c>
      <c r="E174" s="58" t="str">
        <f>INDEX(Tabledaily[نوع العمليــة],MATCH(TableDailyJournal[[#This Row],[رقم العملية]],Tabledaily[رقم العملية],0))</f>
        <v>قيد عهده</v>
      </c>
      <c r="F174" s="58">
        <f>IFERROR(INDEX(TableJudje[رقم الحساب],MATCH(TableDailyJournal[[#This Row],[الحساب]],TableJudje[اسم الحساب],0)),0)</f>
        <v>31010114</v>
      </c>
      <c r="G174" s="58" t="s">
        <v>121</v>
      </c>
      <c r="H174" s="61"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v>
      </c>
      <c r="I174" s="60" t="str">
        <f>INDEX(Tabledaily[العملـــة],MATCH(TableDailyJournal[[#This Row],[رقم العملية]],Tabledaily[رقم العملية],0))</f>
        <v>ريال يمني</v>
      </c>
      <c r="J174" s="59">
        <f>IFERROR(INDEX(Tabledaily[سعــــــر
الصـــــرف],MATCH(C174,Tabledaily[رقم العملية],0)),1)</f>
        <v>405</v>
      </c>
      <c r="K174" s="123" cm="1">
        <f t="array" ref="K174">IFERROR(INDEX(Tabledaily[المبلـــــــغ],MATCH(1,(TableDailyJournal[[#This Row],[رقم العملية]]=Tabledaily[رقم العملية])*(TableDailyJournal[[#This Row],[الحساب]]=Tabledaily[الحســاب المديــــن]),0)),0)</f>
        <v>96000</v>
      </c>
      <c r="L174" s="123" cm="1">
        <f t="array" ref="L174">IFERROR(INDEX(Tabledaily[المبلـــــــغ],MATCH(1,(TableDailyJournal[[#This Row],[رقم العملية]]=Tabledaily[رقم العملية])*(TableDailyJournal[[#This Row],[الحساب]]=Tabledaily[الحســاب الدئـــن]),0)),0)</f>
        <v>0</v>
      </c>
      <c r="M174" s="119">
        <f>IFERROR(TableDailyJournal[[#This Row],[المبلغ مدين]]/TableDailyJournal[[#This Row],[سعــــــر
الصـــــرف]],0)</f>
        <v>237.03703703703704</v>
      </c>
      <c r="N174" s="119">
        <f>IFERROR(TableDailyJournal[[#This Row],[المبلغ دائن]]/TableDailyJournal[[#This Row],[سعــــــر
الصـــــرف]],0)</f>
        <v>0</v>
      </c>
      <c r="O174" s="121" t="str">
        <f>INDEX(Tabledaily[المستفيــــــــد],MATCH(TableDailyJournal[[#This Row],[رقم العملية]],Tabledaily[رقم العملية],0))</f>
        <v>محمد فؤاد+ محمد سمير+محمد علي + كريم اكرم</v>
      </c>
      <c r="P174" s="121" t="str">
        <f>INDEX(Tabledaily[المــــرجـــــــــع],MATCH(TableDailyJournal[[#This Row],[رقم العملية]],Tabledaily[رقم العملية],0))</f>
        <v>استلام نقدي</v>
      </c>
      <c r="Q174" s="121" t="str">
        <f>INDEX(Tabledaily[اســـــــم المــــرجــــع],MATCH(TableDailyJournal[[#This Row],[رقم العملية]],Tabledaily[رقم العملية],0))</f>
        <v>سند استلام</v>
      </c>
      <c r="R174" s="121">
        <f>INDEX(Tabledaily[رقم المـــــرجـــع],MATCH(TableDailyJournal[[#This Row],[رقم العملية]],Tabledaily[رقم العملية],0))</f>
        <v>0</v>
      </c>
      <c r="S174" s="121" t="str">
        <f>INDEX(Tabledaily[مركـــــــزالتكلفــــــة],MATCH(TableDailyJournal[[#This Row],[رقم العملية]],Tabledaily[رقم العملية],0))</f>
        <v>الفرقة الثالثة</v>
      </c>
      <c r="T174" s="121">
        <f>IFERROR(INDEX(tablecost[رقم المركز],MATCH(TableDailyJournal[[#This Row],[مركـــــــزالتكلفــــــة]],tablecost[الاسم],0)),0)</f>
        <v>1</v>
      </c>
      <c r="U174" s="122">
        <f>IFERROR(DATE(TableDailyJournal[[#This Row],[السنــــة]],TableDailyJournal[[#This Row],[الشهــــر]],TableDailyJournal[[#This Row],[الـــــيوم]]),"01-01-2026")</f>
        <v>46180</v>
      </c>
      <c r="V174" s="126"/>
      <c r="W174" s="58"/>
      <c r="X174" s="58">
        <f>IFERROR(YEAR(TableDailyJournal[[#This Row],[التاريخ]]),"")</f>
        <v>2026</v>
      </c>
      <c r="Y174" s="58">
        <f>IFERROR(MONTH(TableDailyJournal[[#This Row],[التاريخ]]),"")</f>
        <v>6</v>
      </c>
      <c r="Z174" s="58">
        <f>IFERROR(DAY(TableDailyJournal[[#This Row],[التاريخ]]),"")</f>
        <v>7</v>
      </c>
      <c r="AA174" s="126"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v>
      </c>
      <c r="AB174" s="121" t="str">
        <f>INDEX(Tabledaily[جهة الامر],MATCH(TableDailyJournal[[#This Row],[رقم العملية]],Tabledaily[رقم العملية],0))</f>
        <v>الأركان جمال مسدوس</v>
      </c>
    </row>
    <row r="175" spans="2:28" ht="67.5" x14ac:dyDescent="0.55000000000000004">
      <c r="B175" s="58">
        <f t="shared" si="4"/>
        <v>171</v>
      </c>
      <c r="C175" s="59" t="s">
        <v>540</v>
      </c>
      <c r="D175" s="60">
        <f>INDEX(Tabledaily[date],MATCH(TableDailyJournal[[#This Row],[رقم العملية]],Tabledaily[رقم العملية],0))</f>
        <v>46180</v>
      </c>
      <c r="E175" s="58" t="str">
        <f>INDEX(Tabledaily[نوع العمليــة],MATCH(TableDailyJournal[[#This Row],[رقم العملية]],Tabledaily[رقم العملية],0))</f>
        <v>قيد عهده</v>
      </c>
      <c r="F175" s="58">
        <f>IFERROR(INDEX(TableJudje[رقم الحساب],MATCH(TableDailyJournal[[#This Row],[الحساب]],TableJudje[اسم الحساب],0)),0)</f>
        <v>11060205</v>
      </c>
      <c r="G175" s="58" t="s">
        <v>513</v>
      </c>
      <c r="H175" s="61"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v>
      </c>
      <c r="I175" s="60" t="str">
        <f>INDEX(Tabledaily[العملـــة],MATCH(TableDailyJournal[[#This Row],[رقم العملية]],Tabledaily[رقم العملية],0))</f>
        <v>ريال يمني</v>
      </c>
      <c r="J175" s="59">
        <f>IFERROR(INDEX(Tabledaily[سعــــــر
الصـــــرف],MATCH(C175,Tabledaily[رقم العملية],0)),1)</f>
        <v>405</v>
      </c>
      <c r="K175" s="123" cm="1">
        <f t="array" ref="K175">IFERROR(INDEX(Tabledaily[المبلـــــــغ],MATCH(1,(TableDailyJournal[[#This Row],[رقم العملية]]=Tabledaily[رقم العملية])*(TableDailyJournal[[#This Row],[الحساب]]=Tabledaily[الحســاب المديــــن]),0)),0)</f>
        <v>0</v>
      </c>
      <c r="L175" s="123" cm="1">
        <f t="array" ref="L175">IFERROR(INDEX(Tabledaily[المبلـــــــغ],MATCH(1,(TableDailyJournal[[#This Row],[رقم العملية]]=Tabledaily[رقم العملية])*(TableDailyJournal[[#This Row],[الحساب]]=Tabledaily[الحســاب الدئـــن]),0)),0)</f>
        <v>96000</v>
      </c>
      <c r="M175" s="119">
        <f>IFERROR(TableDailyJournal[[#This Row],[المبلغ مدين]]/TableDailyJournal[[#This Row],[سعــــــر
الصـــــرف]],0)</f>
        <v>0</v>
      </c>
      <c r="N175" s="119">
        <f>IFERROR(TableDailyJournal[[#This Row],[المبلغ دائن]]/TableDailyJournal[[#This Row],[سعــــــر
الصـــــرف]],0)</f>
        <v>237.03703703703704</v>
      </c>
      <c r="O175" s="121" t="str">
        <f>INDEX(Tabledaily[المستفيــــــــد],MATCH(TableDailyJournal[[#This Row],[رقم العملية]],Tabledaily[رقم العملية],0))</f>
        <v>محمد فؤاد+ محمد سمير+محمد علي + كريم اكرم</v>
      </c>
      <c r="P175" s="121" t="str">
        <f>INDEX(Tabledaily[المــــرجـــــــــع],MATCH(TableDailyJournal[[#This Row],[رقم العملية]],Tabledaily[رقم العملية],0))</f>
        <v>استلام نقدي</v>
      </c>
      <c r="Q175" s="121" t="str">
        <f>INDEX(Tabledaily[اســـــــم المــــرجــــع],MATCH(TableDailyJournal[[#This Row],[رقم العملية]],Tabledaily[رقم العملية],0))</f>
        <v>سند استلام</v>
      </c>
      <c r="R175" s="121">
        <f>INDEX(Tabledaily[رقم المـــــرجـــع],MATCH(TableDailyJournal[[#This Row],[رقم العملية]],Tabledaily[رقم العملية],0))</f>
        <v>0</v>
      </c>
      <c r="S175" s="121" t="str">
        <f>INDEX(Tabledaily[مركـــــــزالتكلفــــــة],MATCH(TableDailyJournal[[#This Row],[رقم العملية]],Tabledaily[رقم العملية],0))</f>
        <v>الفرقة الثالثة</v>
      </c>
      <c r="T175" s="121">
        <f>IFERROR(INDEX(tablecost[رقم المركز],MATCH(TableDailyJournal[[#This Row],[مركـــــــزالتكلفــــــة]],tablecost[الاسم],0)),0)</f>
        <v>1</v>
      </c>
      <c r="U175" s="122">
        <f>IFERROR(DATE(TableDailyJournal[[#This Row],[السنــــة]],TableDailyJournal[[#This Row],[الشهــــر]],TableDailyJournal[[#This Row],[الـــــيوم]]),"01-01-2026")</f>
        <v>46180</v>
      </c>
      <c r="V175" s="126"/>
      <c r="W175" s="58"/>
      <c r="X175" s="58">
        <f>IFERROR(YEAR(TableDailyJournal[[#This Row],[التاريخ]]),"")</f>
        <v>2026</v>
      </c>
      <c r="Y175" s="58">
        <f>IFERROR(MONTH(TableDailyJournal[[#This Row],[التاريخ]]),"")</f>
        <v>6</v>
      </c>
      <c r="Z175" s="58">
        <f>IFERROR(DAY(TableDailyJournal[[#This Row],[التاريخ]]),"")</f>
        <v>7</v>
      </c>
      <c r="AA175" s="126"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للفترة من 31 مايو الى 7 يونيو بامرالأركان جمال مسدوس</v>
      </c>
      <c r="AB175" s="121" t="str">
        <f>INDEX(Tabledaily[جهة الامر],MATCH(TableDailyJournal[[#This Row],[رقم العملية]],Tabledaily[رقم العملية],0))</f>
        <v>الأركان جمال مسدوس</v>
      </c>
    </row>
    <row r="176" spans="2:28" ht="45.75" x14ac:dyDescent="0.55000000000000004">
      <c r="B176" s="58">
        <f t="shared" si="4"/>
        <v>172</v>
      </c>
      <c r="C176" s="59" t="s">
        <v>543</v>
      </c>
      <c r="D176" s="60">
        <f>INDEX(Tabledaily[date],MATCH(TableDailyJournal[[#This Row],[رقم العملية]],Tabledaily[رقم العملية],0))</f>
        <v>46180</v>
      </c>
      <c r="E176" s="58" t="str">
        <f>INDEX(Tabledaily[نوع العمليــة],MATCH(TableDailyJournal[[#This Row],[رقم العملية]],Tabledaily[رقم العملية],0))</f>
        <v>قيد عهده</v>
      </c>
      <c r="F176" s="58">
        <f>IFERROR(INDEX(TableJudje[رقم الحساب],MATCH(TableDailyJournal[[#This Row],[الحساب]],TableJudje[اسم الحساب],0)),0)</f>
        <v>31010101</v>
      </c>
      <c r="G176" s="58" t="s">
        <v>111</v>
      </c>
      <c r="H176" s="61" t="str">
        <f>INDEX(Tabledaily[المرجع البياني],MATCH(TableDailyJournal[[#This Row],[رقم العملية]],Tabledaily[رقم العملية],0))</f>
        <v>قيـد مقابـل:- (مصاريف  صرفة يومية للافراد  - محمد عبدالصمد عبدالله - الفرقة الثالثة)  - استلام نقدي رقم   سند استلام - صرف صرفة يومية ليوم 6 و7  بامرالمالية</v>
      </c>
      <c r="I176" s="60" t="str">
        <f>INDEX(Tabledaily[العملـــة],MATCH(TableDailyJournal[[#This Row],[رقم العملية]],Tabledaily[رقم العملية],0))</f>
        <v>ريال يمني</v>
      </c>
      <c r="J176" s="59">
        <f>IFERROR(INDEX(Tabledaily[سعــــــر
الصـــــرف],MATCH(C176,Tabledaily[رقم العملية],0)),1)</f>
        <v>405</v>
      </c>
      <c r="K176" s="123" cm="1">
        <f t="array" ref="K176">IFERROR(INDEX(Tabledaily[المبلـــــــغ],MATCH(1,(TableDailyJournal[[#This Row],[رقم العملية]]=Tabledaily[رقم العملية])*(TableDailyJournal[[#This Row],[الحساب]]=Tabledaily[الحســاب المديــــن]),0)),0)</f>
        <v>20000</v>
      </c>
      <c r="L176" s="123" cm="1">
        <f t="array" ref="L176">IFERROR(INDEX(Tabledaily[المبلـــــــغ],MATCH(1,(TableDailyJournal[[#This Row],[رقم العملية]]=Tabledaily[رقم العملية])*(TableDailyJournal[[#This Row],[الحساب]]=Tabledaily[الحســاب الدئـــن]),0)),0)</f>
        <v>0</v>
      </c>
      <c r="M176" s="119">
        <f>IFERROR(TableDailyJournal[[#This Row],[المبلغ مدين]]/TableDailyJournal[[#This Row],[سعــــــر
الصـــــرف]],0)</f>
        <v>49.382716049382715</v>
      </c>
      <c r="N176" s="119">
        <f>IFERROR(TableDailyJournal[[#This Row],[المبلغ دائن]]/TableDailyJournal[[#This Row],[سعــــــر
الصـــــرف]],0)</f>
        <v>0</v>
      </c>
      <c r="O176" s="121" t="str">
        <f>INDEX(Tabledaily[المستفيــــــــد],MATCH(TableDailyJournal[[#This Row],[رقم العملية]],Tabledaily[رقم العملية],0))</f>
        <v>محمد عبدالصمد عبدالله</v>
      </c>
      <c r="P176" s="121" t="str">
        <f>INDEX(Tabledaily[المــــرجـــــــــع],MATCH(TableDailyJournal[[#This Row],[رقم العملية]],Tabledaily[رقم العملية],0))</f>
        <v>استلام نقدي</v>
      </c>
      <c r="Q176" s="121" t="str">
        <f>INDEX(Tabledaily[اســـــــم المــــرجــــع],MATCH(TableDailyJournal[[#This Row],[رقم العملية]],Tabledaily[رقم العملية],0))</f>
        <v>سند استلام</v>
      </c>
      <c r="R176" s="121">
        <f>INDEX(Tabledaily[رقم المـــــرجـــع],MATCH(TableDailyJournal[[#This Row],[رقم العملية]],Tabledaily[رقم العملية],0))</f>
        <v>0</v>
      </c>
      <c r="S176" s="121" t="str">
        <f>INDEX(Tabledaily[مركـــــــزالتكلفــــــة],MATCH(TableDailyJournal[[#This Row],[رقم العملية]],Tabledaily[رقم العملية],0))</f>
        <v>الفرقة الثالثة</v>
      </c>
      <c r="T176" s="121">
        <f>IFERROR(INDEX(tablecost[رقم المركز],MATCH(TableDailyJournal[[#This Row],[مركـــــــزالتكلفــــــة]],tablecost[الاسم],0)),0)</f>
        <v>1</v>
      </c>
      <c r="U176" s="122">
        <f>IFERROR(DATE(TableDailyJournal[[#This Row],[السنــــة]],TableDailyJournal[[#This Row],[الشهــــر]],TableDailyJournal[[#This Row],[الـــــيوم]]),"01-01-2026")</f>
        <v>46180</v>
      </c>
      <c r="V176" s="126"/>
      <c r="W176" s="58"/>
      <c r="X176" s="58">
        <f>IFERROR(YEAR(TableDailyJournal[[#This Row],[التاريخ]]),"")</f>
        <v>2026</v>
      </c>
      <c r="Y176" s="58">
        <f>IFERROR(MONTH(TableDailyJournal[[#This Row],[التاريخ]]),"")</f>
        <v>6</v>
      </c>
      <c r="Z176" s="58">
        <f>IFERROR(DAY(TableDailyJournal[[#This Row],[التاريخ]]),"")</f>
        <v>7</v>
      </c>
      <c r="AA176" s="126" t="str">
        <f>INDEX(Tabledaily[المرجع البياني],MATCH(TableDailyJournal[[#This Row],[رقم العملية]],Tabledaily[رقم العملية],0))</f>
        <v>قيـد مقابـل:- (مصاريف  صرفة يومية للافراد  - محمد عبدالصمد عبدالله - الفرقة الثالثة)  - استلام نقدي رقم   سند استلام - صرف صرفة يومية ليوم 6 و7  بامرالمالية</v>
      </c>
      <c r="AB176" s="121" t="str">
        <f>INDEX(Tabledaily[جهة الامر],MATCH(TableDailyJournal[[#This Row],[رقم العملية]],Tabledaily[رقم العملية],0))</f>
        <v>المالية</v>
      </c>
    </row>
    <row r="177" spans="2:28" ht="45.75" x14ac:dyDescent="0.55000000000000004">
      <c r="B177" s="58">
        <f t="shared" si="4"/>
        <v>173</v>
      </c>
      <c r="C177" s="59" t="s">
        <v>543</v>
      </c>
      <c r="D177" s="60">
        <f>INDEX(Tabledaily[date],MATCH(TableDailyJournal[[#This Row],[رقم العملية]],Tabledaily[رقم العملية],0))</f>
        <v>46180</v>
      </c>
      <c r="E177" s="58" t="str">
        <f>INDEX(Tabledaily[نوع العمليــة],MATCH(TableDailyJournal[[#This Row],[رقم العملية]],Tabledaily[رقم العملية],0))</f>
        <v>قيد عهده</v>
      </c>
      <c r="F177" s="58">
        <f>IFERROR(INDEX(TableJudje[رقم الحساب],MATCH(TableDailyJournal[[#This Row],[الحساب]],TableJudje[اسم الحساب],0)),0)</f>
        <v>11060205</v>
      </c>
      <c r="G177" s="58" t="s">
        <v>513</v>
      </c>
      <c r="H177" s="61" t="str">
        <f>INDEX(Tabledaily[المرجع البياني],MATCH(TableDailyJournal[[#This Row],[رقم العملية]],Tabledaily[رقم العملية],0))</f>
        <v>قيـد مقابـل:- (مصاريف  صرفة يومية للافراد  - محمد عبدالصمد عبدالله - الفرقة الثالثة)  - استلام نقدي رقم   سند استلام - صرف صرفة يومية ليوم 6 و7  بامرالمالية</v>
      </c>
      <c r="I177" s="60" t="str">
        <f>INDEX(Tabledaily[العملـــة],MATCH(TableDailyJournal[[#This Row],[رقم العملية]],Tabledaily[رقم العملية],0))</f>
        <v>ريال يمني</v>
      </c>
      <c r="J177" s="59">
        <f>IFERROR(INDEX(Tabledaily[سعــــــر
الصـــــرف],MATCH(C177,Tabledaily[رقم العملية],0)),1)</f>
        <v>405</v>
      </c>
      <c r="K177" s="123" cm="1">
        <f t="array" ref="K177">IFERROR(INDEX(Tabledaily[المبلـــــــغ],MATCH(1,(TableDailyJournal[[#This Row],[رقم العملية]]=Tabledaily[رقم العملية])*(TableDailyJournal[[#This Row],[الحساب]]=Tabledaily[الحســاب المديــــن]),0)),0)</f>
        <v>0</v>
      </c>
      <c r="L177" s="123" cm="1">
        <f t="array" ref="L177">IFERROR(INDEX(Tabledaily[المبلـــــــغ],MATCH(1,(TableDailyJournal[[#This Row],[رقم العملية]]=Tabledaily[رقم العملية])*(TableDailyJournal[[#This Row],[الحساب]]=Tabledaily[الحســاب الدئـــن]),0)),0)</f>
        <v>20000</v>
      </c>
      <c r="M177" s="119">
        <f>IFERROR(TableDailyJournal[[#This Row],[المبلغ مدين]]/TableDailyJournal[[#This Row],[سعــــــر
الصـــــرف]],0)</f>
        <v>0</v>
      </c>
      <c r="N177" s="119">
        <f>IFERROR(TableDailyJournal[[#This Row],[المبلغ دائن]]/TableDailyJournal[[#This Row],[سعــــــر
الصـــــرف]],0)</f>
        <v>49.382716049382715</v>
      </c>
      <c r="O177" s="121" t="str">
        <f>INDEX(Tabledaily[المستفيــــــــد],MATCH(TableDailyJournal[[#This Row],[رقم العملية]],Tabledaily[رقم العملية],0))</f>
        <v>محمد عبدالصمد عبدالله</v>
      </c>
      <c r="P177" s="121" t="str">
        <f>INDEX(Tabledaily[المــــرجـــــــــع],MATCH(TableDailyJournal[[#This Row],[رقم العملية]],Tabledaily[رقم العملية],0))</f>
        <v>استلام نقدي</v>
      </c>
      <c r="Q177" s="121" t="str">
        <f>INDEX(Tabledaily[اســـــــم المــــرجــــع],MATCH(TableDailyJournal[[#This Row],[رقم العملية]],Tabledaily[رقم العملية],0))</f>
        <v>سند استلام</v>
      </c>
      <c r="R177" s="121">
        <f>INDEX(Tabledaily[رقم المـــــرجـــع],MATCH(TableDailyJournal[[#This Row],[رقم العملية]],Tabledaily[رقم العملية],0))</f>
        <v>0</v>
      </c>
      <c r="S177" s="121" t="str">
        <f>INDEX(Tabledaily[مركـــــــزالتكلفــــــة],MATCH(TableDailyJournal[[#This Row],[رقم العملية]],Tabledaily[رقم العملية],0))</f>
        <v>الفرقة الثالثة</v>
      </c>
      <c r="T177" s="121">
        <f>IFERROR(INDEX(tablecost[رقم المركز],MATCH(TableDailyJournal[[#This Row],[مركـــــــزالتكلفــــــة]],tablecost[الاسم],0)),0)</f>
        <v>1</v>
      </c>
      <c r="U177" s="122">
        <f>IFERROR(DATE(TableDailyJournal[[#This Row],[السنــــة]],TableDailyJournal[[#This Row],[الشهــــر]],TableDailyJournal[[#This Row],[الـــــيوم]]),"01-01-2026")</f>
        <v>46180</v>
      </c>
      <c r="V177" s="126"/>
      <c r="W177" s="58"/>
      <c r="X177" s="58">
        <f>IFERROR(YEAR(TableDailyJournal[[#This Row],[التاريخ]]),"")</f>
        <v>2026</v>
      </c>
      <c r="Y177" s="58">
        <f>IFERROR(MONTH(TableDailyJournal[[#This Row],[التاريخ]]),"")</f>
        <v>6</v>
      </c>
      <c r="Z177" s="58">
        <f>IFERROR(DAY(TableDailyJournal[[#This Row],[التاريخ]]),"")</f>
        <v>7</v>
      </c>
      <c r="AA177" s="126" t="str">
        <f>INDEX(Tabledaily[المرجع البياني],MATCH(TableDailyJournal[[#This Row],[رقم العملية]],Tabledaily[رقم العملية],0))</f>
        <v>قيـد مقابـل:- (مصاريف  صرفة يومية للافراد  - محمد عبدالصمد عبدالله - الفرقة الثالثة)  - استلام نقدي رقم   سند استلام - صرف صرفة يومية ليوم 6 و7  بامرالمالية</v>
      </c>
      <c r="AB177" s="121" t="str">
        <f>INDEX(Tabledaily[جهة الامر],MATCH(TableDailyJournal[[#This Row],[رقم العملية]],Tabledaily[رقم العملية],0))</f>
        <v>المالية</v>
      </c>
    </row>
    <row r="178" spans="2:28" ht="45.75" x14ac:dyDescent="0.55000000000000004">
      <c r="B178" s="58">
        <f t="shared" si="4"/>
        <v>174</v>
      </c>
      <c r="C178" s="59" t="s">
        <v>546</v>
      </c>
      <c r="D178" s="60">
        <f>INDEX(Tabledaily[date],MATCH(TableDailyJournal[[#This Row],[رقم العملية]],Tabledaily[رقم العملية],0))</f>
        <v>46180</v>
      </c>
      <c r="E178" s="58" t="str">
        <f>INDEX(Tabledaily[نوع العمليــة],MATCH(TableDailyJournal[[#This Row],[رقم العملية]],Tabledaily[رقم العملية],0))</f>
        <v>قيد عهده</v>
      </c>
      <c r="F178" s="58">
        <f>IFERROR(INDEX(TableJudje[رقم الحساب],MATCH(TableDailyJournal[[#This Row],[الحساب]],TableJudje[اسم الحساب],0)),0)</f>
        <v>31010109</v>
      </c>
      <c r="G178" s="58" t="s">
        <v>484</v>
      </c>
      <c r="H178" s="61" t="str">
        <f>INDEX(Tabledaily[المرجع البياني],MATCH(TableDailyJournal[[#This Row],[رقم العملية]],Tabledaily[رقم العملية],0))</f>
        <v>قيـد مقابـل:- (مصاريف نثريات أخرى - الامداد - الفرقة الثالثة)  - فاتورة رقم 123821   - شراء مكانس ابو عصى و عصى مكانس بامرمدير  مكتب القائد</v>
      </c>
      <c r="I178" s="60" t="str">
        <f>INDEX(Tabledaily[العملـــة],MATCH(TableDailyJournal[[#This Row],[رقم العملية]],Tabledaily[رقم العملية],0))</f>
        <v>ريال يمني</v>
      </c>
      <c r="J178" s="59">
        <f>IFERROR(INDEX(Tabledaily[سعــــــر
الصـــــرف],MATCH(C178,Tabledaily[رقم العملية],0)),1)</f>
        <v>405</v>
      </c>
      <c r="K178" s="123" cm="1">
        <f t="array" ref="K178">IFERROR(INDEX(Tabledaily[المبلـــــــغ],MATCH(1,(TableDailyJournal[[#This Row],[رقم العملية]]=Tabledaily[رقم العملية])*(TableDailyJournal[[#This Row],[الحساب]]=Tabledaily[الحســاب المديــــن]),0)),0)</f>
        <v>7000</v>
      </c>
      <c r="L178" s="123" cm="1">
        <f t="array" ref="L178">IFERROR(INDEX(Tabledaily[المبلـــــــغ],MATCH(1,(TableDailyJournal[[#This Row],[رقم العملية]]=Tabledaily[رقم العملية])*(TableDailyJournal[[#This Row],[الحساب]]=Tabledaily[الحســاب الدئـــن]),0)),0)</f>
        <v>0</v>
      </c>
      <c r="M178" s="119">
        <f>IFERROR(TableDailyJournal[[#This Row],[المبلغ مدين]]/TableDailyJournal[[#This Row],[سعــــــر
الصـــــرف]],0)</f>
        <v>17.283950617283949</v>
      </c>
      <c r="N178" s="119">
        <f>IFERROR(TableDailyJournal[[#This Row],[المبلغ دائن]]/TableDailyJournal[[#This Row],[سعــــــر
الصـــــرف]],0)</f>
        <v>0</v>
      </c>
      <c r="O178" s="121" t="str">
        <f>INDEX(Tabledaily[المستفيــــــــد],MATCH(TableDailyJournal[[#This Row],[رقم العملية]],Tabledaily[رقم العملية],0))</f>
        <v>الامداد</v>
      </c>
      <c r="P178" s="121" t="str">
        <f>INDEX(Tabledaily[المــــرجـــــــــع],MATCH(TableDailyJournal[[#This Row],[رقم العملية]],Tabledaily[رقم العملية],0))</f>
        <v>فاتورة</v>
      </c>
      <c r="Q178" s="121">
        <f>INDEX(Tabledaily[اســـــــم المــــرجــــع],MATCH(TableDailyJournal[[#This Row],[رقم العملية]],Tabledaily[رقم العملية],0))</f>
        <v>0</v>
      </c>
      <c r="R178" s="121">
        <f>INDEX(Tabledaily[رقم المـــــرجـــع],MATCH(TableDailyJournal[[#This Row],[رقم العملية]],Tabledaily[رقم العملية],0))</f>
        <v>123821</v>
      </c>
      <c r="S178" s="121" t="str">
        <f>INDEX(Tabledaily[مركـــــــزالتكلفــــــة],MATCH(TableDailyJournal[[#This Row],[رقم العملية]],Tabledaily[رقم العملية],0))</f>
        <v>الفرقة الثالثة</v>
      </c>
      <c r="T178" s="121">
        <f>IFERROR(INDEX(tablecost[رقم المركز],MATCH(TableDailyJournal[[#This Row],[مركـــــــزالتكلفــــــة]],tablecost[الاسم],0)),0)</f>
        <v>1</v>
      </c>
      <c r="U178" s="122">
        <f>IFERROR(DATE(TableDailyJournal[[#This Row],[السنــــة]],TableDailyJournal[[#This Row],[الشهــــر]],TableDailyJournal[[#This Row],[الـــــيوم]]),"01-01-2026")</f>
        <v>46180</v>
      </c>
      <c r="V178" s="126"/>
      <c r="W178" s="58"/>
      <c r="X178" s="58">
        <f>IFERROR(YEAR(TableDailyJournal[[#This Row],[التاريخ]]),"")</f>
        <v>2026</v>
      </c>
      <c r="Y178" s="58">
        <f>IFERROR(MONTH(TableDailyJournal[[#This Row],[التاريخ]]),"")</f>
        <v>6</v>
      </c>
      <c r="Z178" s="58">
        <f>IFERROR(DAY(TableDailyJournal[[#This Row],[التاريخ]]),"")</f>
        <v>7</v>
      </c>
      <c r="AA178" s="126" t="str">
        <f>INDEX(Tabledaily[المرجع البياني],MATCH(TableDailyJournal[[#This Row],[رقم العملية]],Tabledaily[رقم العملية],0))</f>
        <v>قيـد مقابـل:- (مصاريف نثريات أخرى - الامداد - الفرقة الثالثة)  - فاتورة رقم 123821   - شراء مكانس ابو عصى و عصى مكانس بامرمدير  مكتب القائد</v>
      </c>
      <c r="AB178" s="121" t="str">
        <f>INDEX(Tabledaily[جهة الامر],MATCH(TableDailyJournal[[#This Row],[رقم العملية]],Tabledaily[رقم العملية],0))</f>
        <v>مدير  مكتب القائد</v>
      </c>
    </row>
    <row r="179" spans="2:28" ht="45.75" x14ac:dyDescent="0.55000000000000004">
      <c r="B179" s="58">
        <f t="shared" si="4"/>
        <v>175</v>
      </c>
      <c r="C179" s="59" t="s">
        <v>546</v>
      </c>
      <c r="D179" s="60">
        <f>INDEX(Tabledaily[date],MATCH(TableDailyJournal[[#This Row],[رقم العملية]],Tabledaily[رقم العملية],0))</f>
        <v>46180</v>
      </c>
      <c r="E179" s="58" t="str">
        <f>INDEX(Tabledaily[نوع العمليــة],MATCH(TableDailyJournal[[#This Row],[رقم العملية]],Tabledaily[رقم العملية],0))</f>
        <v>قيد عهده</v>
      </c>
      <c r="F179" s="58">
        <f>IFERROR(INDEX(TableJudje[رقم الحساب],MATCH(TableDailyJournal[[#This Row],[الحساب]],TableJudje[اسم الحساب],0)),0)</f>
        <v>11060205</v>
      </c>
      <c r="G179" s="58" t="s">
        <v>513</v>
      </c>
      <c r="H179" s="61" t="str">
        <f>INDEX(Tabledaily[المرجع البياني],MATCH(TableDailyJournal[[#This Row],[رقم العملية]],Tabledaily[رقم العملية],0))</f>
        <v>قيـد مقابـل:- (مصاريف نثريات أخرى - الامداد - الفرقة الثالثة)  - فاتورة رقم 123821   - شراء مكانس ابو عصى و عصى مكانس بامرمدير  مكتب القائد</v>
      </c>
      <c r="I179" s="60" t="str">
        <f>INDEX(Tabledaily[العملـــة],MATCH(TableDailyJournal[[#This Row],[رقم العملية]],Tabledaily[رقم العملية],0))</f>
        <v>ريال يمني</v>
      </c>
      <c r="J179" s="59">
        <f>IFERROR(INDEX(Tabledaily[سعــــــر
الصـــــرف],MATCH(C179,Tabledaily[رقم العملية],0)),1)</f>
        <v>405</v>
      </c>
      <c r="K179" s="123" cm="1">
        <f t="array" ref="K179">IFERROR(INDEX(Tabledaily[المبلـــــــغ],MATCH(1,(TableDailyJournal[[#This Row],[رقم العملية]]=Tabledaily[رقم العملية])*(TableDailyJournal[[#This Row],[الحساب]]=Tabledaily[الحســاب المديــــن]),0)),0)</f>
        <v>0</v>
      </c>
      <c r="L179" s="123" cm="1">
        <f t="array" ref="L179">IFERROR(INDEX(Tabledaily[المبلـــــــغ],MATCH(1,(TableDailyJournal[[#This Row],[رقم العملية]]=Tabledaily[رقم العملية])*(TableDailyJournal[[#This Row],[الحساب]]=Tabledaily[الحســاب الدئـــن]),0)),0)</f>
        <v>7000</v>
      </c>
      <c r="M179" s="119">
        <f>IFERROR(TableDailyJournal[[#This Row],[المبلغ مدين]]/TableDailyJournal[[#This Row],[سعــــــر
الصـــــرف]],0)</f>
        <v>0</v>
      </c>
      <c r="N179" s="119">
        <f>IFERROR(TableDailyJournal[[#This Row],[المبلغ دائن]]/TableDailyJournal[[#This Row],[سعــــــر
الصـــــرف]],0)</f>
        <v>17.283950617283949</v>
      </c>
      <c r="O179" s="121" t="str">
        <f>INDEX(Tabledaily[المستفيــــــــد],MATCH(TableDailyJournal[[#This Row],[رقم العملية]],Tabledaily[رقم العملية],0))</f>
        <v>الامداد</v>
      </c>
      <c r="P179" s="121" t="str">
        <f>INDEX(Tabledaily[المــــرجـــــــــع],MATCH(TableDailyJournal[[#This Row],[رقم العملية]],Tabledaily[رقم العملية],0))</f>
        <v>فاتورة</v>
      </c>
      <c r="Q179" s="121">
        <f>INDEX(Tabledaily[اســـــــم المــــرجــــع],MATCH(TableDailyJournal[[#This Row],[رقم العملية]],Tabledaily[رقم العملية],0))</f>
        <v>0</v>
      </c>
      <c r="R179" s="121">
        <f>INDEX(Tabledaily[رقم المـــــرجـــع],MATCH(TableDailyJournal[[#This Row],[رقم العملية]],Tabledaily[رقم العملية],0))</f>
        <v>123821</v>
      </c>
      <c r="S179" s="121" t="str">
        <f>INDEX(Tabledaily[مركـــــــزالتكلفــــــة],MATCH(TableDailyJournal[[#This Row],[رقم العملية]],Tabledaily[رقم العملية],0))</f>
        <v>الفرقة الثالثة</v>
      </c>
      <c r="T179" s="121">
        <f>IFERROR(INDEX(tablecost[رقم المركز],MATCH(TableDailyJournal[[#This Row],[مركـــــــزالتكلفــــــة]],tablecost[الاسم],0)),0)</f>
        <v>1</v>
      </c>
      <c r="U179" s="122">
        <f>IFERROR(DATE(TableDailyJournal[[#This Row],[السنــــة]],TableDailyJournal[[#This Row],[الشهــــر]],TableDailyJournal[[#This Row],[الـــــيوم]]),"01-01-2026")</f>
        <v>46180</v>
      </c>
      <c r="V179" s="126"/>
      <c r="W179" s="58"/>
      <c r="X179" s="58">
        <f>IFERROR(YEAR(TableDailyJournal[[#This Row],[التاريخ]]),"")</f>
        <v>2026</v>
      </c>
      <c r="Y179" s="58">
        <f>IFERROR(MONTH(TableDailyJournal[[#This Row],[التاريخ]]),"")</f>
        <v>6</v>
      </c>
      <c r="Z179" s="58">
        <f>IFERROR(DAY(TableDailyJournal[[#This Row],[التاريخ]]),"")</f>
        <v>7</v>
      </c>
      <c r="AA179" s="126" t="str">
        <f>INDEX(Tabledaily[المرجع البياني],MATCH(TableDailyJournal[[#This Row],[رقم العملية]],Tabledaily[رقم العملية],0))</f>
        <v>قيـد مقابـل:- (مصاريف نثريات أخرى - الامداد - الفرقة الثالثة)  - فاتورة رقم 123821   - شراء مكانس ابو عصى و عصى مكانس بامرمدير  مكتب القائد</v>
      </c>
      <c r="AB179" s="121" t="str">
        <f>INDEX(Tabledaily[جهة الامر],MATCH(TableDailyJournal[[#This Row],[رقم العملية]],Tabledaily[رقم العملية],0))</f>
        <v>مدير  مكتب القائد</v>
      </c>
    </row>
    <row r="180" spans="2:28" ht="45.75" x14ac:dyDescent="0.55000000000000004">
      <c r="B180" s="58">
        <f t="shared" si="4"/>
        <v>176</v>
      </c>
      <c r="C180" s="59" t="s">
        <v>548</v>
      </c>
      <c r="D180" s="60">
        <f>INDEX(Tabledaily[date],MATCH(TableDailyJournal[[#This Row],[رقم العملية]],Tabledaily[رقم العملية],0))</f>
        <v>46180</v>
      </c>
      <c r="E180" s="58" t="str">
        <f>INDEX(Tabledaily[نوع العمليــة],MATCH(TableDailyJournal[[#This Row],[رقم العملية]],Tabledaily[رقم العملية],0))</f>
        <v>قيد عهده</v>
      </c>
      <c r="F180" s="58">
        <f>IFERROR(INDEX(TableJudje[رقم الحساب],MATCH(TableDailyJournal[[#This Row],[الحساب]],TableJudje[اسم الحساب],0)),0)</f>
        <v>31010109</v>
      </c>
      <c r="G180" s="58" t="s">
        <v>484</v>
      </c>
      <c r="H180" s="61" t="str">
        <f>INDEX(Tabledaily[المرجع البياني],MATCH(TableDailyJournal[[#This Row],[رقم العملية]],Tabledaily[رقم العملية],0))</f>
        <v>قيـد مقابـل:- (مصاريف نثريات أخرى - جمال مسدوس - الفرقة الثالثة)  - استلام نقدي رقم   سند استلام - صرف نثريات الاركان بامرالأركان جمال مسدوس</v>
      </c>
      <c r="I180" s="60" t="str">
        <f>INDEX(Tabledaily[العملـــة],MATCH(TableDailyJournal[[#This Row],[رقم العملية]],Tabledaily[رقم العملية],0))</f>
        <v>ريال يمني</v>
      </c>
      <c r="J180" s="59">
        <f>IFERROR(INDEX(Tabledaily[سعــــــر
الصـــــرف],MATCH(C180,Tabledaily[رقم العملية],0)),1)</f>
        <v>405</v>
      </c>
      <c r="K180" s="123" cm="1">
        <f t="array" ref="K180">IFERROR(INDEX(Tabledaily[المبلـــــــغ],MATCH(1,(TableDailyJournal[[#This Row],[رقم العملية]]=Tabledaily[رقم العملية])*(TableDailyJournal[[#This Row],[الحساب]]=Tabledaily[الحســاب المديــــن]),0)),0)</f>
        <v>100000</v>
      </c>
      <c r="L180" s="123" cm="1">
        <f t="array" ref="L180">IFERROR(INDEX(Tabledaily[المبلـــــــغ],MATCH(1,(TableDailyJournal[[#This Row],[رقم العملية]]=Tabledaily[رقم العملية])*(TableDailyJournal[[#This Row],[الحساب]]=Tabledaily[الحســاب الدئـــن]),0)),0)</f>
        <v>0</v>
      </c>
      <c r="M180" s="119">
        <f>IFERROR(TableDailyJournal[[#This Row],[المبلغ مدين]]/TableDailyJournal[[#This Row],[سعــــــر
الصـــــرف]],0)</f>
        <v>246.91358024691357</v>
      </c>
      <c r="N180" s="119">
        <f>IFERROR(TableDailyJournal[[#This Row],[المبلغ دائن]]/TableDailyJournal[[#This Row],[سعــــــر
الصـــــرف]],0)</f>
        <v>0</v>
      </c>
      <c r="O180" s="121" t="str">
        <f>INDEX(Tabledaily[المستفيــــــــد],MATCH(TableDailyJournal[[#This Row],[رقم العملية]],Tabledaily[رقم العملية],0))</f>
        <v>جمال مسدوس</v>
      </c>
      <c r="P180" s="121" t="str">
        <f>INDEX(Tabledaily[المــــرجـــــــــع],MATCH(TableDailyJournal[[#This Row],[رقم العملية]],Tabledaily[رقم العملية],0))</f>
        <v>استلام نقدي</v>
      </c>
      <c r="Q180" s="121" t="str">
        <f>INDEX(Tabledaily[اســـــــم المــــرجــــع],MATCH(TableDailyJournal[[#This Row],[رقم العملية]],Tabledaily[رقم العملية],0))</f>
        <v>سند استلام</v>
      </c>
      <c r="R180" s="121">
        <f>INDEX(Tabledaily[رقم المـــــرجـــع],MATCH(TableDailyJournal[[#This Row],[رقم العملية]],Tabledaily[رقم العملية],0))</f>
        <v>0</v>
      </c>
      <c r="S180" s="121" t="str">
        <f>INDEX(Tabledaily[مركـــــــزالتكلفــــــة],MATCH(TableDailyJournal[[#This Row],[رقم العملية]],Tabledaily[رقم العملية],0))</f>
        <v>الفرقة الثالثة</v>
      </c>
      <c r="T180" s="121">
        <f>IFERROR(INDEX(tablecost[رقم المركز],MATCH(TableDailyJournal[[#This Row],[مركـــــــزالتكلفــــــة]],tablecost[الاسم],0)),0)</f>
        <v>1</v>
      </c>
      <c r="U180" s="122">
        <f>IFERROR(DATE(TableDailyJournal[[#This Row],[السنــــة]],TableDailyJournal[[#This Row],[الشهــــر]],TableDailyJournal[[#This Row],[الـــــيوم]]),"01-01-2026")</f>
        <v>46180</v>
      </c>
      <c r="V180" s="126"/>
      <c r="W180" s="58"/>
      <c r="X180" s="58">
        <f>IFERROR(YEAR(TableDailyJournal[[#This Row],[التاريخ]]),"")</f>
        <v>2026</v>
      </c>
      <c r="Y180" s="58">
        <f>IFERROR(MONTH(TableDailyJournal[[#This Row],[التاريخ]]),"")</f>
        <v>6</v>
      </c>
      <c r="Z180" s="58">
        <f>IFERROR(DAY(TableDailyJournal[[#This Row],[التاريخ]]),"")</f>
        <v>7</v>
      </c>
      <c r="AA180" s="126" t="str">
        <f>INDEX(Tabledaily[المرجع البياني],MATCH(TableDailyJournal[[#This Row],[رقم العملية]],Tabledaily[رقم العملية],0))</f>
        <v>قيـد مقابـل:- (مصاريف نثريات أخرى - جمال مسدوس - الفرقة الثالثة)  - استلام نقدي رقم   سند استلام - صرف نثريات الاركان بامرالأركان جمال مسدوس</v>
      </c>
      <c r="AB180" s="121" t="str">
        <f>INDEX(Tabledaily[جهة الامر],MATCH(TableDailyJournal[[#This Row],[رقم العملية]],Tabledaily[رقم العملية],0))</f>
        <v>الأركان جمال مسدوس</v>
      </c>
    </row>
    <row r="181" spans="2:28" ht="45.75" x14ac:dyDescent="0.55000000000000004">
      <c r="B181" s="58">
        <f t="shared" si="4"/>
        <v>177</v>
      </c>
      <c r="C181" s="59" t="s">
        <v>548</v>
      </c>
      <c r="D181" s="60">
        <f>INDEX(Tabledaily[date],MATCH(TableDailyJournal[[#This Row],[رقم العملية]],Tabledaily[رقم العملية],0))</f>
        <v>46180</v>
      </c>
      <c r="E181" s="58" t="str">
        <f>INDEX(Tabledaily[نوع العمليــة],MATCH(TableDailyJournal[[#This Row],[رقم العملية]],Tabledaily[رقم العملية],0))</f>
        <v>قيد عهده</v>
      </c>
      <c r="F181" s="58">
        <f>IFERROR(INDEX(TableJudje[رقم الحساب],MATCH(TableDailyJournal[[#This Row],[الحساب]],TableJudje[اسم الحساب],0)),0)</f>
        <v>11060205</v>
      </c>
      <c r="G181" s="58" t="s">
        <v>513</v>
      </c>
      <c r="H181" s="61" t="str">
        <f>INDEX(Tabledaily[المرجع البياني],MATCH(TableDailyJournal[[#This Row],[رقم العملية]],Tabledaily[رقم العملية],0))</f>
        <v>قيـد مقابـل:- (مصاريف نثريات أخرى - جمال مسدوس - الفرقة الثالثة)  - استلام نقدي رقم   سند استلام - صرف نثريات الاركان بامرالأركان جمال مسدوس</v>
      </c>
      <c r="I181" s="60" t="str">
        <f>INDEX(Tabledaily[العملـــة],MATCH(TableDailyJournal[[#This Row],[رقم العملية]],Tabledaily[رقم العملية],0))</f>
        <v>ريال يمني</v>
      </c>
      <c r="J181" s="59">
        <f>IFERROR(INDEX(Tabledaily[سعــــــر
الصـــــرف],MATCH(C181,Tabledaily[رقم العملية],0)),1)</f>
        <v>405</v>
      </c>
      <c r="K181" s="123" cm="1">
        <f t="array" ref="K181">IFERROR(INDEX(Tabledaily[المبلـــــــغ],MATCH(1,(TableDailyJournal[[#This Row],[رقم العملية]]=Tabledaily[رقم العملية])*(TableDailyJournal[[#This Row],[الحساب]]=Tabledaily[الحســاب المديــــن]),0)),0)</f>
        <v>0</v>
      </c>
      <c r="L181" s="123" cm="1">
        <f t="array" ref="L181">IFERROR(INDEX(Tabledaily[المبلـــــــغ],MATCH(1,(TableDailyJournal[[#This Row],[رقم العملية]]=Tabledaily[رقم العملية])*(TableDailyJournal[[#This Row],[الحساب]]=Tabledaily[الحســاب الدئـــن]),0)),0)</f>
        <v>100000</v>
      </c>
      <c r="M181" s="119">
        <f>IFERROR(TableDailyJournal[[#This Row],[المبلغ مدين]]/TableDailyJournal[[#This Row],[سعــــــر
الصـــــرف]],0)</f>
        <v>0</v>
      </c>
      <c r="N181" s="119">
        <f>IFERROR(TableDailyJournal[[#This Row],[المبلغ دائن]]/TableDailyJournal[[#This Row],[سعــــــر
الصـــــرف]],0)</f>
        <v>246.91358024691357</v>
      </c>
      <c r="O181" s="121" t="str">
        <f>INDEX(Tabledaily[المستفيــــــــد],MATCH(TableDailyJournal[[#This Row],[رقم العملية]],Tabledaily[رقم العملية],0))</f>
        <v>جمال مسدوس</v>
      </c>
      <c r="P181" s="121" t="str">
        <f>INDEX(Tabledaily[المــــرجـــــــــع],MATCH(TableDailyJournal[[#This Row],[رقم العملية]],Tabledaily[رقم العملية],0))</f>
        <v>استلام نقدي</v>
      </c>
      <c r="Q181" s="121" t="str">
        <f>INDEX(Tabledaily[اســـــــم المــــرجــــع],MATCH(TableDailyJournal[[#This Row],[رقم العملية]],Tabledaily[رقم العملية],0))</f>
        <v>سند استلام</v>
      </c>
      <c r="R181" s="121">
        <f>INDEX(Tabledaily[رقم المـــــرجـــع],MATCH(TableDailyJournal[[#This Row],[رقم العملية]],Tabledaily[رقم العملية],0))</f>
        <v>0</v>
      </c>
      <c r="S181" s="121" t="str">
        <f>INDEX(Tabledaily[مركـــــــزالتكلفــــــة],MATCH(TableDailyJournal[[#This Row],[رقم العملية]],Tabledaily[رقم العملية],0))</f>
        <v>الفرقة الثالثة</v>
      </c>
      <c r="T181" s="121">
        <f>IFERROR(INDEX(tablecost[رقم المركز],MATCH(TableDailyJournal[[#This Row],[مركـــــــزالتكلفــــــة]],tablecost[الاسم],0)),0)</f>
        <v>1</v>
      </c>
      <c r="U181" s="122">
        <f>IFERROR(DATE(TableDailyJournal[[#This Row],[السنــــة]],TableDailyJournal[[#This Row],[الشهــــر]],TableDailyJournal[[#This Row],[الـــــيوم]]),"01-01-2026")</f>
        <v>46180</v>
      </c>
      <c r="V181" s="126"/>
      <c r="W181" s="58"/>
      <c r="X181" s="58">
        <f>IFERROR(YEAR(TableDailyJournal[[#This Row],[التاريخ]]),"")</f>
        <v>2026</v>
      </c>
      <c r="Y181" s="58">
        <f>IFERROR(MONTH(TableDailyJournal[[#This Row],[التاريخ]]),"")</f>
        <v>6</v>
      </c>
      <c r="Z181" s="58">
        <f>IFERROR(DAY(TableDailyJournal[[#This Row],[التاريخ]]),"")</f>
        <v>7</v>
      </c>
      <c r="AA181" s="126" t="str">
        <f>INDEX(Tabledaily[المرجع البياني],MATCH(TableDailyJournal[[#This Row],[رقم العملية]],Tabledaily[رقم العملية],0))</f>
        <v>قيـد مقابـل:- (مصاريف نثريات أخرى - جمال مسدوس - الفرقة الثالثة)  - استلام نقدي رقم   سند استلام - صرف نثريات الاركان بامرالأركان جمال مسدوس</v>
      </c>
      <c r="AB181" s="121" t="str">
        <f>INDEX(Tabledaily[جهة الامر],MATCH(TableDailyJournal[[#This Row],[رقم العملية]],Tabledaily[رقم العملية],0))</f>
        <v>الأركان جمال مسدوس</v>
      </c>
    </row>
    <row r="182" spans="2:28" ht="45.75" x14ac:dyDescent="0.55000000000000004">
      <c r="B182" s="58">
        <f t="shared" ref="B182:B221" si="5">ROW()-4</f>
        <v>178</v>
      </c>
      <c r="C182" s="59" t="s">
        <v>551</v>
      </c>
      <c r="D182" s="60">
        <f>INDEX(Tabledaily[date],MATCH(TableDailyJournal[[#This Row],[رقم العملية]],Tabledaily[رقم العملية],0))</f>
        <v>46180</v>
      </c>
      <c r="E182" s="58" t="str">
        <f>INDEX(Tabledaily[نوع العمليــة],MATCH(TableDailyJournal[[#This Row],[رقم العملية]],Tabledaily[رقم العملية],0))</f>
        <v>قبض عهدة</v>
      </c>
      <c r="F182" s="58">
        <f>IFERROR(INDEX(TableJudje[رقم الحساب],MATCH(TableDailyJournal[[#This Row],[الحساب]],TableJudje[اسم الحساب],0)),0)</f>
        <v>11060205</v>
      </c>
      <c r="G182" s="58" t="s">
        <v>513</v>
      </c>
      <c r="H182" s="61" t="str">
        <f>INDEX(Tabledaily[المرجع البياني],MATCH(TableDailyJournal[[#This Row],[رقم العملية]],Tabledaily[رقم العملية],0))</f>
        <v>قيـد مقابـل:- (عهدة عبدالحفيظ - عبدالحفيظ - الفرقة الثالثة)  - حواله رقم 9732  شركة العامري للصرافة - استلام عهدة بامر</v>
      </c>
      <c r="I182" s="60" t="str">
        <f>INDEX(Tabledaily[العملـــة],MATCH(TableDailyJournal[[#This Row],[رقم العملية]],Tabledaily[رقم العملية],0))</f>
        <v>ريال سعودي</v>
      </c>
      <c r="J182" s="59">
        <f>IFERROR(INDEX(Tabledaily[سعــــــر
الصـــــرف],MATCH(C182,Tabledaily[رقم العملية],0)),1)</f>
        <v>1</v>
      </c>
      <c r="K182" s="123" cm="1">
        <f t="array" ref="K182">IFERROR(INDEX(Tabledaily[المبلـــــــغ],MATCH(1,(TableDailyJournal[[#This Row],[رقم العملية]]=Tabledaily[رقم العملية])*(TableDailyJournal[[#This Row],[الحساب]]=Tabledaily[الحســاب المديــــن]),0)),0)</f>
        <v>9980</v>
      </c>
      <c r="L182" s="123" cm="1">
        <f t="array" ref="L182">IFERROR(INDEX(Tabledaily[المبلـــــــغ],MATCH(1,(TableDailyJournal[[#This Row],[رقم العملية]]=Tabledaily[رقم العملية])*(TableDailyJournal[[#This Row],[الحساب]]=Tabledaily[الحســاب الدئـــن]),0)),0)</f>
        <v>0</v>
      </c>
      <c r="M182" s="119">
        <f>IFERROR(TableDailyJournal[[#This Row],[المبلغ مدين]]/TableDailyJournal[[#This Row],[سعــــــر
الصـــــرف]],0)</f>
        <v>9980</v>
      </c>
      <c r="N182" s="119">
        <f>IFERROR(TableDailyJournal[[#This Row],[المبلغ دائن]]/TableDailyJournal[[#This Row],[سعــــــر
الصـــــرف]],0)</f>
        <v>0</v>
      </c>
      <c r="O182" s="121" t="str">
        <f>INDEX(Tabledaily[المستفيــــــــد],MATCH(TableDailyJournal[[#This Row],[رقم العملية]],Tabledaily[رقم العملية],0))</f>
        <v>عبدالحفيظ</v>
      </c>
      <c r="P182" s="121" t="str">
        <f>INDEX(Tabledaily[المــــرجـــــــــع],MATCH(TableDailyJournal[[#This Row],[رقم العملية]],Tabledaily[رقم العملية],0))</f>
        <v>حواله</v>
      </c>
      <c r="Q182" s="121" t="str">
        <f>INDEX(Tabledaily[اســـــــم المــــرجــــع],MATCH(TableDailyJournal[[#This Row],[رقم العملية]],Tabledaily[رقم العملية],0))</f>
        <v>شركة العامري للصرافة</v>
      </c>
      <c r="R182" s="121">
        <f>INDEX(Tabledaily[رقم المـــــرجـــع],MATCH(TableDailyJournal[[#This Row],[رقم العملية]],Tabledaily[رقم العملية],0))</f>
        <v>9732</v>
      </c>
      <c r="S182" s="121" t="str">
        <f>INDEX(Tabledaily[مركـــــــزالتكلفــــــة],MATCH(TableDailyJournal[[#This Row],[رقم العملية]],Tabledaily[رقم العملية],0))</f>
        <v>الفرقة الثالثة</v>
      </c>
      <c r="T182" s="121">
        <f>IFERROR(INDEX(tablecost[رقم المركز],MATCH(TableDailyJournal[[#This Row],[مركـــــــزالتكلفــــــة]],tablecost[الاسم],0)),0)</f>
        <v>1</v>
      </c>
      <c r="U182" s="122">
        <f>IFERROR(DATE(TableDailyJournal[[#This Row],[السنــــة]],TableDailyJournal[[#This Row],[الشهــــر]],TableDailyJournal[[#This Row],[الـــــيوم]]),"01-01-2026")</f>
        <v>46180</v>
      </c>
      <c r="V182" s="126"/>
      <c r="W182" s="58"/>
      <c r="X182" s="58">
        <f>IFERROR(YEAR(TableDailyJournal[[#This Row],[التاريخ]]),"")</f>
        <v>2026</v>
      </c>
      <c r="Y182" s="58">
        <f>IFERROR(MONTH(TableDailyJournal[[#This Row],[التاريخ]]),"")</f>
        <v>6</v>
      </c>
      <c r="Z182" s="58">
        <f>IFERROR(DAY(TableDailyJournal[[#This Row],[التاريخ]]),"")</f>
        <v>7</v>
      </c>
      <c r="AA182" s="126" t="str">
        <f>INDEX(Tabledaily[المرجع البياني],MATCH(TableDailyJournal[[#This Row],[رقم العملية]],Tabledaily[رقم العملية],0))</f>
        <v>قيـد مقابـل:- (عهدة عبدالحفيظ - عبدالحفيظ - الفرقة الثالثة)  - حواله رقم 9732  شركة العامري للصرافة - استلام عهدة بامر</v>
      </c>
      <c r="AB182" s="121">
        <f>INDEX(Tabledaily[جهة الامر],MATCH(TableDailyJournal[[#This Row],[رقم العملية]],Tabledaily[رقم العملية],0))</f>
        <v>0</v>
      </c>
    </row>
    <row r="183" spans="2:28" ht="45.75" x14ac:dyDescent="0.55000000000000004">
      <c r="B183" s="58">
        <f t="shared" si="5"/>
        <v>179</v>
      </c>
      <c r="C183" s="59" t="s">
        <v>551</v>
      </c>
      <c r="D183" s="60">
        <f>INDEX(Tabledaily[date],MATCH(TableDailyJournal[[#This Row],[رقم العملية]],Tabledaily[رقم العملية],0))</f>
        <v>46180</v>
      </c>
      <c r="E183" s="58" t="str">
        <f>INDEX(Tabledaily[نوع العمليــة],MATCH(TableDailyJournal[[#This Row],[رقم العملية]],Tabledaily[رقم العملية],0))</f>
        <v>قبض عهدة</v>
      </c>
      <c r="F183" s="58">
        <f>IFERROR(INDEX(TableJudje[رقم الحساب],MATCH(TableDailyJournal[[#This Row],[الحساب]],TableJudje[اسم الحساب],0)),0)</f>
        <v>11010101</v>
      </c>
      <c r="G183" s="58" t="s">
        <v>23</v>
      </c>
      <c r="H183" s="61" t="str">
        <f>INDEX(Tabledaily[المرجع البياني],MATCH(TableDailyJournal[[#This Row],[رقم العملية]],Tabledaily[رقم العملية],0))</f>
        <v>قيـد مقابـل:- (عهدة عبدالحفيظ - عبدالحفيظ - الفرقة الثالثة)  - حواله رقم 9732  شركة العامري للصرافة - استلام عهدة بامر</v>
      </c>
      <c r="I183" s="60" t="str">
        <f>INDEX(Tabledaily[العملـــة],MATCH(TableDailyJournal[[#This Row],[رقم العملية]],Tabledaily[رقم العملية],0))</f>
        <v>ريال سعودي</v>
      </c>
      <c r="J183" s="59">
        <f>IFERROR(INDEX(Tabledaily[سعــــــر
الصـــــرف],MATCH(C183,Tabledaily[رقم العملية],0)),1)</f>
        <v>1</v>
      </c>
      <c r="K183" s="123" cm="1">
        <f t="array" ref="K183">IFERROR(INDEX(Tabledaily[المبلـــــــغ],MATCH(1,(TableDailyJournal[[#This Row],[رقم العملية]]=Tabledaily[رقم العملية])*(TableDailyJournal[[#This Row],[الحساب]]=Tabledaily[الحســاب المديــــن]),0)),0)</f>
        <v>0</v>
      </c>
      <c r="L183" s="123" cm="1">
        <f t="array" ref="L183">IFERROR(INDEX(Tabledaily[المبلـــــــغ],MATCH(1,(TableDailyJournal[[#This Row],[رقم العملية]]=Tabledaily[رقم العملية])*(TableDailyJournal[[#This Row],[الحساب]]=Tabledaily[الحســاب الدئـــن]),0)),0)</f>
        <v>9980</v>
      </c>
      <c r="M183" s="119">
        <f>IFERROR(TableDailyJournal[[#This Row],[المبلغ مدين]]/TableDailyJournal[[#This Row],[سعــــــر
الصـــــرف]],0)</f>
        <v>0</v>
      </c>
      <c r="N183" s="119">
        <f>IFERROR(TableDailyJournal[[#This Row],[المبلغ دائن]]/TableDailyJournal[[#This Row],[سعــــــر
الصـــــرف]],0)</f>
        <v>9980</v>
      </c>
      <c r="O183" s="121" t="str">
        <f>INDEX(Tabledaily[المستفيــــــــد],MATCH(TableDailyJournal[[#This Row],[رقم العملية]],Tabledaily[رقم العملية],0))</f>
        <v>عبدالحفيظ</v>
      </c>
      <c r="P183" s="121" t="str">
        <f>INDEX(Tabledaily[المــــرجـــــــــع],MATCH(TableDailyJournal[[#This Row],[رقم العملية]],Tabledaily[رقم العملية],0))</f>
        <v>حواله</v>
      </c>
      <c r="Q183" s="121" t="str">
        <f>INDEX(Tabledaily[اســـــــم المــــرجــــع],MATCH(TableDailyJournal[[#This Row],[رقم العملية]],Tabledaily[رقم العملية],0))</f>
        <v>شركة العامري للصرافة</v>
      </c>
      <c r="R183" s="121">
        <f>INDEX(Tabledaily[رقم المـــــرجـــع],MATCH(TableDailyJournal[[#This Row],[رقم العملية]],Tabledaily[رقم العملية],0))</f>
        <v>9732</v>
      </c>
      <c r="S183" s="121" t="str">
        <f>INDEX(Tabledaily[مركـــــــزالتكلفــــــة],MATCH(TableDailyJournal[[#This Row],[رقم العملية]],Tabledaily[رقم العملية],0))</f>
        <v>الفرقة الثالثة</v>
      </c>
      <c r="T183" s="121">
        <f>IFERROR(INDEX(tablecost[رقم المركز],MATCH(TableDailyJournal[[#This Row],[مركـــــــزالتكلفــــــة]],tablecost[الاسم],0)),0)</f>
        <v>1</v>
      </c>
      <c r="U183" s="122">
        <f>IFERROR(DATE(TableDailyJournal[[#This Row],[السنــــة]],TableDailyJournal[[#This Row],[الشهــــر]],TableDailyJournal[[#This Row],[الـــــيوم]]),"01-01-2026")</f>
        <v>46180</v>
      </c>
      <c r="V183" s="126"/>
      <c r="W183" s="58"/>
      <c r="X183" s="58">
        <f>IFERROR(YEAR(TableDailyJournal[[#This Row],[التاريخ]]),"")</f>
        <v>2026</v>
      </c>
      <c r="Y183" s="58">
        <f>IFERROR(MONTH(TableDailyJournal[[#This Row],[التاريخ]]),"")</f>
        <v>6</v>
      </c>
      <c r="Z183" s="58">
        <f>IFERROR(DAY(TableDailyJournal[[#This Row],[التاريخ]]),"")</f>
        <v>7</v>
      </c>
      <c r="AA183" s="126" t="str">
        <f>INDEX(Tabledaily[المرجع البياني],MATCH(TableDailyJournal[[#This Row],[رقم العملية]],Tabledaily[رقم العملية],0))</f>
        <v>قيـد مقابـل:- (عهدة عبدالحفيظ - عبدالحفيظ - الفرقة الثالثة)  - حواله رقم 9732  شركة العامري للصرافة - استلام عهدة بامر</v>
      </c>
      <c r="AB183" s="121">
        <f>INDEX(Tabledaily[جهة الامر],MATCH(TableDailyJournal[[#This Row],[رقم العملية]],Tabledaily[رقم العملية],0))</f>
        <v>0</v>
      </c>
    </row>
    <row r="184" spans="2:28" ht="45.75" x14ac:dyDescent="0.55000000000000004">
      <c r="B184" s="58">
        <f t="shared" si="5"/>
        <v>180</v>
      </c>
      <c r="C184" s="59" t="s">
        <v>556</v>
      </c>
      <c r="D184" s="60">
        <f>INDEX(Tabledaily[date],MATCH(TableDailyJournal[[#This Row],[رقم العملية]],Tabledaily[رقم العملية],0))</f>
        <v>46181</v>
      </c>
      <c r="E184" s="58" t="str">
        <f>INDEX(Tabledaily[نوع العمليــة],MATCH(TableDailyJournal[[#This Row],[رقم العملية]],Tabledaily[رقم العملية],0))</f>
        <v>قيد عهده</v>
      </c>
      <c r="F184" s="58">
        <f>IFERROR(INDEX(TableJudje[رقم الحساب],MATCH(TableDailyJournal[[#This Row],[الحساب]],TableJudje[اسم الحساب],0)),0)</f>
        <v>31010101</v>
      </c>
      <c r="G184" s="58" t="s">
        <v>111</v>
      </c>
      <c r="H184" s="61" t="str">
        <f>INDEX(Tabledaily[المرجع البياني],MATCH(TableDailyJournal[[#This Row],[رقم العملية]],Tabledaily[رقم العملية],0))</f>
        <v>قيـد مقابـل:- (مصاريف  صرفة يومية للافراد  - السيطرة والاتصالات - الفرقة الثالثة)  - استلام نقدي رقم   سند استلام - صرف الصرفة اليومية للسيطرة والاتصالات لعدد 5 بامر</v>
      </c>
      <c r="I184" s="60" t="str">
        <f>INDEX(Tabledaily[العملـــة],MATCH(TableDailyJournal[[#This Row],[رقم العملية]],Tabledaily[رقم العملية],0))</f>
        <v>ريال يمني</v>
      </c>
      <c r="J184" s="59">
        <f>IFERROR(INDEX(Tabledaily[سعــــــر
الصـــــرف],MATCH(C184,Tabledaily[رقم العملية],0)),1)</f>
        <v>405</v>
      </c>
      <c r="K184" s="123" cm="1">
        <f t="array" ref="K184">IFERROR(INDEX(Tabledaily[المبلـــــــغ],MATCH(1,(TableDailyJournal[[#This Row],[رقم العملية]]=Tabledaily[رقم العملية])*(TableDailyJournal[[#This Row],[الحساب]]=Tabledaily[الحســاب المديــــن]),0)),0)</f>
        <v>43000</v>
      </c>
      <c r="L184" s="123" cm="1">
        <f t="array" ref="L184">IFERROR(INDEX(Tabledaily[المبلـــــــغ],MATCH(1,(TableDailyJournal[[#This Row],[رقم العملية]]=Tabledaily[رقم العملية])*(TableDailyJournal[[#This Row],[الحساب]]=Tabledaily[الحســاب الدئـــن]),0)),0)</f>
        <v>0</v>
      </c>
      <c r="M184" s="119">
        <f>IFERROR(TableDailyJournal[[#This Row],[المبلغ مدين]]/TableDailyJournal[[#This Row],[سعــــــر
الصـــــرف]],0)</f>
        <v>106.17283950617283</v>
      </c>
      <c r="N184" s="119">
        <f>IFERROR(TableDailyJournal[[#This Row],[المبلغ دائن]]/TableDailyJournal[[#This Row],[سعــــــر
الصـــــرف]],0)</f>
        <v>0</v>
      </c>
      <c r="O184" s="121" t="str">
        <f>INDEX(Tabledaily[المستفيــــــــد],MATCH(TableDailyJournal[[#This Row],[رقم العملية]],Tabledaily[رقم العملية],0))</f>
        <v>السيطرة والاتصالات</v>
      </c>
      <c r="P184" s="121" t="str">
        <f>INDEX(Tabledaily[المــــرجـــــــــع],MATCH(TableDailyJournal[[#This Row],[رقم العملية]],Tabledaily[رقم العملية],0))</f>
        <v>استلام نقدي</v>
      </c>
      <c r="Q184" s="121" t="str">
        <f>INDEX(Tabledaily[اســـــــم المــــرجــــع],MATCH(TableDailyJournal[[#This Row],[رقم العملية]],Tabledaily[رقم العملية],0))</f>
        <v>سند استلام</v>
      </c>
      <c r="R184" s="121">
        <f>INDEX(Tabledaily[رقم المـــــرجـــع],MATCH(TableDailyJournal[[#This Row],[رقم العملية]],Tabledaily[رقم العملية],0))</f>
        <v>0</v>
      </c>
      <c r="S184" s="121" t="str">
        <f>INDEX(Tabledaily[مركـــــــزالتكلفــــــة],MATCH(TableDailyJournal[[#This Row],[رقم العملية]],Tabledaily[رقم العملية],0))</f>
        <v>الفرقة الثالثة</v>
      </c>
      <c r="T184" s="121">
        <f>IFERROR(INDEX(tablecost[رقم المركز],MATCH(TableDailyJournal[[#This Row],[مركـــــــزالتكلفــــــة]],tablecost[الاسم],0)),0)</f>
        <v>1</v>
      </c>
      <c r="U184" s="122">
        <f>IFERROR(DATE(TableDailyJournal[[#This Row],[السنــــة]],TableDailyJournal[[#This Row],[الشهــــر]],TableDailyJournal[[#This Row],[الـــــيوم]]),"01-01-2026")</f>
        <v>46181</v>
      </c>
      <c r="V184" s="126"/>
      <c r="W184" s="58"/>
      <c r="X184" s="58">
        <f>IFERROR(YEAR(TableDailyJournal[[#This Row],[التاريخ]]),"")</f>
        <v>2026</v>
      </c>
      <c r="Y184" s="58">
        <f>IFERROR(MONTH(TableDailyJournal[[#This Row],[التاريخ]]),"")</f>
        <v>6</v>
      </c>
      <c r="Z184" s="58">
        <f>IFERROR(DAY(TableDailyJournal[[#This Row],[التاريخ]]),"")</f>
        <v>8</v>
      </c>
      <c r="AA184" s="126" t="str">
        <f>INDEX(Tabledaily[المرجع البياني],MATCH(TableDailyJournal[[#This Row],[رقم العملية]],Tabledaily[رقم العملية],0))</f>
        <v>قيـد مقابـل:- (مصاريف  صرفة يومية للافراد  - السيطرة والاتصالات - الفرقة الثالثة)  - استلام نقدي رقم   سند استلام - صرف الصرفة اليومية للسيطرة والاتصالات لعدد 5 بامر</v>
      </c>
      <c r="AB184" s="121">
        <f>INDEX(Tabledaily[جهة الامر],MATCH(TableDailyJournal[[#This Row],[رقم العملية]],Tabledaily[رقم العملية],0))</f>
        <v>0</v>
      </c>
    </row>
    <row r="185" spans="2:28" ht="45.75" x14ac:dyDescent="0.55000000000000004">
      <c r="B185" s="58">
        <f t="shared" si="5"/>
        <v>181</v>
      </c>
      <c r="C185" s="59" t="s">
        <v>556</v>
      </c>
      <c r="D185" s="60">
        <f>INDEX(Tabledaily[date],MATCH(TableDailyJournal[[#This Row],[رقم العملية]],Tabledaily[رقم العملية],0))</f>
        <v>46181</v>
      </c>
      <c r="E185" s="58" t="str">
        <f>INDEX(Tabledaily[نوع العمليــة],MATCH(TableDailyJournal[[#This Row],[رقم العملية]],Tabledaily[رقم العملية],0))</f>
        <v>قيد عهده</v>
      </c>
      <c r="F185" s="58">
        <f>IFERROR(INDEX(TableJudje[رقم الحساب],MATCH(TableDailyJournal[[#This Row],[الحساب]],TableJudje[اسم الحساب],0)),0)</f>
        <v>11060205</v>
      </c>
      <c r="G185" s="58" t="s">
        <v>513</v>
      </c>
      <c r="H185" s="61" t="str">
        <f>INDEX(Tabledaily[المرجع البياني],MATCH(TableDailyJournal[[#This Row],[رقم العملية]],Tabledaily[رقم العملية],0))</f>
        <v>قيـد مقابـل:- (مصاريف  صرفة يومية للافراد  - السيطرة والاتصالات - الفرقة الثالثة)  - استلام نقدي رقم   سند استلام - صرف الصرفة اليومية للسيطرة والاتصالات لعدد 5 بامر</v>
      </c>
      <c r="I185" s="60" t="str">
        <f>INDEX(Tabledaily[العملـــة],MATCH(TableDailyJournal[[#This Row],[رقم العملية]],Tabledaily[رقم العملية],0))</f>
        <v>ريال يمني</v>
      </c>
      <c r="J185" s="59">
        <f>IFERROR(INDEX(Tabledaily[سعــــــر
الصـــــرف],MATCH(C185,Tabledaily[رقم العملية],0)),1)</f>
        <v>405</v>
      </c>
      <c r="K185" s="123" cm="1">
        <f t="array" ref="K185">IFERROR(INDEX(Tabledaily[المبلـــــــغ],MATCH(1,(TableDailyJournal[[#This Row],[رقم العملية]]=Tabledaily[رقم العملية])*(TableDailyJournal[[#This Row],[الحساب]]=Tabledaily[الحســاب المديــــن]),0)),0)</f>
        <v>0</v>
      </c>
      <c r="L185" s="123" cm="1">
        <f t="array" ref="L185">IFERROR(INDEX(Tabledaily[المبلـــــــغ],MATCH(1,(TableDailyJournal[[#This Row],[رقم العملية]]=Tabledaily[رقم العملية])*(TableDailyJournal[[#This Row],[الحساب]]=Tabledaily[الحســاب الدئـــن]),0)),0)</f>
        <v>43000</v>
      </c>
      <c r="M185" s="119">
        <f>IFERROR(TableDailyJournal[[#This Row],[المبلغ مدين]]/TableDailyJournal[[#This Row],[سعــــــر
الصـــــرف]],0)</f>
        <v>0</v>
      </c>
      <c r="N185" s="119">
        <f>IFERROR(TableDailyJournal[[#This Row],[المبلغ دائن]]/TableDailyJournal[[#This Row],[سعــــــر
الصـــــرف]],0)</f>
        <v>106.17283950617283</v>
      </c>
      <c r="O185" s="121" t="str">
        <f>INDEX(Tabledaily[المستفيــــــــد],MATCH(TableDailyJournal[[#This Row],[رقم العملية]],Tabledaily[رقم العملية],0))</f>
        <v>السيطرة والاتصالات</v>
      </c>
      <c r="P185" s="121" t="str">
        <f>INDEX(Tabledaily[المــــرجـــــــــع],MATCH(TableDailyJournal[[#This Row],[رقم العملية]],Tabledaily[رقم العملية],0))</f>
        <v>استلام نقدي</v>
      </c>
      <c r="Q185" s="121" t="str">
        <f>INDEX(Tabledaily[اســـــــم المــــرجــــع],MATCH(TableDailyJournal[[#This Row],[رقم العملية]],Tabledaily[رقم العملية],0))</f>
        <v>سند استلام</v>
      </c>
      <c r="R185" s="121">
        <f>INDEX(Tabledaily[رقم المـــــرجـــع],MATCH(TableDailyJournal[[#This Row],[رقم العملية]],Tabledaily[رقم العملية],0))</f>
        <v>0</v>
      </c>
      <c r="S185" s="121" t="str">
        <f>INDEX(Tabledaily[مركـــــــزالتكلفــــــة],MATCH(TableDailyJournal[[#This Row],[رقم العملية]],Tabledaily[رقم العملية],0))</f>
        <v>الفرقة الثالثة</v>
      </c>
      <c r="T185" s="121">
        <f>IFERROR(INDEX(tablecost[رقم المركز],MATCH(TableDailyJournal[[#This Row],[مركـــــــزالتكلفــــــة]],tablecost[الاسم],0)),0)</f>
        <v>1</v>
      </c>
      <c r="U185" s="122">
        <f>IFERROR(DATE(TableDailyJournal[[#This Row],[السنــــة]],TableDailyJournal[[#This Row],[الشهــــر]],TableDailyJournal[[#This Row],[الـــــيوم]]),"01-01-2026")</f>
        <v>46181</v>
      </c>
      <c r="V185" s="126"/>
      <c r="W185" s="58"/>
      <c r="X185" s="58">
        <f>IFERROR(YEAR(TableDailyJournal[[#This Row],[التاريخ]]),"")</f>
        <v>2026</v>
      </c>
      <c r="Y185" s="58">
        <f>IFERROR(MONTH(TableDailyJournal[[#This Row],[التاريخ]]),"")</f>
        <v>6</v>
      </c>
      <c r="Z185" s="58">
        <f>IFERROR(DAY(TableDailyJournal[[#This Row],[التاريخ]]),"")</f>
        <v>8</v>
      </c>
      <c r="AA185" s="126" t="str">
        <f>INDEX(Tabledaily[المرجع البياني],MATCH(TableDailyJournal[[#This Row],[رقم العملية]],Tabledaily[رقم العملية],0))</f>
        <v>قيـد مقابـل:- (مصاريف  صرفة يومية للافراد  - السيطرة والاتصالات - الفرقة الثالثة)  - استلام نقدي رقم   سند استلام - صرف الصرفة اليومية للسيطرة والاتصالات لعدد 5 بامر</v>
      </c>
      <c r="AB185" s="121">
        <f>INDEX(Tabledaily[جهة الامر],MATCH(TableDailyJournal[[#This Row],[رقم العملية]],Tabledaily[رقم العملية],0))</f>
        <v>0</v>
      </c>
    </row>
    <row r="186" spans="2:28" ht="45.75" x14ac:dyDescent="0.55000000000000004">
      <c r="B186" s="58">
        <f t="shared" si="5"/>
        <v>182</v>
      </c>
      <c r="C186" s="59" t="s">
        <v>558</v>
      </c>
      <c r="D186" s="60">
        <f>INDEX(Tabledaily[date],MATCH(TableDailyJournal[[#This Row],[رقم العملية]],Tabledaily[رقم العملية],0))</f>
        <v>46181</v>
      </c>
      <c r="E186" s="58" t="str">
        <f>INDEX(Tabledaily[نوع العمليــة],MATCH(TableDailyJournal[[#This Row],[رقم العملية]],Tabledaily[رقم العملية],0))</f>
        <v>قيد عهده</v>
      </c>
      <c r="F186" s="58">
        <f>IFERROR(INDEX(TableJudje[رقم الحساب],MATCH(TableDailyJournal[[#This Row],[الحساب]],TableJudje[اسم الحساب],0)),0)</f>
        <v>31010101</v>
      </c>
      <c r="G186" s="58" t="s">
        <v>111</v>
      </c>
      <c r="H186" s="61" t="str">
        <f>INDEX(Tabledaily[المرجع البياني],MATCH(TableDailyJournal[[#This Row],[رقم العملية]],Tabledaily[رقم العملية],0))</f>
        <v>قيـد مقابـل:- (مصاريف  صرفة يومية للافراد  - التوجيه - الفرقة الثالثة)  - استلام نقدي رقم   سند استلام - صرف الصرفة اليومية للتوجيه عدد 2 بامر</v>
      </c>
      <c r="I186" s="60" t="str">
        <f>INDEX(Tabledaily[العملـــة],MATCH(TableDailyJournal[[#This Row],[رقم العملية]],Tabledaily[رقم العملية],0))</f>
        <v>ريال يمني</v>
      </c>
      <c r="J186" s="59">
        <f>IFERROR(INDEX(Tabledaily[سعــــــر
الصـــــرف],MATCH(C186,Tabledaily[رقم العملية],0)),1)</f>
        <v>405</v>
      </c>
      <c r="K186" s="123" cm="1">
        <f t="array" ref="K186">IFERROR(INDEX(Tabledaily[المبلـــــــغ],MATCH(1,(TableDailyJournal[[#This Row],[رقم العملية]]=Tabledaily[رقم العملية])*(TableDailyJournal[[#This Row],[الحساب]]=Tabledaily[الحســاب المديــــن]),0)),0)</f>
        <v>30000</v>
      </c>
      <c r="L186" s="123" cm="1">
        <f t="array" ref="L186">IFERROR(INDEX(Tabledaily[المبلـــــــغ],MATCH(1,(TableDailyJournal[[#This Row],[رقم العملية]]=Tabledaily[رقم العملية])*(TableDailyJournal[[#This Row],[الحساب]]=Tabledaily[الحســاب الدئـــن]),0)),0)</f>
        <v>0</v>
      </c>
      <c r="M186" s="119">
        <f>IFERROR(TableDailyJournal[[#This Row],[المبلغ مدين]]/TableDailyJournal[[#This Row],[سعــــــر
الصـــــرف]],0)</f>
        <v>74.074074074074076</v>
      </c>
      <c r="N186" s="119">
        <f>IFERROR(TableDailyJournal[[#This Row],[المبلغ دائن]]/TableDailyJournal[[#This Row],[سعــــــر
الصـــــرف]],0)</f>
        <v>0</v>
      </c>
      <c r="O186" s="121" t="str">
        <f>INDEX(Tabledaily[المستفيــــــــد],MATCH(TableDailyJournal[[#This Row],[رقم العملية]],Tabledaily[رقم العملية],0))</f>
        <v>التوجيه</v>
      </c>
      <c r="P186" s="121" t="str">
        <f>INDEX(Tabledaily[المــــرجـــــــــع],MATCH(TableDailyJournal[[#This Row],[رقم العملية]],Tabledaily[رقم العملية],0))</f>
        <v>استلام نقدي</v>
      </c>
      <c r="Q186" s="121" t="str">
        <f>INDEX(Tabledaily[اســـــــم المــــرجــــع],MATCH(TableDailyJournal[[#This Row],[رقم العملية]],Tabledaily[رقم العملية],0))</f>
        <v>سند استلام</v>
      </c>
      <c r="R186" s="121">
        <f>INDEX(Tabledaily[رقم المـــــرجـــع],MATCH(TableDailyJournal[[#This Row],[رقم العملية]],Tabledaily[رقم العملية],0))</f>
        <v>0</v>
      </c>
      <c r="S186" s="121" t="str">
        <f>INDEX(Tabledaily[مركـــــــزالتكلفــــــة],MATCH(TableDailyJournal[[#This Row],[رقم العملية]],Tabledaily[رقم العملية],0))</f>
        <v>الفرقة الثالثة</v>
      </c>
      <c r="T186" s="121">
        <f>IFERROR(INDEX(tablecost[رقم المركز],MATCH(TableDailyJournal[[#This Row],[مركـــــــزالتكلفــــــة]],tablecost[الاسم],0)),0)</f>
        <v>1</v>
      </c>
      <c r="U186" s="122">
        <f>IFERROR(DATE(TableDailyJournal[[#This Row],[السنــــة]],TableDailyJournal[[#This Row],[الشهــــر]],TableDailyJournal[[#This Row],[الـــــيوم]]),"01-01-2026")</f>
        <v>46181</v>
      </c>
      <c r="V186" s="126"/>
      <c r="W186" s="58"/>
      <c r="X186" s="58">
        <f>IFERROR(YEAR(TableDailyJournal[[#This Row],[التاريخ]]),"")</f>
        <v>2026</v>
      </c>
      <c r="Y186" s="58">
        <f>IFERROR(MONTH(TableDailyJournal[[#This Row],[التاريخ]]),"")</f>
        <v>6</v>
      </c>
      <c r="Z186" s="58">
        <f>IFERROR(DAY(TableDailyJournal[[#This Row],[التاريخ]]),"")</f>
        <v>8</v>
      </c>
      <c r="AA186" s="126" t="str">
        <f>INDEX(Tabledaily[المرجع البياني],MATCH(TableDailyJournal[[#This Row],[رقم العملية]],Tabledaily[رقم العملية],0))</f>
        <v>قيـد مقابـل:- (مصاريف  صرفة يومية للافراد  - التوجيه - الفرقة الثالثة)  - استلام نقدي رقم   سند استلام - صرف الصرفة اليومية للتوجيه عدد 2 بامر</v>
      </c>
      <c r="AB186" s="121">
        <f>INDEX(Tabledaily[جهة الامر],MATCH(TableDailyJournal[[#This Row],[رقم العملية]],Tabledaily[رقم العملية],0))</f>
        <v>0</v>
      </c>
    </row>
    <row r="187" spans="2:28" ht="45.75" x14ac:dyDescent="0.55000000000000004">
      <c r="B187" s="58">
        <f t="shared" si="5"/>
        <v>183</v>
      </c>
      <c r="C187" s="59" t="s">
        <v>558</v>
      </c>
      <c r="D187" s="60">
        <f>INDEX(Tabledaily[date],MATCH(TableDailyJournal[[#This Row],[رقم العملية]],Tabledaily[رقم العملية],0))</f>
        <v>46181</v>
      </c>
      <c r="E187" s="58" t="str">
        <f>INDEX(Tabledaily[نوع العمليــة],MATCH(TableDailyJournal[[#This Row],[رقم العملية]],Tabledaily[رقم العملية],0))</f>
        <v>قيد عهده</v>
      </c>
      <c r="F187" s="58">
        <f>IFERROR(INDEX(TableJudje[رقم الحساب],MATCH(TableDailyJournal[[#This Row],[الحساب]],TableJudje[اسم الحساب],0)),0)</f>
        <v>11060205</v>
      </c>
      <c r="G187" s="58" t="s">
        <v>513</v>
      </c>
      <c r="H187" s="61" t="str">
        <f>INDEX(Tabledaily[المرجع البياني],MATCH(TableDailyJournal[[#This Row],[رقم العملية]],Tabledaily[رقم العملية],0))</f>
        <v>قيـد مقابـل:- (مصاريف  صرفة يومية للافراد  - التوجيه - الفرقة الثالثة)  - استلام نقدي رقم   سند استلام - صرف الصرفة اليومية للتوجيه عدد 2 بامر</v>
      </c>
      <c r="I187" s="60" t="str">
        <f>INDEX(Tabledaily[العملـــة],MATCH(TableDailyJournal[[#This Row],[رقم العملية]],Tabledaily[رقم العملية],0))</f>
        <v>ريال يمني</v>
      </c>
      <c r="J187" s="59">
        <f>IFERROR(INDEX(Tabledaily[سعــــــر
الصـــــرف],MATCH(C187,Tabledaily[رقم العملية],0)),1)</f>
        <v>405</v>
      </c>
      <c r="K187" s="123" cm="1">
        <f t="array" ref="K187">IFERROR(INDEX(Tabledaily[المبلـــــــغ],MATCH(1,(TableDailyJournal[[#This Row],[رقم العملية]]=Tabledaily[رقم العملية])*(TableDailyJournal[[#This Row],[الحساب]]=Tabledaily[الحســاب المديــــن]),0)),0)</f>
        <v>0</v>
      </c>
      <c r="L187" s="123" cm="1">
        <f t="array" ref="L187">IFERROR(INDEX(Tabledaily[المبلـــــــغ],MATCH(1,(TableDailyJournal[[#This Row],[رقم العملية]]=Tabledaily[رقم العملية])*(TableDailyJournal[[#This Row],[الحساب]]=Tabledaily[الحســاب الدئـــن]),0)),0)</f>
        <v>30000</v>
      </c>
      <c r="M187" s="119">
        <f>IFERROR(TableDailyJournal[[#This Row],[المبلغ مدين]]/TableDailyJournal[[#This Row],[سعــــــر
الصـــــرف]],0)</f>
        <v>0</v>
      </c>
      <c r="N187" s="119">
        <f>IFERROR(TableDailyJournal[[#This Row],[المبلغ دائن]]/TableDailyJournal[[#This Row],[سعــــــر
الصـــــرف]],0)</f>
        <v>74.074074074074076</v>
      </c>
      <c r="O187" s="121" t="str">
        <f>INDEX(Tabledaily[المستفيــــــــد],MATCH(TableDailyJournal[[#This Row],[رقم العملية]],Tabledaily[رقم العملية],0))</f>
        <v>التوجيه</v>
      </c>
      <c r="P187" s="121" t="str">
        <f>INDEX(Tabledaily[المــــرجـــــــــع],MATCH(TableDailyJournal[[#This Row],[رقم العملية]],Tabledaily[رقم العملية],0))</f>
        <v>استلام نقدي</v>
      </c>
      <c r="Q187" s="121" t="str">
        <f>INDEX(Tabledaily[اســـــــم المــــرجــــع],MATCH(TableDailyJournal[[#This Row],[رقم العملية]],Tabledaily[رقم العملية],0))</f>
        <v>سند استلام</v>
      </c>
      <c r="R187" s="121">
        <f>INDEX(Tabledaily[رقم المـــــرجـــع],MATCH(TableDailyJournal[[#This Row],[رقم العملية]],Tabledaily[رقم العملية],0))</f>
        <v>0</v>
      </c>
      <c r="S187" s="121" t="str">
        <f>INDEX(Tabledaily[مركـــــــزالتكلفــــــة],MATCH(TableDailyJournal[[#This Row],[رقم العملية]],Tabledaily[رقم العملية],0))</f>
        <v>الفرقة الثالثة</v>
      </c>
      <c r="T187" s="121">
        <f>IFERROR(INDEX(tablecost[رقم المركز],MATCH(TableDailyJournal[[#This Row],[مركـــــــزالتكلفــــــة]],tablecost[الاسم],0)),0)</f>
        <v>1</v>
      </c>
      <c r="U187" s="122">
        <f>IFERROR(DATE(TableDailyJournal[[#This Row],[السنــــة]],TableDailyJournal[[#This Row],[الشهــــر]],TableDailyJournal[[#This Row],[الـــــيوم]]),"01-01-2026")</f>
        <v>46181</v>
      </c>
      <c r="V187" s="126"/>
      <c r="W187" s="58"/>
      <c r="X187" s="58">
        <f>IFERROR(YEAR(TableDailyJournal[[#This Row],[التاريخ]]),"")</f>
        <v>2026</v>
      </c>
      <c r="Y187" s="58">
        <f>IFERROR(MONTH(TableDailyJournal[[#This Row],[التاريخ]]),"")</f>
        <v>6</v>
      </c>
      <c r="Z187" s="58">
        <f>IFERROR(DAY(TableDailyJournal[[#This Row],[التاريخ]]),"")</f>
        <v>8</v>
      </c>
      <c r="AA187" s="126" t="str">
        <f>INDEX(Tabledaily[المرجع البياني],MATCH(TableDailyJournal[[#This Row],[رقم العملية]],Tabledaily[رقم العملية],0))</f>
        <v>قيـد مقابـل:- (مصاريف  صرفة يومية للافراد  - التوجيه - الفرقة الثالثة)  - استلام نقدي رقم   سند استلام - صرف الصرفة اليومية للتوجيه عدد 2 بامر</v>
      </c>
      <c r="AB187" s="121">
        <f>INDEX(Tabledaily[جهة الامر],MATCH(TableDailyJournal[[#This Row],[رقم العملية]],Tabledaily[رقم العملية],0))</f>
        <v>0</v>
      </c>
    </row>
    <row r="188" spans="2:28" ht="45.75" x14ac:dyDescent="0.55000000000000004">
      <c r="B188" s="58">
        <f t="shared" si="5"/>
        <v>184</v>
      </c>
      <c r="C188" s="59" t="s">
        <v>560</v>
      </c>
      <c r="D188" s="60">
        <f>INDEX(Tabledaily[date],MATCH(TableDailyJournal[[#This Row],[رقم العملية]],Tabledaily[رقم العملية],0))</f>
        <v>46181</v>
      </c>
      <c r="E188" s="58" t="str">
        <f>INDEX(Tabledaily[نوع العمليــة],MATCH(TableDailyJournal[[#This Row],[رقم العملية]],Tabledaily[رقم العملية],0))</f>
        <v>قيد عهده</v>
      </c>
      <c r="F188" s="58">
        <f>IFERROR(INDEX(TableJudje[رقم الحساب],MATCH(TableDailyJournal[[#This Row],[الحساب]],TableJudje[اسم الحساب],0)),0)</f>
        <v>31010101</v>
      </c>
      <c r="G188" s="58" t="s">
        <v>111</v>
      </c>
      <c r="H188" s="61" t="str">
        <f>INDEX(Tabledaily[المرجع البياني],MATCH(TableDailyJournal[[#This Row],[رقم العملية]],Tabledaily[رقم العملية],0))</f>
        <v>قيـد مقابـل:- (مصاريف  صرفة يومية للافراد  - الامداد - الفرقة الثالثة)  - استلام نقدي رقم   سند استلام - صرف الصرفة اليومية  لافراد الامداد لعدد 12 بامر</v>
      </c>
      <c r="I188" s="60" t="str">
        <f>INDEX(Tabledaily[العملـــة],MATCH(TableDailyJournal[[#This Row],[رقم العملية]],Tabledaily[رقم العملية],0))</f>
        <v>ريال يمني</v>
      </c>
      <c r="J188" s="59">
        <f>IFERROR(INDEX(Tabledaily[سعــــــر
الصـــــرف],MATCH(C188,Tabledaily[رقم العملية],0)),1)</f>
        <v>405</v>
      </c>
      <c r="K188" s="123" cm="1">
        <f t="array" ref="K188">IFERROR(INDEX(Tabledaily[المبلـــــــغ],MATCH(1,(TableDailyJournal[[#This Row],[رقم العملية]]=Tabledaily[رقم العملية])*(TableDailyJournal[[#This Row],[الحساب]]=Tabledaily[الحســاب المديــــن]),0)),0)</f>
        <v>128000</v>
      </c>
      <c r="L188" s="123" cm="1">
        <f t="array" ref="L188">IFERROR(INDEX(Tabledaily[المبلـــــــغ],MATCH(1,(TableDailyJournal[[#This Row],[رقم العملية]]=Tabledaily[رقم العملية])*(TableDailyJournal[[#This Row],[الحساب]]=Tabledaily[الحســاب الدئـــن]),0)),0)</f>
        <v>0</v>
      </c>
      <c r="M188" s="119">
        <f>IFERROR(TableDailyJournal[[#This Row],[المبلغ مدين]]/TableDailyJournal[[#This Row],[سعــــــر
الصـــــرف]],0)</f>
        <v>316.04938271604937</v>
      </c>
      <c r="N188" s="119">
        <f>IFERROR(TableDailyJournal[[#This Row],[المبلغ دائن]]/TableDailyJournal[[#This Row],[سعــــــر
الصـــــرف]],0)</f>
        <v>0</v>
      </c>
      <c r="O188" s="121" t="str">
        <f>INDEX(Tabledaily[المستفيــــــــد],MATCH(TableDailyJournal[[#This Row],[رقم العملية]],Tabledaily[رقم العملية],0))</f>
        <v>الامداد</v>
      </c>
      <c r="P188" s="121" t="str">
        <f>INDEX(Tabledaily[المــــرجـــــــــع],MATCH(TableDailyJournal[[#This Row],[رقم العملية]],Tabledaily[رقم العملية],0))</f>
        <v>استلام نقدي</v>
      </c>
      <c r="Q188" s="121" t="str">
        <f>INDEX(Tabledaily[اســـــــم المــــرجــــع],MATCH(TableDailyJournal[[#This Row],[رقم العملية]],Tabledaily[رقم العملية],0))</f>
        <v>سند استلام</v>
      </c>
      <c r="R188" s="121">
        <f>INDEX(Tabledaily[رقم المـــــرجـــع],MATCH(TableDailyJournal[[#This Row],[رقم العملية]],Tabledaily[رقم العملية],0))</f>
        <v>0</v>
      </c>
      <c r="S188" s="121" t="str">
        <f>INDEX(Tabledaily[مركـــــــزالتكلفــــــة],MATCH(TableDailyJournal[[#This Row],[رقم العملية]],Tabledaily[رقم العملية],0))</f>
        <v>الفرقة الثالثة</v>
      </c>
      <c r="T188" s="121">
        <f>IFERROR(INDEX(tablecost[رقم المركز],MATCH(TableDailyJournal[[#This Row],[مركـــــــزالتكلفــــــة]],tablecost[الاسم],0)),0)</f>
        <v>1</v>
      </c>
      <c r="U188" s="122">
        <f>IFERROR(DATE(TableDailyJournal[[#This Row],[السنــــة]],TableDailyJournal[[#This Row],[الشهــــر]],TableDailyJournal[[#This Row],[الـــــيوم]]),"01-01-2026")</f>
        <v>46181</v>
      </c>
      <c r="V188" s="126"/>
      <c r="W188" s="58"/>
      <c r="X188" s="58">
        <f>IFERROR(YEAR(TableDailyJournal[[#This Row],[التاريخ]]),"")</f>
        <v>2026</v>
      </c>
      <c r="Y188" s="58">
        <f>IFERROR(MONTH(TableDailyJournal[[#This Row],[التاريخ]]),"")</f>
        <v>6</v>
      </c>
      <c r="Z188" s="58">
        <f>IFERROR(DAY(TableDailyJournal[[#This Row],[التاريخ]]),"")</f>
        <v>8</v>
      </c>
      <c r="AA188" s="126" t="str">
        <f>INDEX(Tabledaily[المرجع البياني],MATCH(TableDailyJournal[[#This Row],[رقم العملية]],Tabledaily[رقم العملية],0))</f>
        <v>قيـد مقابـل:- (مصاريف  صرفة يومية للافراد  - الامداد - الفرقة الثالثة)  - استلام نقدي رقم   سند استلام - صرف الصرفة اليومية  لافراد الامداد لعدد 12 بامر</v>
      </c>
      <c r="AB188" s="121">
        <f>INDEX(Tabledaily[جهة الامر],MATCH(TableDailyJournal[[#This Row],[رقم العملية]],Tabledaily[رقم العملية],0))</f>
        <v>0</v>
      </c>
    </row>
    <row r="189" spans="2:28" ht="45.75" x14ac:dyDescent="0.55000000000000004">
      <c r="B189" s="58">
        <f t="shared" si="5"/>
        <v>185</v>
      </c>
      <c r="C189" s="59" t="s">
        <v>560</v>
      </c>
      <c r="D189" s="60">
        <f>INDEX(Tabledaily[date],MATCH(TableDailyJournal[[#This Row],[رقم العملية]],Tabledaily[رقم العملية],0))</f>
        <v>46181</v>
      </c>
      <c r="E189" s="58" t="str">
        <f>INDEX(Tabledaily[نوع العمليــة],MATCH(TableDailyJournal[[#This Row],[رقم العملية]],Tabledaily[رقم العملية],0))</f>
        <v>قيد عهده</v>
      </c>
      <c r="F189" s="58">
        <f>IFERROR(INDEX(TableJudje[رقم الحساب],MATCH(TableDailyJournal[[#This Row],[الحساب]],TableJudje[اسم الحساب],0)),0)</f>
        <v>11060205</v>
      </c>
      <c r="G189" s="58" t="s">
        <v>513</v>
      </c>
      <c r="H189" s="61" t="str">
        <f>INDEX(Tabledaily[المرجع البياني],MATCH(TableDailyJournal[[#This Row],[رقم العملية]],Tabledaily[رقم العملية],0))</f>
        <v>قيـد مقابـل:- (مصاريف  صرفة يومية للافراد  - الامداد - الفرقة الثالثة)  - استلام نقدي رقم   سند استلام - صرف الصرفة اليومية  لافراد الامداد لعدد 12 بامر</v>
      </c>
      <c r="I189" s="60" t="str">
        <f>INDEX(Tabledaily[العملـــة],MATCH(TableDailyJournal[[#This Row],[رقم العملية]],Tabledaily[رقم العملية],0))</f>
        <v>ريال يمني</v>
      </c>
      <c r="J189" s="59">
        <f>IFERROR(INDEX(Tabledaily[سعــــــر
الصـــــرف],MATCH(C189,Tabledaily[رقم العملية],0)),1)</f>
        <v>405</v>
      </c>
      <c r="K189" s="123" cm="1">
        <f t="array" ref="K189">IFERROR(INDEX(Tabledaily[المبلـــــــغ],MATCH(1,(TableDailyJournal[[#This Row],[رقم العملية]]=Tabledaily[رقم العملية])*(TableDailyJournal[[#This Row],[الحساب]]=Tabledaily[الحســاب المديــــن]),0)),0)</f>
        <v>0</v>
      </c>
      <c r="L189" s="123" cm="1">
        <f t="array" ref="L189">IFERROR(INDEX(Tabledaily[المبلـــــــغ],MATCH(1,(TableDailyJournal[[#This Row],[رقم العملية]]=Tabledaily[رقم العملية])*(TableDailyJournal[[#This Row],[الحساب]]=Tabledaily[الحســاب الدئـــن]),0)),0)</f>
        <v>128000</v>
      </c>
      <c r="M189" s="119">
        <f>IFERROR(TableDailyJournal[[#This Row],[المبلغ مدين]]/TableDailyJournal[[#This Row],[سعــــــر
الصـــــرف]],0)</f>
        <v>0</v>
      </c>
      <c r="N189" s="119">
        <f>IFERROR(TableDailyJournal[[#This Row],[المبلغ دائن]]/TableDailyJournal[[#This Row],[سعــــــر
الصـــــرف]],0)</f>
        <v>316.04938271604937</v>
      </c>
      <c r="O189" s="121" t="str">
        <f>INDEX(Tabledaily[المستفيــــــــد],MATCH(TableDailyJournal[[#This Row],[رقم العملية]],Tabledaily[رقم العملية],0))</f>
        <v>الامداد</v>
      </c>
      <c r="P189" s="121" t="str">
        <f>INDEX(Tabledaily[المــــرجـــــــــع],MATCH(TableDailyJournal[[#This Row],[رقم العملية]],Tabledaily[رقم العملية],0))</f>
        <v>استلام نقدي</v>
      </c>
      <c r="Q189" s="121" t="str">
        <f>INDEX(Tabledaily[اســـــــم المــــرجــــع],MATCH(TableDailyJournal[[#This Row],[رقم العملية]],Tabledaily[رقم العملية],0))</f>
        <v>سند استلام</v>
      </c>
      <c r="R189" s="121">
        <f>INDEX(Tabledaily[رقم المـــــرجـــع],MATCH(TableDailyJournal[[#This Row],[رقم العملية]],Tabledaily[رقم العملية],0))</f>
        <v>0</v>
      </c>
      <c r="S189" s="121" t="str">
        <f>INDEX(Tabledaily[مركـــــــزالتكلفــــــة],MATCH(TableDailyJournal[[#This Row],[رقم العملية]],Tabledaily[رقم العملية],0))</f>
        <v>الفرقة الثالثة</v>
      </c>
      <c r="T189" s="121">
        <f>IFERROR(INDEX(tablecost[رقم المركز],MATCH(TableDailyJournal[[#This Row],[مركـــــــزالتكلفــــــة]],tablecost[الاسم],0)),0)</f>
        <v>1</v>
      </c>
      <c r="U189" s="122">
        <f>IFERROR(DATE(TableDailyJournal[[#This Row],[السنــــة]],TableDailyJournal[[#This Row],[الشهــــر]],TableDailyJournal[[#This Row],[الـــــيوم]]),"01-01-2026")</f>
        <v>46181</v>
      </c>
      <c r="V189" s="126"/>
      <c r="W189" s="58"/>
      <c r="X189" s="58">
        <f>IFERROR(YEAR(TableDailyJournal[[#This Row],[التاريخ]]),"")</f>
        <v>2026</v>
      </c>
      <c r="Y189" s="58">
        <f>IFERROR(MONTH(TableDailyJournal[[#This Row],[التاريخ]]),"")</f>
        <v>6</v>
      </c>
      <c r="Z189" s="58">
        <f>IFERROR(DAY(TableDailyJournal[[#This Row],[التاريخ]]),"")</f>
        <v>8</v>
      </c>
      <c r="AA189" s="126" t="str">
        <f>INDEX(Tabledaily[المرجع البياني],MATCH(TableDailyJournal[[#This Row],[رقم العملية]],Tabledaily[رقم العملية],0))</f>
        <v>قيـد مقابـل:- (مصاريف  صرفة يومية للافراد  - الامداد - الفرقة الثالثة)  - استلام نقدي رقم   سند استلام - صرف الصرفة اليومية  لافراد الامداد لعدد 12 بامر</v>
      </c>
      <c r="AB189" s="121">
        <f>INDEX(Tabledaily[جهة الامر],MATCH(TableDailyJournal[[#This Row],[رقم العملية]],Tabledaily[رقم العملية],0))</f>
        <v>0</v>
      </c>
    </row>
    <row r="190" spans="2:28" ht="45.75" x14ac:dyDescent="0.55000000000000004">
      <c r="B190" s="58">
        <f t="shared" si="5"/>
        <v>186</v>
      </c>
      <c r="C190" s="59" t="s">
        <v>561</v>
      </c>
      <c r="D190" s="60">
        <f>INDEX(Tabledaily[date],MATCH(TableDailyJournal[[#This Row],[رقم العملية]],Tabledaily[رقم العملية],0))</f>
        <v>46181</v>
      </c>
      <c r="E190" s="58" t="str">
        <f>INDEX(Tabledaily[نوع العمليــة],MATCH(TableDailyJournal[[#This Row],[رقم العملية]],Tabledaily[رقم العملية],0))</f>
        <v>قيد عهده</v>
      </c>
      <c r="F190" s="58">
        <f>IFERROR(INDEX(TableJudje[رقم الحساب],MATCH(TableDailyJournal[[#This Row],[الحساب]],TableJudje[اسم الحساب],0)),0)</f>
        <v>31010101</v>
      </c>
      <c r="G190" s="58" t="s">
        <v>111</v>
      </c>
      <c r="H190" s="61" t="str">
        <f>INDEX(Tabledaily[المرجع البياني],MATCH(TableDailyJournal[[#This Row],[رقم العملية]],Tabledaily[رقم العملية],0))</f>
        <v>قيـد مقابـل:- (مصاريف  صرفة يومية للافراد  - البشرية و الصراف - الفرقة الثالثة)  - استلام نقدي رقم   سند استلام - صرف الصرفة اليومية  للبشرة والصراف عدد 1 بامر</v>
      </c>
      <c r="I190" s="60" t="str">
        <f>INDEX(Tabledaily[العملـــة],MATCH(TableDailyJournal[[#This Row],[رقم العملية]],Tabledaily[رقم العملية],0))</f>
        <v>ريال يمني</v>
      </c>
      <c r="J190" s="59">
        <f>IFERROR(INDEX(Tabledaily[سعــــــر
الصـــــرف],MATCH(C190,Tabledaily[رقم العملية],0)),1)</f>
        <v>405</v>
      </c>
      <c r="K190" s="123" cm="1">
        <f t="array" ref="K190">IFERROR(INDEX(Tabledaily[المبلـــــــغ],MATCH(1,(TableDailyJournal[[#This Row],[رقم العملية]]=Tabledaily[رقم العملية])*(TableDailyJournal[[#This Row],[الحساب]]=Tabledaily[الحســاب المديــــن]),0)),0)</f>
        <v>15000</v>
      </c>
      <c r="L190" s="123" cm="1">
        <f t="array" ref="L190">IFERROR(INDEX(Tabledaily[المبلـــــــغ],MATCH(1,(TableDailyJournal[[#This Row],[رقم العملية]]=Tabledaily[رقم العملية])*(TableDailyJournal[[#This Row],[الحساب]]=Tabledaily[الحســاب الدئـــن]),0)),0)</f>
        <v>0</v>
      </c>
      <c r="M190" s="119">
        <f>IFERROR(TableDailyJournal[[#This Row],[المبلغ مدين]]/TableDailyJournal[[#This Row],[سعــــــر
الصـــــرف]],0)</f>
        <v>37.037037037037038</v>
      </c>
      <c r="N190" s="119">
        <f>IFERROR(TableDailyJournal[[#This Row],[المبلغ دائن]]/TableDailyJournal[[#This Row],[سعــــــر
الصـــــرف]],0)</f>
        <v>0</v>
      </c>
      <c r="O190" s="121" t="str">
        <f>INDEX(Tabledaily[المستفيــــــــد],MATCH(TableDailyJournal[[#This Row],[رقم العملية]],Tabledaily[رقم العملية],0))</f>
        <v>البشرية و الصراف</v>
      </c>
      <c r="P190" s="121" t="str">
        <f>INDEX(Tabledaily[المــــرجـــــــــع],MATCH(TableDailyJournal[[#This Row],[رقم العملية]],Tabledaily[رقم العملية],0))</f>
        <v>استلام نقدي</v>
      </c>
      <c r="Q190" s="121" t="str">
        <f>INDEX(Tabledaily[اســـــــم المــــرجــــع],MATCH(TableDailyJournal[[#This Row],[رقم العملية]],Tabledaily[رقم العملية],0))</f>
        <v>سند استلام</v>
      </c>
      <c r="R190" s="121">
        <f>INDEX(Tabledaily[رقم المـــــرجـــع],MATCH(TableDailyJournal[[#This Row],[رقم العملية]],Tabledaily[رقم العملية],0))</f>
        <v>0</v>
      </c>
      <c r="S190" s="121" t="str">
        <f>INDEX(Tabledaily[مركـــــــزالتكلفــــــة],MATCH(TableDailyJournal[[#This Row],[رقم العملية]],Tabledaily[رقم العملية],0))</f>
        <v>الفرقة الثالثة</v>
      </c>
      <c r="T190" s="121">
        <f>IFERROR(INDEX(tablecost[رقم المركز],MATCH(TableDailyJournal[[#This Row],[مركـــــــزالتكلفــــــة]],tablecost[الاسم],0)),0)</f>
        <v>1</v>
      </c>
      <c r="U190" s="122">
        <f>IFERROR(DATE(TableDailyJournal[[#This Row],[السنــــة]],TableDailyJournal[[#This Row],[الشهــــر]],TableDailyJournal[[#This Row],[الـــــيوم]]),"01-01-2026")</f>
        <v>46181</v>
      </c>
      <c r="V190" s="126"/>
      <c r="W190" s="58"/>
      <c r="X190" s="58">
        <f>IFERROR(YEAR(TableDailyJournal[[#This Row],[التاريخ]]),"")</f>
        <v>2026</v>
      </c>
      <c r="Y190" s="58">
        <f>IFERROR(MONTH(TableDailyJournal[[#This Row],[التاريخ]]),"")</f>
        <v>6</v>
      </c>
      <c r="Z190" s="58">
        <f>IFERROR(DAY(TableDailyJournal[[#This Row],[التاريخ]]),"")</f>
        <v>8</v>
      </c>
      <c r="AA190" s="126" t="str">
        <f>INDEX(Tabledaily[المرجع البياني],MATCH(TableDailyJournal[[#This Row],[رقم العملية]],Tabledaily[رقم العملية],0))</f>
        <v>قيـد مقابـل:- (مصاريف  صرفة يومية للافراد  - البشرية و الصراف - الفرقة الثالثة)  - استلام نقدي رقم   سند استلام - صرف الصرفة اليومية  للبشرة والصراف عدد 1 بامر</v>
      </c>
      <c r="AB190" s="121">
        <f>INDEX(Tabledaily[جهة الامر],MATCH(TableDailyJournal[[#This Row],[رقم العملية]],Tabledaily[رقم العملية],0))</f>
        <v>0</v>
      </c>
    </row>
    <row r="191" spans="2:28" ht="45.75" x14ac:dyDescent="0.55000000000000004">
      <c r="B191" s="58">
        <f t="shared" si="5"/>
        <v>187</v>
      </c>
      <c r="C191" s="59" t="s">
        <v>561</v>
      </c>
      <c r="D191" s="60">
        <f>INDEX(Tabledaily[date],MATCH(TableDailyJournal[[#This Row],[رقم العملية]],Tabledaily[رقم العملية],0))</f>
        <v>46181</v>
      </c>
      <c r="E191" s="58" t="str">
        <f>INDEX(Tabledaily[نوع العمليــة],MATCH(TableDailyJournal[[#This Row],[رقم العملية]],Tabledaily[رقم العملية],0))</f>
        <v>قيد عهده</v>
      </c>
      <c r="F191" s="58">
        <f>IFERROR(INDEX(TableJudje[رقم الحساب],MATCH(TableDailyJournal[[#This Row],[الحساب]],TableJudje[اسم الحساب],0)),0)</f>
        <v>11060205</v>
      </c>
      <c r="G191" s="58" t="s">
        <v>513</v>
      </c>
      <c r="H191" s="61" t="str">
        <f>INDEX(Tabledaily[المرجع البياني],MATCH(TableDailyJournal[[#This Row],[رقم العملية]],Tabledaily[رقم العملية],0))</f>
        <v>قيـد مقابـل:- (مصاريف  صرفة يومية للافراد  - البشرية و الصراف - الفرقة الثالثة)  - استلام نقدي رقم   سند استلام - صرف الصرفة اليومية  للبشرة والصراف عدد 1 بامر</v>
      </c>
      <c r="I191" s="60" t="str">
        <f>INDEX(Tabledaily[العملـــة],MATCH(TableDailyJournal[[#This Row],[رقم العملية]],Tabledaily[رقم العملية],0))</f>
        <v>ريال يمني</v>
      </c>
      <c r="J191" s="59">
        <f>IFERROR(INDEX(Tabledaily[سعــــــر
الصـــــرف],MATCH(C191,Tabledaily[رقم العملية],0)),1)</f>
        <v>405</v>
      </c>
      <c r="K191" s="123" cm="1">
        <f t="array" ref="K191">IFERROR(INDEX(Tabledaily[المبلـــــــغ],MATCH(1,(TableDailyJournal[[#This Row],[رقم العملية]]=Tabledaily[رقم العملية])*(TableDailyJournal[[#This Row],[الحساب]]=Tabledaily[الحســاب المديــــن]),0)),0)</f>
        <v>0</v>
      </c>
      <c r="L191" s="123" cm="1">
        <f t="array" ref="L191">IFERROR(INDEX(Tabledaily[المبلـــــــغ],MATCH(1,(TableDailyJournal[[#This Row],[رقم العملية]]=Tabledaily[رقم العملية])*(TableDailyJournal[[#This Row],[الحساب]]=Tabledaily[الحســاب الدئـــن]),0)),0)</f>
        <v>15000</v>
      </c>
      <c r="M191" s="119">
        <f>IFERROR(TableDailyJournal[[#This Row],[المبلغ مدين]]/TableDailyJournal[[#This Row],[سعــــــر
الصـــــرف]],0)</f>
        <v>0</v>
      </c>
      <c r="N191" s="119">
        <f>IFERROR(TableDailyJournal[[#This Row],[المبلغ دائن]]/TableDailyJournal[[#This Row],[سعــــــر
الصـــــرف]],0)</f>
        <v>37.037037037037038</v>
      </c>
      <c r="O191" s="121" t="str">
        <f>INDEX(Tabledaily[المستفيــــــــد],MATCH(TableDailyJournal[[#This Row],[رقم العملية]],Tabledaily[رقم العملية],0))</f>
        <v>البشرية و الصراف</v>
      </c>
      <c r="P191" s="121" t="str">
        <f>INDEX(Tabledaily[المــــرجـــــــــع],MATCH(TableDailyJournal[[#This Row],[رقم العملية]],Tabledaily[رقم العملية],0))</f>
        <v>استلام نقدي</v>
      </c>
      <c r="Q191" s="121" t="str">
        <f>INDEX(Tabledaily[اســـــــم المــــرجــــع],MATCH(TableDailyJournal[[#This Row],[رقم العملية]],Tabledaily[رقم العملية],0))</f>
        <v>سند استلام</v>
      </c>
      <c r="R191" s="121">
        <f>INDEX(Tabledaily[رقم المـــــرجـــع],MATCH(TableDailyJournal[[#This Row],[رقم العملية]],Tabledaily[رقم العملية],0))</f>
        <v>0</v>
      </c>
      <c r="S191" s="121" t="str">
        <f>INDEX(Tabledaily[مركـــــــزالتكلفــــــة],MATCH(TableDailyJournal[[#This Row],[رقم العملية]],Tabledaily[رقم العملية],0))</f>
        <v>الفرقة الثالثة</v>
      </c>
      <c r="T191" s="121">
        <f>IFERROR(INDEX(tablecost[رقم المركز],MATCH(TableDailyJournal[[#This Row],[مركـــــــزالتكلفــــــة]],tablecost[الاسم],0)),0)</f>
        <v>1</v>
      </c>
      <c r="U191" s="122">
        <f>IFERROR(DATE(TableDailyJournal[[#This Row],[السنــــة]],TableDailyJournal[[#This Row],[الشهــــر]],TableDailyJournal[[#This Row],[الـــــيوم]]),"01-01-2026")</f>
        <v>46181</v>
      </c>
      <c r="V191" s="126"/>
      <c r="W191" s="58"/>
      <c r="X191" s="58">
        <f>IFERROR(YEAR(TableDailyJournal[[#This Row],[التاريخ]]),"")</f>
        <v>2026</v>
      </c>
      <c r="Y191" s="58">
        <f>IFERROR(MONTH(TableDailyJournal[[#This Row],[التاريخ]]),"")</f>
        <v>6</v>
      </c>
      <c r="Z191" s="58">
        <f>IFERROR(DAY(TableDailyJournal[[#This Row],[التاريخ]]),"")</f>
        <v>8</v>
      </c>
      <c r="AA191" s="126" t="str">
        <f>INDEX(Tabledaily[المرجع البياني],MATCH(TableDailyJournal[[#This Row],[رقم العملية]],Tabledaily[رقم العملية],0))</f>
        <v>قيـد مقابـل:- (مصاريف  صرفة يومية للافراد  - البشرية و الصراف - الفرقة الثالثة)  - استلام نقدي رقم   سند استلام - صرف الصرفة اليومية  للبشرة والصراف عدد 1 بامر</v>
      </c>
      <c r="AB191" s="121">
        <f>INDEX(Tabledaily[جهة الامر],MATCH(TableDailyJournal[[#This Row],[رقم العملية]],Tabledaily[رقم العملية],0))</f>
        <v>0</v>
      </c>
    </row>
    <row r="192" spans="2:28" ht="45.75" x14ac:dyDescent="0.55000000000000004">
      <c r="B192" s="58">
        <f t="shared" si="5"/>
        <v>188</v>
      </c>
      <c r="C192" s="59" t="s">
        <v>562</v>
      </c>
      <c r="D192" s="60">
        <f>INDEX(Tabledaily[date],MATCH(TableDailyJournal[[#This Row],[رقم العملية]],Tabledaily[رقم العملية],0))</f>
        <v>46181</v>
      </c>
      <c r="E192" s="58" t="str">
        <f>INDEX(Tabledaily[نوع العمليــة],MATCH(TableDailyJournal[[#This Row],[رقم العملية]],Tabledaily[رقم العملية],0))</f>
        <v>قيد عهده</v>
      </c>
      <c r="F192" s="58">
        <f>IFERROR(INDEX(TableJudje[رقم الحساب],MATCH(TableDailyJournal[[#This Row],[الحساب]],TableJudje[اسم الحساب],0)),0)</f>
        <v>31010101</v>
      </c>
      <c r="G192" s="58" t="s">
        <v>111</v>
      </c>
      <c r="H192" s="61" t="str">
        <f>INDEX(Tabledaily[المرجع البياني],MATCH(TableDailyJournal[[#This Row],[رقم العملية]],Tabledaily[رقم العملية],0))</f>
        <v>قيـد مقابـل:- (مصاريف  صرفة يومية للافراد  - الاستخبارات - الفرقة الثالثة)  - استلام نقدي رقم   سند استلام - صرف الصرفة اليومية  الاستخبارات لعدد 4 بامر</v>
      </c>
      <c r="I192" s="60" t="str">
        <f>INDEX(Tabledaily[العملـــة],MATCH(TableDailyJournal[[#This Row],[رقم العملية]],Tabledaily[رقم العملية],0))</f>
        <v>ريال يمني</v>
      </c>
      <c r="J192" s="59">
        <f>IFERROR(INDEX(Tabledaily[سعــــــر
الصـــــرف],MATCH(C192,Tabledaily[رقم العملية],0)),1)</f>
        <v>405</v>
      </c>
      <c r="K192" s="123" cm="1">
        <f t="array" ref="K192">IFERROR(INDEX(Tabledaily[المبلـــــــغ],MATCH(1,(TableDailyJournal[[#This Row],[رقم العملية]]=Tabledaily[رقم العملية])*(TableDailyJournal[[#This Row],[الحساب]]=Tabledaily[الحســاب المديــــن]),0)),0)</f>
        <v>65000</v>
      </c>
      <c r="L192" s="123" cm="1">
        <f t="array" ref="L192">IFERROR(INDEX(Tabledaily[المبلـــــــغ],MATCH(1,(TableDailyJournal[[#This Row],[رقم العملية]]=Tabledaily[رقم العملية])*(TableDailyJournal[[#This Row],[الحساب]]=Tabledaily[الحســاب الدئـــن]),0)),0)</f>
        <v>0</v>
      </c>
      <c r="M192" s="119">
        <f>IFERROR(TableDailyJournal[[#This Row],[المبلغ مدين]]/TableDailyJournal[[#This Row],[سعــــــر
الصـــــرف]],0)</f>
        <v>160.49382716049382</v>
      </c>
      <c r="N192" s="119">
        <f>IFERROR(TableDailyJournal[[#This Row],[المبلغ دائن]]/TableDailyJournal[[#This Row],[سعــــــر
الصـــــرف]],0)</f>
        <v>0</v>
      </c>
      <c r="O192" s="121" t="str">
        <f>INDEX(Tabledaily[المستفيــــــــد],MATCH(TableDailyJournal[[#This Row],[رقم العملية]],Tabledaily[رقم العملية],0))</f>
        <v>الاستخبارات</v>
      </c>
      <c r="P192" s="121" t="str">
        <f>INDEX(Tabledaily[المــــرجـــــــــع],MATCH(TableDailyJournal[[#This Row],[رقم العملية]],Tabledaily[رقم العملية],0))</f>
        <v>استلام نقدي</v>
      </c>
      <c r="Q192" s="121" t="str">
        <f>INDEX(Tabledaily[اســـــــم المــــرجــــع],MATCH(TableDailyJournal[[#This Row],[رقم العملية]],Tabledaily[رقم العملية],0))</f>
        <v>سند استلام</v>
      </c>
      <c r="R192" s="121">
        <f>INDEX(Tabledaily[رقم المـــــرجـــع],MATCH(TableDailyJournal[[#This Row],[رقم العملية]],Tabledaily[رقم العملية],0))</f>
        <v>0</v>
      </c>
      <c r="S192" s="121" t="str">
        <f>INDEX(Tabledaily[مركـــــــزالتكلفــــــة],MATCH(TableDailyJournal[[#This Row],[رقم العملية]],Tabledaily[رقم العملية],0))</f>
        <v>الفرقة الثالثة</v>
      </c>
      <c r="T192" s="121">
        <f>IFERROR(INDEX(tablecost[رقم المركز],MATCH(TableDailyJournal[[#This Row],[مركـــــــزالتكلفــــــة]],tablecost[الاسم],0)),0)</f>
        <v>1</v>
      </c>
      <c r="U192" s="122">
        <f>IFERROR(DATE(TableDailyJournal[[#This Row],[السنــــة]],TableDailyJournal[[#This Row],[الشهــــر]],TableDailyJournal[[#This Row],[الـــــيوم]]),"01-01-2026")</f>
        <v>46181</v>
      </c>
      <c r="V192" s="126"/>
      <c r="W192" s="58"/>
      <c r="X192" s="58">
        <f>IFERROR(YEAR(TableDailyJournal[[#This Row],[التاريخ]]),"")</f>
        <v>2026</v>
      </c>
      <c r="Y192" s="58">
        <f>IFERROR(MONTH(TableDailyJournal[[#This Row],[التاريخ]]),"")</f>
        <v>6</v>
      </c>
      <c r="Z192" s="58">
        <f>IFERROR(DAY(TableDailyJournal[[#This Row],[التاريخ]]),"")</f>
        <v>8</v>
      </c>
      <c r="AA192" s="126" t="str">
        <f>INDEX(Tabledaily[المرجع البياني],MATCH(TableDailyJournal[[#This Row],[رقم العملية]],Tabledaily[رقم العملية],0))</f>
        <v>قيـد مقابـل:- (مصاريف  صرفة يومية للافراد  - الاستخبارات - الفرقة الثالثة)  - استلام نقدي رقم   سند استلام - صرف الصرفة اليومية  الاستخبارات لعدد 4 بامر</v>
      </c>
      <c r="AB192" s="121">
        <f>INDEX(Tabledaily[جهة الامر],MATCH(TableDailyJournal[[#This Row],[رقم العملية]],Tabledaily[رقم العملية],0))</f>
        <v>0</v>
      </c>
    </row>
    <row r="193" spans="2:28" ht="45.75" x14ac:dyDescent="0.55000000000000004">
      <c r="B193" s="58">
        <f t="shared" si="5"/>
        <v>189</v>
      </c>
      <c r="C193" s="59" t="s">
        <v>562</v>
      </c>
      <c r="D193" s="60">
        <f>INDEX(Tabledaily[date],MATCH(TableDailyJournal[[#This Row],[رقم العملية]],Tabledaily[رقم العملية],0))</f>
        <v>46181</v>
      </c>
      <c r="E193" s="58" t="str">
        <f>INDEX(Tabledaily[نوع العمليــة],MATCH(TableDailyJournal[[#This Row],[رقم العملية]],Tabledaily[رقم العملية],0))</f>
        <v>قيد عهده</v>
      </c>
      <c r="F193" s="58">
        <f>IFERROR(INDEX(TableJudje[رقم الحساب],MATCH(TableDailyJournal[[#This Row],[الحساب]],TableJudje[اسم الحساب],0)),0)</f>
        <v>11060205</v>
      </c>
      <c r="G193" s="58" t="s">
        <v>513</v>
      </c>
      <c r="H193" s="61" t="str">
        <f>INDEX(Tabledaily[المرجع البياني],MATCH(TableDailyJournal[[#This Row],[رقم العملية]],Tabledaily[رقم العملية],0))</f>
        <v>قيـد مقابـل:- (مصاريف  صرفة يومية للافراد  - الاستخبارات - الفرقة الثالثة)  - استلام نقدي رقم   سند استلام - صرف الصرفة اليومية  الاستخبارات لعدد 4 بامر</v>
      </c>
      <c r="I193" s="60" t="str">
        <f>INDEX(Tabledaily[العملـــة],MATCH(TableDailyJournal[[#This Row],[رقم العملية]],Tabledaily[رقم العملية],0))</f>
        <v>ريال يمني</v>
      </c>
      <c r="J193" s="59">
        <f>IFERROR(INDEX(Tabledaily[سعــــــر
الصـــــرف],MATCH(C193,Tabledaily[رقم العملية],0)),1)</f>
        <v>405</v>
      </c>
      <c r="K193" s="123" cm="1">
        <f t="array" ref="K193">IFERROR(INDEX(Tabledaily[المبلـــــــغ],MATCH(1,(TableDailyJournal[[#This Row],[رقم العملية]]=Tabledaily[رقم العملية])*(TableDailyJournal[[#This Row],[الحساب]]=Tabledaily[الحســاب المديــــن]),0)),0)</f>
        <v>0</v>
      </c>
      <c r="L193" s="123" cm="1">
        <f t="array" ref="L193">IFERROR(INDEX(Tabledaily[المبلـــــــغ],MATCH(1,(TableDailyJournal[[#This Row],[رقم العملية]]=Tabledaily[رقم العملية])*(TableDailyJournal[[#This Row],[الحساب]]=Tabledaily[الحســاب الدئـــن]),0)),0)</f>
        <v>65000</v>
      </c>
      <c r="M193" s="119">
        <f>IFERROR(TableDailyJournal[[#This Row],[المبلغ مدين]]/TableDailyJournal[[#This Row],[سعــــــر
الصـــــرف]],0)</f>
        <v>0</v>
      </c>
      <c r="N193" s="119">
        <f>IFERROR(TableDailyJournal[[#This Row],[المبلغ دائن]]/TableDailyJournal[[#This Row],[سعــــــر
الصـــــرف]],0)</f>
        <v>160.49382716049382</v>
      </c>
      <c r="O193" s="121" t="str">
        <f>INDEX(Tabledaily[المستفيــــــــد],MATCH(TableDailyJournal[[#This Row],[رقم العملية]],Tabledaily[رقم العملية],0))</f>
        <v>الاستخبارات</v>
      </c>
      <c r="P193" s="121" t="str">
        <f>INDEX(Tabledaily[المــــرجـــــــــع],MATCH(TableDailyJournal[[#This Row],[رقم العملية]],Tabledaily[رقم العملية],0))</f>
        <v>استلام نقدي</v>
      </c>
      <c r="Q193" s="121" t="str">
        <f>INDEX(Tabledaily[اســـــــم المــــرجــــع],MATCH(TableDailyJournal[[#This Row],[رقم العملية]],Tabledaily[رقم العملية],0))</f>
        <v>سند استلام</v>
      </c>
      <c r="R193" s="121">
        <f>INDEX(Tabledaily[رقم المـــــرجـــع],MATCH(TableDailyJournal[[#This Row],[رقم العملية]],Tabledaily[رقم العملية],0))</f>
        <v>0</v>
      </c>
      <c r="S193" s="121" t="str">
        <f>INDEX(Tabledaily[مركـــــــزالتكلفــــــة],MATCH(TableDailyJournal[[#This Row],[رقم العملية]],Tabledaily[رقم العملية],0))</f>
        <v>الفرقة الثالثة</v>
      </c>
      <c r="T193" s="121">
        <f>IFERROR(INDEX(tablecost[رقم المركز],MATCH(TableDailyJournal[[#This Row],[مركـــــــزالتكلفــــــة]],tablecost[الاسم],0)),0)</f>
        <v>1</v>
      </c>
      <c r="U193" s="122">
        <f>IFERROR(DATE(TableDailyJournal[[#This Row],[السنــــة]],TableDailyJournal[[#This Row],[الشهــــر]],TableDailyJournal[[#This Row],[الـــــيوم]]),"01-01-2026")</f>
        <v>46181</v>
      </c>
      <c r="V193" s="126"/>
      <c r="W193" s="58"/>
      <c r="X193" s="58">
        <f>IFERROR(YEAR(TableDailyJournal[[#This Row],[التاريخ]]),"")</f>
        <v>2026</v>
      </c>
      <c r="Y193" s="58">
        <f>IFERROR(MONTH(TableDailyJournal[[#This Row],[التاريخ]]),"")</f>
        <v>6</v>
      </c>
      <c r="Z193" s="58">
        <f>IFERROR(DAY(TableDailyJournal[[#This Row],[التاريخ]]),"")</f>
        <v>8</v>
      </c>
      <c r="AA193" s="126" t="str">
        <f>INDEX(Tabledaily[المرجع البياني],MATCH(TableDailyJournal[[#This Row],[رقم العملية]],Tabledaily[رقم العملية],0))</f>
        <v>قيـد مقابـل:- (مصاريف  صرفة يومية للافراد  - الاستخبارات - الفرقة الثالثة)  - استلام نقدي رقم   سند استلام - صرف الصرفة اليومية  الاستخبارات لعدد 4 بامر</v>
      </c>
      <c r="AB193" s="121">
        <f>INDEX(Tabledaily[جهة الامر],MATCH(TableDailyJournal[[#This Row],[رقم العملية]],Tabledaily[رقم العملية],0))</f>
        <v>0</v>
      </c>
    </row>
    <row r="194" spans="2:28" ht="45.75" x14ac:dyDescent="0.55000000000000004">
      <c r="B194" s="58">
        <f t="shared" si="5"/>
        <v>190</v>
      </c>
      <c r="C194" s="59" t="s">
        <v>563</v>
      </c>
      <c r="D194" s="60">
        <f>INDEX(Tabledaily[date],MATCH(TableDailyJournal[[#This Row],[رقم العملية]],Tabledaily[رقم العملية],0))</f>
        <v>46181</v>
      </c>
      <c r="E194" s="58" t="str">
        <f>INDEX(Tabledaily[نوع العمليــة],MATCH(TableDailyJournal[[#This Row],[رقم العملية]],Tabledaily[رقم العملية],0))</f>
        <v>قيد عهده</v>
      </c>
      <c r="F194" s="58">
        <f>IFERROR(INDEX(TableJudje[رقم الحساب],MATCH(TableDailyJournal[[#This Row],[الحساب]],TableJudje[اسم الحساب],0)),0)</f>
        <v>31010101</v>
      </c>
      <c r="G194" s="58" t="s">
        <v>111</v>
      </c>
      <c r="H194" s="61" t="str">
        <f>INDEX(Tabledaily[المرجع البياني],MATCH(TableDailyJournal[[#This Row],[رقم العملية]],Tabledaily[رقم العملية],0))</f>
        <v>قيـد مقابـل:- (مصاريف  صرفة يومية للافراد  - المدفعية - الفرقة الثالثة)  - استلام نقدي رقم   سند استلام - صرف الصرفة اليومية للمدفعية لعدد 1 بامر</v>
      </c>
      <c r="I194" s="60" t="str">
        <f>INDEX(Tabledaily[العملـــة],MATCH(TableDailyJournal[[#This Row],[رقم العملية]],Tabledaily[رقم العملية],0))</f>
        <v>ريال يمني</v>
      </c>
      <c r="J194" s="59">
        <f>IFERROR(INDEX(Tabledaily[سعــــــر
الصـــــرف],MATCH(C194,Tabledaily[رقم العملية],0)),1)</f>
        <v>405</v>
      </c>
      <c r="K194" s="123" cm="1">
        <f t="array" ref="K194">IFERROR(INDEX(Tabledaily[المبلـــــــغ],MATCH(1,(TableDailyJournal[[#This Row],[رقم العملية]]=Tabledaily[رقم العملية])*(TableDailyJournal[[#This Row],[الحساب]]=Tabledaily[الحســاب المديــــن]),0)),0)</f>
        <v>10000</v>
      </c>
      <c r="L194" s="123" cm="1">
        <f t="array" ref="L194">IFERROR(INDEX(Tabledaily[المبلـــــــغ],MATCH(1,(TableDailyJournal[[#This Row],[رقم العملية]]=Tabledaily[رقم العملية])*(TableDailyJournal[[#This Row],[الحساب]]=Tabledaily[الحســاب الدئـــن]),0)),0)</f>
        <v>0</v>
      </c>
      <c r="M194" s="119">
        <f>IFERROR(TableDailyJournal[[#This Row],[المبلغ مدين]]/TableDailyJournal[[#This Row],[سعــــــر
الصـــــرف]],0)</f>
        <v>24.691358024691358</v>
      </c>
      <c r="N194" s="119">
        <f>IFERROR(TableDailyJournal[[#This Row],[المبلغ دائن]]/TableDailyJournal[[#This Row],[سعــــــر
الصـــــرف]],0)</f>
        <v>0</v>
      </c>
      <c r="O194" s="121" t="str">
        <f>INDEX(Tabledaily[المستفيــــــــد],MATCH(TableDailyJournal[[#This Row],[رقم العملية]],Tabledaily[رقم العملية],0))</f>
        <v>المدفعية</v>
      </c>
      <c r="P194" s="121" t="str">
        <f>INDEX(Tabledaily[المــــرجـــــــــع],MATCH(TableDailyJournal[[#This Row],[رقم العملية]],Tabledaily[رقم العملية],0))</f>
        <v>استلام نقدي</v>
      </c>
      <c r="Q194" s="121" t="str">
        <f>INDEX(Tabledaily[اســـــــم المــــرجــــع],MATCH(TableDailyJournal[[#This Row],[رقم العملية]],Tabledaily[رقم العملية],0))</f>
        <v>سند استلام</v>
      </c>
      <c r="R194" s="121">
        <f>INDEX(Tabledaily[رقم المـــــرجـــع],MATCH(TableDailyJournal[[#This Row],[رقم العملية]],Tabledaily[رقم العملية],0))</f>
        <v>0</v>
      </c>
      <c r="S194" s="121" t="str">
        <f>INDEX(Tabledaily[مركـــــــزالتكلفــــــة],MATCH(TableDailyJournal[[#This Row],[رقم العملية]],Tabledaily[رقم العملية],0))</f>
        <v>الفرقة الثالثة</v>
      </c>
      <c r="T194" s="121">
        <f>IFERROR(INDEX(tablecost[رقم المركز],MATCH(TableDailyJournal[[#This Row],[مركـــــــزالتكلفــــــة]],tablecost[الاسم],0)),0)</f>
        <v>1</v>
      </c>
      <c r="U194" s="122">
        <f>IFERROR(DATE(TableDailyJournal[[#This Row],[السنــــة]],TableDailyJournal[[#This Row],[الشهــــر]],TableDailyJournal[[#This Row],[الـــــيوم]]),"01-01-2026")</f>
        <v>46181</v>
      </c>
      <c r="V194" s="126"/>
      <c r="W194" s="58"/>
      <c r="X194" s="58">
        <f>IFERROR(YEAR(TableDailyJournal[[#This Row],[التاريخ]]),"")</f>
        <v>2026</v>
      </c>
      <c r="Y194" s="58">
        <f>IFERROR(MONTH(TableDailyJournal[[#This Row],[التاريخ]]),"")</f>
        <v>6</v>
      </c>
      <c r="Z194" s="58">
        <f>IFERROR(DAY(TableDailyJournal[[#This Row],[التاريخ]]),"")</f>
        <v>8</v>
      </c>
      <c r="AA194" s="126" t="str">
        <f>INDEX(Tabledaily[المرجع البياني],MATCH(TableDailyJournal[[#This Row],[رقم العملية]],Tabledaily[رقم العملية],0))</f>
        <v>قيـد مقابـل:- (مصاريف  صرفة يومية للافراد  - المدفعية - الفرقة الثالثة)  - استلام نقدي رقم   سند استلام - صرف الصرفة اليومية للمدفعية لعدد 1 بامر</v>
      </c>
      <c r="AB194" s="121">
        <f>INDEX(Tabledaily[جهة الامر],MATCH(TableDailyJournal[[#This Row],[رقم العملية]],Tabledaily[رقم العملية],0))</f>
        <v>0</v>
      </c>
    </row>
    <row r="195" spans="2:28" ht="45.75" x14ac:dyDescent="0.55000000000000004">
      <c r="B195" s="58">
        <f t="shared" si="5"/>
        <v>191</v>
      </c>
      <c r="C195" s="59" t="s">
        <v>563</v>
      </c>
      <c r="D195" s="60">
        <f>INDEX(Tabledaily[date],MATCH(TableDailyJournal[[#This Row],[رقم العملية]],Tabledaily[رقم العملية],0))</f>
        <v>46181</v>
      </c>
      <c r="E195" s="58" t="str">
        <f>INDEX(Tabledaily[نوع العمليــة],MATCH(TableDailyJournal[[#This Row],[رقم العملية]],Tabledaily[رقم العملية],0))</f>
        <v>قيد عهده</v>
      </c>
      <c r="F195" s="58">
        <f>IFERROR(INDEX(TableJudje[رقم الحساب],MATCH(TableDailyJournal[[#This Row],[الحساب]],TableJudje[اسم الحساب],0)),0)</f>
        <v>11060205</v>
      </c>
      <c r="G195" s="58" t="s">
        <v>513</v>
      </c>
      <c r="H195" s="61" t="str">
        <f>INDEX(Tabledaily[المرجع البياني],MATCH(TableDailyJournal[[#This Row],[رقم العملية]],Tabledaily[رقم العملية],0))</f>
        <v>قيـد مقابـل:- (مصاريف  صرفة يومية للافراد  - المدفعية - الفرقة الثالثة)  - استلام نقدي رقم   سند استلام - صرف الصرفة اليومية للمدفعية لعدد 1 بامر</v>
      </c>
      <c r="I195" s="60" t="str">
        <f>INDEX(Tabledaily[العملـــة],MATCH(TableDailyJournal[[#This Row],[رقم العملية]],Tabledaily[رقم العملية],0))</f>
        <v>ريال يمني</v>
      </c>
      <c r="J195" s="59">
        <f>IFERROR(INDEX(Tabledaily[سعــــــر
الصـــــرف],MATCH(C195,Tabledaily[رقم العملية],0)),1)</f>
        <v>405</v>
      </c>
      <c r="K195" s="123" cm="1">
        <f t="array" ref="K195">IFERROR(INDEX(Tabledaily[المبلـــــــغ],MATCH(1,(TableDailyJournal[[#This Row],[رقم العملية]]=Tabledaily[رقم العملية])*(TableDailyJournal[[#This Row],[الحساب]]=Tabledaily[الحســاب المديــــن]),0)),0)</f>
        <v>0</v>
      </c>
      <c r="L195" s="123" cm="1">
        <f t="array" ref="L195">IFERROR(INDEX(Tabledaily[المبلـــــــغ],MATCH(1,(TableDailyJournal[[#This Row],[رقم العملية]]=Tabledaily[رقم العملية])*(TableDailyJournal[[#This Row],[الحساب]]=Tabledaily[الحســاب الدئـــن]),0)),0)</f>
        <v>10000</v>
      </c>
      <c r="M195" s="119">
        <f>IFERROR(TableDailyJournal[[#This Row],[المبلغ مدين]]/TableDailyJournal[[#This Row],[سعــــــر
الصـــــرف]],0)</f>
        <v>0</v>
      </c>
      <c r="N195" s="119">
        <f>IFERROR(TableDailyJournal[[#This Row],[المبلغ دائن]]/TableDailyJournal[[#This Row],[سعــــــر
الصـــــرف]],0)</f>
        <v>24.691358024691358</v>
      </c>
      <c r="O195" s="121" t="str">
        <f>INDEX(Tabledaily[المستفيــــــــد],MATCH(TableDailyJournal[[#This Row],[رقم العملية]],Tabledaily[رقم العملية],0))</f>
        <v>المدفعية</v>
      </c>
      <c r="P195" s="121" t="str">
        <f>INDEX(Tabledaily[المــــرجـــــــــع],MATCH(TableDailyJournal[[#This Row],[رقم العملية]],Tabledaily[رقم العملية],0))</f>
        <v>استلام نقدي</v>
      </c>
      <c r="Q195" s="121" t="str">
        <f>INDEX(Tabledaily[اســـــــم المــــرجــــع],MATCH(TableDailyJournal[[#This Row],[رقم العملية]],Tabledaily[رقم العملية],0))</f>
        <v>سند استلام</v>
      </c>
      <c r="R195" s="121">
        <f>INDEX(Tabledaily[رقم المـــــرجـــع],MATCH(TableDailyJournal[[#This Row],[رقم العملية]],Tabledaily[رقم العملية],0))</f>
        <v>0</v>
      </c>
      <c r="S195" s="121" t="str">
        <f>INDEX(Tabledaily[مركـــــــزالتكلفــــــة],MATCH(TableDailyJournal[[#This Row],[رقم العملية]],Tabledaily[رقم العملية],0))</f>
        <v>الفرقة الثالثة</v>
      </c>
      <c r="T195" s="121">
        <f>IFERROR(INDEX(tablecost[رقم المركز],MATCH(TableDailyJournal[[#This Row],[مركـــــــزالتكلفــــــة]],tablecost[الاسم],0)),0)</f>
        <v>1</v>
      </c>
      <c r="U195" s="122">
        <f>IFERROR(DATE(TableDailyJournal[[#This Row],[السنــــة]],TableDailyJournal[[#This Row],[الشهــــر]],TableDailyJournal[[#This Row],[الـــــيوم]]),"01-01-2026")</f>
        <v>46181</v>
      </c>
      <c r="V195" s="126"/>
      <c r="W195" s="58"/>
      <c r="X195" s="58">
        <f>IFERROR(YEAR(TableDailyJournal[[#This Row],[التاريخ]]),"")</f>
        <v>2026</v>
      </c>
      <c r="Y195" s="58">
        <f>IFERROR(MONTH(TableDailyJournal[[#This Row],[التاريخ]]),"")</f>
        <v>6</v>
      </c>
      <c r="Z195" s="58">
        <f>IFERROR(DAY(TableDailyJournal[[#This Row],[التاريخ]]),"")</f>
        <v>8</v>
      </c>
      <c r="AA195" s="126" t="str">
        <f>INDEX(Tabledaily[المرجع البياني],MATCH(TableDailyJournal[[#This Row],[رقم العملية]],Tabledaily[رقم العملية],0))</f>
        <v>قيـد مقابـل:- (مصاريف  صرفة يومية للافراد  - المدفعية - الفرقة الثالثة)  - استلام نقدي رقم   سند استلام - صرف الصرفة اليومية للمدفعية لعدد 1 بامر</v>
      </c>
      <c r="AB195" s="121">
        <f>INDEX(Tabledaily[جهة الامر],MATCH(TableDailyJournal[[#This Row],[رقم العملية]],Tabledaily[رقم العملية],0))</f>
        <v>0</v>
      </c>
    </row>
    <row r="196" spans="2:28" ht="45.75" x14ac:dyDescent="0.55000000000000004">
      <c r="B196" s="58">
        <f t="shared" si="5"/>
        <v>192</v>
      </c>
      <c r="C196" s="59" t="s">
        <v>566</v>
      </c>
      <c r="D196" s="60">
        <f>INDEX(Tabledaily[date],MATCH(TableDailyJournal[[#This Row],[رقم العملية]],Tabledaily[رقم العملية],0))</f>
        <v>46181</v>
      </c>
      <c r="E196" s="58" t="str">
        <f>INDEX(Tabledaily[نوع العمليــة],MATCH(TableDailyJournal[[#This Row],[رقم العملية]],Tabledaily[رقم العملية],0))</f>
        <v>قيد عهده</v>
      </c>
      <c r="F196" s="58">
        <f>IFERROR(INDEX(TableJudje[رقم الحساب],MATCH(TableDailyJournal[[#This Row],[الحساب]],TableJudje[اسم الحساب],0)),0)</f>
        <v>31010101</v>
      </c>
      <c r="G196" s="58" t="s">
        <v>111</v>
      </c>
      <c r="H196"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v>
      </c>
      <c r="I196" s="60" t="str">
        <f>INDEX(Tabledaily[العملـــة],MATCH(TableDailyJournal[[#This Row],[رقم العملية]],Tabledaily[رقم العملية],0))</f>
        <v>ريال يمني</v>
      </c>
      <c r="J196" s="59">
        <f>IFERROR(INDEX(Tabledaily[سعــــــر
الصـــــرف],MATCH(C196,Tabledaily[رقم العملية],0)),1)</f>
        <v>405</v>
      </c>
      <c r="K196" s="123" cm="1">
        <f t="array" ref="K196">IFERROR(INDEX(Tabledaily[المبلـــــــغ],MATCH(1,(TableDailyJournal[[#This Row],[رقم العملية]]=Tabledaily[رقم العملية])*(TableDailyJournal[[#This Row],[الحساب]]=Tabledaily[الحســاب المديــــن]),0)),0)</f>
        <v>60000</v>
      </c>
      <c r="L196" s="123" cm="1">
        <f t="array" ref="L196">IFERROR(INDEX(Tabledaily[المبلـــــــغ],MATCH(1,(TableDailyJournal[[#This Row],[رقم العملية]]=Tabledaily[رقم العملية])*(TableDailyJournal[[#This Row],[الحساب]]=Tabledaily[الحســاب الدئـــن]),0)),0)</f>
        <v>0</v>
      </c>
      <c r="M196" s="119">
        <f>IFERROR(TableDailyJournal[[#This Row],[المبلغ مدين]]/TableDailyJournal[[#This Row],[سعــــــر
الصـــــرف]],0)</f>
        <v>148.14814814814815</v>
      </c>
      <c r="N196" s="119">
        <f>IFERROR(TableDailyJournal[[#This Row],[المبلغ دائن]]/TableDailyJournal[[#This Row],[سعــــــر
الصـــــرف]],0)</f>
        <v>0</v>
      </c>
      <c r="O196" s="121" t="str">
        <f>INDEX(Tabledaily[المستفيــــــــد],MATCH(TableDailyJournal[[#This Row],[رقم العملية]],Tabledaily[رقم العملية],0))</f>
        <v>المستشارين والمساعدين</v>
      </c>
      <c r="P196" s="121" t="str">
        <f>INDEX(Tabledaily[المــــرجـــــــــع],MATCH(TableDailyJournal[[#This Row],[رقم العملية]],Tabledaily[رقم العملية],0))</f>
        <v>استلام نقدي</v>
      </c>
      <c r="Q196" s="121" t="str">
        <f>INDEX(Tabledaily[اســـــــم المــــرجــــع],MATCH(TableDailyJournal[[#This Row],[رقم العملية]],Tabledaily[رقم العملية],0))</f>
        <v>سند استلام</v>
      </c>
      <c r="R196" s="121">
        <f>INDEX(Tabledaily[رقم المـــــرجـــع],MATCH(TableDailyJournal[[#This Row],[رقم العملية]],Tabledaily[رقم العملية],0))</f>
        <v>0</v>
      </c>
      <c r="S196" s="121" t="str">
        <f>INDEX(Tabledaily[مركـــــــزالتكلفــــــة],MATCH(TableDailyJournal[[#This Row],[رقم العملية]],Tabledaily[رقم العملية],0))</f>
        <v>الفرقة الثالثة</v>
      </c>
      <c r="T196" s="121">
        <f>IFERROR(INDEX(tablecost[رقم المركز],MATCH(TableDailyJournal[[#This Row],[مركـــــــزالتكلفــــــة]],tablecost[الاسم],0)),0)</f>
        <v>1</v>
      </c>
      <c r="U196" s="122">
        <f>IFERROR(DATE(TableDailyJournal[[#This Row],[السنــــة]],TableDailyJournal[[#This Row],[الشهــــر]],TableDailyJournal[[#This Row],[الـــــيوم]]),"01-01-2026")</f>
        <v>46181</v>
      </c>
      <c r="V196" s="126"/>
      <c r="W196" s="58"/>
      <c r="X196" s="58">
        <f>IFERROR(YEAR(TableDailyJournal[[#This Row],[التاريخ]]),"")</f>
        <v>2026</v>
      </c>
      <c r="Y196" s="58">
        <f>IFERROR(MONTH(TableDailyJournal[[#This Row],[التاريخ]]),"")</f>
        <v>6</v>
      </c>
      <c r="Z196" s="58">
        <f>IFERROR(DAY(TableDailyJournal[[#This Row],[التاريخ]]),"")</f>
        <v>8</v>
      </c>
      <c r="AA196"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v>
      </c>
      <c r="AB196" s="121">
        <f>INDEX(Tabledaily[جهة الامر],MATCH(TableDailyJournal[[#This Row],[رقم العملية]],Tabledaily[رقم العملية],0))</f>
        <v>0</v>
      </c>
    </row>
    <row r="197" spans="2:28" ht="45.75" x14ac:dyDescent="0.55000000000000004">
      <c r="B197" s="58">
        <f t="shared" si="5"/>
        <v>193</v>
      </c>
      <c r="C197" s="59" t="s">
        <v>566</v>
      </c>
      <c r="D197" s="60">
        <f>INDEX(Tabledaily[date],MATCH(TableDailyJournal[[#This Row],[رقم العملية]],Tabledaily[رقم العملية],0))</f>
        <v>46181</v>
      </c>
      <c r="E197" s="58" t="str">
        <f>INDEX(Tabledaily[نوع العمليــة],MATCH(TableDailyJournal[[#This Row],[رقم العملية]],Tabledaily[رقم العملية],0))</f>
        <v>قيد عهده</v>
      </c>
      <c r="F197" s="58">
        <f>IFERROR(INDEX(TableJudje[رقم الحساب],MATCH(TableDailyJournal[[#This Row],[الحساب]],TableJudje[اسم الحساب],0)),0)</f>
        <v>11060205</v>
      </c>
      <c r="G197" s="58" t="s">
        <v>513</v>
      </c>
      <c r="H197"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v>
      </c>
      <c r="I197" s="60" t="str">
        <f>INDEX(Tabledaily[العملـــة],MATCH(TableDailyJournal[[#This Row],[رقم العملية]],Tabledaily[رقم العملية],0))</f>
        <v>ريال يمني</v>
      </c>
      <c r="J197" s="59">
        <f>IFERROR(INDEX(Tabledaily[سعــــــر
الصـــــرف],MATCH(C197,Tabledaily[رقم العملية],0)),1)</f>
        <v>405</v>
      </c>
      <c r="K197" s="123" cm="1">
        <f t="array" ref="K197">IFERROR(INDEX(Tabledaily[المبلـــــــغ],MATCH(1,(TableDailyJournal[[#This Row],[رقم العملية]]=Tabledaily[رقم العملية])*(TableDailyJournal[[#This Row],[الحساب]]=Tabledaily[الحســاب المديــــن]),0)),0)</f>
        <v>0</v>
      </c>
      <c r="L197" s="123" cm="1">
        <f t="array" ref="L197">IFERROR(INDEX(Tabledaily[المبلـــــــغ],MATCH(1,(TableDailyJournal[[#This Row],[رقم العملية]]=Tabledaily[رقم العملية])*(TableDailyJournal[[#This Row],[الحساب]]=Tabledaily[الحســاب الدئـــن]),0)),0)</f>
        <v>60000</v>
      </c>
      <c r="M197" s="119">
        <f>IFERROR(TableDailyJournal[[#This Row],[المبلغ مدين]]/TableDailyJournal[[#This Row],[سعــــــر
الصـــــرف]],0)</f>
        <v>0</v>
      </c>
      <c r="N197" s="119">
        <f>IFERROR(TableDailyJournal[[#This Row],[المبلغ دائن]]/TableDailyJournal[[#This Row],[سعــــــر
الصـــــرف]],0)</f>
        <v>148.14814814814815</v>
      </c>
      <c r="O197" s="121" t="str">
        <f>INDEX(Tabledaily[المستفيــــــــد],MATCH(TableDailyJournal[[#This Row],[رقم العملية]],Tabledaily[رقم العملية],0))</f>
        <v>المستشارين والمساعدين</v>
      </c>
      <c r="P197" s="121" t="str">
        <f>INDEX(Tabledaily[المــــرجـــــــــع],MATCH(TableDailyJournal[[#This Row],[رقم العملية]],Tabledaily[رقم العملية],0))</f>
        <v>استلام نقدي</v>
      </c>
      <c r="Q197" s="121" t="str">
        <f>INDEX(Tabledaily[اســـــــم المــــرجــــع],MATCH(TableDailyJournal[[#This Row],[رقم العملية]],Tabledaily[رقم العملية],0))</f>
        <v>سند استلام</v>
      </c>
      <c r="R197" s="121">
        <f>INDEX(Tabledaily[رقم المـــــرجـــع],MATCH(TableDailyJournal[[#This Row],[رقم العملية]],Tabledaily[رقم العملية],0))</f>
        <v>0</v>
      </c>
      <c r="S197" s="121" t="str">
        <f>INDEX(Tabledaily[مركـــــــزالتكلفــــــة],MATCH(TableDailyJournal[[#This Row],[رقم العملية]],Tabledaily[رقم العملية],0))</f>
        <v>الفرقة الثالثة</v>
      </c>
      <c r="T197" s="121">
        <f>IFERROR(INDEX(tablecost[رقم المركز],MATCH(TableDailyJournal[[#This Row],[مركـــــــزالتكلفــــــة]],tablecost[الاسم],0)),0)</f>
        <v>1</v>
      </c>
      <c r="U197" s="122">
        <f>IFERROR(DATE(TableDailyJournal[[#This Row],[السنــــة]],TableDailyJournal[[#This Row],[الشهــــر]],TableDailyJournal[[#This Row],[الـــــيوم]]),"01-01-2026")</f>
        <v>46181</v>
      </c>
      <c r="V197" s="126"/>
      <c r="W197" s="58"/>
      <c r="X197" s="58">
        <f>IFERROR(YEAR(TableDailyJournal[[#This Row],[التاريخ]]),"")</f>
        <v>2026</v>
      </c>
      <c r="Y197" s="58">
        <f>IFERROR(MONTH(TableDailyJournal[[#This Row],[التاريخ]]),"")</f>
        <v>6</v>
      </c>
      <c r="Z197" s="58">
        <f>IFERROR(DAY(TableDailyJournal[[#This Row],[التاريخ]]),"")</f>
        <v>8</v>
      </c>
      <c r="AA197"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استلام نقدي رقم   سند استلام - صرف الصرفة اليومية للمستشارين والمساعدين عدد 6 بامر</v>
      </c>
      <c r="AB197" s="121">
        <f>INDEX(Tabledaily[جهة الامر],MATCH(TableDailyJournal[[#This Row],[رقم العملية]],Tabledaily[رقم العملية],0))</f>
        <v>0</v>
      </c>
    </row>
    <row r="198" spans="2:28" ht="45.75" x14ac:dyDescent="0.55000000000000004">
      <c r="B198" s="58">
        <f t="shared" si="5"/>
        <v>194</v>
      </c>
      <c r="C198" s="59" t="s">
        <v>567</v>
      </c>
      <c r="D198" s="60">
        <f>INDEX(Tabledaily[date],MATCH(TableDailyJournal[[#This Row],[رقم العملية]],Tabledaily[رقم العملية],0))</f>
        <v>46181</v>
      </c>
      <c r="E198" s="58" t="str">
        <f>INDEX(Tabledaily[نوع العمليــة],MATCH(TableDailyJournal[[#This Row],[رقم العملية]],Tabledaily[رقم العملية],0))</f>
        <v>قيد عهده</v>
      </c>
      <c r="F198" s="58">
        <f>IFERROR(INDEX(TableJudje[رقم الحساب],MATCH(TableDailyJournal[[#This Row],[الحساب]],TableJudje[اسم الحساب],0)),0)</f>
        <v>31010101</v>
      </c>
      <c r="G198" s="58" t="s">
        <v>111</v>
      </c>
      <c r="H198" s="61" t="str">
        <f>INDEX(Tabledaily[المرجع البياني],MATCH(TableDailyJournal[[#This Row],[رقم العملية]],Tabledaily[رقم العملية],0))</f>
        <v>قيـد مقابـل:- (مصاريف  صرفة يومية للافراد  - الطبية والمحاسبين - الفرقة الثالثة)  - استلام نقدي رقم   سند استلام - صرف الصرفة اليومية للطبية والمحاسبين لعدد 5 بامر</v>
      </c>
      <c r="I198" s="60" t="str">
        <f>INDEX(Tabledaily[العملـــة],MATCH(TableDailyJournal[[#This Row],[رقم العملية]],Tabledaily[رقم العملية],0))</f>
        <v>ريال يمني</v>
      </c>
      <c r="J198" s="59">
        <f>IFERROR(INDEX(Tabledaily[سعــــــر
الصـــــرف],MATCH(C198,Tabledaily[رقم العملية],0)),1)</f>
        <v>405</v>
      </c>
      <c r="K198" s="123" cm="1">
        <f t="array" ref="K198">IFERROR(INDEX(Tabledaily[المبلـــــــغ],MATCH(1,(TableDailyJournal[[#This Row],[رقم العملية]]=Tabledaily[رقم العملية])*(TableDailyJournal[[#This Row],[الحساب]]=Tabledaily[الحســاب المديــــن]),0)),0)</f>
        <v>32000</v>
      </c>
      <c r="L198" s="123" cm="1">
        <f t="array" ref="L198">IFERROR(INDEX(Tabledaily[المبلـــــــغ],MATCH(1,(TableDailyJournal[[#This Row],[رقم العملية]]=Tabledaily[رقم العملية])*(TableDailyJournal[[#This Row],[الحساب]]=Tabledaily[الحســاب الدئـــن]),0)),0)</f>
        <v>0</v>
      </c>
      <c r="M198" s="119">
        <f>IFERROR(TableDailyJournal[[#This Row],[المبلغ مدين]]/TableDailyJournal[[#This Row],[سعــــــر
الصـــــرف]],0)</f>
        <v>79.012345679012341</v>
      </c>
      <c r="N198" s="119">
        <f>IFERROR(TableDailyJournal[[#This Row],[المبلغ دائن]]/TableDailyJournal[[#This Row],[سعــــــر
الصـــــرف]],0)</f>
        <v>0</v>
      </c>
      <c r="O198" s="121" t="str">
        <f>INDEX(Tabledaily[المستفيــــــــد],MATCH(TableDailyJournal[[#This Row],[رقم العملية]],Tabledaily[رقم العملية],0))</f>
        <v>الطبية والمحاسبين</v>
      </c>
      <c r="P198" s="121" t="str">
        <f>INDEX(Tabledaily[المــــرجـــــــــع],MATCH(TableDailyJournal[[#This Row],[رقم العملية]],Tabledaily[رقم العملية],0))</f>
        <v>استلام نقدي</v>
      </c>
      <c r="Q198" s="121" t="str">
        <f>INDEX(Tabledaily[اســـــــم المــــرجــــع],MATCH(TableDailyJournal[[#This Row],[رقم العملية]],Tabledaily[رقم العملية],0))</f>
        <v>سند استلام</v>
      </c>
      <c r="R198" s="121">
        <f>INDEX(Tabledaily[رقم المـــــرجـــع],MATCH(TableDailyJournal[[#This Row],[رقم العملية]],Tabledaily[رقم العملية],0))</f>
        <v>0</v>
      </c>
      <c r="S198" s="121" t="str">
        <f>INDEX(Tabledaily[مركـــــــزالتكلفــــــة],MATCH(TableDailyJournal[[#This Row],[رقم العملية]],Tabledaily[رقم العملية],0))</f>
        <v>الفرقة الثالثة</v>
      </c>
      <c r="T198" s="121">
        <f>IFERROR(INDEX(tablecost[رقم المركز],MATCH(TableDailyJournal[[#This Row],[مركـــــــزالتكلفــــــة]],tablecost[الاسم],0)),0)</f>
        <v>1</v>
      </c>
      <c r="U198" s="122">
        <f>IFERROR(DATE(TableDailyJournal[[#This Row],[السنــــة]],TableDailyJournal[[#This Row],[الشهــــر]],TableDailyJournal[[#This Row],[الـــــيوم]]),"01-01-2026")</f>
        <v>46181</v>
      </c>
      <c r="V198" s="126"/>
      <c r="W198" s="58"/>
      <c r="X198" s="58">
        <f>IFERROR(YEAR(TableDailyJournal[[#This Row],[التاريخ]]),"")</f>
        <v>2026</v>
      </c>
      <c r="Y198" s="58">
        <f>IFERROR(MONTH(TableDailyJournal[[#This Row],[التاريخ]]),"")</f>
        <v>6</v>
      </c>
      <c r="Z198" s="58">
        <f>IFERROR(DAY(TableDailyJournal[[#This Row],[التاريخ]]),"")</f>
        <v>8</v>
      </c>
      <c r="AA198" s="126" t="str">
        <f>INDEX(Tabledaily[المرجع البياني],MATCH(TableDailyJournal[[#This Row],[رقم العملية]],Tabledaily[رقم العملية],0))</f>
        <v>قيـد مقابـل:- (مصاريف  صرفة يومية للافراد  - الطبية والمحاسبين - الفرقة الثالثة)  - استلام نقدي رقم   سند استلام - صرف الصرفة اليومية للطبية والمحاسبين لعدد 5 بامر</v>
      </c>
      <c r="AB198" s="121">
        <f>INDEX(Tabledaily[جهة الامر],MATCH(TableDailyJournal[[#This Row],[رقم العملية]],Tabledaily[رقم العملية],0))</f>
        <v>0</v>
      </c>
    </row>
    <row r="199" spans="2:28" ht="45.75" x14ac:dyDescent="0.55000000000000004">
      <c r="B199" s="58">
        <f t="shared" si="5"/>
        <v>195</v>
      </c>
      <c r="C199" s="59" t="s">
        <v>567</v>
      </c>
      <c r="D199" s="60">
        <f>INDEX(Tabledaily[date],MATCH(TableDailyJournal[[#This Row],[رقم العملية]],Tabledaily[رقم العملية],0))</f>
        <v>46181</v>
      </c>
      <c r="E199" s="58" t="str">
        <f>INDEX(Tabledaily[نوع العمليــة],MATCH(TableDailyJournal[[#This Row],[رقم العملية]],Tabledaily[رقم العملية],0))</f>
        <v>قيد عهده</v>
      </c>
      <c r="F199" s="58">
        <f>IFERROR(INDEX(TableJudje[رقم الحساب],MATCH(TableDailyJournal[[#This Row],[الحساب]],TableJudje[اسم الحساب],0)),0)</f>
        <v>11060205</v>
      </c>
      <c r="G199" s="58" t="s">
        <v>513</v>
      </c>
      <c r="H199" s="61" t="str">
        <f>INDEX(Tabledaily[المرجع البياني],MATCH(TableDailyJournal[[#This Row],[رقم العملية]],Tabledaily[رقم العملية],0))</f>
        <v>قيـد مقابـل:- (مصاريف  صرفة يومية للافراد  - الطبية والمحاسبين - الفرقة الثالثة)  - استلام نقدي رقم   سند استلام - صرف الصرفة اليومية للطبية والمحاسبين لعدد 5 بامر</v>
      </c>
      <c r="I199" s="60" t="str">
        <f>INDEX(Tabledaily[العملـــة],MATCH(TableDailyJournal[[#This Row],[رقم العملية]],Tabledaily[رقم العملية],0))</f>
        <v>ريال يمني</v>
      </c>
      <c r="J199" s="59">
        <f>IFERROR(INDEX(Tabledaily[سعــــــر
الصـــــرف],MATCH(C199,Tabledaily[رقم العملية],0)),1)</f>
        <v>405</v>
      </c>
      <c r="K199" s="123" cm="1">
        <f t="array" ref="K199">IFERROR(INDEX(Tabledaily[المبلـــــــغ],MATCH(1,(TableDailyJournal[[#This Row],[رقم العملية]]=Tabledaily[رقم العملية])*(TableDailyJournal[[#This Row],[الحساب]]=Tabledaily[الحســاب المديــــن]),0)),0)</f>
        <v>0</v>
      </c>
      <c r="L199" s="123" cm="1">
        <f t="array" ref="L199">IFERROR(INDEX(Tabledaily[المبلـــــــغ],MATCH(1,(TableDailyJournal[[#This Row],[رقم العملية]]=Tabledaily[رقم العملية])*(TableDailyJournal[[#This Row],[الحساب]]=Tabledaily[الحســاب الدئـــن]),0)),0)</f>
        <v>32000</v>
      </c>
      <c r="M199" s="119">
        <f>IFERROR(TableDailyJournal[[#This Row],[المبلغ مدين]]/TableDailyJournal[[#This Row],[سعــــــر
الصـــــرف]],0)</f>
        <v>0</v>
      </c>
      <c r="N199" s="119">
        <f>IFERROR(TableDailyJournal[[#This Row],[المبلغ دائن]]/TableDailyJournal[[#This Row],[سعــــــر
الصـــــرف]],0)</f>
        <v>79.012345679012341</v>
      </c>
      <c r="O199" s="121" t="str">
        <f>INDEX(Tabledaily[المستفيــــــــد],MATCH(TableDailyJournal[[#This Row],[رقم العملية]],Tabledaily[رقم العملية],0))</f>
        <v>الطبية والمحاسبين</v>
      </c>
      <c r="P199" s="121" t="str">
        <f>INDEX(Tabledaily[المــــرجـــــــــع],MATCH(TableDailyJournal[[#This Row],[رقم العملية]],Tabledaily[رقم العملية],0))</f>
        <v>استلام نقدي</v>
      </c>
      <c r="Q199" s="121" t="str">
        <f>INDEX(Tabledaily[اســـــــم المــــرجــــع],MATCH(TableDailyJournal[[#This Row],[رقم العملية]],Tabledaily[رقم العملية],0))</f>
        <v>سند استلام</v>
      </c>
      <c r="R199" s="121">
        <f>INDEX(Tabledaily[رقم المـــــرجـــع],MATCH(TableDailyJournal[[#This Row],[رقم العملية]],Tabledaily[رقم العملية],0))</f>
        <v>0</v>
      </c>
      <c r="S199" s="121" t="str">
        <f>INDEX(Tabledaily[مركـــــــزالتكلفــــــة],MATCH(TableDailyJournal[[#This Row],[رقم العملية]],Tabledaily[رقم العملية],0))</f>
        <v>الفرقة الثالثة</v>
      </c>
      <c r="T199" s="121">
        <f>IFERROR(INDEX(tablecost[رقم المركز],MATCH(TableDailyJournal[[#This Row],[مركـــــــزالتكلفــــــة]],tablecost[الاسم],0)),0)</f>
        <v>1</v>
      </c>
      <c r="U199" s="122">
        <f>IFERROR(DATE(TableDailyJournal[[#This Row],[السنــــة]],TableDailyJournal[[#This Row],[الشهــــر]],TableDailyJournal[[#This Row],[الـــــيوم]]),"01-01-2026")</f>
        <v>46181</v>
      </c>
      <c r="V199" s="126"/>
      <c r="W199" s="58"/>
      <c r="X199" s="58">
        <f>IFERROR(YEAR(TableDailyJournal[[#This Row],[التاريخ]]),"")</f>
        <v>2026</v>
      </c>
      <c r="Y199" s="58">
        <f>IFERROR(MONTH(TableDailyJournal[[#This Row],[التاريخ]]),"")</f>
        <v>6</v>
      </c>
      <c r="Z199" s="58">
        <f>IFERROR(DAY(TableDailyJournal[[#This Row],[التاريخ]]),"")</f>
        <v>8</v>
      </c>
      <c r="AA199" s="126" t="str">
        <f>INDEX(Tabledaily[المرجع البياني],MATCH(TableDailyJournal[[#This Row],[رقم العملية]],Tabledaily[رقم العملية],0))</f>
        <v>قيـد مقابـل:- (مصاريف  صرفة يومية للافراد  - الطبية والمحاسبين - الفرقة الثالثة)  - استلام نقدي رقم   سند استلام - صرف الصرفة اليومية للطبية والمحاسبين لعدد 5 بامر</v>
      </c>
      <c r="AB199" s="121">
        <f>INDEX(Tabledaily[جهة الامر],MATCH(TableDailyJournal[[#This Row],[رقم العملية]],Tabledaily[رقم العملية],0))</f>
        <v>0</v>
      </c>
    </row>
    <row r="200" spans="2:28" ht="45.75" x14ac:dyDescent="0.55000000000000004">
      <c r="B200" s="58">
        <f t="shared" si="5"/>
        <v>196</v>
      </c>
      <c r="C200" s="59" t="s">
        <v>568</v>
      </c>
      <c r="D200" s="60">
        <f>INDEX(Tabledaily[date],MATCH(TableDailyJournal[[#This Row],[رقم العملية]],Tabledaily[رقم العملية],0))</f>
        <v>46181</v>
      </c>
      <c r="E200" s="58" t="str">
        <f>INDEX(Tabledaily[نوع العمليــة],MATCH(TableDailyJournal[[#This Row],[رقم العملية]],Tabledaily[رقم العملية],0))</f>
        <v>قيد عهده</v>
      </c>
      <c r="F200" s="58">
        <f>IFERROR(INDEX(TableJudje[رقم الحساب],MATCH(TableDailyJournal[[#This Row],[الحساب]],TableJudje[اسم الحساب],0)),0)</f>
        <v>31010101</v>
      </c>
      <c r="G200" s="58" t="s">
        <v>111</v>
      </c>
      <c r="H200" s="61" t="str">
        <f>INDEX(Tabledaily[المرجع البياني],MATCH(TableDailyJournal[[#This Row],[رقم العملية]],Tabledaily[رقم العملية],0))</f>
        <v>قيـد مقابـل:- (مصاريف  صرفة يومية للافراد  - الضباط السابقين - الفرقة الثالثة)  - استلام نقدي رقم   سند استلام - صرف الصرفة اليومية ضباط سابقين لعدد 7 بامر</v>
      </c>
      <c r="I200" s="60" t="str">
        <f>INDEX(Tabledaily[العملـــة],MATCH(TableDailyJournal[[#This Row],[رقم العملية]],Tabledaily[رقم العملية],0))</f>
        <v>ريال يمني</v>
      </c>
      <c r="J200" s="59">
        <f>IFERROR(INDEX(Tabledaily[سعــــــر
الصـــــرف],MATCH(C200,Tabledaily[رقم العملية],0)),1)</f>
        <v>405</v>
      </c>
      <c r="K200" s="123" cm="1">
        <f t="array" ref="K200">IFERROR(INDEX(Tabledaily[المبلـــــــغ],MATCH(1,(TableDailyJournal[[#This Row],[رقم العملية]]=Tabledaily[رقم العملية])*(TableDailyJournal[[#This Row],[الحساب]]=Tabledaily[الحســاب المديــــن]),0)),0)</f>
        <v>70000</v>
      </c>
      <c r="L200" s="123" cm="1">
        <f t="array" ref="L200">IFERROR(INDEX(Tabledaily[المبلـــــــغ],MATCH(1,(TableDailyJournal[[#This Row],[رقم العملية]]=Tabledaily[رقم العملية])*(TableDailyJournal[[#This Row],[الحساب]]=Tabledaily[الحســاب الدئـــن]),0)),0)</f>
        <v>0</v>
      </c>
      <c r="M200" s="119">
        <f>IFERROR(TableDailyJournal[[#This Row],[المبلغ مدين]]/TableDailyJournal[[#This Row],[سعــــــر
الصـــــرف]],0)</f>
        <v>172.83950617283949</v>
      </c>
      <c r="N200" s="119">
        <f>IFERROR(TableDailyJournal[[#This Row],[المبلغ دائن]]/TableDailyJournal[[#This Row],[سعــــــر
الصـــــرف]],0)</f>
        <v>0</v>
      </c>
      <c r="O200" s="121" t="str">
        <f>INDEX(Tabledaily[المستفيــــــــد],MATCH(TableDailyJournal[[#This Row],[رقم العملية]],Tabledaily[رقم العملية],0))</f>
        <v>الضباط السابقين</v>
      </c>
      <c r="P200" s="121" t="str">
        <f>INDEX(Tabledaily[المــــرجـــــــــع],MATCH(TableDailyJournal[[#This Row],[رقم العملية]],Tabledaily[رقم العملية],0))</f>
        <v>استلام نقدي</v>
      </c>
      <c r="Q200" s="121" t="str">
        <f>INDEX(Tabledaily[اســـــــم المــــرجــــع],MATCH(TableDailyJournal[[#This Row],[رقم العملية]],Tabledaily[رقم العملية],0))</f>
        <v>سند استلام</v>
      </c>
      <c r="R200" s="121">
        <f>INDEX(Tabledaily[رقم المـــــرجـــع],MATCH(TableDailyJournal[[#This Row],[رقم العملية]],Tabledaily[رقم العملية],0))</f>
        <v>0</v>
      </c>
      <c r="S200" s="121" t="str">
        <f>INDEX(Tabledaily[مركـــــــزالتكلفــــــة],MATCH(TableDailyJournal[[#This Row],[رقم العملية]],Tabledaily[رقم العملية],0))</f>
        <v>الفرقة الثالثة</v>
      </c>
      <c r="T200" s="121">
        <f>IFERROR(INDEX(tablecost[رقم المركز],MATCH(TableDailyJournal[[#This Row],[مركـــــــزالتكلفــــــة]],tablecost[الاسم],0)),0)</f>
        <v>1</v>
      </c>
      <c r="U200" s="122">
        <f>IFERROR(DATE(TableDailyJournal[[#This Row],[السنــــة]],TableDailyJournal[[#This Row],[الشهــــر]],TableDailyJournal[[#This Row],[الـــــيوم]]),"01-01-2026")</f>
        <v>46181</v>
      </c>
      <c r="V200" s="126"/>
      <c r="W200" s="58"/>
      <c r="X200" s="58">
        <f>IFERROR(YEAR(TableDailyJournal[[#This Row],[التاريخ]]),"")</f>
        <v>2026</v>
      </c>
      <c r="Y200" s="58">
        <f>IFERROR(MONTH(TableDailyJournal[[#This Row],[التاريخ]]),"")</f>
        <v>6</v>
      </c>
      <c r="Z200" s="58">
        <f>IFERROR(DAY(TableDailyJournal[[#This Row],[التاريخ]]),"")</f>
        <v>8</v>
      </c>
      <c r="AA200" s="126" t="str">
        <f>INDEX(Tabledaily[المرجع البياني],MATCH(TableDailyJournal[[#This Row],[رقم العملية]],Tabledaily[رقم العملية],0))</f>
        <v>قيـد مقابـل:- (مصاريف  صرفة يومية للافراد  - الضباط السابقين - الفرقة الثالثة)  - استلام نقدي رقم   سند استلام - صرف الصرفة اليومية ضباط سابقين لعدد 7 بامر</v>
      </c>
      <c r="AB200" s="121">
        <f>INDEX(Tabledaily[جهة الامر],MATCH(TableDailyJournal[[#This Row],[رقم العملية]],Tabledaily[رقم العملية],0))</f>
        <v>0</v>
      </c>
    </row>
    <row r="201" spans="2:28" ht="45.75" x14ac:dyDescent="0.55000000000000004">
      <c r="B201" s="58">
        <f t="shared" si="5"/>
        <v>197</v>
      </c>
      <c r="C201" s="59" t="s">
        <v>568</v>
      </c>
      <c r="D201" s="60">
        <f>INDEX(Tabledaily[date],MATCH(TableDailyJournal[[#This Row],[رقم العملية]],Tabledaily[رقم العملية],0))</f>
        <v>46181</v>
      </c>
      <c r="E201" s="58" t="str">
        <f>INDEX(Tabledaily[نوع العمليــة],MATCH(TableDailyJournal[[#This Row],[رقم العملية]],Tabledaily[رقم العملية],0))</f>
        <v>قيد عهده</v>
      </c>
      <c r="F201" s="58">
        <f>IFERROR(INDEX(TableJudje[رقم الحساب],MATCH(TableDailyJournal[[#This Row],[الحساب]],TableJudje[اسم الحساب],0)),0)</f>
        <v>11060205</v>
      </c>
      <c r="G201" s="58" t="s">
        <v>513</v>
      </c>
      <c r="H201" s="61" t="str">
        <f>INDEX(Tabledaily[المرجع البياني],MATCH(TableDailyJournal[[#This Row],[رقم العملية]],Tabledaily[رقم العملية],0))</f>
        <v>قيـد مقابـل:- (مصاريف  صرفة يومية للافراد  - الضباط السابقين - الفرقة الثالثة)  - استلام نقدي رقم   سند استلام - صرف الصرفة اليومية ضباط سابقين لعدد 7 بامر</v>
      </c>
      <c r="I201" s="60" t="str">
        <f>INDEX(Tabledaily[العملـــة],MATCH(TableDailyJournal[[#This Row],[رقم العملية]],Tabledaily[رقم العملية],0))</f>
        <v>ريال يمني</v>
      </c>
      <c r="J201" s="59">
        <f>IFERROR(INDEX(Tabledaily[سعــــــر
الصـــــرف],MATCH(C201,Tabledaily[رقم العملية],0)),1)</f>
        <v>405</v>
      </c>
      <c r="K201" s="123" cm="1">
        <f t="array" ref="K201">IFERROR(INDEX(Tabledaily[المبلـــــــغ],MATCH(1,(TableDailyJournal[[#This Row],[رقم العملية]]=Tabledaily[رقم العملية])*(TableDailyJournal[[#This Row],[الحساب]]=Tabledaily[الحســاب المديــــن]),0)),0)</f>
        <v>0</v>
      </c>
      <c r="L201" s="123" cm="1">
        <f t="array" ref="L201">IFERROR(INDEX(Tabledaily[المبلـــــــغ],MATCH(1,(TableDailyJournal[[#This Row],[رقم العملية]]=Tabledaily[رقم العملية])*(TableDailyJournal[[#This Row],[الحساب]]=Tabledaily[الحســاب الدئـــن]),0)),0)</f>
        <v>70000</v>
      </c>
      <c r="M201" s="119">
        <f>IFERROR(TableDailyJournal[[#This Row],[المبلغ مدين]]/TableDailyJournal[[#This Row],[سعــــــر
الصـــــرف]],0)</f>
        <v>0</v>
      </c>
      <c r="N201" s="119">
        <f>IFERROR(TableDailyJournal[[#This Row],[المبلغ دائن]]/TableDailyJournal[[#This Row],[سعــــــر
الصـــــرف]],0)</f>
        <v>172.83950617283949</v>
      </c>
      <c r="O201" s="121" t="str">
        <f>INDEX(Tabledaily[المستفيــــــــد],MATCH(TableDailyJournal[[#This Row],[رقم العملية]],Tabledaily[رقم العملية],0))</f>
        <v>الضباط السابقين</v>
      </c>
      <c r="P201" s="121" t="str">
        <f>INDEX(Tabledaily[المــــرجـــــــــع],MATCH(TableDailyJournal[[#This Row],[رقم العملية]],Tabledaily[رقم العملية],0))</f>
        <v>استلام نقدي</v>
      </c>
      <c r="Q201" s="121" t="str">
        <f>INDEX(Tabledaily[اســـــــم المــــرجــــع],MATCH(TableDailyJournal[[#This Row],[رقم العملية]],Tabledaily[رقم العملية],0))</f>
        <v>سند استلام</v>
      </c>
      <c r="R201" s="121">
        <f>INDEX(Tabledaily[رقم المـــــرجـــع],MATCH(TableDailyJournal[[#This Row],[رقم العملية]],Tabledaily[رقم العملية],0))</f>
        <v>0</v>
      </c>
      <c r="S201" s="121" t="str">
        <f>INDEX(Tabledaily[مركـــــــزالتكلفــــــة],MATCH(TableDailyJournal[[#This Row],[رقم العملية]],Tabledaily[رقم العملية],0))</f>
        <v>الفرقة الثالثة</v>
      </c>
      <c r="T201" s="121">
        <f>IFERROR(INDEX(tablecost[رقم المركز],MATCH(TableDailyJournal[[#This Row],[مركـــــــزالتكلفــــــة]],tablecost[الاسم],0)),0)</f>
        <v>1</v>
      </c>
      <c r="U201" s="122">
        <f>IFERROR(DATE(TableDailyJournal[[#This Row],[السنــــة]],TableDailyJournal[[#This Row],[الشهــــر]],TableDailyJournal[[#This Row],[الـــــيوم]]),"01-01-2026")</f>
        <v>46181</v>
      </c>
      <c r="V201" s="126"/>
      <c r="W201" s="58"/>
      <c r="X201" s="58">
        <f>IFERROR(YEAR(TableDailyJournal[[#This Row],[التاريخ]]),"")</f>
        <v>2026</v>
      </c>
      <c r="Y201" s="58">
        <f>IFERROR(MONTH(TableDailyJournal[[#This Row],[التاريخ]]),"")</f>
        <v>6</v>
      </c>
      <c r="Z201" s="58">
        <f>IFERROR(DAY(TableDailyJournal[[#This Row],[التاريخ]]),"")</f>
        <v>8</v>
      </c>
      <c r="AA201" s="126" t="str">
        <f>INDEX(Tabledaily[المرجع البياني],MATCH(TableDailyJournal[[#This Row],[رقم العملية]],Tabledaily[رقم العملية],0))</f>
        <v>قيـد مقابـل:- (مصاريف  صرفة يومية للافراد  - الضباط السابقين - الفرقة الثالثة)  - استلام نقدي رقم   سند استلام - صرف الصرفة اليومية ضباط سابقين لعدد 7 بامر</v>
      </c>
      <c r="AB201" s="121">
        <f>INDEX(Tabledaily[جهة الامر],MATCH(TableDailyJournal[[#This Row],[رقم العملية]],Tabledaily[رقم العملية],0))</f>
        <v>0</v>
      </c>
    </row>
    <row r="202" spans="2:28" ht="45.75" x14ac:dyDescent="0.55000000000000004">
      <c r="B202" s="58">
        <f t="shared" si="5"/>
        <v>198</v>
      </c>
      <c r="C202" s="59" t="s">
        <v>569</v>
      </c>
      <c r="D202" s="60">
        <f>INDEX(Tabledaily[date],MATCH(TableDailyJournal[[#This Row],[رقم العملية]],Tabledaily[رقم العملية],0))</f>
        <v>46181</v>
      </c>
      <c r="E202" s="58" t="str">
        <f>INDEX(Tabledaily[نوع العمليــة],MATCH(TableDailyJournal[[#This Row],[رقم العملية]],Tabledaily[رقم العملية],0))</f>
        <v>قيد عهده</v>
      </c>
      <c r="F202" s="58">
        <f>IFERROR(INDEX(TableJudje[رقم الحساب],MATCH(TableDailyJournal[[#This Row],[الحساب]],TableJudje[اسم الحساب],0)),0)</f>
        <v>31010101</v>
      </c>
      <c r="G202" s="58" t="s">
        <v>111</v>
      </c>
      <c r="H202" s="61" t="str">
        <f>INDEX(Tabledaily[المرجع البياني],MATCH(TableDailyJournal[[#This Row],[رقم العملية]],Tabledaily[رقم العملية],0))</f>
        <v>قيـد مقابـل:- (مصاريف  صرفة يومية للافراد  - اخرون  - الفرقة الثالثة)  - استلام نقدي رقم   سند استلام - صرف الصرفة اليومية ل اهرى 105000 بامرالقائد</v>
      </c>
      <c r="I202" s="60" t="str">
        <f>INDEX(Tabledaily[العملـــة],MATCH(TableDailyJournal[[#This Row],[رقم العملية]],Tabledaily[رقم العملية],0))</f>
        <v>ريال يمني</v>
      </c>
      <c r="J202" s="59">
        <f>IFERROR(INDEX(Tabledaily[سعــــــر
الصـــــرف],MATCH(C202,Tabledaily[رقم العملية],0)),1)</f>
        <v>405</v>
      </c>
      <c r="K202" s="123" cm="1">
        <f t="array" ref="K202">IFERROR(INDEX(Tabledaily[المبلـــــــغ],MATCH(1,(TableDailyJournal[[#This Row],[رقم العملية]]=Tabledaily[رقم العملية])*(TableDailyJournal[[#This Row],[الحساب]]=Tabledaily[الحســاب المديــــن]),0)),0)</f>
        <v>105000</v>
      </c>
      <c r="L202" s="123" cm="1">
        <f t="array" ref="L202">IFERROR(INDEX(Tabledaily[المبلـــــــغ],MATCH(1,(TableDailyJournal[[#This Row],[رقم العملية]]=Tabledaily[رقم العملية])*(TableDailyJournal[[#This Row],[الحساب]]=Tabledaily[الحســاب الدئـــن]),0)),0)</f>
        <v>0</v>
      </c>
      <c r="M202" s="119">
        <f>IFERROR(TableDailyJournal[[#This Row],[المبلغ مدين]]/TableDailyJournal[[#This Row],[سعــــــر
الصـــــرف]],0)</f>
        <v>259.25925925925924</v>
      </c>
      <c r="N202" s="119">
        <f>IFERROR(TableDailyJournal[[#This Row],[المبلغ دائن]]/TableDailyJournal[[#This Row],[سعــــــر
الصـــــرف]],0)</f>
        <v>0</v>
      </c>
      <c r="O202" s="121" t="str">
        <f>INDEX(Tabledaily[المستفيــــــــد],MATCH(TableDailyJournal[[#This Row],[رقم العملية]],Tabledaily[رقم العملية],0))</f>
        <v xml:space="preserve">اخرون </v>
      </c>
      <c r="P202" s="121" t="str">
        <f>INDEX(Tabledaily[المــــرجـــــــــع],MATCH(TableDailyJournal[[#This Row],[رقم العملية]],Tabledaily[رقم العملية],0))</f>
        <v>استلام نقدي</v>
      </c>
      <c r="Q202" s="121" t="str">
        <f>INDEX(Tabledaily[اســـــــم المــــرجــــع],MATCH(TableDailyJournal[[#This Row],[رقم العملية]],Tabledaily[رقم العملية],0))</f>
        <v>سند استلام</v>
      </c>
      <c r="R202" s="121">
        <f>INDEX(Tabledaily[رقم المـــــرجـــع],MATCH(TableDailyJournal[[#This Row],[رقم العملية]],Tabledaily[رقم العملية],0))</f>
        <v>0</v>
      </c>
      <c r="S202" s="121" t="str">
        <f>INDEX(Tabledaily[مركـــــــزالتكلفــــــة],MATCH(TableDailyJournal[[#This Row],[رقم العملية]],Tabledaily[رقم العملية],0))</f>
        <v>الفرقة الثالثة</v>
      </c>
      <c r="T202" s="121">
        <f>IFERROR(INDEX(tablecost[رقم المركز],MATCH(TableDailyJournal[[#This Row],[مركـــــــزالتكلفــــــة]],tablecost[الاسم],0)),0)</f>
        <v>1</v>
      </c>
      <c r="U202" s="122">
        <f>IFERROR(DATE(TableDailyJournal[[#This Row],[السنــــة]],TableDailyJournal[[#This Row],[الشهــــر]],TableDailyJournal[[#This Row],[الـــــيوم]]),"01-01-2026")</f>
        <v>46181</v>
      </c>
      <c r="V202" s="126"/>
      <c r="W202" s="58"/>
      <c r="X202" s="58">
        <f>IFERROR(YEAR(TableDailyJournal[[#This Row],[التاريخ]]),"")</f>
        <v>2026</v>
      </c>
      <c r="Y202" s="58">
        <f>IFERROR(MONTH(TableDailyJournal[[#This Row],[التاريخ]]),"")</f>
        <v>6</v>
      </c>
      <c r="Z202" s="58">
        <f>IFERROR(DAY(TableDailyJournal[[#This Row],[التاريخ]]),"")</f>
        <v>8</v>
      </c>
      <c r="AA202" s="126" t="str">
        <f>INDEX(Tabledaily[المرجع البياني],MATCH(TableDailyJournal[[#This Row],[رقم العملية]],Tabledaily[رقم العملية],0))</f>
        <v>قيـد مقابـل:- (مصاريف  صرفة يومية للافراد  - اخرون  - الفرقة الثالثة)  - استلام نقدي رقم   سند استلام - صرف الصرفة اليومية ل اهرى 105000 بامرالقائد</v>
      </c>
      <c r="AB202" s="121" t="str">
        <f>INDEX(Tabledaily[جهة الامر],MATCH(TableDailyJournal[[#This Row],[رقم العملية]],Tabledaily[رقم العملية],0))</f>
        <v>القائد</v>
      </c>
    </row>
    <row r="203" spans="2:28" ht="45.75" x14ac:dyDescent="0.55000000000000004">
      <c r="B203" s="58">
        <f t="shared" si="5"/>
        <v>199</v>
      </c>
      <c r="C203" s="59" t="s">
        <v>569</v>
      </c>
      <c r="D203" s="60">
        <f>INDEX(Tabledaily[date],MATCH(TableDailyJournal[[#This Row],[رقم العملية]],Tabledaily[رقم العملية],0))</f>
        <v>46181</v>
      </c>
      <c r="E203" s="58" t="str">
        <f>INDEX(Tabledaily[نوع العمليــة],MATCH(TableDailyJournal[[#This Row],[رقم العملية]],Tabledaily[رقم العملية],0))</f>
        <v>قيد عهده</v>
      </c>
      <c r="F203" s="58">
        <f>IFERROR(INDEX(TableJudje[رقم الحساب],MATCH(TableDailyJournal[[#This Row],[الحساب]],TableJudje[اسم الحساب],0)),0)</f>
        <v>11060205</v>
      </c>
      <c r="G203" s="58" t="s">
        <v>513</v>
      </c>
      <c r="H203" s="61" t="str">
        <f>INDEX(Tabledaily[المرجع البياني],MATCH(TableDailyJournal[[#This Row],[رقم العملية]],Tabledaily[رقم العملية],0))</f>
        <v>قيـد مقابـل:- (مصاريف  صرفة يومية للافراد  - اخرون  - الفرقة الثالثة)  - استلام نقدي رقم   سند استلام - صرف الصرفة اليومية ل اهرى 105000 بامرالقائد</v>
      </c>
      <c r="I203" s="60" t="str">
        <f>INDEX(Tabledaily[العملـــة],MATCH(TableDailyJournal[[#This Row],[رقم العملية]],Tabledaily[رقم العملية],0))</f>
        <v>ريال يمني</v>
      </c>
      <c r="J203" s="59">
        <f>IFERROR(INDEX(Tabledaily[سعــــــر
الصـــــرف],MATCH(C203,Tabledaily[رقم العملية],0)),1)</f>
        <v>405</v>
      </c>
      <c r="K203" s="123" cm="1">
        <f t="array" ref="K203">IFERROR(INDEX(Tabledaily[المبلـــــــغ],MATCH(1,(TableDailyJournal[[#This Row],[رقم العملية]]=Tabledaily[رقم العملية])*(TableDailyJournal[[#This Row],[الحساب]]=Tabledaily[الحســاب المديــــن]),0)),0)</f>
        <v>0</v>
      </c>
      <c r="L203" s="123" cm="1">
        <f t="array" ref="L203">IFERROR(INDEX(Tabledaily[المبلـــــــغ],MATCH(1,(TableDailyJournal[[#This Row],[رقم العملية]]=Tabledaily[رقم العملية])*(TableDailyJournal[[#This Row],[الحساب]]=Tabledaily[الحســاب الدئـــن]),0)),0)</f>
        <v>105000</v>
      </c>
      <c r="M203" s="119">
        <f>IFERROR(TableDailyJournal[[#This Row],[المبلغ مدين]]/TableDailyJournal[[#This Row],[سعــــــر
الصـــــرف]],0)</f>
        <v>0</v>
      </c>
      <c r="N203" s="119">
        <f>IFERROR(TableDailyJournal[[#This Row],[المبلغ دائن]]/TableDailyJournal[[#This Row],[سعــــــر
الصـــــرف]],0)</f>
        <v>259.25925925925924</v>
      </c>
      <c r="O203" s="121" t="str">
        <f>INDEX(Tabledaily[المستفيــــــــد],MATCH(TableDailyJournal[[#This Row],[رقم العملية]],Tabledaily[رقم العملية],0))</f>
        <v xml:space="preserve">اخرون </v>
      </c>
      <c r="P203" s="121" t="str">
        <f>INDEX(Tabledaily[المــــرجـــــــــع],MATCH(TableDailyJournal[[#This Row],[رقم العملية]],Tabledaily[رقم العملية],0))</f>
        <v>استلام نقدي</v>
      </c>
      <c r="Q203" s="121" t="str">
        <f>INDEX(Tabledaily[اســـــــم المــــرجــــع],MATCH(TableDailyJournal[[#This Row],[رقم العملية]],Tabledaily[رقم العملية],0))</f>
        <v>سند استلام</v>
      </c>
      <c r="R203" s="121">
        <f>INDEX(Tabledaily[رقم المـــــرجـــع],MATCH(TableDailyJournal[[#This Row],[رقم العملية]],Tabledaily[رقم العملية],0))</f>
        <v>0</v>
      </c>
      <c r="S203" s="121" t="str">
        <f>INDEX(Tabledaily[مركـــــــزالتكلفــــــة],MATCH(TableDailyJournal[[#This Row],[رقم العملية]],Tabledaily[رقم العملية],0))</f>
        <v>الفرقة الثالثة</v>
      </c>
      <c r="T203" s="121">
        <f>IFERROR(INDEX(tablecost[رقم المركز],MATCH(TableDailyJournal[[#This Row],[مركـــــــزالتكلفــــــة]],tablecost[الاسم],0)),0)</f>
        <v>1</v>
      </c>
      <c r="U203" s="122">
        <f>IFERROR(DATE(TableDailyJournal[[#This Row],[السنــــة]],TableDailyJournal[[#This Row],[الشهــــر]],TableDailyJournal[[#This Row],[الـــــيوم]]),"01-01-2026")</f>
        <v>46181</v>
      </c>
      <c r="V203" s="126"/>
      <c r="W203" s="58"/>
      <c r="X203" s="58">
        <f>IFERROR(YEAR(TableDailyJournal[[#This Row],[التاريخ]]),"")</f>
        <v>2026</v>
      </c>
      <c r="Y203" s="58">
        <f>IFERROR(MONTH(TableDailyJournal[[#This Row],[التاريخ]]),"")</f>
        <v>6</v>
      </c>
      <c r="Z203" s="58">
        <f>IFERROR(DAY(TableDailyJournal[[#This Row],[التاريخ]]),"")</f>
        <v>8</v>
      </c>
      <c r="AA203" s="126" t="str">
        <f>INDEX(Tabledaily[المرجع البياني],MATCH(TableDailyJournal[[#This Row],[رقم العملية]],Tabledaily[رقم العملية],0))</f>
        <v>قيـد مقابـل:- (مصاريف  صرفة يومية للافراد  - اخرون  - الفرقة الثالثة)  - استلام نقدي رقم   سند استلام - صرف الصرفة اليومية ل اهرى 105000 بامرالقائد</v>
      </c>
      <c r="AB203" s="121" t="str">
        <f>INDEX(Tabledaily[جهة الامر],MATCH(TableDailyJournal[[#This Row],[رقم العملية]],Tabledaily[رقم العملية],0))</f>
        <v>القائد</v>
      </c>
    </row>
    <row r="204" spans="2:28" ht="45.75" x14ac:dyDescent="0.55000000000000004">
      <c r="B204" s="58">
        <f t="shared" si="5"/>
        <v>200</v>
      </c>
      <c r="C204" s="59" t="s">
        <v>572</v>
      </c>
      <c r="D204" s="60">
        <f>INDEX(Tabledaily[date],MATCH(TableDailyJournal[[#This Row],[رقم العملية]],Tabledaily[رقم العملية],0))</f>
        <v>46181</v>
      </c>
      <c r="E204" s="58" t="str">
        <f>INDEX(Tabledaily[نوع العمليــة],MATCH(TableDailyJournal[[#This Row],[رقم العملية]],Tabledaily[رقم العملية],0))</f>
        <v>قيد عهده</v>
      </c>
      <c r="F204" s="58">
        <f>IFERROR(INDEX(TableJudje[رقم الحساب],MATCH(TableDailyJournal[[#This Row],[الحساب]],TableJudje[اسم الحساب],0)),0)</f>
        <v>31010101</v>
      </c>
      <c r="G204" s="58" t="s">
        <v>111</v>
      </c>
      <c r="H204" s="61" t="str">
        <f>INDEX(Tabledaily[المرجع البياني],MATCH(TableDailyJournal[[#This Row],[رقم العملية]],Tabledaily[رقم العملية],0))</f>
        <v>قيـد مقابـل:- (مصاريف  صرفة يومية للافراد  - الاشغال - الفرقة الثالثة)  - استلام نقدي رقم   سند استلام - صرف الصرفة اليومية للاشغال لعدد 3 بامر</v>
      </c>
      <c r="I204" s="60" t="str">
        <f>INDEX(Tabledaily[العملـــة],MATCH(TableDailyJournal[[#This Row],[رقم العملية]],Tabledaily[رقم العملية],0))</f>
        <v>ريال يمني</v>
      </c>
      <c r="J204" s="59">
        <f>IFERROR(INDEX(Tabledaily[سعــــــر
الصـــــرف],MATCH(C204,Tabledaily[رقم العملية],0)),1)</f>
        <v>405</v>
      </c>
      <c r="K204" s="123" cm="1">
        <f t="array" ref="K204">IFERROR(INDEX(Tabledaily[المبلـــــــغ],MATCH(1,(TableDailyJournal[[#This Row],[رقم العملية]]=Tabledaily[رقم العملية])*(TableDailyJournal[[#This Row],[الحساب]]=Tabledaily[الحســاب المديــــن]),0)),0)</f>
        <v>28000</v>
      </c>
      <c r="L204" s="123" cm="1">
        <f t="array" ref="L204">IFERROR(INDEX(Tabledaily[المبلـــــــغ],MATCH(1,(TableDailyJournal[[#This Row],[رقم العملية]]=Tabledaily[رقم العملية])*(TableDailyJournal[[#This Row],[الحساب]]=Tabledaily[الحســاب الدئـــن]),0)),0)</f>
        <v>0</v>
      </c>
      <c r="M204" s="119">
        <f>IFERROR(TableDailyJournal[[#This Row],[المبلغ مدين]]/TableDailyJournal[[#This Row],[سعــــــر
الصـــــرف]],0)</f>
        <v>69.135802469135797</v>
      </c>
      <c r="N204" s="119">
        <f>IFERROR(TableDailyJournal[[#This Row],[المبلغ دائن]]/TableDailyJournal[[#This Row],[سعــــــر
الصـــــرف]],0)</f>
        <v>0</v>
      </c>
      <c r="O204" s="121" t="str">
        <f>INDEX(Tabledaily[المستفيــــــــد],MATCH(TableDailyJournal[[#This Row],[رقم العملية]],Tabledaily[رقم العملية],0))</f>
        <v>الاشغال</v>
      </c>
      <c r="P204" s="121" t="str">
        <f>INDEX(Tabledaily[المــــرجـــــــــع],MATCH(TableDailyJournal[[#This Row],[رقم العملية]],Tabledaily[رقم العملية],0))</f>
        <v>استلام نقدي</v>
      </c>
      <c r="Q204" s="121" t="str">
        <f>INDEX(Tabledaily[اســـــــم المــــرجــــع],MATCH(TableDailyJournal[[#This Row],[رقم العملية]],Tabledaily[رقم العملية],0))</f>
        <v>سند استلام</v>
      </c>
      <c r="R204" s="121">
        <f>INDEX(Tabledaily[رقم المـــــرجـــع],MATCH(TableDailyJournal[[#This Row],[رقم العملية]],Tabledaily[رقم العملية],0))</f>
        <v>0</v>
      </c>
      <c r="S204" s="121" t="str">
        <f>INDEX(Tabledaily[مركـــــــزالتكلفــــــة],MATCH(TableDailyJournal[[#This Row],[رقم العملية]],Tabledaily[رقم العملية],0))</f>
        <v>الفرقة الثالثة</v>
      </c>
      <c r="T204" s="121">
        <f>IFERROR(INDEX(tablecost[رقم المركز],MATCH(TableDailyJournal[[#This Row],[مركـــــــزالتكلفــــــة]],tablecost[الاسم],0)),0)</f>
        <v>1</v>
      </c>
      <c r="U204" s="122">
        <f>IFERROR(DATE(TableDailyJournal[[#This Row],[السنــــة]],TableDailyJournal[[#This Row],[الشهــــر]],TableDailyJournal[[#This Row],[الـــــيوم]]),"01-01-2026")</f>
        <v>46181</v>
      </c>
      <c r="V204" s="126"/>
      <c r="W204" s="58"/>
      <c r="X204" s="58">
        <f>IFERROR(YEAR(TableDailyJournal[[#This Row],[التاريخ]]),"")</f>
        <v>2026</v>
      </c>
      <c r="Y204" s="58">
        <f>IFERROR(MONTH(TableDailyJournal[[#This Row],[التاريخ]]),"")</f>
        <v>6</v>
      </c>
      <c r="Z204" s="58">
        <f>IFERROR(DAY(TableDailyJournal[[#This Row],[التاريخ]]),"")</f>
        <v>8</v>
      </c>
      <c r="AA204" s="126" t="str">
        <f>INDEX(Tabledaily[المرجع البياني],MATCH(TableDailyJournal[[#This Row],[رقم العملية]],Tabledaily[رقم العملية],0))</f>
        <v>قيـد مقابـل:- (مصاريف  صرفة يومية للافراد  - الاشغال - الفرقة الثالثة)  - استلام نقدي رقم   سند استلام - صرف الصرفة اليومية للاشغال لعدد 3 بامر</v>
      </c>
      <c r="AB204" s="121">
        <f>INDEX(Tabledaily[جهة الامر],MATCH(TableDailyJournal[[#This Row],[رقم العملية]],Tabledaily[رقم العملية],0))</f>
        <v>0</v>
      </c>
    </row>
    <row r="205" spans="2:28" ht="45.75" x14ac:dyDescent="0.55000000000000004">
      <c r="B205" s="58">
        <f t="shared" si="5"/>
        <v>201</v>
      </c>
      <c r="C205" s="59" t="s">
        <v>572</v>
      </c>
      <c r="D205" s="60">
        <f>INDEX(Tabledaily[date],MATCH(TableDailyJournal[[#This Row],[رقم العملية]],Tabledaily[رقم العملية],0))</f>
        <v>46181</v>
      </c>
      <c r="E205" s="58" t="str">
        <f>INDEX(Tabledaily[نوع العمليــة],MATCH(TableDailyJournal[[#This Row],[رقم العملية]],Tabledaily[رقم العملية],0))</f>
        <v>قيد عهده</v>
      </c>
      <c r="F205" s="58">
        <f>IFERROR(INDEX(TableJudje[رقم الحساب],MATCH(TableDailyJournal[[#This Row],[الحساب]],TableJudje[اسم الحساب],0)),0)</f>
        <v>11060205</v>
      </c>
      <c r="G205" s="58" t="s">
        <v>513</v>
      </c>
      <c r="H205" s="61" t="str">
        <f>INDEX(Tabledaily[المرجع البياني],MATCH(TableDailyJournal[[#This Row],[رقم العملية]],Tabledaily[رقم العملية],0))</f>
        <v>قيـد مقابـل:- (مصاريف  صرفة يومية للافراد  - الاشغال - الفرقة الثالثة)  - استلام نقدي رقم   سند استلام - صرف الصرفة اليومية للاشغال لعدد 3 بامر</v>
      </c>
      <c r="I205" s="60" t="str">
        <f>INDEX(Tabledaily[العملـــة],MATCH(TableDailyJournal[[#This Row],[رقم العملية]],Tabledaily[رقم العملية],0))</f>
        <v>ريال يمني</v>
      </c>
      <c r="J205" s="59">
        <f>IFERROR(INDEX(Tabledaily[سعــــــر
الصـــــرف],MATCH(C205,Tabledaily[رقم العملية],0)),1)</f>
        <v>405</v>
      </c>
      <c r="K205" s="123" cm="1">
        <f t="array" ref="K205">IFERROR(INDEX(Tabledaily[المبلـــــــغ],MATCH(1,(TableDailyJournal[[#This Row],[رقم العملية]]=Tabledaily[رقم العملية])*(TableDailyJournal[[#This Row],[الحساب]]=Tabledaily[الحســاب المديــــن]),0)),0)</f>
        <v>0</v>
      </c>
      <c r="L205" s="123" cm="1">
        <f t="array" ref="L205">IFERROR(INDEX(Tabledaily[المبلـــــــغ],MATCH(1,(TableDailyJournal[[#This Row],[رقم العملية]]=Tabledaily[رقم العملية])*(TableDailyJournal[[#This Row],[الحساب]]=Tabledaily[الحســاب الدئـــن]),0)),0)</f>
        <v>28000</v>
      </c>
      <c r="M205" s="119">
        <f>IFERROR(TableDailyJournal[[#This Row],[المبلغ مدين]]/TableDailyJournal[[#This Row],[سعــــــر
الصـــــرف]],0)</f>
        <v>0</v>
      </c>
      <c r="N205" s="119">
        <f>IFERROR(TableDailyJournal[[#This Row],[المبلغ دائن]]/TableDailyJournal[[#This Row],[سعــــــر
الصـــــرف]],0)</f>
        <v>69.135802469135797</v>
      </c>
      <c r="O205" s="121" t="str">
        <f>INDEX(Tabledaily[المستفيــــــــد],MATCH(TableDailyJournal[[#This Row],[رقم العملية]],Tabledaily[رقم العملية],0))</f>
        <v>الاشغال</v>
      </c>
      <c r="P205" s="121" t="str">
        <f>INDEX(Tabledaily[المــــرجـــــــــع],MATCH(TableDailyJournal[[#This Row],[رقم العملية]],Tabledaily[رقم العملية],0))</f>
        <v>استلام نقدي</v>
      </c>
      <c r="Q205" s="121" t="str">
        <f>INDEX(Tabledaily[اســـــــم المــــرجــــع],MATCH(TableDailyJournal[[#This Row],[رقم العملية]],Tabledaily[رقم العملية],0))</f>
        <v>سند استلام</v>
      </c>
      <c r="R205" s="121">
        <f>INDEX(Tabledaily[رقم المـــــرجـــع],MATCH(TableDailyJournal[[#This Row],[رقم العملية]],Tabledaily[رقم العملية],0))</f>
        <v>0</v>
      </c>
      <c r="S205" s="121" t="str">
        <f>INDEX(Tabledaily[مركـــــــزالتكلفــــــة],MATCH(TableDailyJournal[[#This Row],[رقم العملية]],Tabledaily[رقم العملية],0))</f>
        <v>الفرقة الثالثة</v>
      </c>
      <c r="T205" s="121">
        <f>IFERROR(INDEX(tablecost[رقم المركز],MATCH(TableDailyJournal[[#This Row],[مركـــــــزالتكلفــــــة]],tablecost[الاسم],0)),0)</f>
        <v>1</v>
      </c>
      <c r="U205" s="122">
        <f>IFERROR(DATE(TableDailyJournal[[#This Row],[السنــــة]],TableDailyJournal[[#This Row],[الشهــــر]],TableDailyJournal[[#This Row],[الـــــيوم]]),"01-01-2026")</f>
        <v>46181</v>
      </c>
      <c r="V205" s="126"/>
      <c r="W205" s="58"/>
      <c r="X205" s="58">
        <f>IFERROR(YEAR(TableDailyJournal[[#This Row],[التاريخ]]),"")</f>
        <v>2026</v>
      </c>
      <c r="Y205" s="58">
        <f>IFERROR(MONTH(TableDailyJournal[[#This Row],[التاريخ]]),"")</f>
        <v>6</v>
      </c>
      <c r="Z205" s="58">
        <f>IFERROR(DAY(TableDailyJournal[[#This Row],[التاريخ]]),"")</f>
        <v>8</v>
      </c>
      <c r="AA205" s="126" t="str">
        <f>INDEX(Tabledaily[المرجع البياني],MATCH(TableDailyJournal[[#This Row],[رقم العملية]],Tabledaily[رقم العملية],0))</f>
        <v>قيـد مقابـل:- (مصاريف  صرفة يومية للافراد  - الاشغال - الفرقة الثالثة)  - استلام نقدي رقم   سند استلام - صرف الصرفة اليومية للاشغال لعدد 3 بامر</v>
      </c>
      <c r="AB205" s="121">
        <f>INDEX(Tabledaily[جهة الامر],MATCH(TableDailyJournal[[#This Row],[رقم العملية]],Tabledaily[رقم العملية],0))</f>
        <v>0</v>
      </c>
    </row>
    <row r="206" spans="2:28" ht="45.75" x14ac:dyDescent="0.55000000000000004">
      <c r="B206" s="58">
        <f t="shared" si="5"/>
        <v>202</v>
      </c>
      <c r="C206" s="59" t="s">
        <v>573</v>
      </c>
      <c r="D206" s="60">
        <f>INDEX(Tabledaily[date],MATCH(TableDailyJournal[[#This Row],[رقم العملية]],Tabledaily[رقم العملية],0))</f>
        <v>46181</v>
      </c>
      <c r="E206" s="58" t="str">
        <f>INDEX(Tabledaily[نوع العمليــة],MATCH(TableDailyJournal[[#This Row],[رقم العملية]],Tabledaily[رقم العملية],0))</f>
        <v>قيد عهده</v>
      </c>
      <c r="F206" s="58">
        <f>IFERROR(INDEX(TableJudje[رقم الحساب],MATCH(TableDailyJournal[[#This Row],[الحساب]],TableJudje[اسم الحساب],0)),0)</f>
        <v>31010101</v>
      </c>
      <c r="G206" s="58" t="s">
        <v>111</v>
      </c>
      <c r="H206" s="61" t="str">
        <f>INDEX(Tabledaily[المرجع البياني],MATCH(TableDailyJournal[[#This Row],[رقم العملية]],Tabledaily[رقم العملية],0))</f>
        <v>قيـد مقابـل:- (مصاريف  صرفة يومية للافراد  - سرية اللواء السادس - اللواء السادس)  - استلام نقدي رقم   سند استلام - مصاريف يومية سرية اللواء السادس عدد 44 بامر</v>
      </c>
      <c r="I206" s="60" t="str">
        <f>INDEX(Tabledaily[العملـــة],MATCH(TableDailyJournal[[#This Row],[رقم العملية]],Tabledaily[رقم العملية],0))</f>
        <v>ريال يمني</v>
      </c>
      <c r="J206" s="59">
        <f>IFERROR(INDEX(Tabledaily[سعــــــر
الصـــــرف],MATCH(C206,Tabledaily[رقم العملية],0)),1)</f>
        <v>405</v>
      </c>
      <c r="K206" s="123" cm="1">
        <f t="array" ref="K206">IFERROR(INDEX(Tabledaily[المبلـــــــغ],MATCH(1,(TableDailyJournal[[#This Row],[رقم العملية]]=Tabledaily[رقم العملية])*(TableDailyJournal[[#This Row],[الحساب]]=Tabledaily[الحســاب المديــــن]),0)),0)</f>
        <v>176000</v>
      </c>
      <c r="L206" s="123" cm="1">
        <f t="array" ref="L206">IFERROR(INDEX(Tabledaily[المبلـــــــغ],MATCH(1,(TableDailyJournal[[#This Row],[رقم العملية]]=Tabledaily[رقم العملية])*(TableDailyJournal[[#This Row],[الحساب]]=Tabledaily[الحســاب الدئـــن]),0)),0)</f>
        <v>0</v>
      </c>
      <c r="M206" s="119">
        <f>IFERROR(TableDailyJournal[[#This Row],[المبلغ مدين]]/TableDailyJournal[[#This Row],[سعــــــر
الصـــــرف]],0)</f>
        <v>434.5679012345679</v>
      </c>
      <c r="N206" s="119">
        <f>IFERROR(TableDailyJournal[[#This Row],[المبلغ دائن]]/TableDailyJournal[[#This Row],[سعــــــر
الصـــــرف]],0)</f>
        <v>0</v>
      </c>
      <c r="O206" s="121" t="str">
        <f>INDEX(Tabledaily[المستفيــــــــد],MATCH(TableDailyJournal[[#This Row],[رقم العملية]],Tabledaily[رقم العملية],0))</f>
        <v>سرية اللواء السادس</v>
      </c>
      <c r="P206" s="121" t="str">
        <f>INDEX(Tabledaily[المــــرجـــــــــع],MATCH(TableDailyJournal[[#This Row],[رقم العملية]],Tabledaily[رقم العملية],0))</f>
        <v>استلام نقدي</v>
      </c>
      <c r="Q206" s="121" t="str">
        <f>INDEX(Tabledaily[اســـــــم المــــرجــــع],MATCH(TableDailyJournal[[#This Row],[رقم العملية]],Tabledaily[رقم العملية],0))</f>
        <v>سند استلام</v>
      </c>
      <c r="R206" s="121">
        <f>INDEX(Tabledaily[رقم المـــــرجـــع],MATCH(TableDailyJournal[[#This Row],[رقم العملية]],Tabledaily[رقم العملية],0))</f>
        <v>0</v>
      </c>
      <c r="S206" s="121" t="str">
        <f>INDEX(Tabledaily[مركـــــــزالتكلفــــــة],MATCH(TableDailyJournal[[#This Row],[رقم العملية]],Tabledaily[رقم العملية],0))</f>
        <v>اللواء السادس</v>
      </c>
      <c r="T206" s="121">
        <f>IFERROR(INDEX(tablecost[رقم المركز],MATCH(TableDailyJournal[[#This Row],[مركـــــــزالتكلفــــــة]],tablecost[الاسم],0)),0)</f>
        <v>7</v>
      </c>
      <c r="U206" s="122">
        <f>IFERROR(DATE(TableDailyJournal[[#This Row],[السنــــة]],TableDailyJournal[[#This Row],[الشهــــر]],TableDailyJournal[[#This Row],[الـــــيوم]]),"01-01-2026")</f>
        <v>46181</v>
      </c>
      <c r="V206" s="126"/>
      <c r="W206" s="58"/>
      <c r="X206" s="58">
        <f>IFERROR(YEAR(TableDailyJournal[[#This Row],[التاريخ]]),"")</f>
        <v>2026</v>
      </c>
      <c r="Y206" s="58">
        <f>IFERROR(MONTH(TableDailyJournal[[#This Row],[التاريخ]]),"")</f>
        <v>6</v>
      </c>
      <c r="Z206" s="58">
        <f>IFERROR(DAY(TableDailyJournal[[#This Row],[التاريخ]]),"")</f>
        <v>8</v>
      </c>
      <c r="AA206" s="126" t="str">
        <f>INDEX(Tabledaily[المرجع البياني],MATCH(TableDailyJournal[[#This Row],[رقم العملية]],Tabledaily[رقم العملية],0))</f>
        <v>قيـد مقابـل:- (مصاريف  صرفة يومية للافراد  - سرية اللواء السادس - اللواء السادس)  - استلام نقدي رقم   سند استلام - مصاريف يومية سرية اللواء السادس عدد 44 بامر</v>
      </c>
      <c r="AB206" s="121">
        <f>INDEX(Tabledaily[جهة الامر],MATCH(TableDailyJournal[[#This Row],[رقم العملية]],Tabledaily[رقم العملية],0))</f>
        <v>0</v>
      </c>
    </row>
    <row r="207" spans="2:28" ht="45.75" x14ac:dyDescent="0.55000000000000004">
      <c r="B207" s="58">
        <f t="shared" si="5"/>
        <v>203</v>
      </c>
      <c r="C207" s="59" t="s">
        <v>573</v>
      </c>
      <c r="D207" s="60">
        <f>INDEX(Tabledaily[date],MATCH(TableDailyJournal[[#This Row],[رقم العملية]],Tabledaily[رقم العملية],0))</f>
        <v>46181</v>
      </c>
      <c r="E207" s="58" t="str">
        <f>INDEX(Tabledaily[نوع العمليــة],MATCH(TableDailyJournal[[#This Row],[رقم العملية]],Tabledaily[رقم العملية],0))</f>
        <v>قيد عهده</v>
      </c>
      <c r="F207" s="58">
        <f>IFERROR(INDEX(TableJudje[رقم الحساب],MATCH(TableDailyJournal[[#This Row],[الحساب]],TableJudje[اسم الحساب],0)),0)</f>
        <v>11060205</v>
      </c>
      <c r="G207" s="58" t="s">
        <v>513</v>
      </c>
      <c r="H207" s="61" t="str">
        <f>INDEX(Tabledaily[المرجع البياني],MATCH(TableDailyJournal[[#This Row],[رقم العملية]],Tabledaily[رقم العملية],0))</f>
        <v>قيـد مقابـل:- (مصاريف  صرفة يومية للافراد  - سرية اللواء السادس - اللواء السادس)  - استلام نقدي رقم   سند استلام - مصاريف يومية سرية اللواء السادس عدد 44 بامر</v>
      </c>
      <c r="I207" s="60" t="str">
        <f>INDEX(Tabledaily[العملـــة],MATCH(TableDailyJournal[[#This Row],[رقم العملية]],Tabledaily[رقم العملية],0))</f>
        <v>ريال يمني</v>
      </c>
      <c r="J207" s="59">
        <f>IFERROR(INDEX(Tabledaily[سعــــــر
الصـــــرف],MATCH(C207,Tabledaily[رقم العملية],0)),1)</f>
        <v>405</v>
      </c>
      <c r="K207" s="123" cm="1">
        <f t="array" ref="K207">IFERROR(INDEX(Tabledaily[المبلـــــــغ],MATCH(1,(TableDailyJournal[[#This Row],[رقم العملية]]=Tabledaily[رقم العملية])*(TableDailyJournal[[#This Row],[الحساب]]=Tabledaily[الحســاب المديــــن]),0)),0)</f>
        <v>0</v>
      </c>
      <c r="L207" s="123" cm="1">
        <f t="array" ref="L207">IFERROR(INDEX(Tabledaily[المبلـــــــغ],MATCH(1,(TableDailyJournal[[#This Row],[رقم العملية]]=Tabledaily[رقم العملية])*(TableDailyJournal[[#This Row],[الحساب]]=Tabledaily[الحســاب الدئـــن]),0)),0)</f>
        <v>176000</v>
      </c>
      <c r="M207" s="119">
        <f>IFERROR(TableDailyJournal[[#This Row],[المبلغ مدين]]/TableDailyJournal[[#This Row],[سعــــــر
الصـــــرف]],0)</f>
        <v>0</v>
      </c>
      <c r="N207" s="119">
        <f>IFERROR(TableDailyJournal[[#This Row],[المبلغ دائن]]/TableDailyJournal[[#This Row],[سعــــــر
الصـــــرف]],0)</f>
        <v>434.5679012345679</v>
      </c>
      <c r="O207" s="121" t="str">
        <f>INDEX(Tabledaily[المستفيــــــــد],MATCH(TableDailyJournal[[#This Row],[رقم العملية]],Tabledaily[رقم العملية],0))</f>
        <v>سرية اللواء السادس</v>
      </c>
      <c r="P207" s="121" t="str">
        <f>INDEX(Tabledaily[المــــرجـــــــــع],MATCH(TableDailyJournal[[#This Row],[رقم العملية]],Tabledaily[رقم العملية],0))</f>
        <v>استلام نقدي</v>
      </c>
      <c r="Q207" s="121" t="str">
        <f>INDEX(Tabledaily[اســـــــم المــــرجــــع],MATCH(TableDailyJournal[[#This Row],[رقم العملية]],Tabledaily[رقم العملية],0))</f>
        <v>سند استلام</v>
      </c>
      <c r="R207" s="121">
        <f>INDEX(Tabledaily[رقم المـــــرجـــع],MATCH(TableDailyJournal[[#This Row],[رقم العملية]],Tabledaily[رقم العملية],0))</f>
        <v>0</v>
      </c>
      <c r="S207" s="121" t="str">
        <f>INDEX(Tabledaily[مركـــــــزالتكلفــــــة],MATCH(TableDailyJournal[[#This Row],[رقم العملية]],Tabledaily[رقم العملية],0))</f>
        <v>اللواء السادس</v>
      </c>
      <c r="T207" s="121">
        <f>IFERROR(INDEX(tablecost[رقم المركز],MATCH(TableDailyJournal[[#This Row],[مركـــــــزالتكلفــــــة]],tablecost[الاسم],0)),0)</f>
        <v>7</v>
      </c>
      <c r="U207" s="122">
        <f>IFERROR(DATE(TableDailyJournal[[#This Row],[السنــــة]],TableDailyJournal[[#This Row],[الشهــــر]],TableDailyJournal[[#This Row],[الـــــيوم]]),"01-01-2026")</f>
        <v>46181</v>
      </c>
      <c r="V207" s="126"/>
      <c r="W207" s="58"/>
      <c r="X207" s="58">
        <f>IFERROR(YEAR(TableDailyJournal[[#This Row],[التاريخ]]),"")</f>
        <v>2026</v>
      </c>
      <c r="Y207" s="58">
        <f>IFERROR(MONTH(TableDailyJournal[[#This Row],[التاريخ]]),"")</f>
        <v>6</v>
      </c>
      <c r="Z207" s="58">
        <f>IFERROR(DAY(TableDailyJournal[[#This Row],[التاريخ]]),"")</f>
        <v>8</v>
      </c>
      <c r="AA207" s="126" t="str">
        <f>INDEX(Tabledaily[المرجع البياني],MATCH(TableDailyJournal[[#This Row],[رقم العملية]],Tabledaily[رقم العملية],0))</f>
        <v>قيـد مقابـل:- (مصاريف  صرفة يومية للافراد  - سرية اللواء السادس - اللواء السادس)  - استلام نقدي رقم   سند استلام - مصاريف يومية سرية اللواء السادس عدد 44 بامر</v>
      </c>
      <c r="AB207" s="121">
        <f>INDEX(Tabledaily[جهة الامر],MATCH(TableDailyJournal[[#This Row],[رقم العملية]],Tabledaily[رقم العملية],0))</f>
        <v>0</v>
      </c>
    </row>
    <row r="208" spans="2:28" ht="45.75" x14ac:dyDescent="0.55000000000000004">
      <c r="B208" s="58">
        <f t="shared" si="5"/>
        <v>204</v>
      </c>
      <c r="C208" s="59" t="s">
        <v>574</v>
      </c>
      <c r="D208" s="60">
        <f>INDEX(Tabledaily[date],MATCH(TableDailyJournal[[#This Row],[رقم العملية]],Tabledaily[رقم العملية],0))</f>
        <v>46181</v>
      </c>
      <c r="E208" s="58" t="str">
        <f>INDEX(Tabledaily[نوع العمليــة],MATCH(TableDailyJournal[[#This Row],[رقم العملية]],Tabledaily[رقم العملية],0))</f>
        <v>قيد عهده</v>
      </c>
      <c r="F208" s="58">
        <f>IFERROR(INDEX(TableJudje[رقم الحساب],MATCH(TableDailyJournal[[#This Row],[الحساب]],TableJudje[اسم الحساب],0)),0)</f>
        <v>31010122</v>
      </c>
      <c r="G208" s="58" t="s">
        <v>487</v>
      </c>
      <c r="H208" s="61" t="str">
        <f>INDEX(Tabledaily[المرجع البياني],MATCH(TableDailyJournal[[#This Row],[رقم العملية]],Tabledaily[رقم العملية],0))</f>
        <v>قيـد مقابـل:- (مصاريف سفر وتنقلات  - فريق المدفعية - الفرقة الثالثة)  - استلام نقدي رقم   سند استلام - مصاريف طريق لافراد المدفعية بامرالأركان جمال مسدوس</v>
      </c>
      <c r="I208" s="60" t="str">
        <f>INDEX(Tabledaily[العملـــة],MATCH(TableDailyJournal[[#This Row],[رقم العملية]],Tabledaily[رقم العملية],0))</f>
        <v>ريال يمني</v>
      </c>
      <c r="J208" s="59">
        <f>IFERROR(INDEX(Tabledaily[سعــــــر
الصـــــرف],MATCH(C208,Tabledaily[رقم العملية],0)),1)</f>
        <v>405</v>
      </c>
      <c r="K208" s="123" cm="1">
        <f t="array" ref="K208">IFERROR(INDEX(Tabledaily[المبلـــــــغ],MATCH(1,(TableDailyJournal[[#This Row],[رقم العملية]]=Tabledaily[رقم العملية])*(TableDailyJournal[[#This Row],[الحساب]]=Tabledaily[الحســاب المديــــن]),0)),0)</f>
        <v>200000</v>
      </c>
      <c r="L208" s="123" cm="1">
        <f t="array" ref="L208">IFERROR(INDEX(Tabledaily[المبلـــــــغ],MATCH(1,(TableDailyJournal[[#This Row],[رقم العملية]]=Tabledaily[رقم العملية])*(TableDailyJournal[[#This Row],[الحساب]]=Tabledaily[الحســاب الدئـــن]),0)),0)</f>
        <v>0</v>
      </c>
      <c r="M208" s="119">
        <f>IFERROR(TableDailyJournal[[#This Row],[المبلغ مدين]]/TableDailyJournal[[#This Row],[سعــــــر
الصـــــرف]],0)</f>
        <v>493.82716049382714</v>
      </c>
      <c r="N208" s="119">
        <f>IFERROR(TableDailyJournal[[#This Row],[المبلغ دائن]]/TableDailyJournal[[#This Row],[سعــــــر
الصـــــرف]],0)</f>
        <v>0</v>
      </c>
      <c r="O208" s="121" t="str">
        <f>INDEX(Tabledaily[المستفيــــــــد],MATCH(TableDailyJournal[[#This Row],[رقم العملية]],Tabledaily[رقم العملية],0))</f>
        <v>فريق المدفعية</v>
      </c>
      <c r="P208" s="121" t="str">
        <f>INDEX(Tabledaily[المــــرجـــــــــع],MATCH(TableDailyJournal[[#This Row],[رقم العملية]],Tabledaily[رقم العملية],0))</f>
        <v>استلام نقدي</v>
      </c>
      <c r="Q208" s="121" t="str">
        <f>INDEX(Tabledaily[اســـــــم المــــرجــــع],MATCH(TableDailyJournal[[#This Row],[رقم العملية]],Tabledaily[رقم العملية],0))</f>
        <v>سند استلام</v>
      </c>
      <c r="R208" s="121">
        <f>INDEX(Tabledaily[رقم المـــــرجـــع],MATCH(TableDailyJournal[[#This Row],[رقم العملية]],Tabledaily[رقم العملية],0))</f>
        <v>0</v>
      </c>
      <c r="S208" s="121" t="str">
        <f>INDEX(Tabledaily[مركـــــــزالتكلفــــــة],MATCH(TableDailyJournal[[#This Row],[رقم العملية]],Tabledaily[رقم العملية],0))</f>
        <v>الفرقة الثالثة</v>
      </c>
      <c r="T208" s="121">
        <f>IFERROR(INDEX(tablecost[رقم المركز],MATCH(TableDailyJournal[[#This Row],[مركـــــــزالتكلفــــــة]],tablecost[الاسم],0)),0)</f>
        <v>1</v>
      </c>
      <c r="U208" s="122">
        <f>IFERROR(DATE(TableDailyJournal[[#This Row],[السنــــة]],TableDailyJournal[[#This Row],[الشهــــر]],TableDailyJournal[[#This Row],[الـــــيوم]]),"01-01-2026")</f>
        <v>46181</v>
      </c>
      <c r="V208" s="126"/>
      <c r="W208" s="58"/>
      <c r="X208" s="58">
        <f>IFERROR(YEAR(TableDailyJournal[[#This Row],[التاريخ]]),"")</f>
        <v>2026</v>
      </c>
      <c r="Y208" s="58">
        <f>IFERROR(MONTH(TableDailyJournal[[#This Row],[التاريخ]]),"")</f>
        <v>6</v>
      </c>
      <c r="Z208" s="58">
        <f>IFERROR(DAY(TableDailyJournal[[#This Row],[التاريخ]]),"")</f>
        <v>8</v>
      </c>
      <c r="AA208" s="126" t="str">
        <f>INDEX(Tabledaily[المرجع البياني],MATCH(TableDailyJournal[[#This Row],[رقم العملية]],Tabledaily[رقم العملية],0))</f>
        <v>قيـد مقابـل:- (مصاريف سفر وتنقلات  - فريق المدفعية - الفرقة الثالثة)  - استلام نقدي رقم   سند استلام - مصاريف طريق لافراد المدفعية بامرالأركان جمال مسدوس</v>
      </c>
      <c r="AB208" s="121" t="str">
        <f>INDEX(Tabledaily[جهة الامر],MATCH(TableDailyJournal[[#This Row],[رقم العملية]],Tabledaily[رقم العملية],0))</f>
        <v>الأركان جمال مسدوس</v>
      </c>
    </row>
    <row r="209" spans="2:28" ht="45.75" x14ac:dyDescent="0.55000000000000004">
      <c r="B209" s="58">
        <f t="shared" si="5"/>
        <v>205</v>
      </c>
      <c r="C209" s="59" t="s">
        <v>574</v>
      </c>
      <c r="D209" s="60">
        <f>INDEX(Tabledaily[date],MATCH(TableDailyJournal[[#This Row],[رقم العملية]],Tabledaily[رقم العملية],0))</f>
        <v>46181</v>
      </c>
      <c r="E209" s="58" t="str">
        <f>INDEX(Tabledaily[نوع العمليــة],MATCH(TableDailyJournal[[#This Row],[رقم العملية]],Tabledaily[رقم العملية],0))</f>
        <v>قيد عهده</v>
      </c>
      <c r="F209" s="58">
        <f>IFERROR(INDEX(TableJudje[رقم الحساب],MATCH(TableDailyJournal[[#This Row],[الحساب]],TableJudje[اسم الحساب],0)),0)</f>
        <v>11060205</v>
      </c>
      <c r="G209" s="58" t="s">
        <v>513</v>
      </c>
      <c r="H209" s="61" t="str">
        <f>INDEX(Tabledaily[المرجع البياني],MATCH(TableDailyJournal[[#This Row],[رقم العملية]],Tabledaily[رقم العملية],0))</f>
        <v>قيـد مقابـل:- (مصاريف سفر وتنقلات  - فريق المدفعية - الفرقة الثالثة)  - استلام نقدي رقم   سند استلام - مصاريف طريق لافراد المدفعية بامرالأركان جمال مسدوس</v>
      </c>
      <c r="I209" s="60" t="str">
        <f>INDEX(Tabledaily[العملـــة],MATCH(TableDailyJournal[[#This Row],[رقم العملية]],Tabledaily[رقم العملية],0))</f>
        <v>ريال يمني</v>
      </c>
      <c r="J209" s="59">
        <f>IFERROR(INDEX(Tabledaily[سعــــــر
الصـــــرف],MATCH(C209,Tabledaily[رقم العملية],0)),1)</f>
        <v>405</v>
      </c>
      <c r="K209" s="123" cm="1">
        <f t="array" ref="K209">IFERROR(INDEX(Tabledaily[المبلـــــــغ],MATCH(1,(TableDailyJournal[[#This Row],[رقم العملية]]=Tabledaily[رقم العملية])*(TableDailyJournal[[#This Row],[الحساب]]=Tabledaily[الحســاب المديــــن]),0)),0)</f>
        <v>0</v>
      </c>
      <c r="L209" s="123" cm="1">
        <f t="array" ref="L209">IFERROR(INDEX(Tabledaily[المبلـــــــغ],MATCH(1,(TableDailyJournal[[#This Row],[رقم العملية]]=Tabledaily[رقم العملية])*(TableDailyJournal[[#This Row],[الحساب]]=Tabledaily[الحســاب الدئـــن]),0)),0)</f>
        <v>200000</v>
      </c>
      <c r="M209" s="119">
        <f>IFERROR(TableDailyJournal[[#This Row],[المبلغ مدين]]/TableDailyJournal[[#This Row],[سعــــــر
الصـــــرف]],0)</f>
        <v>0</v>
      </c>
      <c r="N209" s="119">
        <f>IFERROR(TableDailyJournal[[#This Row],[المبلغ دائن]]/TableDailyJournal[[#This Row],[سعــــــر
الصـــــرف]],0)</f>
        <v>493.82716049382714</v>
      </c>
      <c r="O209" s="121" t="str">
        <f>INDEX(Tabledaily[المستفيــــــــد],MATCH(TableDailyJournal[[#This Row],[رقم العملية]],Tabledaily[رقم العملية],0))</f>
        <v>فريق المدفعية</v>
      </c>
      <c r="P209" s="121" t="str">
        <f>INDEX(Tabledaily[المــــرجـــــــــع],MATCH(TableDailyJournal[[#This Row],[رقم العملية]],Tabledaily[رقم العملية],0))</f>
        <v>استلام نقدي</v>
      </c>
      <c r="Q209" s="121" t="str">
        <f>INDEX(Tabledaily[اســـــــم المــــرجــــع],MATCH(TableDailyJournal[[#This Row],[رقم العملية]],Tabledaily[رقم العملية],0))</f>
        <v>سند استلام</v>
      </c>
      <c r="R209" s="121">
        <f>INDEX(Tabledaily[رقم المـــــرجـــع],MATCH(TableDailyJournal[[#This Row],[رقم العملية]],Tabledaily[رقم العملية],0))</f>
        <v>0</v>
      </c>
      <c r="S209" s="121" t="str">
        <f>INDEX(Tabledaily[مركـــــــزالتكلفــــــة],MATCH(TableDailyJournal[[#This Row],[رقم العملية]],Tabledaily[رقم العملية],0))</f>
        <v>الفرقة الثالثة</v>
      </c>
      <c r="T209" s="121">
        <f>IFERROR(INDEX(tablecost[رقم المركز],MATCH(TableDailyJournal[[#This Row],[مركـــــــزالتكلفــــــة]],tablecost[الاسم],0)),0)</f>
        <v>1</v>
      </c>
      <c r="U209" s="122">
        <f>IFERROR(DATE(TableDailyJournal[[#This Row],[السنــــة]],TableDailyJournal[[#This Row],[الشهــــر]],TableDailyJournal[[#This Row],[الـــــيوم]]),"01-01-2026")</f>
        <v>46181</v>
      </c>
      <c r="V209" s="126"/>
      <c r="W209" s="58"/>
      <c r="X209" s="58">
        <f>IFERROR(YEAR(TableDailyJournal[[#This Row],[التاريخ]]),"")</f>
        <v>2026</v>
      </c>
      <c r="Y209" s="58">
        <f>IFERROR(MONTH(TableDailyJournal[[#This Row],[التاريخ]]),"")</f>
        <v>6</v>
      </c>
      <c r="Z209" s="58">
        <f>IFERROR(DAY(TableDailyJournal[[#This Row],[التاريخ]]),"")</f>
        <v>8</v>
      </c>
      <c r="AA209" s="126" t="str">
        <f>INDEX(Tabledaily[المرجع البياني],MATCH(TableDailyJournal[[#This Row],[رقم العملية]],Tabledaily[رقم العملية],0))</f>
        <v>قيـد مقابـل:- (مصاريف سفر وتنقلات  - فريق المدفعية - الفرقة الثالثة)  - استلام نقدي رقم   سند استلام - مصاريف طريق لافراد المدفعية بامرالأركان جمال مسدوس</v>
      </c>
      <c r="AB209" s="121" t="str">
        <f>INDEX(Tabledaily[جهة الامر],MATCH(TableDailyJournal[[#This Row],[رقم العملية]],Tabledaily[رقم العملية],0))</f>
        <v>الأركان جمال مسدوس</v>
      </c>
    </row>
    <row r="210" spans="2:28" ht="45.75" x14ac:dyDescent="0.55000000000000004">
      <c r="B210" s="58">
        <f t="shared" si="5"/>
        <v>206</v>
      </c>
      <c r="C210" s="59" t="s">
        <v>577</v>
      </c>
      <c r="D210" s="60">
        <f>INDEX(Tabledaily[date],MATCH(TableDailyJournal[[#This Row],[رقم العملية]],Tabledaily[رقم العملية],0))</f>
        <v>46181</v>
      </c>
      <c r="E210" s="58" t="str">
        <f>INDEX(Tabledaily[نوع العمليــة],MATCH(TableDailyJournal[[#This Row],[رقم العملية]],Tabledaily[رقم العملية],0))</f>
        <v>قيد عهده</v>
      </c>
      <c r="F210" s="58">
        <f>IFERROR(INDEX(TableJudje[رقم الحساب],MATCH(TableDailyJournal[[#This Row],[الحساب]],TableJudje[اسم الحساب],0)),0)</f>
        <v>31010114</v>
      </c>
      <c r="G210" s="58" t="s">
        <v>121</v>
      </c>
      <c r="H210" s="61"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بامر</v>
      </c>
      <c r="I210" s="60" t="str">
        <f>INDEX(Tabledaily[العملـــة],MATCH(TableDailyJournal[[#This Row],[رقم العملية]],Tabledaily[رقم العملية],0))</f>
        <v>ريال يمني</v>
      </c>
      <c r="J210" s="59">
        <f>IFERROR(INDEX(Tabledaily[سعــــــر
الصـــــرف],MATCH(C210,Tabledaily[رقم العملية],0)),1)</f>
        <v>405</v>
      </c>
      <c r="K210" s="123" cm="1">
        <f t="array" ref="K210">IFERROR(INDEX(Tabledaily[المبلـــــــغ],MATCH(1,(TableDailyJournal[[#This Row],[رقم العملية]]=Tabledaily[رقم العملية])*(TableDailyJournal[[#This Row],[الحساب]]=Tabledaily[الحســاب المديــــن]),0)),0)</f>
        <v>12000</v>
      </c>
      <c r="L210" s="123" cm="1">
        <f t="array" ref="L210">IFERROR(INDEX(Tabledaily[المبلـــــــغ],MATCH(1,(TableDailyJournal[[#This Row],[رقم العملية]]=Tabledaily[رقم العملية])*(TableDailyJournal[[#This Row],[الحساب]]=Tabledaily[الحســاب الدئـــن]),0)),0)</f>
        <v>0</v>
      </c>
      <c r="M210" s="119">
        <f>IFERROR(TableDailyJournal[[#This Row],[المبلغ مدين]]/TableDailyJournal[[#This Row],[سعــــــر
الصـــــرف]],0)</f>
        <v>29.62962962962963</v>
      </c>
      <c r="N210" s="119">
        <f>IFERROR(TableDailyJournal[[#This Row],[المبلغ دائن]]/TableDailyJournal[[#This Row],[سعــــــر
الصـــــرف]],0)</f>
        <v>0</v>
      </c>
      <c r="O210" s="121" t="str">
        <f>INDEX(Tabledaily[المستفيــــــــد],MATCH(TableDailyJournal[[#This Row],[رقم العملية]],Tabledaily[رقم العملية],0))</f>
        <v>محمد فؤاد+ محمد سمير+محمد علي + كريم اكرم</v>
      </c>
      <c r="P210" s="121" t="str">
        <f>INDEX(Tabledaily[المــــرجـــــــــع],MATCH(TableDailyJournal[[#This Row],[رقم العملية]],Tabledaily[رقم العملية],0))</f>
        <v>استلام نقدي</v>
      </c>
      <c r="Q210" s="121" t="str">
        <f>INDEX(Tabledaily[اســـــــم المــــرجــــع],MATCH(TableDailyJournal[[#This Row],[رقم العملية]],Tabledaily[رقم العملية],0))</f>
        <v>سند استلام</v>
      </c>
      <c r="R210" s="121">
        <f>INDEX(Tabledaily[رقم المـــــرجـــع],MATCH(TableDailyJournal[[#This Row],[رقم العملية]],Tabledaily[رقم العملية],0))</f>
        <v>0</v>
      </c>
      <c r="S210" s="121" t="str">
        <f>INDEX(Tabledaily[مركـــــــزالتكلفــــــة],MATCH(TableDailyJournal[[#This Row],[رقم العملية]],Tabledaily[رقم العملية],0))</f>
        <v>الفرقة الثالثة</v>
      </c>
      <c r="T210" s="121">
        <f>IFERROR(INDEX(tablecost[رقم المركز],MATCH(TableDailyJournal[[#This Row],[مركـــــــزالتكلفــــــة]],tablecost[الاسم],0)),0)</f>
        <v>1</v>
      </c>
      <c r="U210" s="122">
        <f>IFERROR(DATE(TableDailyJournal[[#This Row],[السنــــة]],TableDailyJournal[[#This Row],[الشهــــر]],TableDailyJournal[[#This Row],[الـــــيوم]]),"01-01-2026")</f>
        <v>46181</v>
      </c>
      <c r="V210" s="126"/>
      <c r="W210" s="58"/>
      <c r="X210" s="58">
        <f>IFERROR(YEAR(TableDailyJournal[[#This Row],[التاريخ]]),"")</f>
        <v>2026</v>
      </c>
      <c r="Y210" s="58">
        <f>IFERROR(MONTH(TableDailyJournal[[#This Row],[التاريخ]]),"")</f>
        <v>6</v>
      </c>
      <c r="Z210" s="58">
        <f>IFERROR(DAY(TableDailyJournal[[#This Row],[التاريخ]]),"")</f>
        <v>8</v>
      </c>
      <c r="AA210" s="126"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بامر</v>
      </c>
      <c r="AB210" s="121">
        <f>INDEX(Tabledaily[جهة الامر],MATCH(TableDailyJournal[[#This Row],[رقم العملية]],Tabledaily[رقم العملية],0))</f>
        <v>0</v>
      </c>
    </row>
    <row r="211" spans="2:28" ht="45.75" x14ac:dyDescent="0.55000000000000004">
      <c r="B211" s="58">
        <f t="shared" si="5"/>
        <v>207</v>
      </c>
      <c r="C211" s="59" t="s">
        <v>577</v>
      </c>
      <c r="D211" s="60">
        <f>INDEX(Tabledaily[date],MATCH(TableDailyJournal[[#This Row],[رقم العملية]],Tabledaily[رقم العملية],0))</f>
        <v>46181</v>
      </c>
      <c r="E211" s="58" t="str">
        <f>INDEX(Tabledaily[نوع العمليــة],MATCH(TableDailyJournal[[#This Row],[رقم العملية]],Tabledaily[رقم العملية],0))</f>
        <v>قيد عهده</v>
      </c>
      <c r="F211" s="58">
        <f>IFERROR(INDEX(TableJudje[رقم الحساب],MATCH(TableDailyJournal[[#This Row],[الحساب]],TableJudje[اسم الحساب],0)),0)</f>
        <v>11060205</v>
      </c>
      <c r="G211" s="58" t="s">
        <v>513</v>
      </c>
      <c r="H211" s="61"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بامر</v>
      </c>
      <c r="I211" s="60" t="str">
        <f>INDEX(Tabledaily[العملـــة],MATCH(TableDailyJournal[[#This Row],[رقم العملية]],Tabledaily[رقم العملية],0))</f>
        <v>ريال يمني</v>
      </c>
      <c r="J211" s="59">
        <f>IFERROR(INDEX(Tabledaily[سعــــــر
الصـــــرف],MATCH(C211,Tabledaily[رقم العملية],0)),1)</f>
        <v>405</v>
      </c>
      <c r="K211" s="123" cm="1">
        <f t="array" ref="K211">IFERROR(INDEX(Tabledaily[المبلـــــــغ],MATCH(1,(TableDailyJournal[[#This Row],[رقم العملية]]=Tabledaily[رقم العملية])*(TableDailyJournal[[#This Row],[الحساب]]=Tabledaily[الحســاب المديــــن]),0)),0)</f>
        <v>0</v>
      </c>
      <c r="L211" s="123" cm="1">
        <f t="array" ref="L211">IFERROR(INDEX(Tabledaily[المبلـــــــغ],MATCH(1,(TableDailyJournal[[#This Row],[رقم العملية]]=Tabledaily[رقم العملية])*(TableDailyJournal[[#This Row],[الحساب]]=Tabledaily[الحســاب الدئـــن]),0)),0)</f>
        <v>12000</v>
      </c>
      <c r="M211" s="119">
        <f>IFERROR(TableDailyJournal[[#This Row],[المبلغ مدين]]/TableDailyJournal[[#This Row],[سعــــــر
الصـــــرف]],0)</f>
        <v>0</v>
      </c>
      <c r="N211" s="119">
        <f>IFERROR(TableDailyJournal[[#This Row],[المبلغ دائن]]/TableDailyJournal[[#This Row],[سعــــــر
الصـــــرف]],0)</f>
        <v>29.62962962962963</v>
      </c>
      <c r="O211" s="121" t="str">
        <f>INDEX(Tabledaily[المستفيــــــــد],MATCH(TableDailyJournal[[#This Row],[رقم العملية]],Tabledaily[رقم العملية],0))</f>
        <v>محمد فؤاد+ محمد سمير+محمد علي + كريم اكرم</v>
      </c>
      <c r="P211" s="121" t="str">
        <f>INDEX(Tabledaily[المــــرجـــــــــع],MATCH(TableDailyJournal[[#This Row],[رقم العملية]],Tabledaily[رقم العملية],0))</f>
        <v>استلام نقدي</v>
      </c>
      <c r="Q211" s="121" t="str">
        <f>INDEX(Tabledaily[اســـــــم المــــرجــــع],MATCH(TableDailyJournal[[#This Row],[رقم العملية]],Tabledaily[رقم العملية],0))</f>
        <v>سند استلام</v>
      </c>
      <c r="R211" s="121">
        <f>INDEX(Tabledaily[رقم المـــــرجـــع],MATCH(TableDailyJournal[[#This Row],[رقم العملية]],Tabledaily[رقم العملية],0))</f>
        <v>0</v>
      </c>
      <c r="S211" s="121" t="str">
        <f>INDEX(Tabledaily[مركـــــــزالتكلفــــــة],MATCH(TableDailyJournal[[#This Row],[رقم العملية]],Tabledaily[رقم العملية],0))</f>
        <v>الفرقة الثالثة</v>
      </c>
      <c r="T211" s="121">
        <f>IFERROR(INDEX(tablecost[رقم المركز],MATCH(TableDailyJournal[[#This Row],[مركـــــــزالتكلفــــــة]],tablecost[الاسم],0)),0)</f>
        <v>1</v>
      </c>
      <c r="U211" s="122">
        <f>IFERROR(DATE(TableDailyJournal[[#This Row],[السنــــة]],TableDailyJournal[[#This Row],[الشهــــر]],TableDailyJournal[[#This Row],[الـــــيوم]]),"01-01-2026")</f>
        <v>46181</v>
      </c>
      <c r="V211" s="126"/>
      <c r="W211" s="58"/>
      <c r="X211" s="58">
        <f>IFERROR(YEAR(TableDailyJournal[[#This Row],[التاريخ]]),"")</f>
        <v>2026</v>
      </c>
      <c r="Y211" s="58">
        <f>IFERROR(MONTH(TableDailyJournal[[#This Row],[التاريخ]]),"")</f>
        <v>6</v>
      </c>
      <c r="Z211" s="58">
        <f>IFERROR(DAY(TableDailyJournal[[#This Row],[التاريخ]]),"")</f>
        <v>8</v>
      </c>
      <c r="AA211" s="126" t="str">
        <f>INDEX(Tabledaily[المرجع البياني],MATCH(TableDailyJournal[[#This Row],[رقم العملية]],Tabledaily[رقم العملية],0))</f>
        <v>قيـد مقابـل:- (مصاريف حوافز ومكافئات  - محمد فؤاد+ محمد سمير+محمد علي + كريم اكرم - الفرقة الثالثة)  - استلام نقدي رقم   سند استلام - مصروف حافز لافراد السيطرة بامر</v>
      </c>
      <c r="AB211" s="121">
        <f>INDEX(Tabledaily[جهة الامر],MATCH(TableDailyJournal[[#This Row],[رقم العملية]],Tabledaily[رقم العملية],0))</f>
        <v>0</v>
      </c>
    </row>
    <row r="212" spans="2:28" ht="45.75" x14ac:dyDescent="0.55000000000000004">
      <c r="B212" s="58">
        <f t="shared" si="5"/>
        <v>208</v>
      </c>
      <c r="C212" s="59" t="s">
        <v>579</v>
      </c>
      <c r="D212" s="60">
        <f>INDEX(Tabledaily[date],MATCH(TableDailyJournal[[#This Row],[رقم العملية]],Tabledaily[رقم العملية],0))</f>
        <v>46181</v>
      </c>
      <c r="E212" s="58" t="str">
        <f>INDEX(Tabledaily[نوع العمليــة],MATCH(TableDailyJournal[[#This Row],[رقم العملية]],Tabledaily[رقم العملية],0))</f>
        <v>قيد عهده</v>
      </c>
      <c r="F212" s="58">
        <f>IFERROR(INDEX(TableJudje[رقم الحساب],MATCH(TableDailyJournal[[#This Row],[الحساب]],TableJudje[اسم الحساب],0)),0)</f>
        <v>31010101</v>
      </c>
      <c r="G212" s="58" t="s">
        <v>111</v>
      </c>
      <c r="H212" s="61" t="str">
        <f>INDEX(Tabledaily[المرجع البياني],MATCH(TableDailyJournal[[#This Row],[رقم العملية]],Tabledaily[رقم العملية],0))</f>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v>
      </c>
      <c r="I212" s="60" t="str">
        <f>INDEX(Tabledaily[العملـــة],MATCH(TableDailyJournal[[#This Row],[رقم العملية]],Tabledaily[رقم العملية],0))</f>
        <v>ريال يمني</v>
      </c>
      <c r="J212" s="59">
        <f>IFERROR(INDEX(Tabledaily[سعــــــر
الصـــــرف],MATCH(C212,Tabledaily[رقم العملية],0)),1)</f>
        <v>405</v>
      </c>
      <c r="K212" s="123" cm="1">
        <f t="array" ref="K212">IFERROR(INDEX(Tabledaily[المبلـــــــغ],MATCH(1,(TableDailyJournal[[#This Row],[رقم العملية]]=Tabledaily[رقم العملية])*(TableDailyJournal[[#This Row],[الحساب]]=Tabledaily[الحســاب المديــــن]),0)),0)</f>
        <v>20000</v>
      </c>
      <c r="L212" s="123" cm="1">
        <f t="array" ref="L212">IFERROR(INDEX(Tabledaily[المبلـــــــغ],MATCH(1,(TableDailyJournal[[#This Row],[رقم العملية]]=Tabledaily[رقم العملية])*(TableDailyJournal[[#This Row],[الحساب]]=Tabledaily[الحســاب الدئـــن]),0)),0)</f>
        <v>0</v>
      </c>
      <c r="M212" s="119">
        <f>IFERROR(TableDailyJournal[[#This Row],[المبلغ مدين]]/TableDailyJournal[[#This Row],[سعــــــر
الصـــــرف]],0)</f>
        <v>49.382716049382715</v>
      </c>
      <c r="N212" s="119">
        <f>IFERROR(TableDailyJournal[[#This Row],[المبلغ دائن]]/TableDailyJournal[[#This Row],[سعــــــر
الصـــــرف]],0)</f>
        <v>0</v>
      </c>
      <c r="O212" s="121" t="str">
        <f>INDEX(Tabledaily[المستفيــــــــد],MATCH(TableDailyJournal[[#This Row],[رقم العملية]],Tabledaily[رقم العملية],0))</f>
        <v>مجدي مسدوس و جميل جمال البجير</v>
      </c>
      <c r="P212" s="121" t="str">
        <f>INDEX(Tabledaily[المــــرجـــــــــع],MATCH(TableDailyJournal[[#This Row],[رقم العملية]],Tabledaily[رقم العملية],0))</f>
        <v>استلام نقدي</v>
      </c>
      <c r="Q212" s="121" t="str">
        <f>INDEX(Tabledaily[اســـــــم المــــرجــــع],MATCH(TableDailyJournal[[#This Row],[رقم العملية]],Tabledaily[رقم العملية],0))</f>
        <v>سند استلام</v>
      </c>
      <c r="R212" s="121">
        <f>INDEX(Tabledaily[رقم المـــــرجـــع],MATCH(TableDailyJournal[[#This Row],[رقم العملية]],Tabledaily[رقم العملية],0))</f>
        <v>0</v>
      </c>
      <c r="S212" s="121" t="str">
        <f>INDEX(Tabledaily[مركـــــــزالتكلفــــــة],MATCH(TableDailyJournal[[#This Row],[رقم العملية]],Tabledaily[رقم العملية],0))</f>
        <v>الفرقة الثالثة</v>
      </c>
      <c r="T212" s="121">
        <f>IFERROR(INDEX(tablecost[رقم المركز],MATCH(TableDailyJournal[[#This Row],[مركـــــــزالتكلفــــــة]],tablecost[الاسم],0)),0)</f>
        <v>1</v>
      </c>
      <c r="U212" s="122">
        <f>IFERROR(DATE(TableDailyJournal[[#This Row],[السنــــة]],TableDailyJournal[[#This Row],[الشهــــر]],TableDailyJournal[[#This Row],[الـــــيوم]]),"01-01-2026")</f>
        <v>46181</v>
      </c>
      <c r="V212" s="126"/>
      <c r="W212" s="58"/>
      <c r="X212" s="58">
        <f>IFERROR(YEAR(TableDailyJournal[[#This Row],[التاريخ]]),"")</f>
        <v>2026</v>
      </c>
      <c r="Y212" s="58">
        <f>IFERROR(MONTH(TableDailyJournal[[#This Row],[التاريخ]]),"")</f>
        <v>6</v>
      </c>
      <c r="Z212" s="58">
        <f>IFERROR(DAY(TableDailyJournal[[#This Row],[التاريخ]]),"")</f>
        <v>8</v>
      </c>
      <c r="AA212" s="126" t="str">
        <f>INDEX(Tabledaily[المرجع البياني],MATCH(TableDailyJournal[[#This Row],[رقم العملية]],Tabledaily[رقم العملية],0))</f>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v>
      </c>
      <c r="AB212" s="121" t="str">
        <f>INDEX(Tabledaily[جهة الامر],MATCH(TableDailyJournal[[#This Row],[رقم العملية]],Tabledaily[رقم العملية],0))</f>
        <v>الأركان جمال مسدوس</v>
      </c>
    </row>
    <row r="213" spans="2:28" ht="45.75" x14ac:dyDescent="0.55000000000000004">
      <c r="B213" s="58">
        <f t="shared" si="5"/>
        <v>209</v>
      </c>
      <c r="C213" s="59" t="s">
        <v>579</v>
      </c>
      <c r="D213" s="60">
        <f>INDEX(Tabledaily[date],MATCH(TableDailyJournal[[#This Row],[رقم العملية]],Tabledaily[رقم العملية],0))</f>
        <v>46181</v>
      </c>
      <c r="E213" s="58" t="str">
        <f>INDEX(Tabledaily[نوع العمليــة],MATCH(TableDailyJournal[[#This Row],[رقم العملية]],Tabledaily[رقم العملية],0))</f>
        <v>قيد عهده</v>
      </c>
      <c r="F213" s="58">
        <f>IFERROR(INDEX(TableJudje[رقم الحساب],MATCH(TableDailyJournal[[#This Row],[الحساب]],TableJudje[اسم الحساب],0)),0)</f>
        <v>11060205</v>
      </c>
      <c r="G213" s="58" t="s">
        <v>513</v>
      </c>
      <c r="H213" s="61" t="str">
        <f>INDEX(Tabledaily[المرجع البياني],MATCH(TableDailyJournal[[#This Row],[رقم العملية]],Tabledaily[رقم العملية],0))</f>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v>
      </c>
      <c r="I213" s="60" t="str">
        <f>INDEX(Tabledaily[العملـــة],MATCH(TableDailyJournal[[#This Row],[رقم العملية]],Tabledaily[رقم العملية],0))</f>
        <v>ريال يمني</v>
      </c>
      <c r="J213" s="59">
        <f>IFERROR(INDEX(Tabledaily[سعــــــر
الصـــــرف],MATCH(C213,Tabledaily[رقم العملية],0)),1)</f>
        <v>405</v>
      </c>
      <c r="K213" s="123" cm="1">
        <f t="array" ref="K213">IFERROR(INDEX(Tabledaily[المبلـــــــغ],MATCH(1,(TableDailyJournal[[#This Row],[رقم العملية]]=Tabledaily[رقم العملية])*(TableDailyJournal[[#This Row],[الحساب]]=Tabledaily[الحســاب المديــــن]),0)),0)</f>
        <v>0</v>
      </c>
      <c r="L213" s="123" cm="1">
        <f t="array" ref="L213">IFERROR(INDEX(Tabledaily[المبلـــــــغ],MATCH(1,(TableDailyJournal[[#This Row],[رقم العملية]]=Tabledaily[رقم العملية])*(TableDailyJournal[[#This Row],[الحساب]]=Tabledaily[الحســاب الدئـــن]),0)),0)</f>
        <v>20000</v>
      </c>
      <c r="M213" s="119">
        <f>IFERROR(TableDailyJournal[[#This Row],[المبلغ مدين]]/TableDailyJournal[[#This Row],[سعــــــر
الصـــــرف]],0)</f>
        <v>0</v>
      </c>
      <c r="N213" s="119">
        <f>IFERROR(TableDailyJournal[[#This Row],[المبلغ دائن]]/TableDailyJournal[[#This Row],[سعــــــر
الصـــــرف]],0)</f>
        <v>49.382716049382715</v>
      </c>
      <c r="O213" s="121" t="str">
        <f>INDEX(Tabledaily[المستفيــــــــد],MATCH(TableDailyJournal[[#This Row],[رقم العملية]],Tabledaily[رقم العملية],0))</f>
        <v>مجدي مسدوس و جميل جمال البجير</v>
      </c>
      <c r="P213" s="121" t="str">
        <f>INDEX(Tabledaily[المــــرجـــــــــع],MATCH(TableDailyJournal[[#This Row],[رقم العملية]],Tabledaily[رقم العملية],0))</f>
        <v>استلام نقدي</v>
      </c>
      <c r="Q213" s="121" t="str">
        <f>INDEX(Tabledaily[اســـــــم المــــرجــــع],MATCH(TableDailyJournal[[#This Row],[رقم العملية]],Tabledaily[رقم العملية],0))</f>
        <v>سند استلام</v>
      </c>
      <c r="R213" s="121">
        <f>INDEX(Tabledaily[رقم المـــــرجـــع],MATCH(TableDailyJournal[[#This Row],[رقم العملية]],Tabledaily[رقم العملية],0))</f>
        <v>0</v>
      </c>
      <c r="S213" s="121" t="str">
        <f>INDEX(Tabledaily[مركـــــــزالتكلفــــــة],MATCH(TableDailyJournal[[#This Row],[رقم العملية]],Tabledaily[رقم العملية],0))</f>
        <v>الفرقة الثالثة</v>
      </c>
      <c r="T213" s="121">
        <f>IFERROR(INDEX(tablecost[رقم المركز],MATCH(TableDailyJournal[[#This Row],[مركـــــــزالتكلفــــــة]],tablecost[الاسم],0)),0)</f>
        <v>1</v>
      </c>
      <c r="U213" s="122">
        <f>IFERROR(DATE(TableDailyJournal[[#This Row],[السنــــة]],TableDailyJournal[[#This Row],[الشهــــر]],TableDailyJournal[[#This Row],[الـــــيوم]]),"01-01-2026")</f>
        <v>46181</v>
      </c>
      <c r="V213" s="126"/>
      <c r="W213" s="58"/>
      <c r="X213" s="58">
        <f>IFERROR(YEAR(TableDailyJournal[[#This Row],[التاريخ]]),"")</f>
        <v>2026</v>
      </c>
      <c r="Y213" s="58">
        <f>IFERROR(MONTH(TableDailyJournal[[#This Row],[التاريخ]]),"")</f>
        <v>6</v>
      </c>
      <c r="Z213" s="58">
        <f>IFERROR(DAY(TableDailyJournal[[#This Row],[التاريخ]]),"")</f>
        <v>8</v>
      </c>
      <c r="AA213" s="126" t="str">
        <f>INDEX(Tabledaily[المرجع البياني],MATCH(TableDailyJournal[[#This Row],[رقم العملية]],Tabledaily[رقم العملية],0))</f>
        <v>قيـد مقابـل:- (مصاريف  صرفة يومية للافراد  - مجدي مسدوس و جميل جمال البجير - الفرقة الثالثة)  - استلام نقدي رقم   سند استلام - مقابل صرفة يومية بامرالأركان جمال مسدوس</v>
      </c>
      <c r="AB213" s="121" t="str">
        <f>INDEX(Tabledaily[جهة الامر],MATCH(TableDailyJournal[[#This Row],[رقم العملية]],Tabledaily[رقم العملية],0))</f>
        <v>الأركان جمال مسدوس</v>
      </c>
    </row>
    <row r="214" spans="2:28" ht="45.75" x14ac:dyDescent="0.55000000000000004">
      <c r="B214" s="58">
        <f t="shared" si="5"/>
        <v>210</v>
      </c>
      <c r="C214" s="59" t="s">
        <v>582</v>
      </c>
      <c r="D214" s="60">
        <f>INDEX(Tabledaily[date],MATCH(TableDailyJournal[[#This Row],[رقم العملية]],Tabledaily[رقم العملية],0))</f>
        <v>46181</v>
      </c>
      <c r="E214" s="58" t="str">
        <f>INDEX(Tabledaily[نوع العمليــة],MATCH(TableDailyJournal[[#This Row],[رقم العملية]],Tabledaily[رقم العملية],0))</f>
        <v>قيد عهده</v>
      </c>
      <c r="F214" s="58">
        <f>IFERROR(INDEX(TableJudje[رقم الحساب],MATCH(TableDailyJournal[[#This Row],[الحساب]],TableJudje[اسم الحساب],0)),0)</f>
        <v>31010122</v>
      </c>
      <c r="G214" s="58" t="s">
        <v>487</v>
      </c>
      <c r="H214" s="61" t="str">
        <f>INDEX(Tabledaily[المرجع البياني],MATCH(TableDailyJournal[[#This Row],[رقم العملية]],Tabledaily[رقم العملية],0))</f>
        <v>قيـد مقابـل:- (مصاريف سفر وتنقلات  - عبدالرحمن رسام  - اللواء السادس)  - استلام نقدي رقم   سند استلام - مصاريف سفر بامرالأركان جمال مسدوس</v>
      </c>
      <c r="I214" s="60" t="str">
        <f>INDEX(Tabledaily[العملـــة],MATCH(TableDailyJournal[[#This Row],[رقم العملية]],Tabledaily[رقم العملية],0))</f>
        <v>ريال يمني</v>
      </c>
      <c r="J214" s="59">
        <f>IFERROR(INDEX(Tabledaily[سعــــــر
الصـــــرف],MATCH(C214,Tabledaily[رقم العملية],0)),1)</f>
        <v>405</v>
      </c>
      <c r="K214" s="123" cm="1">
        <f t="array" ref="K214">IFERROR(INDEX(Tabledaily[المبلـــــــغ],MATCH(1,(TableDailyJournal[[#This Row],[رقم العملية]]=Tabledaily[رقم العملية])*(TableDailyJournal[[#This Row],[الحساب]]=Tabledaily[الحســاب المديــــن]),0)),0)</f>
        <v>80000</v>
      </c>
      <c r="L214" s="123" cm="1">
        <f t="array" ref="L214">IFERROR(INDEX(Tabledaily[المبلـــــــغ],MATCH(1,(TableDailyJournal[[#This Row],[رقم العملية]]=Tabledaily[رقم العملية])*(TableDailyJournal[[#This Row],[الحساب]]=Tabledaily[الحســاب الدئـــن]),0)),0)</f>
        <v>0</v>
      </c>
      <c r="M214" s="119">
        <f>IFERROR(TableDailyJournal[[#This Row],[المبلغ مدين]]/TableDailyJournal[[#This Row],[سعــــــر
الصـــــرف]],0)</f>
        <v>197.53086419753086</v>
      </c>
      <c r="N214" s="119">
        <f>IFERROR(TableDailyJournal[[#This Row],[المبلغ دائن]]/TableDailyJournal[[#This Row],[سعــــــر
الصـــــرف]],0)</f>
        <v>0</v>
      </c>
      <c r="O214" s="121" t="str">
        <f>INDEX(Tabledaily[المستفيــــــــد],MATCH(TableDailyJournal[[#This Row],[رقم العملية]],Tabledaily[رقم العملية],0))</f>
        <v xml:space="preserve">عبدالرحمن رسام </v>
      </c>
      <c r="P214" s="121" t="str">
        <f>INDEX(Tabledaily[المــــرجـــــــــع],MATCH(TableDailyJournal[[#This Row],[رقم العملية]],Tabledaily[رقم العملية],0))</f>
        <v>استلام نقدي</v>
      </c>
      <c r="Q214" s="121" t="str">
        <f>INDEX(Tabledaily[اســـــــم المــــرجــــع],MATCH(TableDailyJournal[[#This Row],[رقم العملية]],Tabledaily[رقم العملية],0))</f>
        <v>سند استلام</v>
      </c>
      <c r="R214" s="121">
        <f>INDEX(Tabledaily[رقم المـــــرجـــع],MATCH(TableDailyJournal[[#This Row],[رقم العملية]],Tabledaily[رقم العملية],0))</f>
        <v>0</v>
      </c>
      <c r="S214" s="121" t="str">
        <f>INDEX(Tabledaily[مركـــــــزالتكلفــــــة],MATCH(TableDailyJournal[[#This Row],[رقم العملية]],Tabledaily[رقم العملية],0))</f>
        <v>اللواء السادس</v>
      </c>
      <c r="T214" s="121">
        <f>IFERROR(INDEX(tablecost[رقم المركز],MATCH(TableDailyJournal[[#This Row],[مركـــــــزالتكلفــــــة]],tablecost[الاسم],0)),0)</f>
        <v>7</v>
      </c>
      <c r="U214" s="122">
        <f>IFERROR(DATE(TableDailyJournal[[#This Row],[السنــــة]],TableDailyJournal[[#This Row],[الشهــــر]],TableDailyJournal[[#This Row],[الـــــيوم]]),"01-01-2026")</f>
        <v>46181</v>
      </c>
      <c r="V214" s="126"/>
      <c r="W214" s="58"/>
      <c r="X214" s="58">
        <f>IFERROR(YEAR(TableDailyJournal[[#This Row],[التاريخ]]),"")</f>
        <v>2026</v>
      </c>
      <c r="Y214" s="58">
        <f>IFERROR(MONTH(TableDailyJournal[[#This Row],[التاريخ]]),"")</f>
        <v>6</v>
      </c>
      <c r="Z214" s="58">
        <f>IFERROR(DAY(TableDailyJournal[[#This Row],[التاريخ]]),"")</f>
        <v>8</v>
      </c>
      <c r="AA214" s="126" t="str">
        <f>INDEX(Tabledaily[المرجع البياني],MATCH(TableDailyJournal[[#This Row],[رقم العملية]],Tabledaily[رقم العملية],0))</f>
        <v>قيـد مقابـل:- (مصاريف سفر وتنقلات  - عبدالرحمن رسام  - اللواء السادس)  - استلام نقدي رقم   سند استلام - مصاريف سفر بامرالأركان جمال مسدوس</v>
      </c>
      <c r="AB214" s="121" t="str">
        <f>INDEX(Tabledaily[جهة الامر],MATCH(TableDailyJournal[[#This Row],[رقم العملية]],Tabledaily[رقم العملية],0))</f>
        <v>الأركان جمال مسدوس</v>
      </c>
    </row>
    <row r="215" spans="2:28" ht="45.75" x14ac:dyDescent="0.55000000000000004">
      <c r="B215" s="58">
        <f t="shared" si="5"/>
        <v>211</v>
      </c>
      <c r="C215" s="59" t="s">
        <v>582</v>
      </c>
      <c r="D215" s="60">
        <f>INDEX(Tabledaily[date],MATCH(TableDailyJournal[[#This Row],[رقم العملية]],Tabledaily[رقم العملية],0))</f>
        <v>46181</v>
      </c>
      <c r="E215" s="58" t="str">
        <f>INDEX(Tabledaily[نوع العمليــة],MATCH(TableDailyJournal[[#This Row],[رقم العملية]],Tabledaily[رقم العملية],0))</f>
        <v>قيد عهده</v>
      </c>
      <c r="F215" s="58">
        <f>IFERROR(INDEX(TableJudje[رقم الحساب],MATCH(TableDailyJournal[[#This Row],[الحساب]],TableJudje[اسم الحساب],0)),0)</f>
        <v>11060205</v>
      </c>
      <c r="G215" s="58" t="s">
        <v>513</v>
      </c>
      <c r="H215" s="61" t="str">
        <f>INDEX(Tabledaily[المرجع البياني],MATCH(TableDailyJournal[[#This Row],[رقم العملية]],Tabledaily[رقم العملية],0))</f>
        <v>قيـد مقابـل:- (مصاريف سفر وتنقلات  - عبدالرحمن رسام  - اللواء السادس)  - استلام نقدي رقم   سند استلام - مصاريف سفر بامرالأركان جمال مسدوس</v>
      </c>
      <c r="I215" s="60" t="str">
        <f>INDEX(Tabledaily[العملـــة],MATCH(TableDailyJournal[[#This Row],[رقم العملية]],Tabledaily[رقم العملية],0))</f>
        <v>ريال يمني</v>
      </c>
      <c r="J215" s="59">
        <f>IFERROR(INDEX(Tabledaily[سعــــــر
الصـــــرف],MATCH(C215,Tabledaily[رقم العملية],0)),1)</f>
        <v>405</v>
      </c>
      <c r="K215" s="123" cm="1">
        <f t="array" ref="K215">IFERROR(INDEX(Tabledaily[المبلـــــــغ],MATCH(1,(TableDailyJournal[[#This Row],[رقم العملية]]=Tabledaily[رقم العملية])*(TableDailyJournal[[#This Row],[الحساب]]=Tabledaily[الحســاب المديــــن]),0)),0)</f>
        <v>0</v>
      </c>
      <c r="L215" s="123" cm="1">
        <f t="array" ref="L215">IFERROR(INDEX(Tabledaily[المبلـــــــغ],MATCH(1,(TableDailyJournal[[#This Row],[رقم العملية]]=Tabledaily[رقم العملية])*(TableDailyJournal[[#This Row],[الحساب]]=Tabledaily[الحســاب الدئـــن]),0)),0)</f>
        <v>80000</v>
      </c>
      <c r="M215" s="119">
        <f>IFERROR(TableDailyJournal[[#This Row],[المبلغ مدين]]/TableDailyJournal[[#This Row],[سعــــــر
الصـــــرف]],0)</f>
        <v>0</v>
      </c>
      <c r="N215" s="119">
        <f>IFERROR(TableDailyJournal[[#This Row],[المبلغ دائن]]/TableDailyJournal[[#This Row],[سعــــــر
الصـــــرف]],0)</f>
        <v>197.53086419753086</v>
      </c>
      <c r="O215" s="121" t="str">
        <f>INDEX(Tabledaily[المستفيــــــــد],MATCH(TableDailyJournal[[#This Row],[رقم العملية]],Tabledaily[رقم العملية],0))</f>
        <v xml:space="preserve">عبدالرحمن رسام </v>
      </c>
      <c r="P215" s="121" t="str">
        <f>INDEX(Tabledaily[المــــرجـــــــــع],MATCH(TableDailyJournal[[#This Row],[رقم العملية]],Tabledaily[رقم العملية],0))</f>
        <v>استلام نقدي</v>
      </c>
      <c r="Q215" s="121" t="str">
        <f>INDEX(Tabledaily[اســـــــم المــــرجــــع],MATCH(TableDailyJournal[[#This Row],[رقم العملية]],Tabledaily[رقم العملية],0))</f>
        <v>سند استلام</v>
      </c>
      <c r="R215" s="121">
        <f>INDEX(Tabledaily[رقم المـــــرجـــع],MATCH(TableDailyJournal[[#This Row],[رقم العملية]],Tabledaily[رقم العملية],0))</f>
        <v>0</v>
      </c>
      <c r="S215" s="121" t="str">
        <f>INDEX(Tabledaily[مركـــــــزالتكلفــــــة],MATCH(TableDailyJournal[[#This Row],[رقم العملية]],Tabledaily[رقم العملية],0))</f>
        <v>اللواء السادس</v>
      </c>
      <c r="T215" s="121">
        <f>IFERROR(INDEX(tablecost[رقم المركز],MATCH(TableDailyJournal[[#This Row],[مركـــــــزالتكلفــــــة]],tablecost[الاسم],0)),0)</f>
        <v>7</v>
      </c>
      <c r="U215" s="122">
        <f>IFERROR(DATE(TableDailyJournal[[#This Row],[السنــــة]],TableDailyJournal[[#This Row],[الشهــــر]],TableDailyJournal[[#This Row],[الـــــيوم]]),"01-01-2026")</f>
        <v>46181</v>
      </c>
      <c r="V215" s="126"/>
      <c r="W215" s="58"/>
      <c r="X215" s="58">
        <f>IFERROR(YEAR(TableDailyJournal[[#This Row],[التاريخ]]),"")</f>
        <v>2026</v>
      </c>
      <c r="Y215" s="58">
        <f>IFERROR(MONTH(TableDailyJournal[[#This Row],[التاريخ]]),"")</f>
        <v>6</v>
      </c>
      <c r="Z215" s="58">
        <f>IFERROR(DAY(TableDailyJournal[[#This Row],[التاريخ]]),"")</f>
        <v>8</v>
      </c>
      <c r="AA215" s="126" t="str">
        <f>INDEX(Tabledaily[المرجع البياني],MATCH(TableDailyJournal[[#This Row],[رقم العملية]],Tabledaily[رقم العملية],0))</f>
        <v>قيـد مقابـل:- (مصاريف سفر وتنقلات  - عبدالرحمن رسام  - اللواء السادس)  - استلام نقدي رقم   سند استلام - مصاريف سفر بامرالأركان جمال مسدوس</v>
      </c>
      <c r="AB215" s="121" t="str">
        <f>INDEX(Tabledaily[جهة الامر],MATCH(TableDailyJournal[[#This Row],[رقم العملية]],Tabledaily[رقم العملية],0))</f>
        <v>الأركان جمال مسدوس</v>
      </c>
    </row>
    <row r="216" spans="2:28" ht="45.75" x14ac:dyDescent="0.55000000000000004">
      <c r="B216" s="58">
        <f t="shared" si="5"/>
        <v>212</v>
      </c>
      <c r="C216" s="59" t="s">
        <v>585</v>
      </c>
      <c r="D216" s="60">
        <f>INDEX(Tabledaily[date],MATCH(TableDailyJournal[[#This Row],[رقم العملية]],Tabledaily[رقم العملية],0))</f>
        <v>46181</v>
      </c>
      <c r="E216" s="58" t="str">
        <f>INDEX(Tabledaily[نوع العمليــة],MATCH(TableDailyJournal[[#This Row],[رقم العملية]],Tabledaily[رقم العملية],0))</f>
        <v>قيد عهده</v>
      </c>
      <c r="F216" s="58">
        <f>IFERROR(INDEX(TableJudje[رقم الحساب],MATCH(TableDailyJournal[[#This Row],[الحساب]],TableJudje[اسم الحساب],0)),0)</f>
        <v>31010114</v>
      </c>
      <c r="G216" s="58" t="s">
        <v>121</v>
      </c>
      <c r="H216" s="61" t="str">
        <f>INDEX(Tabledaily[المرجع البياني],MATCH(TableDailyJournal[[#This Row],[رقم العملية]],Tabledaily[رقم العملية],0))</f>
        <v>قيـد مقابـل:- (مصاريف حوافز ومكافئات  - مجدي مسدوس - الفرقة الثالثة)  - استلام نقدي رقم   سند استلام - مصاريف ل مجدي مسدوس  بامرالأركان جمال مسدوس</v>
      </c>
      <c r="I216" s="60" t="str">
        <f>INDEX(Tabledaily[العملـــة],MATCH(TableDailyJournal[[#This Row],[رقم العملية]],Tabledaily[رقم العملية],0))</f>
        <v>ريال يمني</v>
      </c>
      <c r="J216" s="59">
        <f>IFERROR(INDEX(Tabledaily[سعــــــر
الصـــــرف],MATCH(C216,Tabledaily[رقم العملية],0)),1)</f>
        <v>405</v>
      </c>
      <c r="K216" s="123" cm="1">
        <f t="array" ref="K216">IFERROR(INDEX(Tabledaily[المبلـــــــغ],MATCH(1,(TableDailyJournal[[#This Row],[رقم العملية]]=Tabledaily[رقم العملية])*(TableDailyJournal[[#This Row],[الحساب]]=Tabledaily[الحســاب المديــــن]),0)),0)</f>
        <v>50000</v>
      </c>
      <c r="L216" s="123" cm="1">
        <f t="array" ref="L216">IFERROR(INDEX(Tabledaily[المبلـــــــغ],MATCH(1,(TableDailyJournal[[#This Row],[رقم العملية]]=Tabledaily[رقم العملية])*(TableDailyJournal[[#This Row],[الحساب]]=Tabledaily[الحســاب الدئـــن]),0)),0)</f>
        <v>0</v>
      </c>
      <c r="M216" s="119">
        <f>IFERROR(TableDailyJournal[[#This Row],[المبلغ مدين]]/TableDailyJournal[[#This Row],[سعــــــر
الصـــــرف]],0)</f>
        <v>123.45679012345678</v>
      </c>
      <c r="N216" s="119">
        <f>IFERROR(TableDailyJournal[[#This Row],[المبلغ دائن]]/TableDailyJournal[[#This Row],[سعــــــر
الصـــــرف]],0)</f>
        <v>0</v>
      </c>
      <c r="O216" s="121" t="str">
        <f>INDEX(Tabledaily[المستفيــــــــد],MATCH(TableDailyJournal[[#This Row],[رقم العملية]],Tabledaily[رقم العملية],0))</f>
        <v>مجدي مسدوس</v>
      </c>
      <c r="P216" s="121" t="str">
        <f>INDEX(Tabledaily[المــــرجـــــــــع],MATCH(TableDailyJournal[[#This Row],[رقم العملية]],Tabledaily[رقم العملية],0))</f>
        <v>استلام نقدي</v>
      </c>
      <c r="Q216" s="121" t="str">
        <f>INDEX(Tabledaily[اســـــــم المــــرجــــع],MATCH(TableDailyJournal[[#This Row],[رقم العملية]],Tabledaily[رقم العملية],0))</f>
        <v>سند استلام</v>
      </c>
      <c r="R216" s="121">
        <f>INDEX(Tabledaily[رقم المـــــرجـــع],MATCH(TableDailyJournal[[#This Row],[رقم العملية]],Tabledaily[رقم العملية],0))</f>
        <v>0</v>
      </c>
      <c r="S216" s="121" t="str">
        <f>INDEX(Tabledaily[مركـــــــزالتكلفــــــة],MATCH(TableDailyJournal[[#This Row],[رقم العملية]],Tabledaily[رقم العملية],0))</f>
        <v>الفرقة الثالثة</v>
      </c>
      <c r="T216" s="121">
        <f>IFERROR(INDEX(tablecost[رقم المركز],MATCH(TableDailyJournal[[#This Row],[مركـــــــزالتكلفــــــة]],tablecost[الاسم],0)),0)</f>
        <v>1</v>
      </c>
      <c r="U216" s="122">
        <f>IFERROR(DATE(TableDailyJournal[[#This Row],[السنــــة]],TableDailyJournal[[#This Row],[الشهــــر]],TableDailyJournal[[#This Row],[الـــــيوم]]),"01-01-2026")</f>
        <v>46181</v>
      </c>
      <c r="V216" s="126"/>
      <c r="W216" s="58"/>
      <c r="X216" s="58">
        <f>IFERROR(YEAR(TableDailyJournal[[#This Row],[التاريخ]]),"")</f>
        <v>2026</v>
      </c>
      <c r="Y216" s="58">
        <f>IFERROR(MONTH(TableDailyJournal[[#This Row],[التاريخ]]),"")</f>
        <v>6</v>
      </c>
      <c r="Z216" s="58">
        <f>IFERROR(DAY(TableDailyJournal[[#This Row],[التاريخ]]),"")</f>
        <v>8</v>
      </c>
      <c r="AA216" s="126" t="str">
        <f>INDEX(Tabledaily[المرجع البياني],MATCH(TableDailyJournal[[#This Row],[رقم العملية]],Tabledaily[رقم العملية],0))</f>
        <v>قيـد مقابـل:- (مصاريف حوافز ومكافئات  - مجدي مسدوس - الفرقة الثالثة)  - استلام نقدي رقم   سند استلام - مصاريف ل مجدي مسدوس  بامرالأركان جمال مسدوس</v>
      </c>
      <c r="AB216" s="121" t="str">
        <f>INDEX(Tabledaily[جهة الامر],MATCH(TableDailyJournal[[#This Row],[رقم العملية]],Tabledaily[رقم العملية],0))</f>
        <v>الأركان جمال مسدوس</v>
      </c>
    </row>
    <row r="217" spans="2:28" ht="45.75" x14ac:dyDescent="0.55000000000000004">
      <c r="B217" s="58">
        <f t="shared" si="5"/>
        <v>213</v>
      </c>
      <c r="C217" s="59" t="s">
        <v>585</v>
      </c>
      <c r="D217" s="60">
        <f>INDEX(Tabledaily[date],MATCH(TableDailyJournal[[#This Row],[رقم العملية]],Tabledaily[رقم العملية],0))</f>
        <v>46181</v>
      </c>
      <c r="E217" s="58" t="str">
        <f>INDEX(Tabledaily[نوع العمليــة],MATCH(TableDailyJournal[[#This Row],[رقم العملية]],Tabledaily[رقم العملية],0))</f>
        <v>قيد عهده</v>
      </c>
      <c r="F217" s="58">
        <f>IFERROR(INDEX(TableJudje[رقم الحساب],MATCH(TableDailyJournal[[#This Row],[الحساب]],TableJudje[اسم الحساب],0)),0)</f>
        <v>11060205</v>
      </c>
      <c r="G217" s="58" t="s">
        <v>513</v>
      </c>
      <c r="H217" s="61" t="str">
        <f>INDEX(Tabledaily[المرجع البياني],MATCH(TableDailyJournal[[#This Row],[رقم العملية]],Tabledaily[رقم العملية],0))</f>
        <v>قيـد مقابـل:- (مصاريف حوافز ومكافئات  - مجدي مسدوس - الفرقة الثالثة)  - استلام نقدي رقم   سند استلام - مصاريف ل مجدي مسدوس  بامرالأركان جمال مسدوس</v>
      </c>
      <c r="I217" s="60" t="str">
        <f>INDEX(Tabledaily[العملـــة],MATCH(TableDailyJournal[[#This Row],[رقم العملية]],Tabledaily[رقم العملية],0))</f>
        <v>ريال يمني</v>
      </c>
      <c r="J217" s="59">
        <f>IFERROR(INDEX(Tabledaily[سعــــــر
الصـــــرف],MATCH(C217,Tabledaily[رقم العملية],0)),1)</f>
        <v>405</v>
      </c>
      <c r="K217" s="123" cm="1">
        <f t="array" ref="K217">IFERROR(INDEX(Tabledaily[المبلـــــــغ],MATCH(1,(TableDailyJournal[[#This Row],[رقم العملية]]=Tabledaily[رقم العملية])*(TableDailyJournal[[#This Row],[الحساب]]=Tabledaily[الحســاب المديــــن]),0)),0)</f>
        <v>0</v>
      </c>
      <c r="L217" s="123" cm="1">
        <f t="array" ref="L217">IFERROR(INDEX(Tabledaily[المبلـــــــغ],MATCH(1,(TableDailyJournal[[#This Row],[رقم العملية]]=Tabledaily[رقم العملية])*(TableDailyJournal[[#This Row],[الحساب]]=Tabledaily[الحســاب الدئـــن]),0)),0)</f>
        <v>50000</v>
      </c>
      <c r="M217" s="119">
        <f>IFERROR(TableDailyJournal[[#This Row],[المبلغ مدين]]/TableDailyJournal[[#This Row],[سعــــــر
الصـــــرف]],0)</f>
        <v>0</v>
      </c>
      <c r="N217" s="119">
        <f>IFERROR(TableDailyJournal[[#This Row],[المبلغ دائن]]/TableDailyJournal[[#This Row],[سعــــــر
الصـــــرف]],0)</f>
        <v>123.45679012345678</v>
      </c>
      <c r="O217" s="121" t="str">
        <f>INDEX(Tabledaily[المستفيــــــــد],MATCH(TableDailyJournal[[#This Row],[رقم العملية]],Tabledaily[رقم العملية],0))</f>
        <v>مجدي مسدوس</v>
      </c>
      <c r="P217" s="121" t="str">
        <f>INDEX(Tabledaily[المــــرجـــــــــع],MATCH(TableDailyJournal[[#This Row],[رقم العملية]],Tabledaily[رقم العملية],0))</f>
        <v>استلام نقدي</v>
      </c>
      <c r="Q217" s="121" t="str">
        <f>INDEX(Tabledaily[اســـــــم المــــرجــــع],MATCH(TableDailyJournal[[#This Row],[رقم العملية]],Tabledaily[رقم العملية],0))</f>
        <v>سند استلام</v>
      </c>
      <c r="R217" s="121">
        <f>INDEX(Tabledaily[رقم المـــــرجـــع],MATCH(TableDailyJournal[[#This Row],[رقم العملية]],Tabledaily[رقم العملية],0))</f>
        <v>0</v>
      </c>
      <c r="S217" s="121" t="str">
        <f>INDEX(Tabledaily[مركـــــــزالتكلفــــــة],MATCH(TableDailyJournal[[#This Row],[رقم العملية]],Tabledaily[رقم العملية],0))</f>
        <v>الفرقة الثالثة</v>
      </c>
      <c r="T217" s="121">
        <f>IFERROR(INDEX(tablecost[رقم المركز],MATCH(TableDailyJournal[[#This Row],[مركـــــــزالتكلفــــــة]],tablecost[الاسم],0)),0)</f>
        <v>1</v>
      </c>
      <c r="U217" s="122">
        <f>IFERROR(DATE(TableDailyJournal[[#This Row],[السنــــة]],TableDailyJournal[[#This Row],[الشهــــر]],TableDailyJournal[[#This Row],[الـــــيوم]]),"01-01-2026")</f>
        <v>46181</v>
      </c>
      <c r="V217" s="126"/>
      <c r="W217" s="58"/>
      <c r="X217" s="58">
        <f>IFERROR(YEAR(TableDailyJournal[[#This Row],[التاريخ]]),"")</f>
        <v>2026</v>
      </c>
      <c r="Y217" s="58">
        <f>IFERROR(MONTH(TableDailyJournal[[#This Row],[التاريخ]]),"")</f>
        <v>6</v>
      </c>
      <c r="Z217" s="58">
        <f>IFERROR(DAY(TableDailyJournal[[#This Row],[التاريخ]]),"")</f>
        <v>8</v>
      </c>
      <c r="AA217" s="126" t="str">
        <f>INDEX(Tabledaily[المرجع البياني],MATCH(TableDailyJournal[[#This Row],[رقم العملية]],Tabledaily[رقم العملية],0))</f>
        <v>قيـد مقابـل:- (مصاريف حوافز ومكافئات  - مجدي مسدوس - الفرقة الثالثة)  - استلام نقدي رقم   سند استلام - مصاريف ل مجدي مسدوس  بامرالأركان جمال مسدوس</v>
      </c>
      <c r="AB217" s="121" t="str">
        <f>INDEX(Tabledaily[جهة الامر],MATCH(TableDailyJournal[[#This Row],[رقم العملية]],Tabledaily[رقم العملية],0))</f>
        <v>الأركان جمال مسدوس</v>
      </c>
    </row>
    <row r="218" spans="2:28" ht="45.75" x14ac:dyDescent="0.55000000000000004">
      <c r="B218" s="58">
        <f t="shared" si="5"/>
        <v>214</v>
      </c>
      <c r="C218" s="59" t="s">
        <v>588</v>
      </c>
      <c r="D218" s="60">
        <f>INDEX(Tabledaily[date],MATCH(TableDailyJournal[[#This Row],[رقم العملية]],Tabledaily[رقم العملية],0))</f>
        <v>46182</v>
      </c>
      <c r="E218" s="58" t="str">
        <f>INDEX(Tabledaily[نوع العمليــة],MATCH(TableDailyJournal[[#This Row],[رقم العملية]],Tabledaily[رقم العملية],0))</f>
        <v>قيد عهده</v>
      </c>
      <c r="F218" s="58">
        <f>IFERROR(INDEX(TableJudje[رقم الحساب],MATCH(TableDailyJournal[[#This Row],[الحساب]],TableJudje[اسم الحساب],0)),0)</f>
        <v>31010101</v>
      </c>
      <c r="G218" s="58" t="s">
        <v>111</v>
      </c>
      <c r="H218"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I218" s="60" t="str">
        <f>INDEX(Tabledaily[العملـــة],MATCH(TableDailyJournal[[#This Row],[رقم العملية]],Tabledaily[رقم العملية],0))</f>
        <v>ريال يمني</v>
      </c>
      <c r="J218" s="59">
        <f>IFERROR(INDEX(Tabledaily[سعــــــر
الصـــــرف],MATCH(C218,Tabledaily[رقم العملية],0)),1)</f>
        <v>405</v>
      </c>
      <c r="K218" s="123" cm="1">
        <f t="array" ref="K218">IFERROR(INDEX(Tabledaily[المبلـــــــغ],MATCH(1,(TableDailyJournal[[#This Row],[رقم العملية]]=Tabledaily[رقم العملية])*(TableDailyJournal[[#This Row],[الحساب]]=Tabledaily[الحســاب المديــــن]),0)),0)</f>
        <v>43000</v>
      </c>
      <c r="L218" s="123" cm="1">
        <f t="array" ref="L218">IFERROR(INDEX(Tabledaily[المبلـــــــغ],MATCH(1,(TableDailyJournal[[#This Row],[رقم العملية]]=Tabledaily[رقم العملية])*(TableDailyJournal[[#This Row],[الحساب]]=Tabledaily[الحســاب الدئـــن]),0)),0)</f>
        <v>0</v>
      </c>
      <c r="M218" s="119">
        <f>IFERROR(TableDailyJournal[[#This Row],[المبلغ مدين]]/TableDailyJournal[[#This Row],[سعــــــر
الصـــــرف]],0)</f>
        <v>106.17283950617283</v>
      </c>
      <c r="N218" s="119">
        <f>IFERROR(TableDailyJournal[[#This Row],[المبلغ دائن]]/TableDailyJournal[[#This Row],[سعــــــر
الصـــــرف]],0)</f>
        <v>0</v>
      </c>
      <c r="O218" s="121" t="str">
        <f>INDEX(Tabledaily[المستفيــــــــد],MATCH(TableDailyJournal[[#This Row],[رقم العملية]],Tabledaily[رقم العملية],0))</f>
        <v>السيطرة والاتصالات</v>
      </c>
      <c r="P218" s="121" t="str">
        <f>INDEX(Tabledaily[المــــرجـــــــــع],MATCH(TableDailyJournal[[#This Row],[رقم العملية]],Tabledaily[رقم العملية],0))</f>
        <v>كشف صرف</v>
      </c>
      <c r="Q218" s="121" t="str">
        <f>INDEX(Tabledaily[اســـــــم المــــرجــــع],MATCH(TableDailyJournal[[#This Row],[رقم العملية]],Tabledaily[رقم العملية],0))</f>
        <v>كشف صرف</v>
      </c>
      <c r="R218" s="121">
        <f>INDEX(Tabledaily[رقم المـــــرجـــع],MATCH(TableDailyJournal[[#This Row],[رقم العملية]],Tabledaily[رقم العملية],0))</f>
        <v>0</v>
      </c>
      <c r="S218" s="121" t="str">
        <f>INDEX(Tabledaily[مركـــــــزالتكلفــــــة],MATCH(TableDailyJournal[[#This Row],[رقم العملية]],Tabledaily[رقم العملية],0))</f>
        <v>الفرقة الثالثة</v>
      </c>
      <c r="T218" s="121">
        <f>IFERROR(INDEX(tablecost[رقم المركز],MATCH(TableDailyJournal[[#This Row],[مركـــــــزالتكلفــــــة]],tablecost[الاسم],0)),0)</f>
        <v>1</v>
      </c>
      <c r="U218" s="122">
        <f>IFERROR(DATE(TableDailyJournal[[#This Row],[السنــــة]],TableDailyJournal[[#This Row],[الشهــــر]],TableDailyJournal[[#This Row],[الـــــيوم]]),"01-01-2026")</f>
        <v>46182</v>
      </c>
      <c r="V218" s="126"/>
      <c r="W218" s="58"/>
      <c r="X218" s="58">
        <f>IFERROR(YEAR(TableDailyJournal[[#This Row],[التاريخ]]),"")</f>
        <v>2026</v>
      </c>
      <c r="Y218" s="58">
        <f>IFERROR(MONTH(TableDailyJournal[[#This Row],[التاريخ]]),"")</f>
        <v>6</v>
      </c>
      <c r="Z218" s="58">
        <f>IFERROR(DAY(TableDailyJournal[[#This Row],[التاريخ]]),"")</f>
        <v>9</v>
      </c>
      <c r="AA218"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AB218" s="121">
        <f>INDEX(Tabledaily[جهة الامر],MATCH(TableDailyJournal[[#This Row],[رقم العملية]],Tabledaily[رقم العملية],0))</f>
        <v>0</v>
      </c>
    </row>
    <row r="219" spans="2:28" ht="45.75" x14ac:dyDescent="0.55000000000000004">
      <c r="B219" s="58">
        <f t="shared" si="5"/>
        <v>215</v>
      </c>
      <c r="C219" s="59" t="s">
        <v>588</v>
      </c>
      <c r="D219" s="60">
        <f>INDEX(Tabledaily[date],MATCH(TableDailyJournal[[#This Row],[رقم العملية]],Tabledaily[رقم العملية],0))</f>
        <v>46182</v>
      </c>
      <c r="E219" s="58" t="str">
        <f>INDEX(Tabledaily[نوع العمليــة],MATCH(TableDailyJournal[[#This Row],[رقم العملية]],Tabledaily[رقم العملية],0))</f>
        <v>قيد عهده</v>
      </c>
      <c r="F219" s="58">
        <f>IFERROR(INDEX(TableJudje[رقم الحساب],MATCH(TableDailyJournal[[#This Row],[الحساب]],TableJudje[اسم الحساب],0)),0)</f>
        <v>11060205</v>
      </c>
      <c r="G219" s="58" t="s">
        <v>513</v>
      </c>
      <c r="H219"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I219" s="60" t="str">
        <f>INDEX(Tabledaily[العملـــة],MATCH(TableDailyJournal[[#This Row],[رقم العملية]],Tabledaily[رقم العملية],0))</f>
        <v>ريال يمني</v>
      </c>
      <c r="J219" s="59">
        <f>IFERROR(INDEX(Tabledaily[سعــــــر
الصـــــرف],MATCH(C219,Tabledaily[رقم العملية],0)),1)</f>
        <v>405</v>
      </c>
      <c r="K219" s="123" cm="1">
        <f t="array" ref="K219">IFERROR(INDEX(Tabledaily[المبلـــــــغ],MATCH(1,(TableDailyJournal[[#This Row],[رقم العملية]]=Tabledaily[رقم العملية])*(TableDailyJournal[[#This Row],[الحساب]]=Tabledaily[الحســاب المديــــن]),0)),0)</f>
        <v>0</v>
      </c>
      <c r="L219" s="123" cm="1">
        <f t="array" ref="L219">IFERROR(INDEX(Tabledaily[المبلـــــــغ],MATCH(1,(TableDailyJournal[[#This Row],[رقم العملية]]=Tabledaily[رقم العملية])*(TableDailyJournal[[#This Row],[الحساب]]=Tabledaily[الحســاب الدئـــن]),0)),0)</f>
        <v>43000</v>
      </c>
      <c r="M219" s="119">
        <f>IFERROR(TableDailyJournal[[#This Row],[المبلغ مدين]]/TableDailyJournal[[#This Row],[سعــــــر
الصـــــرف]],0)</f>
        <v>0</v>
      </c>
      <c r="N219" s="119">
        <f>IFERROR(TableDailyJournal[[#This Row],[المبلغ دائن]]/TableDailyJournal[[#This Row],[سعــــــر
الصـــــرف]],0)</f>
        <v>106.17283950617283</v>
      </c>
      <c r="O219" s="121" t="str">
        <f>INDEX(Tabledaily[المستفيــــــــد],MATCH(TableDailyJournal[[#This Row],[رقم العملية]],Tabledaily[رقم العملية],0))</f>
        <v>السيطرة والاتصالات</v>
      </c>
      <c r="P219" s="121" t="str">
        <f>INDEX(Tabledaily[المــــرجـــــــــع],MATCH(TableDailyJournal[[#This Row],[رقم العملية]],Tabledaily[رقم العملية],0))</f>
        <v>كشف صرف</v>
      </c>
      <c r="Q219" s="121" t="str">
        <f>INDEX(Tabledaily[اســـــــم المــــرجــــع],MATCH(TableDailyJournal[[#This Row],[رقم العملية]],Tabledaily[رقم العملية],0))</f>
        <v>كشف صرف</v>
      </c>
      <c r="R219" s="121">
        <f>INDEX(Tabledaily[رقم المـــــرجـــع],MATCH(TableDailyJournal[[#This Row],[رقم العملية]],Tabledaily[رقم العملية],0))</f>
        <v>0</v>
      </c>
      <c r="S219" s="121" t="str">
        <f>INDEX(Tabledaily[مركـــــــزالتكلفــــــة],MATCH(TableDailyJournal[[#This Row],[رقم العملية]],Tabledaily[رقم العملية],0))</f>
        <v>الفرقة الثالثة</v>
      </c>
      <c r="T219" s="121">
        <f>IFERROR(INDEX(tablecost[رقم المركز],MATCH(TableDailyJournal[[#This Row],[مركـــــــزالتكلفــــــة]],tablecost[الاسم],0)),0)</f>
        <v>1</v>
      </c>
      <c r="U219" s="122">
        <f>IFERROR(DATE(TableDailyJournal[[#This Row],[السنــــة]],TableDailyJournal[[#This Row],[الشهــــر]],TableDailyJournal[[#This Row],[الـــــيوم]]),"01-01-2026")</f>
        <v>46182</v>
      </c>
      <c r="V219" s="126"/>
      <c r="W219" s="58"/>
      <c r="X219" s="58">
        <f>IFERROR(YEAR(TableDailyJournal[[#This Row],[التاريخ]]),"")</f>
        <v>2026</v>
      </c>
      <c r="Y219" s="58">
        <f>IFERROR(MONTH(TableDailyJournal[[#This Row],[التاريخ]]),"")</f>
        <v>6</v>
      </c>
      <c r="Z219" s="58">
        <f>IFERROR(DAY(TableDailyJournal[[#This Row],[التاريخ]]),"")</f>
        <v>9</v>
      </c>
      <c r="AA219"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AB219" s="121">
        <f>INDEX(Tabledaily[جهة الامر],MATCH(TableDailyJournal[[#This Row],[رقم العملية]],Tabledaily[رقم العملية],0))</f>
        <v>0</v>
      </c>
    </row>
    <row r="220" spans="2:28" ht="45.75" x14ac:dyDescent="0.55000000000000004">
      <c r="B220" s="58">
        <f t="shared" si="5"/>
        <v>216</v>
      </c>
      <c r="C220" s="59" t="s">
        <v>590</v>
      </c>
      <c r="D220" s="60">
        <f>INDEX(Tabledaily[date],MATCH(TableDailyJournal[[#This Row],[رقم العملية]],Tabledaily[رقم العملية],0))</f>
        <v>46182</v>
      </c>
      <c r="E220" s="58" t="str">
        <f>INDEX(Tabledaily[نوع العمليــة],MATCH(TableDailyJournal[[#This Row],[رقم العملية]],Tabledaily[رقم العملية],0))</f>
        <v>قيد عهده</v>
      </c>
      <c r="F220" s="58">
        <f>IFERROR(INDEX(TableJudje[رقم الحساب],MATCH(TableDailyJournal[[#This Row],[الحساب]],TableJudje[اسم الحساب],0)),0)</f>
        <v>31010101</v>
      </c>
      <c r="G220" s="58" t="s">
        <v>111</v>
      </c>
      <c r="H220"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220" s="60" t="str">
        <f>INDEX(Tabledaily[العملـــة],MATCH(TableDailyJournal[[#This Row],[رقم العملية]],Tabledaily[رقم العملية],0))</f>
        <v>ريال يمني</v>
      </c>
      <c r="J220" s="59">
        <f>IFERROR(INDEX(Tabledaily[سعــــــر
الصـــــرف],MATCH(C220,Tabledaily[رقم العملية],0)),1)</f>
        <v>405</v>
      </c>
      <c r="K220" s="123" cm="1">
        <f t="array" ref="K220">IFERROR(INDEX(Tabledaily[المبلـــــــغ],MATCH(1,(TableDailyJournal[[#This Row],[رقم العملية]]=Tabledaily[رقم العملية])*(TableDailyJournal[[#This Row],[الحساب]]=Tabledaily[الحســاب المديــــن]),0)),0)</f>
        <v>30000</v>
      </c>
      <c r="L220" s="123" cm="1">
        <f t="array" ref="L220">IFERROR(INDEX(Tabledaily[المبلـــــــغ],MATCH(1,(TableDailyJournal[[#This Row],[رقم العملية]]=Tabledaily[رقم العملية])*(TableDailyJournal[[#This Row],[الحساب]]=Tabledaily[الحســاب الدئـــن]),0)),0)</f>
        <v>0</v>
      </c>
      <c r="M220" s="119">
        <f>IFERROR(TableDailyJournal[[#This Row],[المبلغ مدين]]/TableDailyJournal[[#This Row],[سعــــــر
الصـــــرف]],0)</f>
        <v>74.074074074074076</v>
      </c>
      <c r="N220" s="119">
        <f>IFERROR(TableDailyJournal[[#This Row],[المبلغ دائن]]/TableDailyJournal[[#This Row],[سعــــــر
الصـــــرف]],0)</f>
        <v>0</v>
      </c>
      <c r="O220" s="121" t="str">
        <f>INDEX(Tabledaily[المستفيــــــــد],MATCH(TableDailyJournal[[#This Row],[رقم العملية]],Tabledaily[رقم العملية],0))</f>
        <v>التوجيه</v>
      </c>
      <c r="P220" s="121" t="str">
        <f>INDEX(Tabledaily[المــــرجـــــــــع],MATCH(TableDailyJournal[[#This Row],[رقم العملية]],Tabledaily[رقم العملية],0))</f>
        <v>كشف صرف</v>
      </c>
      <c r="Q220" s="121" t="str">
        <f>INDEX(Tabledaily[اســـــــم المــــرجــــع],MATCH(TableDailyJournal[[#This Row],[رقم العملية]],Tabledaily[رقم العملية],0))</f>
        <v>كشف صرف</v>
      </c>
      <c r="R220" s="121">
        <f>INDEX(Tabledaily[رقم المـــــرجـــع],MATCH(TableDailyJournal[[#This Row],[رقم العملية]],Tabledaily[رقم العملية],0))</f>
        <v>0</v>
      </c>
      <c r="S220" s="121" t="str">
        <f>INDEX(Tabledaily[مركـــــــزالتكلفــــــة],MATCH(TableDailyJournal[[#This Row],[رقم العملية]],Tabledaily[رقم العملية],0))</f>
        <v>الفرقة الثالثة</v>
      </c>
      <c r="T220" s="121">
        <f>IFERROR(INDEX(tablecost[رقم المركز],MATCH(TableDailyJournal[[#This Row],[مركـــــــزالتكلفــــــة]],tablecost[الاسم],0)),0)</f>
        <v>1</v>
      </c>
      <c r="U220" s="122">
        <f>IFERROR(DATE(TableDailyJournal[[#This Row],[السنــــة]],TableDailyJournal[[#This Row],[الشهــــر]],TableDailyJournal[[#This Row],[الـــــيوم]]),"01-01-2026")</f>
        <v>46182</v>
      </c>
      <c r="V220" s="126"/>
      <c r="W220" s="58"/>
      <c r="X220" s="58">
        <f>IFERROR(YEAR(TableDailyJournal[[#This Row],[التاريخ]]),"")</f>
        <v>2026</v>
      </c>
      <c r="Y220" s="58">
        <f>IFERROR(MONTH(TableDailyJournal[[#This Row],[التاريخ]]),"")</f>
        <v>6</v>
      </c>
      <c r="Z220" s="58">
        <f>IFERROR(DAY(TableDailyJournal[[#This Row],[التاريخ]]),"")</f>
        <v>9</v>
      </c>
      <c r="AA220"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220" s="121">
        <f>INDEX(Tabledaily[جهة الامر],MATCH(TableDailyJournal[[#This Row],[رقم العملية]],Tabledaily[رقم العملية],0))</f>
        <v>0</v>
      </c>
    </row>
    <row r="221" spans="2:28" ht="45.75" x14ac:dyDescent="0.55000000000000004">
      <c r="B221" s="58">
        <f t="shared" si="5"/>
        <v>217</v>
      </c>
      <c r="C221" s="59" t="s">
        <v>590</v>
      </c>
      <c r="D221" s="60">
        <f>INDEX(Tabledaily[date],MATCH(TableDailyJournal[[#This Row],[رقم العملية]],Tabledaily[رقم العملية],0))</f>
        <v>46182</v>
      </c>
      <c r="E221" s="58" t="str">
        <f>INDEX(Tabledaily[نوع العمليــة],MATCH(TableDailyJournal[[#This Row],[رقم العملية]],Tabledaily[رقم العملية],0))</f>
        <v>قيد عهده</v>
      </c>
      <c r="F221" s="58">
        <f>IFERROR(INDEX(TableJudje[رقم الحساب],MATCH(TableDailyJournal[[#This Row],[الحساب]],TableJudje[اسم الحساب],0)),0)</f>
        <v>11060205</v>
      </c>
      <c r="G221" s="58" t="s">
        <v>513</v>
      </c>
      <c r="H221"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221" s="60" t="str">
        <f>INDEX(Tabledaily[العملـــة],MATCH(TableDailyJournal[[#This Row],[رقم العملية]],Tabledaily[رقم العملية],0))</f>
        <v>ريال يمني</v>
      </c>
      <c r="J221" s="59">
        <f>IFERROR(INDEX(Tabledaily[سعــــــر
الصـــــرف],MATCH(C221,Tabledaily[رقم العملية],0)),1)</f>
        <v>405</v>
      </c>
      <c r="K221" s="123" cm="1">
        <f t="array" ref="K221">IFERROR(INDEX(Tabledaily[المبلـــــــغ],MATCH(1,(TableDailyJournal[[#This Row],[رقم العملية]]=Tabledaily[رقم العملية])*(TableDailyJournal[[#This Row],[الحساب]]=Tabledaily[الحســاب المديــــن]),0)),0)</f>
        <v>0</v>
      </c>
      <c r="L221" s="123" cm="1">
        <f t="array" ref="L221">IFERROR(INDEX(Tabledaily[المبلـــــــغ],MATCH(1,(TableDailyJournal[[#This Row],[رقم العملية]]=Tabledaily[رقم العملية])*(TableDailyJournal[[#This Row],[الحساب]]=Tabledaily[الحســاب الدئـــن]),0)),0)</f>
        <v>30000</v>
      </c>
      <c r="M221" s="119">
        <f>IFERROR(TableDailyJournal[[#This Row],[المبلغ مدين]]/TableDailyJournal[[#This Row],[سعــــــر
الصـــــرف]],0)</f>
        <v>0</v>
      </c>
      <c r="N221" s="119">
        <f>IFERROR(TableDailyJournal[[#This Row],[المبلغ دائن]]/TableDailyJournal[[#This Row],[سعــــــر
الصـــــرف]],0)</f>
        <v>74.074074074074076</v>
      </c>
      <c r="O221" s="121" t="str">
        <f>INDEX(Tabledaily[المستفيــــــــد],MATCH(TableDailyJournal[[#This Row],[رقم العملية]],Tabledaily[رقم العملية],0))</f>
        <v>التوجيه</v>
      </c>
      <c r="P221" s="121" t="str">
        <f>INDEX(Tabledaily[المــــرجـــــــــع],MATCH(TableDailyJournal[[#This Row],[رقم العملية]],Tabledaily[رقم العملية],0))</f>
        <v>كشف صرف</v>
      </c>
      <c r="Q221" s="121" t="str">
        <f>INDEX(Tabledaily[اســـــــم المــــرجــــع],MATCH(TableDailyJournal[[#This Row],[رقم العملية]],Tabledaily[رقم العملية],0))</f>
        <v>كشف صرف</v>
      </c>
      <c r="R221" s="121">
        <f>INDEX(Tabledaily[رقم المـــــرجـــع],MATCH(TableDailyJournal[[#This Row],[رقم العملية]],Tabledaily[رقم العملية],0))</f>
        <v>0</v>
      </c>
      <c r="S221" s="121" t="str">
        <f>INDEX(Tabledaily[مركـــــــزالتكلفــــــة],MATCH(TableDailyJournal[[#This Row],[رقم العملية]],Tabledaily[رقم العملية],0))</f>
        <v>الفرقة الثالثة</v>
      </c>
      <c r="T221" s="121">
        <f>IFERROR(INDEX(tablecost[رقم المركز],MATCH(TableDailyJournal[[#This Row],[مركـــــــزالتكلفــــــة]],tablecost[الاسم],0)),0)</f>
        <v>1</v>
      </c>
      <c r="U221" s="122">
        <f>IFERROR(DATE(TableDailyJournal[[#This Row],[السنــــة]],TableDailyJournal[[#This Row],[الشهــــر]],TableDailyJournal[[#This Row],[الـــــيوم]]),"01-01-2026")</f>
        <v>46182</v>
      </c>
      <c r="V221" s="126"/>
      <c r="W221" s="58"/>
      <c r="X221" s="58">
        <f>IFERROR(YEAR(TableDailyJournal[[#This Row],[التاريخ]]),"")</f>
        <v>2026</v>
      </c>
      <c r="Y221" s="58">
        <f>IFERROR(MONTH(TableDailyJournal[[#This Row],[التاريخ]]),"")</f>
        <v>6</v>
      </c>
      <c r="Z221" s="58">
        <f>IFERROR(DAY(TableDailyJournal[[#This Row],[التاريخ]]),"")</f>
        <v>9</v>
      </c>
      <c r="AA221"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221" s="121">
        <f>INDEX(Tabledaily[جهة الامر],MATCH(TableDailyJournal[[#This Row],[رقم العملية]],Tabledaily[رقم العملية],0))</f>
        <v>0</v>
      </c>
    </row>
    <row r="222" spans="2:28" ht="45.75" x14ac:dyDescent="0.55000000000000004">
      <c r="B222" s="58">
        <f t="shared" ref="B222:B253" si="6">ROW()-4</f>
        <v>218</v>
      </c>
      <c r="C222" s="59" t="s">
        <v>591</v>
      </c>
      <c r="D222" s="60">
        <f>INDEX(Tabledaily[date],MATCH(TableDailyJournal[[#This Row],[رقم العملية]],Tabledaily[رقم العملية],0))</f>
        <v>46182</v>
      </c>
      <c r="E222" s="58" t="str">
        <f>INDEX(Tabledaily[نوع العمليــة],MATCH(TableDailyJournal[[#This Row],[رقم العملية]],Tabledaily[رقم العملية],0))</f>
        <v>قيد عهده</v>
      </c>
      <c r="F222" s="58">
        <f>IFERROR(INDEX(TableJudje[رقم الحساب],MATCH(TableDailyJournal[[#This Row],[الحساب]],TableJudje[اسم الحساب],0)),0)</f>
        <v>31010101</v>
      </c>
      <c r="G222" s="58" t="s">
        <v>111</v>
      </c>
      <c r="H222"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I222" s="60" t="str">
        <f>INDEX(Tabledaily[العملـــة],MATCH(TableDailyJournal[[#This Row],[رقم العملية]],Tabledaily[رقم العملية],0))</f>
        <v>ريال يمني</v>
      </c>
      <c r="J222" s="59">
        <f>IFERROR(INDEX(Tabledaily[سعــــــر
الصـــــرف],MATCH(C222,Tabledaily[رقم العملية],0)),1)</f>
        <v>405</v>
      </c>
      <c r="K222" s="123" cm="1">
        <f t="array" ref="K222">IFERROR(INDEX(Tabledaily[المبلـــــــغ],MATCH(1,(TableDailyJournal[[#This Row],[رقم العملية]]=Tabledaily[رقم العملية])*(TableDailyJournal[[#This Row],[الحساب]]=Tabledaily[الحســاب المديــــن]),0)),0)</f>
        <v>128000</v>
      </c>
      <c r="L222" s="123" cm="1">
        <f t="array" ref="L222">IFERROR(INDEX(Tabledaily[المبلـــــــغ],MATCH(1,(TableDailyJournal[[#This Row],[رقم العملية]]=Tabledaily[رقم العملية])*(TableDailyJournal[[#This Row],[الحساب]]=Tabledaily[الحســاب الدئـــن]),0)),0)</f>
        <v>0</v>
      </c>
      <c r="M222" s="119">
        <f>IFERROR(TableDailyJournal[[#This Row],[المبلغ مدين]]/TableDailyJournal[[#This Row],[سعــــــر
الصـــــرف]],0)</f>
        <v>316.04938271604937</v>
      </c>
      <c r="N222" s="119">
        <f>IFERROR(TableDailyJournal[[#This Row],[المبلغ دائن]]/TableDailyJournal[[#This Row],[سعــــــر
الصـــــرف]],0)</f>
        <v>0</v>
      </c>
      <c r="O222" s="121" t="str">
        <f>INDEX(Tabledaily[المستفيــــــــد],MATCH(TableDailyJournal[[#This Row],[رقم العملية]],Tabledaily[رقم العملية],0))</f>
        <v>الامداد</v>
      </c>
      <c r="P222" s="121" t="str">
        <f>INDEX(Tabledaily[المــــرجـــــــــع],MATCH(TableDailyJournal[[#This Row],[رقم العملية]],Tabledaily[رقم العملية],0))</f>
        <v>كشف صرف</v>
      </c>
      <c r="Q222" s="121" t="str">
        <f>INDEX(Tabledaily[اســـــــم المــــرجــــع],MATCH(TableDailyJournal[[#This Row],[رقم العملية]],Tabledaily[رقم العملية],0))</f>
        <v>كشف صرف</v>
      </c>
      <c r="R222" s="121">
        <f>INDEX(Tabledaily[رقم المـــــرجـــع],MATCH(TableDailyJournal[[#This Row],[رقم العملية]],Tabledaily[رقم العملية],0))</f>
        <v>0</v>
      </c>
      <c r="S222" s="121" t="str">
        <f>INDEX(Tabledaily[مركـــــــزالتكلفــــــة],MATCH(TableDailyJournal[[#This Row],[رقم العملية]],Tabledaily[رقم العملية],0))</f>
        <v>الفرقة الثالثة</v>
      </c>
      <c r="T222" s="121">
        <f>IFERROR(INDEX(tablecost[رقم المركز],MATCH(TableDailyJournal[[#This Row],[مركـــــــزالتكلفــــــة]],tablecost[الاسم],0)),0)</f>
        <v>1</v>
      </c>
      <c r="U222" s="122">
        <f>IFERROR(DATE(TableDailyJournal[[#This Row],[السنــــة]],TableDailyJournal[[#This Row],[الشهــــر]],TableDailyJournal[[#This Row],[الـــــيوم]]),"01-01-2026")</f>
        <v>46182</v>
      </c>
      <c r="V222" s="126"/>
      <c r="W222" s="58"/>
      <c r="X222" s="58">
        <f>IFERROR(YEAR(TableDailyJournal[[#This Row],[التاريخ]]),"")</f>
        <v>2026</v>
      </c>
      <c r="Y222" s="58">
        <f>IFERROR(MONTH(TableDailyJournal[[#This Row],[التاريخ]]),"")</f>
        <v>6</v>
      </c>
      <c r="Z222" s="58">
        <f>IFERROR(DAY(TableDailyJournal[[#This Row],[التاريخ]]),"")</f>
        <v>9</v>
      </c>
      <c r="AA222"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AB222" s="121">
        <f>INDEX(Tabledaily[جهة الامر],MATCH(TableDailyJournal[[#This Row],[رقم العملية]],Tabledaily[رقم العملية],0))</f>
        <v>0</v>
      </c>
    </row>
    <row r="223" spans="2:28" ht="45.75" x14ac:dyDescent="0.55000000000000004">
      <c r="B223" s="58">
        <f t="shared" si="6"/>
        <v>219</v>
      </c>
      <c r="C223" s="59" t="s">
        <v>591</v>
      </c>
      <c r="D223" s="60">
        <f>INDEX(Tabledaily[date],MATCH(TableDailyJournal[[#This Row],[رقم العملية]],Tabledaily[رقم العملية],0))</f>
        <v>46182</v>
      </c>
      <c r="E223" s="58" t="str">
        <f>INDEX(Tabledaily[نوع العمليــة],MATCH(TableDailyJournal[[#This Row],[رقم العملية]],Tabledaily[رقم العملية],0))</f>
        <v>قيد عهده</v>
      </c>
      <c r="F223" s="58">
        <f>IFERROR(INDEX(TableJudje[رقم الحساب],MATCH(TableDailyJournal[[#This Row],[الحساب]],TableJudje[اسم الحساب],0)),0)</f>
        <v>11060205</v>
      </c>
      <c r="G223" s="58" t="s">
        <v>513</v>
      </c>
      <c r="H223"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I223" s="60" t="str">
        <f>INDEX(Tabledaily[العملـــة],MATCH(TableDailyJournal[[#This Row],[رقم العملية]],Tabledaily[رقم العملية],0))</f>
        <v>ريال يمني</v>
      </c>
      <c r="J223" s="59">
        <f>IFERROR(INDEX(Tabledaily[سعــــــر
الصـــــرف],MATCH(C223,Tabledaily[رقم العملية],0)),1)</f>
        <v>405</v>
      </c>
      <c r="K223" s="123" cm="1">
        <f t="array" ref="K223">IFERROR(INDEX(Tabledaily[المبلـــــــغ],MATCH(1,(TableDailyJournal[[#This Row],[رقم العملية]]=Tabledaily[رقم العملية])*(TableDailyJournal[[#This Row],[الحساب]]=Tabledaily[الحســاب المديــــن]),0)),0)</f>
        <v>0</v>
      </c>
      <c r="L223" s="123" cm="1">
        <f t="array" ref="L223">IFERROR(INDEX(Tabledaily[المبلـــــــغ],MATCH(1,(TableDailyJournal[[#This Row],[رقم العملية]]=Tabledaily[رقم العملية])*(TableDailyJournal[[#This Row],[الحساب]]=Tabledaily[الحســاب الدئـــن]),0)),0)</f>
        <v>128000</v>
      </c>
      <c r="M223" s="119">
        <f>IFERROR(TableDailyJournal[[#This Row],[المبلغ مدين]]/TableDailyJournal[[#This Row],[سعــــــر
الصـــــرف]],0)</f>
        <v>0</v>
      </c>
      <c r="N223" s="119">
        <f>IFERROR(TableDailyJournal[[#This Row],[المبلغ دائن]]/TableDailyJournal[[#This Row],[سعــــــر
الصـــــرف]],0)</f>
        <v>316.04938271604937</v>
      </c>
      <c r="O223" s="121" t="str">
        <f>INDEX(Tabledaily[المستفيــــــــد],MATCH(TableDailyJournal[[#This Row],[رقم العملية]],Tabledaily[رقم العملية],0))</f>
        <v>الامداد</v>
      </c>
      <c r="P223" s="121" t="str">
        <f>INDEX(Tabledaily[المــــرجـــــــــع],MATCH(TableDailyJournal[[#This Row],[رقم العملية]],Tabledaily[رقم العملية],0))</f>
        <v>كشف صرف</v>
      </c>
      <c r="Q223" s="121" t="str">
        <f>INDEX(Tabledaily[اســـــــم المــــرجــــع],MATCH(TableDailyJournal[[#This Row],[رقم العملية]],Tabledaily[رقم العملية],0))</f>
        <v>كشف صرف</v>
      </c>
      <c r="R223" s="121">
        <f>INDEX(Tabledaily[رقم المـــــرجـــع],MATCH(TableDailyJournal[[#This Row],[رقم العملية]],Tabledaily[رقم العملية],0))</f>
        <v>0</v>
      </c>
      <c r="S223" s="121" t="str">
        <f>INDEX(Tabledaily[مركـــــــزالتكلفــــــة],MATCH(TableDailyJournal[[#This Row],[رقم العملية]],Tabledaily[رقم العملية],0))</f>
        <v>الفرقة الثالثة</v>
      </c>
      <c r="T223" s="121">
        <f>IFERROR(INDEX(tablecost[رقم المركز],MATCH(TableDailyJournal[[#This Row],[مركـــــــزالتكلفــــــة]],tablecost[الاسم],0)),0)</f>
        <v>1</v>
      </c>
      <c r="U223" s="122">
        <f>IFERROR(DATE(TableDailyJournal[[#This Row],[السنــــة]],TableDailyJournal[[#This Row],[الشهــــر]],TableDailyJournal[[#This Row],[الـــــيوم]]),"01-01-2026")</f>
        <v>46182</v>
      </c>
      <c r="V223" s="126"/>
      <c r="W223" s="58"/>
      <c r="X223" s="58">
        <f>IFERROR(YEAR(TableDailyJournal[[#This Row],[التاريخ]]),"")</f>
        <v>2026</v>
      </c>
      <c r="Y223" s="58">
        <f>IFERROR(MONTH(TableDailyJournal[[#This Row],[التاريخ]]),"")</f>
        <v>6</v>
      </c>
      <c r="Z223" s="58">
        <f>IFERROR(DAY(TableDailyJournal[[#This Row],[التاريخ]]),"")</f>
        <v>9</v>
      </c>
      <c r="AA223"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AB223" s="121">
        <f>INDEX(Tabledaily[جهة الامر],MATCH(TableDailyJournal[[#This Row],[رقم العملية]],Tabledaily[رقم العملية],0))</f>
        <v>0</v>
      </c>
    </row>
    <row r="224" spans="2:28" ht="45.75" x14ac:dyDescent="0.55000000000000004">
      <c r="B224" s="58">
        <f t="shared" si="6"/>
        <v>220</v>
      </c>
      <c r="C224" s="59" t="s">
        <v>592</v>
      </c>
      <c r="D224" s="60">
        <f>INDEX(Tabledaily[date],MATCH(TableDailyJournal[[#This Row],[رقم العملية]],Tabledaily[رقم العملية],0))</f>
        <v>46182</v>
      </c>
      <c r="E224" s="58" t="str">
        <f>INDEX(Tabledaily[نوع العمليــة],MATCH(TableDailyJournal[[#This Row],[رقم العملية]],Tabledaily[رقم العملية],0))</f>
        <v>قيد عهده</v>
      </c>
      <c r="F224" s="58">
        <f>IFERROR(INDEX(TableJudje[رقم الحساب],MATCH(TableDailyJournal[[#This Row],[الحساب]],TableJudje[اسم الحساب],0)),0)</f>
        <v>31010101</v>
      </c>
      <c r="G224" s="58" t="s">
        <v>111</v>
      </c>
      <c r="H224"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224" s="60" t="str">
        <f>INDEX(Tabledaily[العملـــة],MATCH(TableDailyJournal[[#This Row],[رقم العملية]],Tabledaily[رقم العملية],0))</f>
        <v>ريال يمني</v>
      </c>
      <c r="J224" s="59">
        <f>IFERROR(INDEX(Tabledaily[سعــــــر
الصـــــرف],MATCH(C224,Tabledaily[رقم العملية],0)),1)</f>
        <v>405</v>
      </c>
      <c r="K224" s="123" cm="1">
        <f t="array" ref="K224">IFERROR(INDEX(Tabledaily[المبلـــــــغ],MATCH(1,(TableDailyJournal[[#This Row],[رقم العملية]]=Tabledaily[رقم العملية])*(TableDailyJournal[[#This Row],[الحساب]]=Tabledaily[الحســاب المديــــن]),0)),0)</f>
        <v>15000</v>
      </c>
      <c r="L224" s="123" cm="1">
        <f t="array" ref="L224">IFERROR(INDEX(Tabledaily[المبلـــــــغ],MATCH(1,(TableDailyJournal[[#This Row],[رقم العملية]]=Tabledaily[رقم العملية])*(TableDailyJournal[[#This Row],[الحساب]]=Tabledaily[الحســاب الدئـــن]),0)),0)</f>
        <v>0</v>
      </c>
      <c r="M224" s="119">
        <f>IFERROR(TableDailyJournal[[#This Row],[المبلغ مدين]]/TableDailyJournal[[#This Row],[سعــــــر
الصـــــرف]],0)</f>
        <v>37.037037037037038</v>
      </c>
      <c r="N224" s="119">
        <f>IFERROR(TableDailyJournal[[#This Row],[المبلغ دائن]]/TableDailyJournal[[#This Row],[سعــــــر
الصـــــرف]],0)</f>
        <v>0</v>
      </c>
      <c r="O224" s="121" t="str">
        <f>INDEX(Tabledaily[المستفيــــــــد],MATCH(TableDailyJournal[[#This Row],[رقم العملية]],Tabledaily[رقم العملية],0))</f>
        <v>البشرية و الصراف</v>
      </c>
      <c r="P224" s="121" t="str">
        <f>INDEX(Tabledaily[المــــرجـــــــــع],MATCH(TableDailyJournal[[#This Row],[رقم العملية]],Tabledaily[رقم العملية],0))</f>
        <v>كشف صرف</v>
      </c>
      <c r="Q224" s="121" t="str">
        <f>INDEX(Tabledaily[اســـــــم المــــرجــــع],MATCH(TableDailyJournal[[#This Row],[رقم العملية]],Tabledaily[رقم العملية],0))</f>
        <v>كشف صرف</v>
      </c>
      <c r="R224" s="121">
        <f>INDEX(Tabledaily[رقم المـــــرجـــع],MATCH(TableDailyJournal[[#This Row],[رقم العملية]],Tabledaily[رقم العملية],0))</f>
        <v>0</v>
      </c>
      <c r="S224" s="121" t="str">
        <f>INDEX(Tabledaily[مركـــــــزالتكلفــــــة],MATCH(TableDailyJournal[[#This Row],[رقم العملية]],Tabledaily[رقم العملية],0))</f>
        <v>الفرقة الثالثة</v>
      </c>
      <c r="T224" s="121">
        <f>IFERROR(INDEX(tablecost[رقم المركز],MATCH(TableDailyJournal[[#This Row],[مركـــــــزالتكلفــــــة]],tablecost[الاسم],0)),0)</f>
        <v>1</v>
      </c>
      <c r="U224" s="122">
        <f>IFERROR(DATE(TableDailyJournal[[#This Row],[السنــــة]],TableDailyJournal[[#This Row],[الشهــــر]],TableDailyJournal[[#This Row],[الـــــيوم]]),"01-01-2026")</f>
        <v>46182</v>
      </c>
      <c r="V224" s="126"/>
      <c r="W224" s="58"/>
      <c r="X224" s="58">
        <f>IFERROR(YEAR(TableDailyJournal[[#This Row],[التاريخ]]),"")</f>
        <v>2026</v>
      </c>
      <c r="Y224" s="58">
        <f>IFERROR(MONTH(TableDailyJournal[[#This Row],[التاريخ]]),"")</f>
        <v>6</v>
      </c>
      <c r="Z224" s="58">
        <f>IFERROR(DAY(TableDailyJournal[[#This Row],[التاريخ]]),"")</f>
        <v>9</v>
      </c>
      <c r="AA224"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224" s="121">
        <f>INDEX(Tabledaily[جهة الامر],MATCH(TableDailyJournal[[#This Row],[رقم العملية]],Tabledaily[رقم العملية],0))</f>
        <v>0</v>
      </c>
    </row>
    <row r="225" spans="2:28" ht="45.75" x14ac:dyDescent="0.55000000000000004">
      <c r="B225" s="58">
        <f t="shared" si="6"/>
        <v>221</v>
      </c>
      <c r="C225" s="59" t="s">
        <v>592</v>
      </c>
      <c r="D225" s="60">
        <f>INDEX(Tabledaily[date],MATCH(TableDailyJournal[[#This Row],[رقم العملية]],Tabledaily[رقم العملية],0))</f>
        <v>46182</v>
      </c>
      <c r="E225" s="58" t="str">
        <f>INDEX(Tabledaily[نوع العمليــة],MATCH(TableDailyJournal[[#This Row],[رقم العملية]],Tabledaily[رقم العملية],0))</f>
        <v>قيد عهده</v>
      </c>
      <c r="F225" s="58">
        <f>IFERROR(INDEX(TableJudje[رقم الحساب],MATCH(TableDailyJournal[[#This Row],[الحساب]],TableJudje[اسم الحساب],0)),0)</f>
        <v>11060205</v>
      </c>
      <c r="G225" s="58" t="s">
        <v>513</v>
      </c>
      <c r="H225"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225" s="60" t="str">
        <f>INDEX(Tabledaily[العملـــة],MATCH(TableDailyJournal[[#This Row],[رقم العملية]],Tabledaily[رقم العملية],0))</f>
        <v>ريال يمني</v>
      </c>
      <c r="J225" s="59">
        <f>IFERROR(INDEX(Tabledaily[سعــــــر
الصـــــرف],MATCH(C225,Tabledaily[رقم العملية],0)),1)</f>
        <v>405</v>
      </c>
      <c r="K225" s="123" cm="1">
        <f t="array" ref="K225">IFERROR(INDEX(Tabledaily[المبلـــــــغ],MATCH(1,(TableDailyJournal[[#This Row],[رقم العملية]]=Tabledaily[رقم العملية])*(TableDailyJournal[[#This Row],[الحساب]]=Tabledaily[الحســاب المديــــن]),0)),0)</f>
        <v>0</v>
      </c>
      <c r="L225" s="123" cm="1">
        <f t="array" ref="L225">IFERROR(INDEX(Tabledaily[المبلـــــــغ],MATCH(1,(TableDailyJournal[[#This Row],[رقم العملية]]=Tabledaily[رقم العملية])*(TableDailyJournal[[#This Row],[الحساب]]=Tabledaily[الحســاب الدئـــن]),0)),0)</f>
        <v>15000</v>
      </c>
      <c r="M225" s="119">
        <f>IFERROR(TableDailyJournal[[#This Row],[المبلغ مدين]]/TableDailyJournal[[#This Row],[سعــــــر
الصـــــرف]],0)</f>
        <v>0</v>
      </c>
      <c r="N225" s="119">
        <f>IFERROR(TableDailyJournal[[#This Row],[المبلغ دائن]]/TableDailyJournal[[#This Row],[سعــــــر
الصـــــرف]],0)</f>
        <v>37.037037037037038</v>
      </c>
      <c r="O225" s="121" t="str">
        <f>INDEX(Tabledaily[المستفيــــــــد],MATCH(TableDailyJournal[[#This Row],[رقم العملية]],Tabledaily[رقم العملية],0))</f>
        <v>البشرية و الصراف</v>
      </c>
      <c r="P225" s="121" t="str">
        <f>INDEX(Tabledaily[المــــرجـــــــــع],MATCH(TableDailyJournal[[#This Row],[رقم العملية]],Tabledaily[رقم العملية],0))</f>
        <v>كشف صرف</v>
      </c>
      <c r="Q225" s="121" t="str">
        <f>INDEX(Tabledaily[اســـــــم المــــرجــــع],MATCH(TableDailyJournal[[#This Row],[رقم العملية]],Tabledaily[رقم العملية],0))</f>
        <v>كشف صرف</v>
      </c>
      <c r="R225" s="121">
        <f>INDEX(Tabledaily[رقم المـــــرجـــع],MATCH(TableDailyJournal[[#This Row],[رقم العملية]],Tabledaily[رقم العملية],0))</f>
        <v>0</v>
      </c>
      <c r="S225" s="121" t="str">
        <f>INDEX(Tabledaily[مركـــــــزالتكلفــــــة],MATCH(TableDailyJournal[[#This Row],[رقم العملية]],Tabledaily[رقم العملية],0))</f>
        <v>الفرقة الثالثة</v>
      </c>
      <c r="T225" s="121">
        <f>IFERROR(INDEX(tablecost[رقم المركز],MATCH(TableDailyJournal[[#This Row],[مركـــــــزالتكلفــــــة]],tablecost[الاسم],0)),0)</f>
        <v>1</v>
      </c>
      <c r="U225" s="122">
        <f>IFERROR(DATE(TableDailyJournal[[#This Row],[السنــــة]],TableDailyJournal[[#This Row],[الشهــــر]],TableDailyJournal[[#This Row],[الـــــيوم]]),"01-01-2026")</f>
        <v>46182</v>
      </c>
      <c r="V225" s="126"/>
      <c r="W225" s="58"/>
      <c r="X225" s="58">
        <f>IFERROR(YEAR(TableDailyJournal[[#This Row],[التاريخ]]),"")</f>
        <v>2026</v>
      </c>
      <c r="Y225" s="58">
        <f>IFERROR(MONTH(TableDailyJournal[[#This Row],[التاريخ]]),"")</f>
        <v>6</v>
      </c>
      <c r="Z225" s="58">
        <f>IFERROR(DAY(TableDailyJournal[[#This Row],[التاريخ]]),"")</f>
        <v>9</v>
      </c>
      <c r="AA225"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225" s="121">
        <f>INDEX(Tabledaily[جهة الامر],MATCH(TableDailyJournal[[#This Row],[رقم العملية]],Tabledaily[رقم العملية],0))</f>
        <v>0</v>
      </c>
    </row>
    <row r="226" spans="2:28" ht="45.75" x14ac:dyDescent="0.55000000000000004">
      <c r="B226" s="58">
        <f t="shared" si="6"/>
        <v>222</v>
      </c>
      <c r="C226" s="59" t="s">
        <v>593</v>
      </c>
      <c r="D226" s="60">
        <f>INDEX(Tabledaily[date],MATCH(TableDailyJournal[[#This Row],[رقم العملية]],Tabledaily[رقم العملية],0))</f>
        <v>46182</v>
      </c>
      <c r="E226" s="58" t="str">
        <f>INDEX(Tabledaily[نوع العمليــة],MATCH(TableDailyJournal[[#This Row],[رقم العملية]],Tabledaily[رقم العملية],0))</f>
        <v>قيد عهده</v>
      </c>
      <c r="F226" s="58">
        <f>IFERROR(INDEX(TableJudje[رقم الحساب],MATCH(TableDailyJournal[[#This Row],[الحساب]],TableJudje[اسم الحساب],0)),0)</f>
        <v>31010101</v>
      </c>
      <c r="G226" s="58" t="s">
        <v>111</v>
      </c>
      <c r="H226"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226" s="60" t="str">
        <f>INDEX(Tabledaily[العملـــة],MATCH(TableDailyJournal[[#This Row],[رقم العملية]],Tabledaily[رقم العملية],0))</f>
        <v>ريال يمني</v>
      </c>
      <c r="J226" s="59">
        <f>IFERROR(INDEX(Tabledaily[سعــــــر
الصـــــرف],MATCH(C226,Tabledaily[رقم العملية],0)),1)</f>
        <v>405</v>
      </c>
      <c r="K226" s="123" cm="1">
        <f t="array" ref="K226">IFERROR(INDEX(Tabledaily[المبلـــــــغ],MATCH(1,(TableDailyJournal[[#This Row],[رقم العملية]]=Tabledaily[رقم العملية])*(TableDailyJournal[[#This Row],[الحساب]]=Tabledaily[الحســاب المديــــن]),0)),0)</f>
        <v>65000</v>
      </c>
      <c r="L226" s="123" cm="1">
        <f t="array" ref="L226">IFERROR(INDEX(Tabledaily[المبلـــــــغ],MATCH(1,(TableDailyJournal[[#This Row],[رقم العملية]]=Tabledaily[رقم العملية])*(TableDailyJournal[[#This Row],[الحساب]]=Tabledaily[الحســاب الدئـــن]),0)),0)</f>
        <v>0</v>
      </c>
      <c r="M226" s="119">
        <f>IFERROR(TableDailyJournal[[#This Row],[المبلغ مدين]]/TableDailyJournal[[#This Row],[سعــــــر
الصـــــرف]],0)</f>
        <v>160.49382716049382</v>
      </c>
      <c r="N226" s="119">
        <f>IFERROR(TableDailyJournal[[#This Row],[المبلغ دائن]]/TableDailyJournal[[#This Row],[سعــــــر
الصـــــرف]],0)</f>
        <v>0</v>
      </c>
      <c r="O226" s="121" t="str">
        <f>INDEX(Tabledaily[المستفيــــــــد],MATCH(TableDailyJournal[[#This Row],[رقم العملية]],Tabledaily[رقم العملية],0))</f>
        <v>الاستخبارات</v>
      </c>
      <c r="P226" s="121" t="str">
        <f>INDEX(Tabledaily[المــــرجـــــــــع],MATCH(TableDailyJournal[[#This Row],[رقم العملية]],Tabledaily[رقم العملية],0))</f>
        <v>كشف صرف</v>
      </c>
      <c r="Q226" s="121" t="str">
        <f>INDEX(Tabledaily[اســـــــم المــــرجــــع],MATCH(TableDailyJournal[[#This Row],[رقم العملية]],Tabledaily[رقم العملية],0))</f>
        <v>كشف صرف</v>
      </c>
      <c r="R226" s="121">
        <f>INDEX(Tabledaily[رقم المـــــرجـــع],MATCH(TableDailyJournal[[#This Row],[رقم العملية]],Tabledaily[رقم العملية],0))</f>
        <v>0</v>
      </c>
      <c r="S226" s="121" t="str">
        <f>INDEX(Tabledaily[مركـــــــزالتكلفــــــة],MATCH(TableDailyJournal[[#This Row],[رقم العملية]],Tabledaily[رقم العملية],0))</f>
        <v>الفرقة الثالثة</v>
      </c>
      <c r="T226" s="121">
        <f>IFERROR(INDEX(tablecost[رقم المركز],MATCH(TableDailyJournal[[#This Row],[مركـــــــزالتكلفــــــة]],tablecost[الاسم],0)),0)</f>
        <v>1</v>
      </c>
      <c r="U226" s="122">
        <f>IFERROR(DATE(TableDailyJournal[[#This Row],[السنــــة]],TableDailyJournal[[#This Row],[الشهــــر]],TableDailyJournal[[#This Row],[الـــــيوم]]),"01-01-2026")</f>
        <v>46182</v>
      </c>
      <c r="V226" s="126"/>
      <c r="W226" s="58"/>
      <c r="X226" s="58">
        <f>IFERROR(YEAR(TableDailyJournal[[#This Row],[التاريخ]]),"")</f>
        <v>2026</v>
      </c>
      <c r="Y226" s="58">
        <f>IFERROR(MONTH(TableDailyJournal[[#This Row],[التاريخ]]),"")</f>
        <v>6</v>
      </c>
      <c r="Z226" s="58">
        <f>IFERROR(DAY(TableDailyJournal[[#This Row],[التاريخ]]),"")</f>
        <v>9</v>
      </c>
      <c r="AA226"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226" s="121">
        <f>INDEX(Tabledaily[جهة الامر],MATCH(TableDailyJournal[[#This Row],[رقم العملية]],Tabledaily[رقم العملية],0))</f>
        <v>0</v>
      </c>
    </row>
    <row r="227" spans="2:28" ht="45.75" x14ac:dyDescent="0.55000000000000004">
      <c r="B227" s="58">
        <f t="shared" si="6"/>
        <v>223</v>
      </c>
      <c r="C227" s="59" t="s">
        <v>593</v>
      </c>
      <c r="D227" s="60">
        <f>INDEX(Tabledaily[date],MATCH(TableDailyJournal[[#This Row],[رقم العملية]],Tabledaily[رقم العملية],0))</f>
        <v>46182</v>
      </c>
      <c r="E227" s="58" t="str">
        <f>INDEX(Tabledaily[نوع العمليــة],MATCH(TableDailyJournal[[#This Row],[رقم العملية]],Tabledaily[رقم العملية],0))</f>
        <v>قيد عهده</v>
      </c>
      <c r="F227" s="58">
        <f>IFERROR(INDEX(TableJudje[رقم الحساب],MATCH(TableDailyJournal[[#This Row],[الحساب]],TableJudje[اسم الحساب],0)),0)</f>
        <v>11060205</v>
      </c>
      <c r="G227" s="58" t="s">
        <v>513</v>
      </c>
      <c r="H227"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227" s="60" t="str">
        <f>INDEX(Tabledaily[العملـــة],MATCH(TableDailyJournal[[#This Row],[رقم العملية]],Tabledaily[رقم العملية],0))</f>
        <v>ريال يمني</v>
      </c>
      <c r="J227" s="59">
        <f>IFERROR(INDEX(Tabledaily[سعــــــر
الصـــــرف],MATCH(C227,Tabledaily[رقم العملية],0)),1)</f>
        <v>405</v>
      </c>
      <c r="K227" s="123" cm="1">
        <f t="array" ref="K227">IFERROR(INDEX(Tabledaily[المبلـــــــغ],MATCH(1,(TableDailyJournal[[#This Row],[رقم العملية]]=Tabledaily[رقم العملية])*(TableDailyJournal[[#This Row],[الحساب]]=Tabledaily[الحســاب المديــــن]),0)),0)</f>
        <v>0</v>
      </c>
      <c r="L227" s="123" cm="1">
        <f t="array" ref="L227">IFERROR(INDEX(Tabledaily[المبلـــــــغ],MATCH(1,(TableDailyJournal[[#This Row],[رقم العملية]]=Tabledaily[رقم العملية])*(TableDailyJournal[[#This Row],[الحساب]]=Tabledaily[الحســاب الدئـــن]),0)),0)</f>
        <v>65000</v>
      </c>
      <c r="M227" s="119">
        <f>IFERROR(TableDailyJournal[[#This Row],[المبلغ مدين]]/TableDailyJournal[[#This Row],[سعــــــر
الصـــــرف]],0)</f>
        <v>0</v>
      </c>
      <c r="N227" s="119">
        <f>IFERROR(TableDailyJournal[[#This Row],[المبلغ دائن]]/TableDailyJournal[[#This Row],[سعــــــر
الصـــــرف]],0)</f>
        <v>160.49382716049382</v>
      </c>
      <c r="O227" s="121" t="str">
        <f>INDEX(Tabledaily[المستفيــــــــد],MATCH(TableDailyJournal[[#This Row],[رقم العملية]],Tabledaily[رقم العملية],0))</f>
        <v>الاستخبارات</v>
      </c>
      <c r="P227" s="121" t="str">
        <f>INDEX(Tabledaily[المــــرجـــــــــع],MATCH(TableDailyJournal[[#This Row],[رقم العملية]],Tabledaily[رقم العملية],0))</f>
        <v>كشف صرف</v>
      </c>
      <c r="Q227" s="121" t="str">
        <f>INDEX(Tabledaily[اســـــــم المــــرجــــع],MATCH(TableDailyJournal[[#This Row],[رقم العملية]],Tabledaily[رقم العملية],0))</f>
        <v>كشف صرف</v>
      </c>
      <c r="R227" s="121">
        <f>INDEX(Tabledaily[رقم المـــــرجـــع],MATCH(TableDailyJournal[[#This Row],[رقم العملية]],Tabledaily[رقم العملية],0))</f>
        <v>0</v>
      </c>
      <c r="S227" s="121" t="str">
        <f>INDEX(Tabledaily[مركـــــــزالتكلفــــــة],MATCH(TableDailyJournal[[#This Row],[رقم العملية]],Tabledaily[رقم العملية],0))</f>
        <v>الفرقة الثالثة</v>
      </c>
      <c r="T227" s="121">
        <f>IFERROR(INDEX(tablecost[رقم المركز],MATCH(TableDailyJournal[[#This Row],[مركـــــــزالتكلفــــــة]],tablecost[الاسم],0)),0)</f>
        <v>1</v>
      </c>
      <c r="U227" s="122">
        <f>IFERROR(DATE(TableDailyJournal[[#This Row],[السنــــة]],TableDailyJournal[[#This Row],[الشهــــر]],TableDailyJournal[[#This Row],[الـــــيوم]]),"01-01-2026")</f>
        <v>46182</v>
      </c>
      <c r="V227" s="126"/>
      <c r="W227" s="58"/>
      <c r="X227" s="58">
        <f>IFERROR(YEAR(TableDailyJournal[[#This Row],[التاريخ]]),"")</f>
        <v>2026</v>
      </c>
      <c r="Y227" s="58">
        <f>IFERROR(MONTH(TableDailyJournal[[#This Row],[التاريخ]]),"")</f>
        <v>6</v>
      </c>
      <c r="Z227" s="58">
        <f>IFERROR(DAY(TableDailyJournal[[#This Row],[التاريخ]]),"")</f>
        <v>9</v>
      </c>
      <c r="AA227"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227" s="121">
        <f>INDEX(Tabledaily[جهة الامر],MATCH(TableDailyJournal[[#This Row],[رقم العملية]],Tabledaily[رقم العملية],0))</f>
        <v>0</v>
      </c>
    </row>
    <row r="228" spans="2:28" ht="45.75" x14ac:dyDescent="0.55000000000000004">
      <c r="B228" s="58">
        <f t="shared" si="6"/>
        <v>224</v>
      </c>
      <c r="C228" s="59" t="s">
        <v>594</v>
      </c>
      <c r="D228" s="60">
        <f>INDEX(Tabledaily[date],MATCH(TableDailyJournal[[#This Row],[رقم العملية]],Tabledaily[رقم العملية],0))</f>
        <v>46182</v>
      </c>
      <c r="E228" s="58" t="str">
        <f>INDEX(Tabledaily[نوع العمليــة],MATCH(TableDailyJournal[[#This Row],[رقم العملية]],Tabledaily[رقم العملية],0))</f>
        <v>قيد عهده</v>
      </c>
      <c r="F228" s="58">
        <f>IFERROR(INDEX(TableJudje[رقم الحساب],MATCH(TableDailyJournal[[#This Row],[الحساب]],TableJudje[اسم الحساب],0)),0)</f>
        <v>31010101</v>
      </c>
      <c r="G228" s="58" t="s">
        <v>111</v>
      </c>
      <c r="H228"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I228" s="60" t="str">
        <f>INDEX(Tabledaily[العملـــة],MATCH(TableDailyJournal[[#This Row],[رقم العملية]],Tabledaily[رقم العملية],0))</f>
        <v>ريال يمني</v>
      </c>
      <c r="J228" s="59">
        <f>IFERROR(INDEX(Tabledaily[سعــــــر
الصـــــرف],MATCH(C228,Tabledaily[رقم العملية],0)),1)</f>
        <v>405</v>
      </c>
      <c r="K228" s="123" cm="1">
        <f t="array" ref="K228">IFERROR(INDEX(Tabledaily[المبلـــــــغ],MATCH(1,(TableDailyJournal[[#This Row],[رقم العملية]]=Tabledaily[رقم العملية])*(TableDailyJournal[[#This Row],[الحساب]]=Tabledaily[الحســاب المديــــن]),0)),0)</f>
        <v>30000</v>
      </c>
      <c r="L228" s="123" cm="1">
        <f t="array" ref="L228">IFERROR(INDEX(Tabledaily[المبلـــــــغ],MATCH(1,(TableDailyJournal[[#This Row],[رقم العملية]]=Tabledaily[رقم العملية])*(TableDailyJournal[[#This Row],[الحساب]]=Tabledaily[الحســاب الدئـــن]),0)),0)</f>
        <v>0</v>
      </c>
      <c r="M228" s="119">
        <f>IFERROR(TableDailyJournal[[#This Row],[المبلغ مدين]]/TableDailyJournal[[#This Row],[سعــــــر
الصـــــرف]],0)</f>
        <v>74.074074074074076</v>
      </c>
      <c r="N228" s="119">
        <f>IFERROR(TableDailyJournal[[#This Row],[المبلغ دائن]]/TableDailyJournal[[#This Row],[سعــــــر
الصـــــرف]],0)</f>
        <v>0</v>
      </c>
      <c r="O228" s="121" t="str">
        <f>INDEX(Tabledaily[المستفيــــــــد],MATCH(TableDailyJournal[[#This Row],[رقم العملية]],Tabledaily[رقم العملية],0))</f>
        <v>المدفعية</v>
      </c>
      <c r="P228" s="121" t="str">
        <f>INDEX(Tabledaily[المــــرجـــــــــع],MATCH(TableDailyJournal[[#This Row],[رقم العملية]],Tabledaily[رقم العملية],0))</f>
        <v>كشف صرف</v>
      </c>
      <c r="Q228" s="121" t="str">
        <f>INDEX(Tabledaily[اســـــــم المــــرجــــع],MATCH(TableDailyJournal[[#This Row],[رقم العملية]],Tabledaily[رقم العملية],0))</f>
        <v>كشف صرف</v>
      </c>
      <c r="R228" s="121">
        <f>INDEX(Tabledaily[رقم المـــــرجـــع],MATCH(TableDailyJournal[[#This Row],[رقم العملية]],Tabledaily[رقم العملية],0))</f>
        <v>0</v>
      </c>
      <c r="S228" s="121" t="str">
        <f>INDEX(Tabledaily[مركـــــــزالتكلفــــــة],MATCH(TableDailyJournal[[#This Row],[رقم العملية]],Tabledaily[رقم العملية],0))</f>
        <v>الفرقة الثالثة</v>
      </c>
      <c r="T228" s="121">
        <f>IFERROR(INDEX(tablecost[رقم المركز],MATCH(TableDailyJournal[[#This Row],[مركـــــــزالتكلفــــــة]],tablecost[الاسم],0)),0)</f>
        <v>1</v>
      </c>
      <c r="U228" s="122">
        <f>IFERROR(DATE(TableDailyJournal[[#This Row],[السنــــة]],TableDailyJournal[[#This Row],[الشهــــر]],TableDailyJournal[[#This Row],[الـــــيوم]]),"01-01-2026")</f>
        <v>46182</v>
      </c>
      <c r="V228" s="126"/>
      <c r="W228" s="58"/>
      <c r="X228" s="58">
        <f>IFERROR(YEAR(TableDailyJournal[[#This Row],[التاريخ]]),"")</f>
        <v>2026</v>
      </c>
      <c r="Y228" s="58">
        <f>IFERROR(MONTH(TableDailyJournal[[#This Row],[التاريخ]]),"")</f>
        <v>6</v>
      </c>
      <c r="Z228" s="58">
        <f>IFERROR(DAY(TableDailyJournal[[#This Row],[التاريخ]]),"")</f>
        <v>9</v>
      </c>
      <c r="AA228"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AB228" s="121">
        <f>INDEX(Tabledaily[جهة الامر],MATCH(TableDailyJournal[[#This Row],[رقم العملية]],Tabledaily[رقم العملية],0))</f>
        <v>0</v>
      </c>
    </row>
    <row r="229" spans="2:28" ht="45.75" x14ac:dyDescent="0.55000000000000004">
      <c r="B229" s="58">
        <f t="shared" si="6"/>
        <v>225</v>
      </c>
      <c r="C229" s="59" t="s">
        <v>594</v>
      </c>
      <c r="D229" s="60">
        <f>INDEX(Tabledaily[date],MATCH(TableDailyJournal[[#This Row],[رقم العملية]],Tabledaily[رقم العملية],0))</f>
        <v>46182</v>
      </c>
      <c r="E229" s="58" t="str">
        <f>INDEX(Tabledaily[نوع العمليــة],MATCH(TableDailyJournal[[#This Row],[رقم العملية]],Tabledaily[رقم العملية],0))</f>
        <v>قيد عهده</v>
      </c>
      <c r="F229" s="58">
        <f>IFERROR(INDEX(TableJudje[رقم الحساب],MATCH(TableDailyJournal[[#This Row],[الحساب]],TableJudje[اسم الحساب],0)),0)</f>
        <v>11060205</v>
      </c>
      <c r="G229" s="58" t="s">
        <v>513</v>
      </c>
      <c r="H229"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I229" s="60" t="str">
        <f>INDEX(Tabledaily[العملـــة],MATCH(TableDailyJournal[[#This Row],[رقم العملية]],Tabledaily[رقم العملية],0))</f>
        <v>ريال يمني</v>
      </c>
      <c r="J229" s="59">
        <f>IFERROR(INDEX(Tabledaily[سعــــــر
الصـــــرف],MATCH(C229,Tabledaily[رقم العملية],0)),1)</f>
        <v>405</v>
      </c>
      <c r="K229" s="123" cm="1">
        <f t="array" ref="K229">IFERROR(INDEX(Tabledaily[المبلـــــــغ],MATCH(1,(TableDailyJournal[[#This Row],[رقم العملية]]=Tabledaily[رقم العملية])*(TableDailyJournal[[#This Row],[الحساب]]=Tabledaily[الحســاب المديــــن]),0)),0)</f>
        <v>0</v>
      </c>
      <c r="L229" s="123" cm="1">
        <f t="array" ref="L229">IFERROR(INDEX(Tabledaily[المبلـــــــغ],MATCH(1,(TableDailyJournal[[#This Row],[رقم العملية]]=Tabledaily[رقم العملية])*(TableDailyJournal[[#This Row],[الحساب]]=Tabledaily[الحســاب الدئـــن]),0)),0)</f>
        <v>30000</v>
      </c>
      <c r="M229" s="119">
        <f>IFERROR(TableDailyJournal[[#This Row],[المبلغ مدين]]/TableDailyJournal[[#This Row],[سعــــــر
الصـــــرف]],0)</f>
        <v>0</v>
      </c>
      <c r="N229" s="119">
        <f>IFERROR(TableDailyJournal[[#This Row],[المبلغ دائن]]/TableDailyJournal[[#This Row],[سعــــــر
الصـــــرف]],0)</f>
        <v>74.074074074074076</v>
      </c>
      <c r="O229" s="121" t="str">
        <f>INDEX(Tabledaily[المستفيــــــــد],MATCH(TableDailyJournal[[#This Row],[رقم العملية]],Tabledaily[رقم العملية],0))</f>
        <v>المدفعية</v>
      </c>
      <c r="P229" s="121" t="str">
        <f>INDEX(Tabledaily[المــــرجـــــــــع],MATCH(TableDailyJournal[[#This Row],[رقم العملية]],Tabledaily[رقم العملية],0))</f>
        <v>كشف صرف</v>
      </c>
      <c r="Q229" s="121" t="str">
        <f>INDEX(Tabledaily[اســـــــم المــــرجــــع],MATCH(TableDailyJournal[[#This Row],[رقم العملية]],Tabledaily[رقم العملية],0))</f>
        <v>كشف صرف</v>
      </c>
      <c r="R229" s="121">
        <f>INDEX(Tabledaily[رقم المـــــرجـــع],MATCH(TableDailyJournal[[#This Row],[رقم العملية]],Tabledaily[رقم العملية],0))</f>
        <v>0</v>
      </c>
      <c r="S229" s="121" t="str">
        <f>INDEX(Tabledaily[مركـــــــزالتكلفــــــة],MATCH(TableDailyJournal[[#This Row],[رقم العملية]],Tabledaily[رقم العملية],0))</f>
        <v>الفرقة الثالثة</v>
      </c>
      <c r="T229" s="121">
        <f>IFERROR(INDEX(tablecost[رقم المركز],MATCH(TableDailyJournal[[#This Row],[مركـــــــزالتكلفــــــة]],tablecost[الاسم],0)),0)</f>
        <v>1</v>
      </c>
      <c r="U229" s="122">
        <f>IFERROR(DATE(TableDailyJournal[[#This Row],[السنــــة]],TableDailyJournal[[#This Row],[الشهــــر]],TableDailyJournal[[#This Row],[الـــــيوم]]),"01-01-2026")</f>
        <v>46182</v>
      </c>
      <c r="V229" s="126"/>
      <c r="W229" s="58"/>
      <c r="X229" s="58">
        <f>IFERROR(YEAR(TableDailyJournal[[#This Row],[التاريخ]]),"")</f>
        <v>2026</v>
      </c>
      <c r="Y229" s="58">
        <f>IFERROR(MONTH(TableDailyJournal[[#This Row],[التاريخ]]),"")</f>
        <v>6</v>
      </c>
      <c r="Z229" s="58">
        <f>IFERROR(DAY(TableDailyJournal[[#This Row],[التاريخ]]),"")</f>
        <v>9</v>
      </c>
      <c r="AA229"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AB229" s="121">
        <f>INDEX(Tabledaily[جهة الامر],MATCH(TableDailyJournal[[#This Row],[رقم العملية]],Tabledaily[رقم العملية],0))</f>
        <v>0</v>
      </c>
    </row>
    <row r="230" spans="2:28" ht="45.75" x14ac:dyDescent="0.55000000000000004">
      <c r="B230" s="58">
        <f t="shared" si="6"/>
        <v>226</v>
      </c>
      <c r="C230" s="59" t="s">
        <v>596</v>
      </c>
      <c r="D230" s="60">
        <f>INDEX(Tabledaily[date],MATCH(TableDailyJournal[[#This Row],[رقم العملية]],Tabledaily[رقم العملية],0))</f>
        <v>46182</v>
      </c>
      <c r="E230" s="58" t="str">
        <f>INDEX(Tabledaily[نوع العمليــة],MATCH(TableDailyJournal[[#This Row],[رقم العملية]],Tabledaily[رقم العملية],0))</f>
        <v>قيد عهده</v>
      </c>
      <c r="F230" s="58">
        <f>IFERROR(INDEX(TableJudje[رقم الحساب],MATCH(TableDailyJournal[[#This Row],[الحساب]],TableJudje[اسم الحساب],0)),0)</f>
        <v>31010101</v>
      </c>
      <c r="G230" s="58" t="s">
        <v>111</v>
      </c>
      <c r="H230"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I230" s="60" t="str">
        <f>INDEX(Tabledaily[العملـــة],MATCH(TableDailyJournal[[#This Row],[رقم العملية]],Tabledaily[رقم العملية],0))</f>
        <v>ريال يمني</v>
      </c>
      <c r="J230" s="59">
        <f>IFERROR(INDEX(Tabledaily[سعــــــر
الصـــــرف],MATCH(C230,Tabledaily[رقم العملية],0)),1)</f>
        <v>405</v>
      </c>
      <c r="K230" s="123" cm="1">
        <f t="array" ref="K230">IFERROR(INDEX(Tabledaily[المبلـــــــغ],MATCH(1,(TableDailyJournal[[#This Row],[رقم العملية]]=Tabledaily[رقم العملية])*(TableDailyJournal[[#This Row],[الحساب]]=Tabledaily[الحســاب المديــــن]),0)),0)</f>
        <v>70000</v>
      </c>
      <c r="L230" s="123" cm="1">
        <f t="array" ref="L230">IFERROR(INDEX(Tabledaily[المبلـــــــغ],MATCH(1,(TableDailyJournal[[#This Row],[رقم العملية]]=Tabledaily[رقم العملية])*(TableDailyJournal[[#This Row],[الحساب]]=Tabledaily[الحســاب الدئـــن]),0)),0)</f>
        <v>0</v>
      </c>
      <c r="M230" s="119">
        <f>IFERROR(TableDailyJournal[[#This Row],[المبلغ مدين]]/TableDailyJournal[[#This Row],[سعــــــر
الصـــــرف]],0)</f>
        <v>172.83950617283949</v>
      </c>
      <c r="N230" s="119">
        <f>IFERROR(TableDailyJournal[[#This Row],[المبلغ دائن]]/TableDailyJournal[[#This Row],[سعــــــر
الصـــــرف]],0)</f>
        <v>0</v>
      </c>
      <c r="O230" s="121" t="str">
        <f>INDEX(Tabledaily[المستفيــــــــد],MATCH(TableDailyJournal[[#This Row],[رقم العملية]],Tabledaily[رقم العملية],0))</f>
        <v>المستشارين والمساعدين</v>
      </c>
      <c r="P230" s="121" t="str">
        <f>INDEX(Tabledaily[المــــرجـــــــــع],MATCH(TableDailyJournal[[#This Row],[رقم العملية]],Tabledaily[رقم العملية],0))</f>
        <v>كشف صرف</v>
      </c>
      <c r="Q230" s="121" t="str">
        <f>INDEX(Tabledaily[اســـــــم المــــرجــــع],MATCH(TableDailyJournal[[#This Row],[رقم العملية]],Tabledaily[رقم العملية],0))</f>
        <v>كشف صرف</v>
      </c>
      <c r="R230" s="121">
        <f>INDEX(Tabledaily[رقم المـــــرجـــع],MATCH(TableDailyJournal[[#This Row],[رقم العملية]],Tabledaily[رقم العملية],0))</f>
        <v>0</v>
      </c>
      <c r="S230" s="121" t="str">
        <f>INDEX(Tabledaily[مركـــــــزالتكلفــــــة],MATCH(TableDailyJournal[[#This Row],[رقم العملية]],Tabledaily[رقم العملية],0))</f>
        <v>الفرقة الثالثة</v>
      </c>
      <c r="T230" s="121">
        <f>IFERROR(INDEX(tablecost[رقم المركز],MATCH(TableDailyJournal[[#This Row],[مركـــــــزالتكلفــــــة]],tablecost[الاسم],0)),0)</f>
        <v>1</v>
      </c>
      <c r="U230" s="122">
        <f>IFERROR(DATE(TableDailyJournal[[#This Row],[السنــــة]],TableDailyJournal[[#This Row],[الشهــــر]],TableDailyJournal[[#This Row],[الـــــيوم]]),"01-01-2026")</f>
        <v>46182</v>
      </c>
      <c r="V230" s="126"/>
      <c r="W230" s="58"/>
      <c r="X230" s="58">
        <f>IFERROR(YEAR(TableDailyJournal[[#This Row],[التاريخ]]),"")</f>
        <v>2026</v>
      </c>
      <c r="Y230" s="58">
        <f>IFERROR(MONTH(TableDailyJournal[[#This Row],[التاريخ]]),"")</f>
        <v>6</v>
      </c>
      <c r="Z230" s="58">
        <f>IFERROR(DAY(TableDailyJournal[[#This Row],[التاريخ]]),"")</f>
        <v>9</v>
      </c>
      <c r="AA230"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AB230" s="121">
        <f>INDEX(Tabledaily[جهة الامر],MATCH(TableDailyJournal[[#This Row],[رقم العملية]],Tabledaily[رقم العملية],0))</f>
        <v>0</v>
      </c>
    </row>
    <row r="231" spans="2:28" ht="45.75" x14ac:dyDescent="0.55000000000000004">
      <c r="B231" s="58">
        <f t="shared" si="6"/>
        <v>227</v>
      </c>
      <c r="C231" s="59" t="s">
        <v>596</v>
      </c>
      <c r="D231" s="60">
        <f>INDEX(Tabledaily[date],MATCH(TableDailyJournal[[#This Row],[رقم العملية]],Tabledaily[رقم العملية],0))</f>
        <v>46182</v>
      </c>
      <c r="E231" s="58" t="str">
        <f>INDEX(Tabledaily[نوع العمليــة],MATCH(TableDailyJournal[[#This Row],[رقم العملية]],Tabledaily[رقم العملية],0))</f>
        <v>قيد عهده</v>
      </c>
      <c r="F231" s="58">
        <f>IFERROR(INDEX(TableJudje[رقم الحساب],MATCH(TableDailyJournal[[#This Row],[الحساب]],TableJudje[اسم الحساب],0)),0)</f>
        <v>11060205</v>
      </c>
      <c r="G231" s="58" t="s">
        <v>513</v>
      </c>
      <c r="H231"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I231" s="60" t="str">
        <f>INDEX(Tabledaily[العملـــة],MATCH(TableDailyJournal[[#This Row],[رقم العملية]],Tabledaily[رقم العملية],0))</f>
        <v>ريال يمني</v>
      </c>
      <c r="J231" s="59">
        <f>IFERROR(INDEX(Tabledaily[سعــــــر
الصـــــرف],MATCH(C231,Tabledaily[رقم العملية],0)),1)</f>
        <v>405</v>
      </c>
      <c r="K231" s="123" cm="1">
        <f t="array" ref="K231">IFERROR(INDEX(Tabledaily[المبلـــــــغ],MATCH(1,(TableDailyJournal[[#This Row],[رقم العملية]]=Tabledaily[رقم العملية])*(TableDailyJournal[[#This Row],[الحساب]]=Tabledaily[الحســاب المديــــن]),0)),0)</f>
        <v>0</v>
      </c>
      <c r="L231" s="123" cm="1">
        <f t="array" ref="L231">IFERROR(INDEX(Tabledaily[المبلـــــــغ],MATCH(1,(TableDailyJournal[[#This Row],[رقم العملية]]=Tabledaily[رقم العملية])*(TableDailyJournal[[#This Row],[الحساب]]=Tabledaily[الحســاب الدئـــن]),0)),0)</f>
        <v>70000</v>
      </c>
      <c r="M231" s="119">
        <f>IFERROR(TableDailyJournal[[#This Row],[المبلغ مدين]]/TableDailyJournal[[#This Row],[سعــــــر
الصـــــرف]],0)</f>
        <v>0</v>
      </c>
      <c r="N231" s="119">
        <f>IFERROR(TableDailyJournal[[#This Row],[المبلغ دائن]]/TableDailyJournal[[#This Row],[سعــــــر
الصـــــرف]],0)</f>
        <v>172.83950617283949</v>
      </c>
      <c r="O231" s="121" t="str">
        <f>INDEX(Tabledaily[المستفيــــــــد],MATCH(TableDailyJournal[[#This Row],[رقم العملية]],Tabledaily[رقم العملية],0))</f>
        <v>المستشارين والمساعدين</v>
      </c>
      <c r="P231" s="121" t="str">
        <f>INDEX(Tabledaily[المــــرجـــــــــع],MATCH(TableDailyJournal[[#This Row],[رقم العملية]],Tabledaily[رقم العملية],0))</f>
        <v>كشف صرف</v>
      </c>
      <c r="Q231" s="121" t="str">
        <f>INDEX(Tabledaily[اســـــــم المــــرجــــع],MATCH(TableDailyJournal[[#This Row],[رقم العملية]],Tabledaily[رقم العملية],0))</f>
        <v>كشف صرف</v>
      </c>
      <c r="R231" s="121">
        <f>INDEX(Tabledaily[رقم المـــــرجـــع],MATCH(TableDailyJournal[[#This Row],[رقم العملية]],Tabledaily[رقم العملية],0))</f>
        <v>0</v>
      </c>
      <c r="S231" s="121" t="str">
        <f>INDEX(Tabledaily[مركـــــــزالتكلفــــــة],MATCH(TableDailyJournal[[#This Row],[رقم العملية]],Tabledaily[رقم العملية],0))</f>
        <v>الفرقة الثالثة</v>
      </c>
      <c r="T231" s="121">
        <f>IFERROR(INDEX(tablecost[رقم المركز],MATCH(TableDailyJournal[[#This Row],[مركـــــــزالتكلفــــــة]],tablecost[الاسم],0)),0)</f>
        <v>1</v>
      </c>
      <c r="U231" s="122">
        <f>IFERROR(DATE(TableDailyJournal[[#This Row],[السنــــة]],TableDailyJournal[[#This Row],[الشهــــر]],TableDailyJournal[[#This Row],[الـــــيوم]]),"01-01-2026")</f>
        <v>46182</v>
      </c>
      <c r="V231" s="126"/>
      <c r="W231" s="58"/>
      <c r="X231" s="58">
        <f>IFERROR(YEAR(TableDailyJournal[[#This Row],[التاريخ]]),"")</f>
        <v>2026</v>
      </c>
      <c r="Y231" s="58">
        <f>IFERROR(MONTH(TableDailyJournal[[#This Row],[التاريخ]]),"")</f>
        <v>6</v>
      </c>
      <c r="Z231" s="58">
        <f>IFERROR(DAY(TableDailyJournal[[#This Row],[التاريخ]]),"")</f>
        <v>9</v>
      </c>
      <c r="AA231"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AB231" s="121">
        <f>INDEX(Tabledaily[جهة الامر],MATCH(TableDailyJournal[[#This Row],[رقم العملية]],Tabledaily[رقم العملية],0))</f>
        <v>0</v>
      </c>
    </row>
    <row r="232" spans="2:28" ht="45.75" x14ac:dyDescent="0.55000000000000004">
      <c r="B232" s="58">
        <f t="shared" si="6"/>
        <v>228</v>
      </c>
      <c r="C232" s="59" t="s">
        <v>598</v>
      </c>
      <c r="D232" s="60">
        <f>INDEX(Tabledaily[date],MATCH(TableDailyJournal[[#This Row],[رقم العملية]],Tabledaily[رقم العملية],0))</f>
        <v>46182</v>
      </c>
      <c r="E232" s="58" t="str">
        <f>INDEX(Tabledaily[نوع العمليــة],MATCH(TableDailyJournal[[#This Row],[رقم العملية]],Tabledaily[رقم العملية],0))</f>
        <v>قيد عهده</v>
      </c>
      <c r="F232" s="58">
        <f>IFERROR(INDEX(TableJudje[رقم الحساب],MATCH(TableDailyJournal[[#This Row],[الحساب]],TableJudje[اسم الحساب],0)),0)</f>
        <v>31010101</v>
      </c>
      <c r="G232" s="58" t="s">
        <v>111</v>
      </c>
      <c r="H232"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I232" s="60" t="str">
        <f>INDEX(Tabledaily[العملـــة],MATCH(TableDailyJournal[[#This Row],[رقم العملية]],Tabledaily[رقم العملية],0))</f>
        <v>ريال يمني</v>
      </c>
      <c r="J232" s="59">
        <f>IFERROR(INDEX(Tabledaily[سعــــــر
الصـــــرف],MATCH(C232,Tabledaily[رقم العملية],0)),1)</f>
        <v>405</v>
      </c>
      <c r="K232" s="123" cm="1">
        <f t="array" ref="K232">IFERROR(INDEX(Tabledaily[المبلـــــــغ],MATCH(1,(TableDailyJournal[[#This Row],[رقم العملية]]=Tabledaily[رقم العملية])*(TableDailyJournal[[#This Row],[الحساب]]=Tabledaily[الحســاب المديــــن]),0)),0)</f>
        <v>32000</v>
      </c>
      <c r="L232" s="123" cm="1">
        <f t="array" ref="L232">IFERROR(INDEX(Tabledaily[المبلـــــــغ],MATCH(1,(TableDailyJournal[[#This Row],[رقم العملية]]=Tabledaily[رقم العملية])*(TableDailyJournal[[#This Row],[الحساب]]=Tabledaily[الحســاب الدئـــن]),0)),0)</f>
        <v>0</v>
      </c>
      <c r="M232" s="119">
        <f>IFERROR(TableDailyJournal[[#This Row],[المبلغ مدين]]/TableDailyJournal[[#This Row],[سعــــــر
الصـــــرف]],0)</f>
        <v>79.012345679012341</v>
      </c>
      <c r="N232" s="119">
        <f>IFERROR(TableDailyJournal[[#This Row],[المبلغ دائن]]/TableDailyJournal[[#This Row],[سعــــــر
الصـــــرف]],0)</f>
        <v>0</v>
      </c>
      <c r="O232" s="121" t="str">
        <f>INDEX(Tabledaily[المستفيــــــــد],MATCH(TableDailyJournal[[#This Row],[رقم العملية]],Tabledaily[رقم العملية],0))</f>
        <v>الطبية والمحاسبين</v>
      </c>
      <c r="P232" s="121" t="str">
        <f>INDEX(Tabledaily[المــــرجـــــــــع],MATCH(TableDailyJournal[[#This Row],[رقم العملية]],Tabledaily[رقم العملية],0))</f>
        <v>كشف صرف</v>
      </c>
      <c r="Q232" s="121" t="str">
        <f>INDEX(Tabledaily[اســـــــم المــــرجــــع],MATCH(TableDailyJournal[[#This Row],[رقم العملية]],Tabledaily[رقم العملية],0))</f>
        <v>كشف صرف</v>
      </c>
      <c r="R232" s="121">
        <f>INDEX(Tabledaily[رقم المـــــرجـــع],MATCH(TableDailyJournal[[#This Row],[رقم العملية]],Tabledaily[رقم العملية],0))</f>
        <v>0</v>
      </c>
      <c r="S232" s="121" t="str">
        <f>INDEX(Tabledaily[مركـــــــزالتكلفــــــة],MATCH(TableDailyJournal[[#This Row],[رقم العملية]],Tabledaily[رقم العملية],0))</f>
        <v>الفرقة الثالثة</v>
      </c>
      <c r="T232" s="121">
        <f>IFERROR(INDEX(tablecost[رقم المركز],MATCH(TableDailyJournal[[#This Row],[مركـــــــزالتكلفــــــة]],tablecost[الاسم],0)),0)</f>
        <v>1</v>
      </c>
      <c r="U232" s="122">
        <f>IFERROR(DATE(TableDailyJournal[[#This Row],[السنــــة]],TableDailyJournal[[#This Row],[الشهــــر]],TableDailyJournal[[#This Row],[الـــــيوم]]),"01-01-2026")</f>
        <v>46182</v>
      </c>
      <c r="V232" s="126"/>
      <c r="W232" s="58"/>
      <c r="X232" s="58">
        <f>IFERROR(YEAR(TableDailyJournal[[#This Row],[التاريخ]]),"")</f>
        <v>2026</v>
      </c>
      <c r="Y232" s="58">
        <f>IFERROR(MONTH(TableDailyJournal[[#This Row],[التاريخ]]),"")</f>
        <v>6</v>
      </c>
      <c r="Z232" s="58">
        <f>IFERROR(DAY(TableDailyJournal[[#This Row],[التاريخ]]),"")</f>
        <v>9</v>
      </c>
      <c r="AA232"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AB232" s="121">
        <f>INDEX(Tabledaily[جهة الامر],MATCH(TableDailyJournal[[#This Row],[رقم العملية]],Tabledaily[رقم العملية],0))</f>
        <v>0</v>
      </c>
    </row>
    <row r="233" spans="2:28" ht="45.75" x14ac:dyDescent="0.55000000000000004">
      <c r="B233" s="58">
        <f t="shared" si="6"/>
        <v>229</v>
      </c>
      <c r="C233" s="59" t="s">
        <v>598</v>
      </c>
      <c r="D233" s="60">
        <f>INDEX(Tabledaily[date],MATCH(TableDailyJournal[[#This Row],[رقم العملية]],Tabledaily[رقم العملية],0))</f>
        <v>46182</v>
      </c>
      <c r="E233" s="58" t="str">
        <f>INDEX(Tabledaily[نوع العمليــة],MATCH(TableDailyJournal[[#This Row],[رقم العملية]],Tabledaily[رقم العملية],0))</f>
        <v>قيد عهده</v>
      </c>
      <c r="F233" s="58">
        <f>IFERROR(INDEX(TableJudje[رقم الحساب],MATCH(TableDailyJournal[[#This Row],[الحساب]],TableJudje[اسم الحساب],0)),0)</f>
        <v>11060205</v>
      </c>
      <c r="G233" s="58" t="s">
        <v>513</v>
      </c>
      <c r="H233"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I233" s="60" t="str">
        <f>INDEX(Tabledaily[العملـــة],MATCH(TableDailyJournal[[#This Row],[رقم العملية]],Tabledaily[رقم العملية],0))</f>
        <v>ريال يمني</v>
      </c>
      <c r="J233" s="59">
        <f>IFERROR(INDEX(Tabledaily[سعــــــر
الصـــــرف],MATCH(C233,Tabledaily[رقم العملية],0)),1)</f>
        <v>405</v>
      </c>
      <c r="K233" s="123" cm="1">
        <f t="array" ref="K233">IFERROR(INDEX(Tabledaily[المبلـــــــغ],MATCH(1,(TableDailyJournal[[#This Row],[رقم العملية]]=Tabledaily[رقم العملية])*(TableDailyJournal[[#This Row],[الحساب]]=Tabledaily[الحســاب المديــــن]),0)),0)</f>
        <v>0</v>
      </c>
      <c r="L233" s="123" cm="1">
        <f t="array" ref="L233">IFERROR(INDEX(Tabledaily[المبلـــــــغ],MATCH(1,(TableDailyJournal[[#This Row],[رقم العملية]]=Tabledaily[رقم العملية])*(TableDailyJournal[[#This Row],[الحساب]]=Tabledaily[الحســاب الدئـــن]),0)),0)</f>
        <v>32000</v>
      </c>
      <c r="M233" s="119">
        <f>IFERROR(TableDailyJournal[[#This Row],[المبلغ مدين]]/TableDailyJournal[[#This Row],[سعــــــر
الصـــــرف]],0)</f>
        <v>0</v>
      </c>
      <c r="N233" s="119">
        <f>IFERROR(TableDailyJournal[[#This Row],[المبلغ دائن]]/TableDailyJournal[[#This Row],[سعــــــر
الصـــــرف]],0)</f>
        <v>79.012345679012341</v>
      </c>
      <c r="O233" s="121" t="str">
        <f>INDEX(Tabledaily[المستفيــــــــد],MATCH(TableDailyJournal[[#This Row],[رقم العملية]],Tabledaily[رقم العملية],0))</f>
        <v>الطبية والمحاسبين</v>
      </c>
      <c r="P233" s="121" t="str">
        <f>INDEX(Tabledaily[المــــرجـــــــــع],MATCH(TableDailyJournal[[#This Row],[رقم العملية]],Tabledaily[رقم العملية],0))</f>
        <v>كشف صرف</v>
      </c>
      <c r="Q233" s="121" t="str">
        <f>INDEX(Tabledaily[اســـــــم المــــرجــــع],MATCH(TableDailyJournal[[#This Row],[رقم العملية]],Tabledaily[رقم العملية],0))</f>
        <v>كشف صرف</v>
      </c>
      <c r="R233" s="121">
        <f>INDEX(Tabledaily[رقم المـــــرجـــع],MATCH(TableDailyJournal[[#This Row],[رقم العملية]],Tabledaily[رقم العملية],0))</f>
        <v>0</v>
      </c>
      <c r="S233" s="121" t="str">
        <f>INDEX(Tabledaily[مركـــــــزالتكلفــــــة],MATCH(TableDailyJournal[[#This Row],[رقم العملية]],Tabledaily[رقم العملية],0))</f>
        <v>الفرقة الثالثة</v>
      </c>
      <c r="T233" s="121">
        <f>IFERROR(INDEX(tablecost[رقم المركز],MATCH(TableDailyJournal[[#This Row],[مركـــــــزالتكلفــــــة]],tablecost[الاسم],0)),0)</f>
        <v>1</v>
      </c>
      <c r="U233" s="122">
        <f>IFERROR(DATE(TableDailyJournal[[#This Row],[السنــــة]],TableDailyJournal[[#This Row],[الشهــــر]],TableDailyJournal[[#This Row],[الـــــيوم]]),"01-01-2026")</f>
        <v>46182</v>
      </c>
      <c r="V233" s="126"/>
      <c r="W233" s="58"/>
      <c r="X233" s="58">
        <f>IFERROR(YEAR(TableDailyJournal[[#This Row],[التاريخ]]),"")</f>
        <v>2026</v>
      </c>
      <c r="Y233" s="58">
        <f>IFERROR(MONTH(TableDailyJournal[[#This Row],[التاريخ]]),"")</f>
        <v>6</v>
      </c>
      <c r="Z233" s="58">
        <f>IFERROR(DAY(TableDailyJournal[[#This Row],[التاريخ]]),"")</f>
        <v>9</v>
      </c>
      <c r="AA233"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5 بامر</v>
      </c>
      <c r="AB233" s="121">
        <f>INDEX(Tabledaily[جهة الامر],MATCH(TableDailyJournal[[#This Row],[رقم العملية]],Tabledaily[رقم العملية],0))</f>
        <v>0</v>
      </c>
    </row>
    <row r="234" spans="2:28" ht="45.75" x14ac:dyDescent="0.55000000000000004">
      <c r="B234" s="58">
        <f t="shared" si="6"/>
        <v>230</v>
      </c>
      <c r="C234" s="59" t="s">
        <v>599</v>
      </c>
      <c r="D234" s="60">
        <f>INDEX(Tabledaily[date],MATCH(TableDailyJournal[[#This Row],[رقم العملية]],Tabledaily[رقم العملية],0))</f>
        <v>46182</v>
      </c>
      <c r="E234" s="58" t="str">
        <f>INDEX(Tabledaily[نوع العمليــة],MATCH(TableDailyJournal[[#This Row],[رقم العملية]],Tabledaily[رقم العملية],0))</f>
        <v>قيد عهده</v>
      </c>
      <c r="F234" s="58">
        <f>IFERROR(INDEX(TableJudje[رقم الحساب],MATCH(TableDailyJournal[[#This Row],[الحساب]],TableJudje[اسم الحساب],0)),0)</f>
        <v>31010101</v>
      </c>
      <c r="G234" s="58" t="s">
        <v>111</v>
      </c>
      <c r="H234"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234" s="60" t="str">
        <f>INDEX(Tabledaily[العملـــة],MATCH(TableDailyJournal[[#This Row],[رقم العملية]],Tabledaily[رقم العملية],0))</f>
        <v>ريال يمني</v>
      </c>
      <c r="J234" s="59">
        <f>IFERROR(INDEX(Tabledaily[سعــــــر
الصـــــرف],MATCH(C234,Tabledaily[رقم العملية],0)),1)</f>
        <v>405</v>
      </c>
      <c r="K234" s="123" cm="1">
        <f t="array" ref="K234">IFERROR(INDEX(Tabledaily[المبلـــــــغ],MATCH(1,(TableDailyJournal[[#This Row],[رقم العملية]]=Tabledaily[رقم العملية])*(TableDailyJournal[[#This Row],[الحساب]]=Tabledaily[الحســاب المديــــن]),0)),0)</f>
        <v>70000</v>
      </c>
      <c r="L234" s="123" cm="1">
        <f t="array" ref="L234">IFERROR(INDEX(Tabledaily[المبلـــــــغ],MATCH(1,(TableDailyJournal[[#This Row],[رقم العملية]]=Tabledaily[رقم العملية])*(TableDailyJournal[[#This Row],[الحساب]]=Tabledaily[الحســاب الدئـــن]),0)),0)</f>
        <v>0</v>
      </c>
      <c r="M234" s="119">
        <f>IFERROR(TableDailyJournal[[#This Row],[المبلغ مدين]]/TableDailyJournal[[#This Row],[سعــــــر
الصـــــرف]],0)</f>
        <v>172.83950617283949</v>
      </c>
      <c r="N234" s="119">
        <f>IFERROR(TableDailyJournal[[#This Row],[المبلغ دائن]]/TableDailyJournal[[#This Row],[سعــــــر
الصـــــرف]],0)</f>
        <v>0</v>
      </c>
      <c r="O234" s="121" t="str">
        <f>INDEX(Tabledaily[المستفيــــــــد],MATCH(TableDailyJournal[[#This Row],[رقم العملية]],Tabledaily[رقم العملية],0))</f>
        <v>الضباط السابقين</v>
      </c>
      <c r="P234" s="121" t="str">
        <f>INDEX(Tabledaily[المــــرجـــــــــع],MATCH(TableDailyJournal[[#This Row],[رقم العملية]],Tabledaily[رقم العملية],0))</f>
        <v>كشف صرف</v>
      </c>
      <c r="Q234" s="121" t="str">
        <f>INDEX(Tabledaily[اســـــــم المــــرجــــع],MATCH(TableDailyJournal[[#This Row],[رقم العملية]],Tabledaily[رقم العملية],0))</f>
        <v>كشف صرف</v>
      </c>
      <c r="R234" s="121">
        <f>INDEX(Tabledaily[رقم المـــــرجـــع],MATCH(TableDailyJournal[[#This Row],[رقم العملية]],Tabledaily[رقم العملية],0))</f>
        <v>0</v>
      </c>
      <c r="S234" s="121" t="str">
        <f>INDEX(Tabledaily[مركـــــــزالتكلفــــــة],MATCH(TableDailyJournal[[#This Row],[رقم العملية]],Tabledaily[رقم العملية],0))</f>
        <v>الفرقة الثالثة</v>
      </c>
      <c r="T234" s="121">
        <f>IFERROR(INDEX(tablecost[رقم المركز],MATCH(TableDailyJournal[[#This Row],[مركـــــــزالتكلفــــــة]],tablecost[الاسم],0)),0)</f>
        <v>1</v>
      </c>
      <c r="U234" s="122">
        <f>IFERROR(DATE(TableDailyJournal[[#This Row],[السنــــة]],TableDailyJournal[[#This Row],[الشهــــر]],TableDailyJournal[[#This Row],[الـــــيوم]]),"01-01-2026")</f>
        <v>46182</v>
      </c>
      <c r="V234" s="126"/>
      <c r="W234" s="58"/>
      <c r="X234" s="58">
        <f>IFERROR(YEAR(TableDailyJournal[[#This Row],[التاريخ]]),"")</f>
        <v>2026</v>
      </c>
      <c r="Y234" s="58">
        <f>IFERROR(MONTH(TableDailyJournal[[#This Row],[التاريخ]]),"")</f>
        <v>6</v>
      </c>
      <c r="Z234" s="58">
        <f>IFERROR(DAY(TableDailyJournal[[#This Row],[التاريخ]]),"")</f>
        <v>9</v>
      </c>
      <c r="AA234"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234" s="121">
        <f>INDEX(Tabledaily[جهة الامر],MATCH(TableDailyJournal[[#This Row],[رقم العملية]],Tabledaily[رقم العملية],0))</f>
        <v>0</v>
      </c>
    </row>
    <row r="235" spans="2:28" ht="45.75" x14ac:dyDescent="0.55000000000000004">
      <c r="B235" s="58">
        <f t="shared" si="6"/>
        <v>231</v>
      </c>
      <c r="C235" s="59" t="s">
        <v>599</v>
      </c>
      <c r="D235" s="60">
        <f>INDEX(Tabledaily[date],MATCH(TableDailyJournal[[#This Row],[رقم العملية]],Tabledaily[رقم العملية],0))</f>
        <v>46182</v>
      </c>
      <c r="E235" s="58" t="str">
        <f>INDEX(Tabledaily[نوع العمليــة],MATCH(TableDailyJournal[[#This Row],[رقم العملية]],Tabledaily[رقم العملية],0))</f>
        <v>قيد عهده</v>
      </c>
      <c r="F235" s="58">
        <f>IFERROR(INDEX(TableJudje[رقم الحساب],MATCH(TableDailyJournal[[#This Row],[الحساب]],TableJudje[اسم الحساب],0)),0)</f>
        <v>11060205</v>
      </c>
      <c r="G235" s="58" t="s">
        <v>513</v>
      </c>
      <c r="H235"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235" s="60" t="str">
        <f>INDEX(Tabledaily[العملـــة],MATCH(TableDailyJournal[[#This Row],[رقم العملية]],Tabledaily[رقم العملية],0))</f>
        <v>ريال يمني</v>
      </c>
      <c r="J235" s="59">
        <f>IFERROR(INDEX(Tabledaily[سعــــــر
الصـــــرف],MATCH(C235,Tabledaily[رقم العملية],0)),1)</f>
        <v>405</v>
      </c>
      <c r="K235" s="123" cm="1">
        <f t="array" ref="K235">IFERROR(INDEX(Tabledaily[المبلـــــــغ],MATCH(1,(TableDailyJournal[[#This Row],[رقم العملية]]=Tabledaily[رقم العملية])*(TableDailyJournal[[#This Row],[الحساب]]=Tabledaily[الحســاب المديــــن]),0)),0)</f>
        <v>0</v>
      </c>
      <c r="L235" s="123" cm="1">
        <f t="array" ref="L235">IFERROR(INDEX(Tabledaily[المبلـــــــغ],MATCH(1,(TableDailyJournal[[#This Row],[رقم العملية]]=Tabledaily[رقم العملية])*(TableDailyJournal[[#This Row],[الحساب]]=Tabledaily[الحســاب الدئـــن]),0)),0)</f>
        <v>70000</v>
      </c>
      <c r="M235" s="119">
        <f>IFERROR(TableDailyJournal[[#This Row],[المبلغ مدين]]/TableDailyJournal[[#This Row],[سعــــــر
الصـــــرف]],0)</f>
        <v>0</v>
      </c>
      <c r="N235" s="119">
        <f>IFERROR(TableDailyJournal[[#This Row],[المبلغ دائن]]/TableDailyJournal[[#This Row],[سعــــــر
الصـــــرف]],0)</f>
        <v>172.83950617283949</v>
      </c>
      <c r="O235" s="121" t="str">
        <f>INDEX(Tabledaily[المستفيــــــــد],MATCH(TableDailyJournal[[#This Row],[رقم العملية]],Tabledaily[رقم العملية],0))</f>
        <v>الضباط السابقين</v>
      </c>
      <c r="P235" s="121" t="str">
        <f>INDEX(Tabledaily[المــــرجـــــــــع],MATCH(TableDailyJournal[[#This Row],[رقم العملية]],Tabledaily[رقم العملية],0))</f>
        <v>كشف صرف</v>
      </c>
      <c r="Q235" s="121" t="str">
        <f>INDEX(Tabledaily[اســـــــم المــــرجــــع],MATCH(TableDailyJournal[[#This Row],[رقم العملية]],Tabledaily[رقم العملية],0))</f>
        <v>كشف صرف</v>
      </c>
      <c r="R235" s="121">
        <f>INDEX(Tabledaily[رقم المـــــرجـــع],MATCH(TableDailyJournal[[#This Row],[رقم العملية]],Tabledaily[رقم العملية],0))</f>
        <v>0</v>
      </c>
      <c r="S235" s="121" t="str">
        <f>INDEX(Tabledaily[مركـــــــزالتكلفــــــة],MATCH(TableDailyJournal[[#This Row],[رقم العملية]],Tabledaily[رقم العملية],0))</f>
        <v>الفرقة الثالثة</v>
      </c>
      <c r="T235" s="121">
        <f>IFERROR(INDEX(tablecost[رقم المركز],MATCH(TableDailyJournal[[#This Row],[مركـــــــزالتكلفــــــة]],tablecost[الاسم],0)),0)</f>
        <v>1</v>
      </c>
      <c r="U235" s="122">
        <f>IFERROR(DATE(TableDailyJournal[[#This Row],[السنــــة]],TableDailyJournal[[#This Row],[الشهــــر]],TableDailyJournal[[#This Row],[الـــــيوم]]),"01-01-2026")</f>
        <v>46182</v>
      </c>
      <c r="V235" s="126"/>
      <c r="W235" s="58"/>
      <c r="X235" s="58">
        <f>IFERROR(YEAR(TableDailyJournal[[#This Row],[التاريخ]]),"")</f>
        <v>2026</v>
      </c>
      <c r="Y235" s="58">
        <f>IFERROR(MONTH(TableDailyJournal[[#This Row],[التاريخ]]),"")</f>
        <v>6</v>
      </c>
      <c r="Z235" s="58">
        <f>IFERROR(DAY(TableDailyJournal[[#This Row],[التاريخ]]),"")</f>
        <v>9</v>
      </c>
      <c r="AA235"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235" s="121">
        <f>INDEX(Tabledaily[جهة الامر],MATCH(TableDailyJournal[[#This Row],[رقم العملية]],Tabledaily[رقم العملية],0))</f>
        <v>0</v>
      </c>
    </row>
    <row r="236" spans="2:28" ht="45.75" x14ac:dyDescent="0.55000000000000004">
      <c r="B236" s="58">
        <f t="shared" si="6"/>
        <v>232</v>
      </c>
      <c r="C236" s="59" t="s">
        <v>600</v>
      </c>
      <c r="D236" s="60">
        <f>INDEX(Tabledaily[date],MATCH(TableDailyJournal[[#This Row],[رقم العملية]],Tabledaily[رقم العملية],0))</f>
        <v>46182</v>
      </c>
      <c r="E236" s="58" t="str">
        <f>INDEX(Tabledaily[نوع العمليــة],MATCH(TableDailyJournal[[#This Row],[رقم العملية]],Tabledaily[رقم العملية],0))</f>
        <v>قيد عهده</v>
      </c>
      <c r="F236" s="58">
        <f>IFERROR(INDEX(TableJudje[رقم الحساب],MATCH(TableDailyJournal[[#This Row],[الحساب]],TableJudje[اسم الحساب],0)),0)</f>
        <v>31010101</v>
      </c>
      <c r="G236" s="58" t="s">
        <v>111</v>
      </c>
      <c r="H236"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13 بامر</v>
      </c>
      <c r="I236" s="60" t="str">
        <f>INDEX(Tabledaily[العملـــة],MATCH(TableDailyJournal[[#This Row],[رقم العملية]],Tabledaily[رقم العملية],0))</f>
        <v>ريال يمني</v>
      </c>
      <c r="J236" s="59">
        <f>IFERROR(INDEX(Tabledaily[سعــــــر
الصـــــرف],MATCH(C236,Tabledaily[رقم العملية],0)),1)</f>
        <v>405</v>
      </c>
      <c r="K236" s="123" cm="1">
        <f t="array" ref="K236">IFERROR(INDEX(Tabledaily[المبلـــــــغ],MATCH(1,(TableDailyJournal[[#This Row],[رقم العملية]]=Tabledaily[رقم العملية])*(TableDailyJournal[[#This Row],[الحساب]]=Tabledaily[الحســاب المديــــن]),0)),0)</f>
        <v>99000</v>
      </c>
      <c r="L236" s="123" cm="1">
        <f t="array" ref="L236">IFERROR(INDEX(Tabledaily[المبلـــــــغ],MATCH(1,(TableDailyJournal[[#This Row],[رقم العملية]]=Tabledaily[رقم العملية])*(TableDailyJournal[[#This Row],[الحساب]]=Tabledaily[الحســاب الدئـــن]),0)),0)</f>
        <v>0</v>
      </c>
      <c r="M236" s="119">
        <f>IFERROR(TableDailyJournal[[#This Row],[المبلغ مدين]]/TableDailyJournal[[#This Row],[سعــــــر
الصـــــرف]],0)</f>
        <v>244.44444444444446</v>
      </c>
      <c r="N236" s="119">
        <f>IFERROR(TableDailyJournal[[#This Row],[المبلغ دائن]]/TableDailyJournal[[#This Row],[سعــــــر
الصـــــرف]],0)</f>
        <v>0</v>
      </c>
      <c r="O236" s="121" t="str">
        <f>INDEX(Tabledaily[المستفيــــــــد],MATCH(TableDailyJournal[[#This Row],[رقم العملية]],Tabledaily[رقم العملية],0))</f>
        <v>اخرون</v>
      </c>
      <c r="P236" s="121" t="str">
        <f>INDEX(Tabledaily[المــــرجـــــــــع],MATCH(TableDailyJournal[[#This Row],[رقم العملية]],Tabledaily[رقم العملية],0))</f>
        <v>كشف صرف</v>
      </c>
      <c r="Q236" s="121" t="str">
        <f>INDEX(Tabledaily[اســـــــم المــــرجــــع],MATCH(TableDailyJournal[[#This Row],[رقم العملية]],Tabledaily[رقم العملية],0))</f>
        <v>كشف صرف</v>
      </c>
      <c r="R236" s="121">
        <f>INDEX(Tabledaily[رقم المـــــرجـــع],MATCH(TableDailyJournal[[#This Row],[رقم العملية]],Tabledaily[رقم العملية],0))</f>
        <v>0</v>
      </c>
      <c r="S236" s="121" t="str">
        <f>INDEX(Tabledaily[مركـــــــزالتكلفــــــة],MATCH(TableDailyJournal[[#This Row],[رقم العملية]],Tabledaily[رقم العملية],0))</f>
        <v>الفرقة الثالثة</v>
      </c>
      <c r="T236" s="121">
        <f>IFERROR(INDEX(tablecost[رقم المركز],MATCH(TableDailyJournal[[#This Row],[مركـــــــزالتكلفــــــة]],tablecost[الاسم],0)),0)</f>
        <v>1</v>
      </c>
      <c r="U236" s="122">
        <f>IFERROR(DATE(TableDailyJournal[[#This Row],[السنــــة]],TableDailyJournal[[#This Row],[الشهــــر]],TableDailyJournal[[#This Row],[الـــــيوم]]),"01-01-2026")</f>
        <v>46182</v>
      </c>
      <c r="V236" s="126"/>
      <c r="W236" s="58"/>
      <c r="X236" s="58">
        <f>IFERROR(YEAR(TableDailyJournal[[#This Row],[التاريخ]]),"")</f>
        <v>2026</v>
      </c>
      <c r="Y236" s="58">
        <f>IFERROR(MONTH(TableDailyJournal[[#This Row],[التاريخ]]),"")</f>
        <v>6</v>
      </c>
      <c r="Z236" s="58">
        <f>IFERROR(DAY(TableDailyJournal[[#This Row],[التاريخ]]),"")</f>
        <v>9</v>
      </c>
      <c r="AA236"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13 بامر</v>
      </c>
      <c r="AB236" s="121">
        <f>INDEX(Tabledaily[جهة الامر],MATCH(TableDailyJournal[[#This Row],[رقم العملية]],Tabledaily[رقم العملية],0))</f>
        <v>0</v>
      </c>
    </row>
    <row r="237" spans="2:28" ht="45.75" x14ac:dyDescent="0.55000000000000004">
      <c r="B237" s="58">
        <f t="shared" si="6"/>
        <v>233</v>
      </c>
      <c r="C237" s="59" t="s">
        <v>600</v>
      </c>
      <c r="D237" s="60">
        <f>INDEX(Tabledaily[date],MATCH(TableDailyJournal[[#This Row],[رقم العملية]],Tabledaily[رقم العملية],0))</f>
        <v>46182</v>
      </c>
      <c r="E237" s="58" t="str">
        <f>INDEX(Tabledaily[نوع العمليــة],MATCH(TableDailyJournal[[#This Row],[رقم العملية]],Tabledaily[رقم العملية],0))</f>
        <v>قيد عهده</v>
      </c>
      <c r="F237" s="58">
        <f>IFERROR(INDEX(TableJudje[رقم الحساب],MATCH(TableDailyJournal[[#This Row],[الحساب]],TableJudje[اسم الحساب],0)),0)</f>
        <v>11060205</v>
      </c>
      <c r="G237" s="58" t="s">
        <v>513</v>
      </c>
      <c r="H237"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13 بامر</v>
      </c>
      <c r="I237" s="60" t="str">
        <f>INDEX(Tabledaily[العملـــة],MATCH(TableDailyJournal[[#This Row],[رقم العملية]],Tabledaily[رقم العملية],0))</f>
        <v>ريال يمني</v>
      </c>
      <c r="J237" s="59">
        <f>IFERROR(INDEX(Tabledaily[سعــــــر
الصـــــرف],MATCH(C237,Tabledaily[رقم العملية],0)),1)</f>
        <v>405</v>
      </c>
      <c r="K237" s="123" cm="1">
        <f t="array" ref="K237">IFERROR(INDEX(Tabledaily[المبلـــــــغ],MATCH(1,(TableDailyJournal[[#This Row],[رقم العملية]]=Tabledaily[رقم العملية])*(TableDailyJournal[[#This Row],[الحساب]]=Tabledaily[الحســاب المديــــن]),0)),0)</f>
        <v>0</v>
      </c>
      <c r="L237" s="123" cm="1">
        <f t="array" ref="L237">IFERROR(INDEX(Tabledaily[المبلـــــــغ],MATCH(1,(TableDailyJournal[[#This Row],[رقم العملية]]=Tabledaily[رقم العملية])*(TableDailyJournal[[#This Row],[الحساب]]=Tabledaily[الحســاب الدئـــن]),0)),0)</f>
        <v>99000</v>
      </c>
      <c r="M237" s="119">
        <f>IFERROR(TableDailyJournal[[#This Row],[المبلغ مدين]]/TableDailyJournal[[#This Row],[سعــــــر
الصـــــرف]],0)</f>
        <v>0</v>
      </c>
      <c r="N237" s="119">
        <f>IFERROR(TableDailyJournal[[#This Row],[المبلغ دائن]]/TableDailyJournal[[#This Row],[سعــــــر
الصـــــرف]],0)</f>
        <v>244.44444444444446</v>
      </c>
      <c r="O237" s="121" t="str">
        <f>INDEX(Tabledaily[المستفيــــــــد],MATCH(TableDailyJournal[[#This Row],[رقم العملية]],Tabledaily[رقم العملية],0))</f>
        <v>اخرون</v>
      </c>
      <c r="P237" s="121" t="str">
        <f>INDEX(Tabledaily[المــــرجـــــــــع],MATCH(TableDailyJournal[[#This Row],[رقم العملية]],Tabledaily[رقم العملية],0))</f>
        <v>كشف صرف</v>
      </c>
      <c r="Q237" s="121" t="str">
        <f>INDEX(Tabledaily[اســـــــم المــــرجــــع],MATCH(TableDailyJournal[[#This Row],[رقم العملية]],Tabledaily[رقم العملية],0))</f>
        <v>كشف صرف</v>
      </c>
      <c r="R237" s="121">
        <f>INDEX(Tabledaily[رقم المـــــرجـــع],MATCH(TableDailyJournal[[#This Row],[رقم العملية]],Tabledaily[رقم العملية],0))</f>
        <v>0</v>
      </c>
      <c r="S237" s="121" t="str">
        <f>INDEX(Tabledaily[مركـــــــزالتكلفــــــة],MATCH(TableDailyJournal[[#This Row],[رقم العملية]],Tabledaily[رقم العملية],0))</f>
        <v>الفرقة الثالثة</v>
      </c>
      <c r="T237" s="121">
        <f>IFERROR(INDEX(tablecost[رقم المركز],MATCH(TableDailyJournal[[#This Row],[مركـــــــزالتكلفــــــة]],tablecost[الاسم],0)),0)</f>
        <v>1</v>
      </c>
      <c r="U237" s="122">
        <f>IFERROR(DATE(TableDailyJournal[[#This Row],[السنــــة]],TableDailyJournal[[#This Row],[الشهــــر]],TableDailyJournal[[#This Row],[الـــــيوم]]),"01-01-2026")</f>
        <v>46182</v>
      </c>
      <c r="V237" s="126"/>
      <c r="W237" s="58"/>
      <c r="X237" s="58">
        <f>IFERROR(YEAR(TableDailyJournal[[#This Row],[التاريخ]]),"")</f>
        <v>2026</v>
      </c>
      <c r="Y237" s="58">
        <f>IFERROR(MONTH(TableDailyJournal[[#This Row],[التاريخ]]),"")</f>
        <v>6</v>
      </c>
      <c r="Z237" s="58">
        <f>IFERROR(DAY(TableDailyJournal[[#This Row],[التاريخ]]),"")</f>
        <v>9</v>
      </c>
      <c r="AA237"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13 بامر</v>
      </c>
      <c r="AB237" s="121">
        <f>INDEX(Tabledaily[جهة الامر],MATCH(TableDailyJournal[[#This Row],[رقم العملية]],Tabledaily[رقم العملية],0))</f>
        <v>0</v>
      </c>
    </row>
    <row r="238" spans="2:28" ht="67.5" x14ac:dyDescent="0.55000000000000004">
      <c r="B238" s="58">
        <f t="shared" si="6"/>
        <v>234</v>
      </c>
      <c r="C238" s="59" t="s">
        <v>602</v>
      </c>
      <c r="D238" s="60">
        <f>INDEX(Tabledaily[date],MATCH(TableDailyJournal[[#This Row],[رقم العملية]],Tabledaily[رقم العملية],0))</f>
        <v>46182</v>
      </c>
      <c r="E238" s="58" t="str">
        <f>INDEX(Tabledaily[نوع العمليــة],MATCH(TableDailyJournal[[#This Row],[رقم العملية]],Tabledaily[رقم العملية],0))</f>
        <v>قيد عهده</v>
      </c>
      <c r="F238" s="58">
        <f>IFERROR(INDEX(TableJudje[رقم الحساب],MATCH(TableDailyJournal[[#This Row],[الحساب]],TableJudje[اسم الحساب],0)),0)</f>
        <v>31010101</v>
      </c>
      <c r="G238" s="58" t="s">
        <v>111</v>
      </c>
      <c r="H238"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v>
      </c>
      <c r="I238" s="60" t="str">
        <f>INDEX(Tabledaily[العملـــة],MATCH(TableDailyJournal[[#This Row],[رقم العملية]],Tabledaily[رقم العملية],0))</f>
        <v>ريال يمني</v>
      </c>
      <c r="J238" s="59">
        <f>IFERROR(INDEX(Tabledaily[سعــــــر
الصـــــرف],MATCH(C238,Tabledaily[رقم العملية],0)),1)</f>
        <v>405</v>
      </c>
      <c r="K238" s="123" cm="1">
        <f t="array" ref="K238">IFERROR(INDEX(Tabledaily[المبلـــــــغ],MATCH(1,(TableDailyJournal[[#This Row],[رقم العملية]]=Tabledaily[رقم العملية])*(TableDailyJournal[[#This Row],[الحساب]]=Tabledaily[الحســاب المديــــن]),0)),0)</f>
        <v>12000</v>
      </c>
      <c r="L238" s="123" cm="1">
        <f t="array" ref="L238">IFERROR(INDEX(Tabledaily[المبلـــــــغ],MATCH(1,(TableDailyJournal[[#This Row],[رقم العملية]]=Tabledaily[رقم العملية])*(TableDailyJournal[[#This Row],[الحساب]]=Tabledaily[الحســاب الدئـــن]),0)),0)</f>
        <v>0</v>
      </c>
      <c r="M238" s="119">
        <f>IFERROR(TableDailyJournal[[#This Row],[المبلغ مدين]]/TableDailyJournal[[#This Row],[سعــــــر
الصـــــرف]],0)</f>
        <v>29.62962962962963</v>
      </c>
      <c r="N238" s="119">
        <f>IFERROR(TableDailyJournal[[#This Row],[المبلغ دائن]]/TableDailyJournal[[#This Row],[سعــــــر
الصـــــرف]],0)</f>
        <v>0</v>
      </c>
      <c r="O238" s="121" t="str">
        <f>INDEX(Tabledaily[المستفيــــــــد],MATCH(TableDailyJournal[[#This Row],[رقم العملية]],Tabledaily[رقم العملية],0))</f>
        <v>افراد طقم اللواء السابع مرافقين</v>
      </c>
      <c r="P238" s="121" t="str">
        <f>INDEX(Tabledaily[المــــرجـــــــــع],MATCH(TableDailyJournal[[#This Row],[رقم العملية]],Tabledaily[رقم العملية],0))</f>
        <v>كشف صرف</v>
      </c>
      <c r="Q238" s="121" t="str">
        <f>INDEX(Tabledaily[اســـــــم المــــرجــــع],MATCH(TableDailyJournal[[#This Row],[رقم العملية]],Tabledaily[رقم العملية],0))</f>
        <v>كشف صرف</v>
      </c>
      <c r="R238" s="121">
        <f>INDEX(Tabledaily[رقم المـــــرجـــع],MATCH(TableDailyJournal[[#This Row],[رقم العملية]],Tabledaily[رقم العملية],0))</f>
        <v>0</v>
      </c>
      <c r="S238" s="121" t="str">
        <f>INDEX(Tabledaily[مركـــــــزالتكلفــــــة],MATCH(TableDailyJournal[[#This Row],[رقم العملية]],Tabledaily[رقم العملية],0))</f>
        <v>الفرقة الثالثة</v>
      </c>
      <c r="T238" s="121">
        <f>IFERROR(INDEX(tablecost[رقم المركز],MATCH(TableDailyJournal[[#This Row],[مركـــــــزالتكلفــــــة]],tablecost[الاسم],0)),0)</f>
        <v>1</v>
      </c>
      <c r="U238" s="122">
        <f>IFERROR(DATE(TableDailyJournal[[#This Row],[السنــــة]],TableDailyJournal[[#This Row],[الشهــــر]],TableDailyJournal[[#This Row],[الـــــيوم]]),"01-01-2026")</f>
        <v>46182</v>
      </c>
      <c r="V238" s="126"/>
      <c r="W238" s="58"/>
      <c r="X238" s="58">
        <f>IFERROR(YEAR(TableDailyJournal[[#This Row],[التاريخ]]),"")</f>
        <v>2026</v>
      </c>
      <c r="Y238" s="58">
        <f>IFERROR(MONTH(TableDailyJournal[[#This Row],[التاريخ]]),"")</f>
        <v>6</v>
      </c>
      <c r="Z238" s="58">
        <f>IFERROR(DAY(TableDailyJournal[[#This Row],[التاريخ]]),"")</f>
        <v>9</v>
      </c>
      <c r="AA238"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v>
      </c>
      <c r="AB238" s="121">
        <f>INDEX(Tabledaily[جهة الامر],MATCH(TableDailyJournal[[#This Row],[رقم العملية]],Tabledaily[رقم العملية],0))</f>
        <v>0</v>
      </c>
    </row>
    <row r="239" spans="2:28" ht="67.5" x14ac:dyDescent="0.55000000000000004">
      <c r="B239" s="58">
        <f t="shared" si="6"/>
        <v>235</v>
      </c>
      <c r="C239" s="59" t="s">
        <v>602</v>
      </c>
      <c r="D239" s="60">
        <f>INDEX(Tabledaily[date],MATCH(TableDailyJournal[[#This Row],[رقم العملية]],Tabledaily[رقم العملية],0))</f>
        <v>46182</v>
      </c>
      <c r="E239" s="58" t="str">
        <f>INDEX(Tabledaily[نوع العمليــة],MATCH(TableDailyJournal[[#This Row],[رقم العملية]],Tabledaily[رقم العملية],0))</f>
        <v>قيد عهده</v>
      </c>
      <c r="F239" s="58">
        <f>IFERROR(INDEX(TableJudje[رقم الحساب],MATCH(TableDailyJournal[[#This Row],[الحساب]],TableJudje[اسم الحساب],0)),0)</f>
        <v>11060205</v>
      </c>
      <c r="G239" s="58" t="s">
        <v>513</v>
      </c>
      <c r="H239"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v>
      </c>
      <c r="I239" s="60" t="str">
        <f>INDEX(Tabledaily[العملـــة],MATCH(TableDailyJournal[[#This Row],[رقم العملية]],Tabledaily[رقم العملية],0))</f>
        <v>ريال يمني</v>
      </c>
      <c r="J239" s="59">
        <f>IFERROR(INDEX(Tabledaily[سعــــــر
الصـــــرف],MATCH(C239,Tabledaily[رقم العملية],0)),1)</f>
        <v>405</v>
      </c>
      <c r="K239" s="123" cm="1">
        <f t="array" ref="K239">IFERROR(INDEX(Tabledaily[المبلـــــــغ],MATCH(1,(TableDailyJournal[[#This Row],[رقم العملية]]=Tabledaily[رقم العملية])*(TableDailyJournal[[#This Row],[الحساب]]=Tabledaily[الحســاب المديــــن]),0)),0)</f>
        <v>0</v>
      </c>
      <c r="L239" s="123" cm="1">
        <f t="array" ref="L239">IFERROR(INDEX(Tabledaily[المبلـــــــغ],MATCH(1,(TableDailyJournal[[#This Row],[رقم العملية]]=Tabledaily[رقم العملية])*(TableDailyJournal[[#This Row],[الحساب]]=Tabledaily[الحســاب الدئـــن]),0)),0)</f>
        <v>12000</v>
      </c>
      <c r="M239" s="119">
        <f>IFERROR(TableDailyJournal[[#This Row],[المبلغ مدين]]/TableDailyJournal[[#This Row],[سعــــــر
الصـــــرف]],0)</f>
        <v>0</v>
      </c>
      <c r="N239" s="119">
        <f>IFERROR(TableDailyJournal[[#This Row],[المبلغ دائن]]/TableDailyJournal[[#This Row],[سعــــــر
الصـــــرف]],0)</f>
        <v>29.62962962962963</v>
      </c>
      <c r="O239" s="121" t="str">
        <f>INDEX(Tabledaily[المستفيــــــــد],MATCH(TableDailyJournal[[#This Row],[رقم العملية]],Tabledaily[رقم العملية],0))</f>
        <v>افراد طقم اللواء السابع مرافقين</v>
      </c>
      <c r="P239" s="121" t="str">
        <f>INDEX(Tabledaily[المــــرجـــــــــع],MATCH(TableDailyJournal[[#This Row],[رقم العملية]],Tabledaily[رقم العملية],0))</f>
        <v>كشف صرف</v>
      </c>
      <c r="Q239" s="121" t="str">
        <f>INDEX(Tabledaily[اســـــــم المــــرجــــع],MATCH(TableDailyJournal[[#This Row],[رقم العملية]],Tabledaily[رقم العملية],0))</f>
        <v>كشف صرف</v>
      </c>
      <c r="R239" s="121">
        <f>INDEX(Tabledaily[رقم المـــــرجـــع],MATCH(TableDailyJournal[[#This Row],[رقم العملية]],Tabledaily[رقم العملية],0))</f>
        <v>0</v>
      </c>
      <c r="S239" s="121" t="str">
        <f>INDEX(Tabledaily[مركـــــــزالتكلفــــــة],MATCH(TableDailyJournal[[#This Row],[رقم العملية]],Tabledaily[رقم العملية],0))</f>
        <v>الفرقة الثالثة</v>
      </c>
      <c r="T239" s="121">
        <f>IFERROR(INDEX(tablecost[رقم المركز],MATCH(TableDailyJournal[[#This Row],[مركـــــــزالتكلفــــــة]],tablecost[الاسم],0)),0)</f>
        <v>1</v>
      </c>
      <c r="U239" s="122">
        <f>IFERROR(DATE(TableDailyJournal[[#This Row],[السنــــة]],TableDailyJournal[[#This Row],[الشهــــر]],TableDailyJournal[[#This Row],[الـــــيوم]]),"01-01-2026")</f>
        <v>46182</v>
      </c>
      <c r="V239" s="126"/>
      <c r="W239" s="58"/>
      <c r="X239" s="58">
        <f>IFERROR(YEAR(TableDailyJournal[[#This Row],[التاريخ]]),"")</f>
        <v>2026</v>
      </c>
      <c r="Y239" s="58">
        <f>IFERROR(MONTH(TableDailyJournal[[#This Row],[التاريخ]]),"")</f>
        <v>6</v>
      </c>
      <c r="Z239" s="58">
        <f>IFERROR(DAY(TableDailyJournal[[#This Row],[التاريخ]]),"")</f>
        <v>9</v>
      </c>
      <c r="AA239"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2 بامر</v>
      </c>
      <c r="AB239" s="121">
        <f>INDEX(Tabledaily[جهة الامر],MATCH(TableDailyJournal[[#This Row],[رقم العملية]],Tabledaily[رقم العملية],0))</f>
        <v>0</v>
      </c>
    </row>
    <row r="240" spans="2:28" ht="45.75" x14ac:dyDescent="0.55000000000000004">
      <c r="B240" s="58">
        <f t="shared" si="6"/>
        <v>236</v>
      </c>
      <c r="C240" s="59" t="s">
        <v>604</v>
      </c>
      <c r="D240" s="60">
        <f>INDEX(Tabledaily[date],MATCH(TableDailyJournal[[#This Row],[رقم العملية]],Tabledaily[رقم العملية],0))</f>
        <v>46182</v>
      </c>
      <c r="E240" s="58" t="str">
        <f>INDEX(Tabledaily[نوع العمليــة],MATCH(TableDailyJournal[[#This Row],[رقم العملية]],Tabledaily[رقم العملية],0))</f>
        <v>قيد عهده</v>
      </c>
      <c r="F240" s="58">
        <f>IFERROR(INDEX(TableJudje[رقم الحساب],MATCH(TableDailyJournal[[#This Row],[الحساب]],TableJudje[اسم الحساب],0)),0)</f>
        <v>31010101</v>
      </c>
      <c r="G240" s="58" t="s">
        <v>111</v>
      </c>
      <c r="H240"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240" s="60" t="str">
        <f>INDEX(Tabledaily[العملـــة],MATCH(TableDailyJournal[[#This Row],[رقم العملية]],Tabledaily[رقم العملية],0))</f>
        <v>ريال يمني</v>
      </c>
      <c r="J240" s="59">
        <f>IFERROR(INDEX(Tabledaily[سعــــــر
الصـــــرف],MATCH(C240,Tabledaily[رقم العملية],0)),1)</f>
        <v>405</v>
      </c>
      <c r="K240" s="123" cm="1">
        <f t="array" ref="K240">IFERROR(INDEX(Tabledaily[المبلـــــــغ],MATCH(1,(TableDailyJournal[[#This Row],[رقم العملية]]=Tabledaily[رقم العملية])*(TableDailyJournal[[#This Row],[الحساب]]=Tabledaily[الحســاب المديــــن]),0)),0)</f>
        <v>28000</v>
      </c>
      <c r="L240" s="123" cm="1">
        <f t="array" ref="L240">IFERROR(INDEX(Tabledaily[المبلـــــــغ],MATCH(1,(TableDailyJournal[[#This Row],[رقم العملية]]=Tabledaily[رقم العملية])*(TableDailyJournal[[#This Row],[الحساب]]=Tabledaily[الحســاب الدئـــن]),0)),0)</f>
        <v>0</v>
      </c>
      <c r="M240" s="119">
        <f>IFERROR(TableDailyJournal[[#This Row],[المبلغ مدين]]/TableDailyJournal[[#This Row],[سعــــــر
الصـــــرف]],0)</f>
        <v>69.135802469135797</v>
      </c>
      <c r="N240" s="119">
        <f>IFERROR(TableDailyJournal[[#This Row],[المبلغ دائن]]/TableDailyJournal[[#This Row],[سعــــــر
الصـــــرف]],0)</f>
        <v>0</v>
      </c>
      <c r="O240" s="121" t="str">
        <f>INDEX(Tabledaily[المستفيــــــــد],MATCH(TableDailyJournal[[#This Row],[رقم العملية]],Tabledaily[رقم العملية],0))</f>
        <v>الاشغال</v>
      </c>
      <c r="P240" s="121" t="str">
        <f>INDEX(Tabledaily[المــــرجـــــــــع],MATCH(TableDailyJournal[[#This Row],[رقم العملية]],Tabledaily[رقم العملية],0))</f>
        <v>كشف صرف</v>
      </c>
      <c r="Q240" s="121" t="str">
        <f>INDEX(Tabledaily[اســـــــم المــــرجــــع],MATCH(TableDailyJournal[[#This Row],[رقم العملية]],Tabledaily[رقم العملية],0))</f>
        <v>كشف صرف</v>
      </c>
      <c r="R240" s="121">
        <f>INDEX(Tabledaily[رقم المـــــرجـــع],MATCH(TableDailyJournal[[#This Row],[رقم العملية]],Tabledaily[رقم العملية],0))</f>
        <v>0</v>
      </c>
      <c r="S240" s="121" t="str">
        <f>INDEX(Tabledaily[مركـــــــزالتكلفــــــة],MATCH(TableDailyJournal[[#This Row],[رقم العملية]],Tabledaily[رقم العملية],0))</f>
        <v>الفرقة الثالثة</v>
      </c>
      <c r="T240" s="121">
        <f>IFERROR(INDEX(tablecost[رقم المركز],MATCH(TableDailyJournal[[#This Row],[مركـــــــزالتكلفــــــة]],tablecost[الاسم],0)),0)</f>
        <v>1</v>
      </c>
      <c r="U240" s="122">
        <f>IFERROR(DATE(TableDailyJournal[[#This Row],[السنــــة]],TableDailyJournal[[#This Row],[الشهــــر]],TableDailyJournal[[#This Row],[الـــــيوم]]),"01-01-2026")</f>
        <v>46182</v>
      </c>
      <c r="V240" s="126"/>
      <c r="W240" s="58"/>
      <c r="X240" s="58">
        <f>IFERROR(YEAR(TableDailyJournal[[#This Row],[التاريخ]]),"")</f>
        <v>2026</v>
      </c>
      <c r="Y240" s="58">
        <f>IFERROR(MONTH(TableDailyJournal[[#This Row],[التاريخ]]),"")</f>
        <v>6</v>
      </c>
      <c r="Z240" s="58">
        <f>IFERROR(DAY(TableDailyJournal[[#This Row],[التاريخ]]),"")</f>
        <v>9</v>
      </c>
      <c r="AA240"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240" s="121">
        <f>INDEX(Tabledaily[جهة الامر],MATCH(TableDailyJournal[[#This Row],[رقم العملية]],Tabledaily[رقم العملية],0))</f>
        <v>0</v>
      </c>
    </row>
    <row r="241" spans="2:28" ht="45.75" x14ac:dyDescent="0.55000000000000004">
      <c r="B241" s="58">
        <f t="shared" si="6"/>
        <v>237</v>
      </c>
      <c r="C241" s="59" t="s">
        <v>604</v>
      </c>
      <c r="D241" s="60">
        <f>INDEX(Tabledaily[date],MATCH(TableDailyJournal[[#This Row],[رقم العملية]],Tabledaily[رقم العملية],0))</f>
        <v>46182</v>
      </c>
      <c r="E241" s="58" t="str">
        <f>INDEX(Tabledaily[نوع العمليــة],MATCH(TableDailyJournal[[#This Row],[رقم العملية]],Tabledaily[رقم العملية],0))</f>
        <v>قيد عهده</v>
      </c>
      <c r="F241" s="58">
        <f>IFERROR(INDEX(TableJudje[رقم الحساب],MATCH(TableDailyJournal[[#This Row],[الحساب]],TableJudje[اسم الحساب],0)),0)</f>
        <v>11060205</v>
      </c>
      <c r="G241" s="58" t="s">
        <v>513</v>
      </c>
      <c r="H241"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241" s="60" t="str">
        <f>INDEX(Tabledaily[العملـــة],MATCH(TableDailyJournal[[#This Row],[رقم العملية]],Tabledaily[رقم العملية],0))</f>
        <v>ريال يمني</v>
      </c>
      <c r="J241" s="59">
        <f>IFERROR(INDEX(Tabledaily[سعــــــر
الصـــــرف],MATCH(C241,Tabledaily[رقم العملية],0)),1)</f>
        <v>405</v>
      </c>
      <c r="K241" s="123" cm="1">
        <f t="array" ref="K241">IFERROR(INDEX(Tabledaily[المبلـــــــغ],MATCH(1,(TableDailyJournal[[#This Row],[رقم العملية]]=Tabledaily[رقم العملية])*(TableDailyJournal[[#This Row],[الحساب]]=Tabledaily[الحســاب المديــــن]),0)),0)</f>
        <v>0</v>
      </c>
      <c r="L241" s="123" cm="1">
        <f t="array" ref="L241">IFERROR(INDEX(Tabledaily[المبلـــــــغ],MATCH(1,(TableDailyJournal[[#This Row],[رقم العملية]]=Tabledaily[رقم العملية])*(TableDailyJournal[[#This Row],[الحساب]]=Tabledaily[الحســاب الدئـــن]),0)),0)</f>
        <v>28000</v>
      </c>
      <c r="M241" s="119">
        <f>IFERROR(TableDailyJournal[[#This Row],[المبلغ مدين]]/TableDailyJournal[[#This Row],[سعــــــر
الصـــــرف]],0)</f>
        <v>0</v>
      </c>
      <c r="N241" s="119">
        <f>IFERROR(TableDailyJournal[[#This Row],[المبلغ دائن]]/TableDailyJournal[[#This Row],[سعــــــر
الصـــــرف]],0)</f>
        <v>69.135802469135797</v>
      </c>
      <c r="O241" s="121" t="str">
        <f>INDEX(Tabledaily[المستفيــــــــد],MATCH(TableDailyJournal[[#This Row],[رقم العملية]],Tabledaily[رقم العملية],0))</f>
        <v>الاشغال</v>
      </c>
      <c r="P241" s="121" t="str">
        <f>INDEX(Tabledaily[المــــرجـــــــــع],MATCH(TableDailyJournal[[#This Row],[رقم العملية]],Tabledaily[رقم العملية],0))</f>
        <v>كشف صرف</v>
      </c>
      <c r="Q241" s="121" t="str">
        <f>INDEX(Tabledaily[اســـــــم المــــرجــــع],MATCH(TableDailyJournal[[#This Row],[رقم العملية]],Tabledaily[رقم العملية],0))</f>
        <v>كشف صرف</v>
      </c>
      <c r="R241" s="121">
        <f>INDEX(Tabledaily[رقم المـــــرجـــع],MATCH(TableDailyJournal[[#This Row],[رقم العملية]],Tabledaily[رقم العملية],0))</f>
        <v>0</v>
      </c>
      <c r="S241" s="121" t="str">
        <f>INDEX(Tabledaily[مركـــــــزالتكلفــــــة],MATCH(TableDailyJournal[[#This Row],[رقم العملية]],Tabledaily[رقم العملية],0))</f>
        <v>الفرقة الثالثة</v>
      </c>
      <c r="T241" s="121">
        <f>IFERROR(INDEX(tablecost[رقم المركز],MATCH(TableDailyJournal[[#This Row],[مركـــــــزالتكلفــــــة]],tablecost[الاسم],0)),0)</f>
        <v>1</v>
      </c>
      <c r="U241" s="122">
        <f>IFERROR(DATE(TableDailyJournal[[#This Row],[السنــــة]],TableDailyJournal[[#This Row],[الشهــــر]],TableDailyJournal[[#This Row],[الـــــيوم]]),"01-01-2026")</f>
        <v>46182</v>
      </c>
      <c r="V241" s="126"/>
      <c r="W241" s="58"/>
      <c r="X241" s="58">
        <f>IFERROR(YEAR(TableDailyJournal[[#This Row],[التاريخ]]),"")</f>
        <v>2026</v>
      </c>
      <c r="Y241" s="58">
        <f>IFERROR(MONTH(TableDailyJournal[[#This Row],[التاريخ]]),"")</f>
        <v>6</v>
      </c>
      <c r="Z241" s="58">
        <f>IFERROR(DAY(TableDailyJournal[[#This Row],[التاريخ]]),"")</f>
        <v>9</v>
      </c>
      <c r="AA241"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241" s="121">
        <f>INDEX(Tabledaily[جهة الامر],MATCH(TableDailyJournal[[#This Row],[رقم العملية]],Tabledaily[رقم العملية],0))</f>
        <v>0</v>
      </c>
    </row>
    <row r="242" spans="2:28" ht="45.75" x14ac:dyDescent="0.55000000000000004">
      <c r="B242" s="58">
        <f t="shared" si="6"/>
        <v>238</v>
      </c>
      <c r="C242" s="59" t="s">
        <v>605</v>
      </c>
      <c r="D242" s="60">
        <f>INDEX(Tabledaily[date],MATCH(TableDailyJournal[[#This Row],[رقم العملية]],Tabledaily[رقم العملية],0))</f>
        <v>46182</v>
      </c>
      <c r="E242" s="58" t="str">
        <f>INDEX(Tabledaily[نوع العمليــة],MATCH(TableDailyJournal[[#This Row],[رقم العملية]],Tabledaily[رقم العملية],0))</f>
        <v>قيد عهده</v>
      </c>
      <c r="F242" s="58">
        <f>IFERROR(INDEX(TableJudje[رقم الحساب],MATCH(TableDailyJournal[[#This Row],[الحساب]],TableJudje[اسم الحساب],0)),0)</f>
        <v>31010101</v>
      </c>
      <c r="G242" s="58" t="s">
        <v>111</v>
      </c>
      <c r="H242" s="61"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I242" s="60" t="str">
        <f>INDEX(Tabledaily[العملـــة],MATCH(TableDailyJournal[[#This Row],[رقم العملية]],Tabledaily[رقم العملية],0))</f>
        <v>ريال يمني</v>
      </c>
      <c r="J242" s="59">
        <f>IFERROR(INDEX(Tabledaily[سعــــــر
الصـــــرف],MATCH(C242,Tabledaily[رقم العملية],0)),1)</f>
        <v>405</v>
      </c>
      <c r="K242" s="123" cm="1">
        <f t="array" ref="K242">IFERROR(INDEX(Tabledaily[المبلـــــــغ],MATCH(1,(TableDailyJournal[[#This Row],[رقم العملية]]=Tabledaily[رقم العملية])*(TableDailyJournal[[#This Row],[الحساب]]=Tabledaily[الحســاب المديــــن]),0)),0)</f>
        <v>156000</v>
      </c>
      <c r="L242" s="123" cm="1">
        <f t="array" ref="L242">IFERROR(INDEX(Tabledaily[المبلـــــــغ],MATCH(1,(TableDailyJournal[[#This Row],[رقم العملية]]=Tabledaily[رقم العملية])*(TableDailyJournal[[#This Row],[الحساب]]=Tabledaily[الحســاب الدئـــن]),0)),0)</f>
        <v>0</v>
      </c>
      <c r="M242" s="119">
        <f>IFERROR(TableDailyJournal[[#This Row],[المبلغ مدين]]/TableDailyJournal[[#This Row],[سعــــــر
الصـــــرف]],0)</f>
        <v>385.18518518518516</v>
      </c>
      <c r="N242" s="119">
        <f>IFERROR(TableDailyJournal[[#This Row],[المبلغ دائن]]/TableDailyJournal[[#This Row],[سعــــــر
الصـــــرف]],0)</f>
        <v>0</v>
      </c>
      <c r="O242" s="121" t="str">
        <f>INDEX(Tabledaily[المستفيــــــــد],MATCH(TableDailyJournal[[#This Row],[رقم العملية]],Tabledaily[رقم العملية],0))</f>
        <v>سرية اللواء السادس</v>
      </c>
      <c r="P242" s="121" t="str">
        <f>INDEX(Tabledaily[المــــرجـــــــــع],MATCH(TableDailyJournal[[#This Row],[رقم العملية]],Tabledaily[رقم العملية],0))</f>
        <v>كشف صرف</v>
      </c>
      <c r="Q242" s="121" t="str">
        <f>INDEX(Tabledaily[اســـــــم المــــرجــــع],MATCH(TableDailyJournal[[#This Row],[رقم العملية]],Tabledaily[رقم العملية],0))</f>
        <v>كشف صرف</v>
      </c>
      <c r="R242" s="121">
        <f>INDEX(Tabledaily[رقم المـــــرجـــع],MATCH(TableDailyJournal[[#This Row],[رقم العملية]],Tabledaily[رقم العملية],0))</f>
        <v>0</v>
      </c>
      <c r="S242" s="121" t="str">
        <f>INDEX(Tabledaily[مركـــــــزالتكلفــــــة],MATCH(TableDailyJournal[[#This Row],[رقم العملية]],Tabledaily[رقم العملية],0))</f>
        <v>الفرقة الثالثة</v>
      </c>
      <c r="T242" s="121">
        <f>IFERROR(INDEX(tablecost[رقم المركز],MATCH(TableDailyJournal[[#This Row],[مركـــــــزالتكلفــــــة]],tablecost[الاسم],0)),0)</f>
        <v>1</v>
      </c>
      <c r="U242" s="122">
        <f>IFERROR(DATE(TableDailyJournal[[#This Row],[السنــــة]],TableDailyJournal[[#This Row],[الشهــــر]],TableDailyJournal[[#This Row],[الـــــيوم]]),"01-01-2026")</f>
        <v>46182</v>
      </c>
      <c r="V242" s="126"/>
      <c r="W242" s="58"/>
      <c r="X242" s="58">
        <f>IFERROR(YEAR(TableDailyJournal[[#This Row],[التاريخ]]),"")</f>
        <v>2026</v>
      </c>
      <c r="Y242" s="58">
        <f>IFERROR(MONTH(TableDailyJournal[[#This Row],[التاريخ]]),"")</f>
        <v>6</v>
      </c>
      <c r="Z242" s="58">
        <f>IFERROR(DAY(TableDailyJournal[[#This Row],[التاريخ]]),"")</f>
        <v>9</v>
      </c>
      <c r="AA242" s="126"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AB242" s="121">
        <f>INDEX(Tabledaily[جهة الامر],MATCH(TableDailyJournal[[#This Row],[رقم العملية]],Tabledaily[رقم العملية],0))</f>
        <v>0</v>
      </c>
    </row>
    <row r="243" spans="2:28" ht="45.75" x14ac:dyDescent="0.55000000000000004">
      <c r="B243" s="58">
        <f t="shared" si="6"/>
        <v>239</v>
      </c>
      <c r="C243" s="59" t="s">
        <v>605</v>
      </c>
      <c r="D243" s="60">
        <f>INDEX(Tabledaily[date],MATCH(TableDailyJournal[[#This Row],[رقم العملية]],Tabledaily[رقم العملية],0))</f>
        <v>46182</v>
      </c>
      <c r="E243" s="58" t="str">
        <f>INDEX(Tabledaily[نوع العمليــة],MATCH(TableDailyJournal[[#This Row],[رقم العملية]],Tabledaily[رقم العملية],0))</f>
        <v>قيد عهده</v>
      </c>
      <c r="F243" s="58">
        <f>IFERROR(INDEX(TableJudje[رقم الحساب],MATCH(TableDailyJournal[[#This Row],[الحساب]],TableJudje[اسم الحساب],0)),0)</f>
        <v>11060205</v>
      </c>
      <c r="G243" s="58" t="s">
        <v>513</v>
      </c>
      <c r="H243" s="61"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I243" s="60" t="str">
        <f>INDEX(Tabledaily[العملـــة],MATCH(TableDailyJournal[[#This Row],[رقم العملية]],Tabledaily[رقم العملية],0))</f>
        <v>ريال يمني</v>
      </c>
      <c r="J243" s="59">
        <f>IFERROR(INDEX(Tabledaily[سعــــــر
الصـــــرف],MATCH(C243,Tabledaily[رقم العملية],0)),1)</f>
        <v>405</v>
      </c>
      <c r="K243" s="123" cm="1">
        <f t="array" ref="K243">IFERROR(INDEX(Tabledaily[المبلـــــــغ],MATCH(1,(TableDailyJournal[[#This Row],[رقم العملية]]=Tabledaily[رقم العملية])*(TableDailyJournal[[#This Row],[الحساب]]=Tabledaily[الحســاب المديــــن]),0)),0)</f>
        <v>0</v>
      </c>
      <c r="L243" s="123" cm="1">
        <f t="array" ref="L243">IFERROR(INDEX(Tabledaily[المبلـــــــغ],MATCH(1,(TableDailyJournal[[#This Row],[رقم العملية]]=Tabledaily[رقم العملية])*(TableDailyJournal[[#This Row],[الحساب]]=Tabledaily[الحســاب الدئـــن]),0)),0)</f>
        <v>156000</v>
      </c>
      <c r="M243" s="119">
        <f>IFERROR(TableDailyJournal[[#This Row],[المبلغ مدين]]/TableDailyJournal[[#This Row],[سعــــــر
الصـــــرف]],0)</f>
        <v>0</v>
      </c>
      <c r="N243" s="119">
        <f>IFERROR(TableDailyJournal[[#This Row],[المبلغ دائن]]/TableDailyJournal[[#This Row],[سعــــــر
الصـــــرف]],0)</f>
        <v>385.18518518518516</v>
      </c>
      <c r="O243" s="121" t="str">
        <f>INDEX(Tabledaily[المستفيــــــــد],MATCH(TableDailyJournal[[#This Row],[رقم العملية]],Tabledaily[رقم العملية],0))</f>
        <v>سرية اللواء السادس</v>
      </c>
      <c r="P243" s="121" t="str">
        <f>INDEX(Tabledaily[المــــرجـــــــــع],MATCH(TableDailyJournal[[#This Row],[رقم العملية]],Tabledaily[رقم العملية],0))</f>
        <v>كشف صرف</v>
      </c>
      <c r="Q243" s="121" t="str">
        <f>INDEX(Tabledaily[اســـــــم المــــرجــــع],MATCH(TableDailyJournal[[#This Row],[رقم العملية]],Tabledaily[رقم العملية],0))</f>
        <v>كشف صرف</v>
      </c>
      <c r="R243" s="121">
        <f>INDEX(Tabledaily[رقم المـــــرجـــع],MATCH(TableDailyJournal[[#This Row],[رقم العملية]],Tabledaily[رقم العملية],0))</f>
        <v>0</v>
      </c>
      <c r="S243" s="121" t="str">
        <f>INDEX(Tabledaily[مركـــــــزالتكلفــــــة],MATCH(TableDailyJournal[[#This Row],[رقم العملية]],Tabledaily[رقم العملية],0))</f>
        <v>الفرقة الثالثة</v>
      </c>
      <c r="T243" s="121">
        <f>IFERROR(INDEX(tablecost[رقم المركز],MATCH(TableDailyJournal[[#This Row],[مركـــــــزالتكلفــــــة]],tablecost[الاسم],0)),0)</f>
        <v>1</v>
      </c>
      <c r="U243" s="122">
        <f>IFERROR(DATE(TableDailyJournal[[#This Row],[السنــــة]],TableDailyJournal[[#This Row],[الشهــــر]],TableDailyJournal[[#This Row],[الـــــيوم]]),"01-01-2026")</f>
        <v>46182</v>
      </c>
      <c r="V243" s="126"/>
      <c r="W243" s="58"/>
      <c r="X243" s="58">
        <f>IFERROR(YEAR(TableDailyJournal[[#This Row],[التاريخ]]),"")</f>
        <v>2026</v>
      </c>
      <c r="Y243" s="58">
        <f>IFERROR(MONTH(TableDailyJournal[[#This Row],[التاريخ]]),"")</f>
        <v>6</v>
      </c>
      <c r="Z243" s="58">
        <f>IFERROR(DAY(TableDailyJournal[[#This Row],[التاريخ]]),"")</f>
        <v>9</v>
      </c>
      <c r="AA243" s="126"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AB243" s="121">
        <f>INDEX(Tabledaily[جهة الامر],MATCH(TableDailyJournal[[#This Row],[رقم العملية]],Tabledaily[رقم العملية],0))</f>
        <v>0</v>
      </c>
    </row>
    <row r="244" spans="2:28" ht="45.75" x14ac:dyDescent="0.55000000000000004">
      <c r="B244" s="58">
        <f t="shared" si="6"/>
        <v>240</v>
      </c>
      <c r="C244" s="59" t="s">
        <v>607</v>
      </c>
      <c r="D244" s="60">
        <f>INDEX(Tabledaily[date],MATCH(TableDailyJournal[[#This Row],[رقم العملية]],Tabledaily[رقم العملية],0))</f>
        <v>46182</v>
      </c>
      <c r="E244" s="58" t="str">
        <f>INDEX(Tabledaily[نوع العمليــة],MATCH(TableDailyJournal[[#This Row],[رقم العملية]],Tabledaily[رقم العملية],0))</f>
        <v>قيد عهده</v>
      </c>
      <c r="F244" s="58">
        <f>IFERROR(INDEX(TableJudje[رقم الحساب],MATCH(TableDailyJournal[[#This Row],[الحساب]],TableJudje[اسم الحساب],0)),0)</f>
        <v>31010114</v>
      </c>
      <c r="G244" s="58" t="s">
        <v>121</v>
      </c>
      <c r="H244" s="61" t="str">
        <f>INDEX(Tabledaily[المرجع البياني],MATCH(TableDailyJournal[[#This Row],[رقم العملية]],Tabledaily[رقم العملية],0))</f>
        <v>قيـد مقابـل:- (مصاريف حوافز ومكافئات  - علي محمد سيف قائد الربيعي - الفرقة الثالثة)  - استلام نقدي رقم   سند استلام - صرف حافز لقائد مركز السيطرة بامرالقائد</v>
      </c>
      <c r="I244" s="60" t="str">
        <f>INDEX(Tabledaily[العملـــة],MATCH(TableDailyJournal[[#This Row],[رقم العملية]],Tabledaily[رقم العملية],0))</f>
        <v>ريال يمني</v>
      </c>
      <c r="J244" s="59">
        <f>IFERROR(INDEX(Tabledaily[سعــــــر
الصـــــرف],MATCH(C244,Tabledaily[رقم العملية],0)),1)</f>
        <v>405</v>
      </c>
      <c r="K244" s="123" cm="1">
        <f t="array" ref="K244">IFERROR(INDEX(Tabledaily[المبلـــــــغ],MATCH(1,(TableDailyJournal[[#This Row],[رقم العملية]]=Tabledaily[رقم العملية])*(TableDailyJournal[[#This Row],[الحساب]]=Tabledaily[الحســاب المديــــن]),0)),0)</f>
        <v>20000</v>
      </c>
      <c r="L244" s="123" cm="1">
        <f t="array" ref="L244">IFERROR(INDEX(Tabledaily[المبلـــــــغ],MATCH(1,(TableDailyJournal[[#This Row],[رقم العملية]]=Tabledaily[رقم العملية])*(TableDailyJournal[[#This Row],[الحساب]]=Tabledaily[الحســاب الدئـــن]),0)),0)</f>
        <v>0</v>
      </c>
      <c r="M244" s="119">
        <f>IFERROR(TableDailyJournal[[#This Row],[المبلغ مدين]]/TableDailyJournal[[#This Row],[سعــــــر
الصـــــرف]],0)</f>
        <v>49.382716049382715</v>
      </c>
      <c r="N244" s="119">
        <f>IFERROR(TableDailyJournal[[#This Row],[المبلغ دائن]]/TableDailyJournal[[#This Row],[سعــــــر
الصـــــرف]],0)</f>
        <v>0</v>
      </c>
      <c r="O244" s="121" t="str">
        <f>INDEX(Tabledaily[المستفيــــــــد],MATCH(TableDailyJournal[[#This Row],[رقم العملية]],Tabledaily[رقم العملية],0))</f>
        <v>علي محمد سيف قائد الربيعي</v>
      </c>
      <c r="P244" s="121" t="str">
        <f>INDEX(Tabledaily[المــــرجـــــــــع],MATCH(TableDailyJournal[[#This Row],[رقم العملية]],Tabledaily[رقم العملية],0))</f>
        <v>استلام نقدي</v>
      </c>
      <c r="Q244" s="121" t="str">
        <f>INDEX(Tabledaily[اســـــــم المــــرجــــع],MATCH(TableDailyJournal[[#This Row],[رقم العملية]],Tabledaily[رقم العملية],0))</f>
        <v>سند استلام</v>
      </c>
      <c r="R244" s="121">
        <f>INDEX(Tabledaily[رقم المـــــرجـــع],MATCH(TableDailyJournal[[#This Row],[رقم العملية]],Tabledaily[رقم العملية],0))</f>
        <v>0</v>
      </c>
      <c r="S244" s="121" t="str">
        <f>INDEX(Tabledaily[مركـــــــزالتكلفــــــة],MATCH(TableDailyJournal[[#This Row],[رقم العملية]],Tabledaily[رقم العملية],0))</f>
        <v>الفرقة الثالثة</v>
      </c>
      <c r="T244" s="121">
        <f>IFERROR(INDEX(tablecost[رقم المركز],MATCH(TableDailyJournal[[#This Row],[مركـــــــزالتكلفــــــة]],tablecost[الاسم],0)),0)</f>
        <v>1</v>
      </c>
      <c r="U244" s="122">
        <f>IFERROR(DATE(TableDailyJournal[[#This Row],[السنــــة]],TableDailyJournal[[#This Row],[الشهــــر]],TableDailyJournal[[#This Row],[الـــــيوم]]),"01-01-2026")</f>
        <v>46182</v>
      </c>
      <c r="V244" s="126"/>
      <c r="W244" s="58"/>
      <c r="X244" s="58">
        <f>IFERROR(YEAR(TableDailyJournal[[#This Row],[التاريخ]]),"")</f>
        <v>2026</v>
      </c>
      <c r="Y244" s="58">
        <f>IFERROR(MONTH(TableDailyJournal[[#This Row],[التاريخ]]),"")</f>
        <v>6</v>
      </c>
      <c r="Z244" s="58">
        <f>IFERROR(DAY(TableDailyJournal[[#This Row],[التاريخ]]),"")</f>
        <v>9</v>
      </c>
      <c r="AA244" s="126" t="str">
        <f>INDEX(Tabledaily[المرجع البياني],MATCH(TableDailyJournal[[#This Row],[رقم العملية]],Tabledaily[رقم العملية],0))</f>
        <v>قيـد مقابـل:- (مصاريف حوافز ومكافئات  - علي محمد سيف قائد الربيعي - الفرقة الثالثة)  - استلام نقدي رقم   سند استلام - صرف حافز لقائد مركز السيطرة بامرالقائد</v>
      </c>
      <c r="AB244" s="121" t="str">
        <f>INDEX(Tabledaily[جهة الامر],MATCH(TableDailyJournal[[#This Row],[رقم العملية]],Tabledaily[رقم العملية],0))</f>
        <v>القائد</v>
      </c>
    </row>
    <row r="245" spans="2:28" ht="45.75" x14ac:dyDescent="0.55000000000000004">
      <c r="B245" s="58">
        <f t="shared" si="6"/>
        <v>241</v>
      </c>
      <c r="C245" s="59" t="s">
        <v>607</v>
      </c>
      <c r="D245" s="60">
        <f>INDEX(Tabledaily[date],MATCH(TableDailyJournal[[#This Row],[رقم العملية]],Tabledaily[رقم العملية],0))</f>
        <v>46182</v>
      </c>
      <c r="E245" s="58" t="str">
        <f>INDEX(Tabledaily[نوع العمليــة],MATCH(TableDailyJournal[[#This Row],[رقم العملية]],Tabledaily[رقم العملية],0))</f>
        <v>قيد عهده</v>
      </c>
      <c r="F245" s="58">
        <f>IFERROR(INDEX(TableJudje[رقم الحساب],MATCH(TableDailyJournal[[#This Row],[الحساب]],TableJudje[اسم الحساب],0)),0)</f>
        <v>11060205</v>
      </c>
      <c r="G245" s="58" t="s">
        <v>513</v>
      </c>
      <c r="H245" s="61" t="str">
        <f>INDEX(Tabledaily[المرجع البياني],MATCH(TableDailyJournal[[#This Row],[رقم العملية]],Tabledaily[رقم العملية],0))</f>
        <v>قيـد مقابـل:- (مصاريف حوافز ومكافئات  - علي محمد سيف قائد الربيعي - الفرقة الثالثة)  - استلام نقدي رقم   سند استلام - صرف حافز لقائد مركز السيطرة بامرالقائد</v>
      </c>
      <c r="I245" s="60" t="str">
        <f>INDEX(Tabledaily[العملـــة],MATCH(TableDailyJournal[[#This Row],[رقم العملية]],Tabledaily[رقم العملية],0))</f>
        <v>ريال يمني</v>
      </c>
      <c r="J245" s="59">
        <f>IFERROR(INDEX(Tabledaily[سعــــــر
الصـــــرف],MATCH(C245,Tabledaily[رقم العملية],0)),1)</f>
        <v>405</v>
      </c>
      <c r="K245" s="123" cm="1">
        <f t="array" ref="K245">IFERROR(INDEX(Tabledaily[المبلـــــــغ],MATCH(1,(TableDailyJournal[[#This Row],[رقم العملية]]=Tabledaily[رقم العملية])*(TableDailyJournal[[#This Row],[الحساب]]=Tabledaily[الحســاب المديــــن]),0)),0)</f>
        <v>0</v>
      </c>
      <c r="L245" s="123" cm="1">
        <f t="array" ref="L245">IFERROR(INDEX(Tabledaily[المبلـــــــغ],MATCH(1,(TableDailyJournal[[#This Row],[رقم العملية]]=Tabledaily[رقم العملية])*(TableDailyJournal[[#This Row],[الحساب]]=Tabledaily[الحســاب الدئـــن]),0)),0)</f>
        <v>20000</v>
      </c>
      <c r="M245" s="119">
        <f>IFERROR(TableDailyJournal[[#This Row],[المبلغ مدين]]/TableDailyJournal[[#This Row],[سعــــــر
الصـــــرف]],0)</f>
        <v>0</v>
      </c>
      <c r="N245" s="119">
        <f>IFERROR(TableDailyJournal[[#This Row],[المبلغ دائن]]/TableDailyJournal[[#This Row],[سعــــــر
الصـــــرف]],0)</f>
        <v>49.382716049382715</v>
      </c>
      <c r="O245" s="121" t="str">
        <f>INDEX(Tabledaily[المستفيــــــــد],MATCH(TableDailyJournal[[#This Row],[رقم العملية]],Tabledaily[رقم العملية],0))</f>
        <v>علي محمد سيف قائد الربيعي</v>
      </c>
      <c r="P245" s="121" t="str">
        <f>INDEX(Tabledaily[المــــرجـــــــــع],MATCH(TableDailyJournal[[#This Row],[رقم العملية]],Tabledaily[رقم العملية],0))</f>
        <v>استلام نقدي</v>
      </c>
      <c r="Q245" s="121" t="str">
        <f>INDEX(Tabledaily[اســـــــم المــــرجــــع],MATCH(TableDailyJournal[[#This Row],[رقم العملية]],Tabledaily[رقم العملية],0))</f>
        <v>سند استلام</v>
      </c>
      <c r="R245" s="121">
        <f>INDEX(Tabledaily[رقم المـــــرجـــع],MATCH(TableDailyJournal[[#This Row],[رقم العملية]],Tabledaily[رقم العملية],0))</f>
        <v>0</v>
      </c>
      <c r="S245" s="121" t="str">
        <f>INDEX(Tabledaily[مركـــــــزالتكلفــــــة],MATCH(TableDailyJournal[[#This Row],[رقم العملية]],Tabledaily[رقم العملية],0))</f>
        <v>الفرقة الثالثة</v>
      </c>
      <c r="T245" s="121">
        <f>IFERROR(INDEX(tablecost[رقم المركز],MATCH(TableDailyJournal[[#This Row],[مركـــــــزالتكلفــــــة]],tablecost[الاسم],0)),0)</f>
        <v>1</v>
      </c>
      <c r="U245" s="122">
        <f>IFERROR(DATE(TableDailyJournal[[#This Row],[السنــــة]],TableDailyJournal[[#This Row],[الشهــــر]],TableDailyJournal[[#This Row],[الـــــيوم]]),"01-01-2026")</f>
        <v>46182</v>
      </c>
      <c r="V245" s="126"/>
      <c r="W245" s="58"/>
      <c r="X245" s="58">
        <f>IFERROR(YEAR(TableDailyJournal[[#This Row],[التاريخ]]),"")</f>
        <v>2026</v>
      </c>
      <c r="Y245" s="58">
        <f>IFERROR(MONTH(TableDailyJournal[[#This Row],[التاريخ]]),"")</f>
        <v>6</v>
      </c>
      <c r="Z245" s="58">
        <f>IFERROR(DAY(TableDailyJournal[[#This Row],[التاريخ]]),"")</f>
        <v>9</v>
      </c>
      <c r="AA245" s="126" t="str">
        <f>INDEX(Tabledaily[المرجع البياني],MATCH(TableDailyJournal[[#This Row],[رقم العملية]],Tabledaily[رقم العملية],0))</f>
        <v>قيـد مقابـل:- (مصاريف حوافز ومكافئات  - علي محمد سيف قائد الربيعي - الفرقة الثالثة)  - استلام نقدي رقم   سند استلام - صرف حافز لقائد مركز السيطرة بامرالقائد</v>
      </c>
      <c r="AB245" s="121" t="str">
        <f>INDEX(Tabledaily[جهة الامر],MATCH(TableDailyJournal[[#This Row],[رقم العملية]],Tabledaily[رقم العملية],0))</f>
        <v>القائد</v>
      </c>
    </row>
    <row r="246" spans="2:28" ht="45.75" x14ac:dyDescent="0.55000000000000004">
      <c r="B246" s="58">
        <f t="shared" si="6"/>
        <v>242</v>
      </c>
      <c r="C246" s="59" t="s">
        <v>610</v>
      </c>
      <c r="D246" s="60">
        <f>INDEX(Tabledaily[date],MATCH(TableDailyJournal[[#This Row],[رقم العملية]],Tabledaily[رقم العملية],0))</f>
        <v>46182</v>
      </c>
      <c r="E246" s="58" t="str">
        <f>INDEX(Tabledaily[نوع العمليــة],MATCH(TableDailyJournal[[#This Row],[رقم العملية]],Tabledaily[رقم العملية],0))</f>
        <v>قيد عهده</v>
      </c>
      <c r="F246" s="58">
        <f>IFERROR(INDEX(TableJudje[رقم الحساب],MATCH(TableDailyJournal[[#This Row],[الحساب]],TableJudje[اسم الحساب],0)),0)</f>
        <v>31010114</v>
      </c>
      <c r="G246" s="58" t="s">
        <v>121</v>
      </c>
      <c r="H246" s="61" t="str">
        <f>INDEX(Tabledaily[المرجع البياني],MATCH(TableDailyJournal[[#This Row],[رقم العملية]],Tabledaily[رقم العملية],0))</f>
        <v>قيـد مقابـل:- (مصاريف حوافز ومكافئات  - علي محمد ناصر فضل دهمس - الفرقة الثالثة)  - استلام نقدي رقم   سند استلام - صرف حافز ل قائد مدفعية الفرقة بامر</v>
      </c>
      <c r="I246" s="60" t="str">
        <f>INDEX(Tabledaily[العملـــة],MATCH(TableDailyJournal[[#This Row],[رقم العملية]],Tabledaily[رقم العملية],0))</f>
        <v>ريال يمني</v>
      </c>
      <c r="J246" s="59">
        <f>IFERROR(INDEX(Tabledaily[سعــــــر
الصـــــرف],MATCH(C246,Tabledaily[رقم العملية],0)),1)</f>
        <v>405</v>
      </c>
      <c r="K246" s="123" cm="1">
        <f t="array" ref="K246">IFERROR(INDEX(Tabledaily[المبلـــــــغ],MATCH(1,(TableDailyJournal[[#This Row],[رقم العملية]]=Tabledaily[رقم العملية])*(TableDailyJournal[[#This Row],[الحساب]]=Tabledaily[الحســاب المديــــن]),0)),0)</f>
        <v>200000</v>
      </c>
      <c r="L246" s="123" cm="1">
        <f t="array" ref="L246">IFERROR(INDEX(Tabledaily[المبلـــــــغ],MATCH(1,(TableDailyJournal[[#This Row],[رقم العملية]]=Tabledaily[رقم العملية])*(TableDailyJournal[[#This Row],[الحساب]]=Tabledaily[الحســاب الدئـــن]),0)),0)</f>
        <v>0</v>
      </c>
      <c r="M246" s="119">
        <f>IFERROR(TableDailyJournal[[#This Row],[المبلغ مدين]]/TableDailyJournal[[#This Row],[سعــــــر
الصـــــرف]],0)</f>
        <v>493.82716049382714</v>
      </c>
      <c r="N246" s="119">
        <f>IFERROR(TableDailyJournal[[#This Row],[المبلغ دائن]]/TableDailyJournal[[#This Row],[سعــــــر
الصـــــرف]],0)</f>
        <v>0</v>
      </c>
      <c r="O246" s="121" t="str">
        <f>INDEX(Tabledaily[المستفيــــــــد],MATCH(TableDailyJournal[[#This Row],[رقم العملية]],Tabledaily[رقم العملية],0))</f>
        <v>علي محمد ناصر فضل دهمس</v>
      </c>
      <c r="P246" s="121" t="str">
        <f>INDEX(Tabledaily[المــــرجـــــــــع],MATCH(TableDailyJournal[[#This Row],[رقم العملية]],Tabledaily[رقم العملية],0))</f>
        <v>استلام نقدي</v>
      </c>
      <c r="Q246" s="121" t="str">
        <f>INDEX(Tabledaily[اســـــــم المــــرجــــع],MATCH(TableDailyJournal[[#This Row],[رقم العملية]],Tabledaily[رقم العملية],0))</f>
        <v>سند استلام</v>
      </c>
      <c r="R246" s="121">
        <f>INDEX(Tabledaily[رقم المـــــرجـــع],MATCH(TableDailyJournal[[#This Row],[رقم العملية]],Tabledaily[رقم العملية],0))</f>
        <v>0</v>
      </c>
      <c r="S246" s="121" t="str">
        <f>INDEX(Tabledaily[مركـــــــزالتكلفــــــة],MATCH(TableDailyJournal[[#This Row],[رقم العملية]],Tabledaily[رقم العملية],0))</f>
        <v>الفرقة الثالثة</v>
      </c>
      <c r="T246" s="121">
        <f>IFERROR(INDEX(tablecost[رقم المركز],MATCH(TableDailyJournal[[#This Row],[مركـــــــزالتكلفــــــة]],tablecost[الاسم],0)),0)</f>
        <v>1</v>
      </c>
      <c r="U246" s="122">
        <f>IFERROR(DATE(TableDailyJournal[[#This Row],[السنــــة]],TableDailyJournal[[#This Row],[الشهــــر]],TableDailyJournal[[#This Row],[الـــــيوم]]),"01-01-2026")</f>
        <v>46182</v>
      </c>
      <c r="V246" s="126"/>
      <c r="W246" s="58"/>
      <c r="X246" s="58">
        <f>IFERROR(YEAR(TableDailyJournal[[#This Row],[التاريخ]]),"")</f>
        <v>2026</v>
      </c>
      <c r="Y246" s="58">
        <f>IFERROR(MONTH(TableDailyJournal[[#This Row],[التاريخ]]),"")</f>
        <v>6</v>
      </c>
      <c r="Z246" s="58">
        <f>IFERROR(DAY(TableDailyJournal[[#This Row],[التاريخ]]),"")</f>
        <v>9</v>
      </c>
      <c r="AA246" s="126" t="str">
        <f>INDEX(Tabledaily[المرجع البياني],MATCH(TableDailyJournal[[#This Row],[رقم العملية]],Tabledaily[رقم العملية],0))</f>
        <v>قيـد مقابـل:- (مصاريف حوافز ومكافئات  - علي محمد ناصر فضل دهمس - الفرقة الثالثة)  - استلام نقدي رقم   سند استلام - صرف حافز ل قائد مدفعية الفرقة بامر</v>
      </c>
      <c r="AB246" s="121">
        <f>INDEX(Tabledaily[جهة الامر],MATCH(TableDailyJournal[[#This Row],[رقم العملية]],Tabledaily[رقم العملية],0))</f>
        <v>0</v>
      </c>
    </row>
    <row r="247" spans="2:28" ht="45.75" x14ac:dyDescent="0.55000000000000004">
      <c r="B247" s="58">
        <f t="shared" si="6"/>
        <v>243</v>
      </c>
      <c r="C247" s="59" t="s">
        <v>610</v>
      </c>
      <c r="D247" s="60">
        <f>INDEX(Tabledaily[date],MATCH(TableDailyJournal[[#This Row],[رقم العملية]],Tabledaily[رقم العملية],0))</f>
        <v>46182</v>
      </c>
      <c r="E247" s="58" t="str">
        <f>INDEX(Tabledaily[نوع العمليــة],MATCH(TableDailyJournal[[#This Row],[رقم العملية]],Tabledaily[رقم العملية],0))</f>
        <v>قيد عهده</v>
      </c>
      <c r="F247" s="58">
        <f>IFERROR(INDEX(TableJudje[رقم الحساب],MATCH(TableDailyJournal[[#This Row],[الحساب]],TableJudje[اسم الحساب],0)),0)</f>
        <v>11060205</v>
      </c>
      <c r="G247" s="58" t="s">
        <v>513</v>
      </c>
      <c r="H247" s="61" t="str">
        <f>INDEX(Tabledaily[المرجع البياني],MATCH(TableDailyJournal[[#This Row],[رقم العملية]],Tabledaily[رقم العملية],0))</f>
        <v>قيـد مقابـل:- (مصاريف حوافز ومكافئات  - علي محمد ناصر فضل دهمس - الفرقة الثالثة)  - استلام نقدي رقم   سند استلام - صرف حافز ل قائد مدفعية الفرقة بامر</v>
      </c>
      <c r="I247" s="60" t="str">
        <f>INDEX(Tabledaily[العملـــة],MATCH(TableDailyJournal[[#This Row],[رقم العملية]],Tabledaily[رقم العملية],0))</f>
        <v>ريال يمني</v>
      </c>
      <c r="J247" s="59">
        <f>IFERROR(INDEX(Tabledaily[سعــــــر
الصـــــرف],MATCH(C247,Tabledaily[رقم العملية],0)),1)</f>
        <v>405</v>
      </c>
      <c r="K247" s="123" cm="1">
        <f t="array" ref="K247">IFERROR(INDEX(Tabledaily[المبلـــــــغ],MATCH(1,(TableDailyJournal[[#This Row],[رقم العملية]]=Tabledaily[رقم العملية])*(TableDailyJournal[[#This Row],[الحساب]]=Tabledaily[الحســاب المديــــن]),0)),0)</f>
        <v>0</v>
      </c>
      <c r="L247" s="123" cm="1">
        <f t="array" ref="L247">IFERROR(INDEX(Tabledaily[المبلـــــــغ],MATCH(1,(TableDailyJournal[[#This Row],[رقم العملية]]=Tabledaily[رقم العملية])*(TableDailyJournal[[#This Row],[الحساب]]=Tabledaily[الحســاب الدئـــن]),0)),0)</f>
        <v>200000</v>
      </c>
      <c r="M247" s="119">
        <f>IFERROR(TableDailyJournal[[#This Row],[المبلغ مدين]]/TableDailyJournal[[#This Row],[سعــــــر
الصـــــرف]],0)</f>
        <v>0</v>
      </c>
      <c r="N247" s="119">
        <f>IFERROR(TableDailyJournal[[#This Row],[المبلغ دائن]]/TableDailyJournal[[#This Row],[سعــــــر
الصـــــرف]],0)</f>
        <v>493.82716049382714</v>
      </c>
      <c r="O247" s="121" t="str">
        <f>INDEX(Tabledaily[المستفيــــــــد],MATCH(TableDailyJournal[[#This Row],[رقم العملية]],Tabledaily[رقم العملية],0))</f>
        <v>علي محمد ناصر فضل دهمس</v>
      </c>
      <c r="P247" s="121" t="str">
        <f>INDEX(Tabledaily[المــــرجـــــــــع],MATCH(TableDailyJournal[[#This Row],[رقم العملية]],Tabledaily[رقم العملية],0))</f>
        <v>استلام نقدي</v>
      </c>
      <c r="Q247" s="121" t="str">
        <f>INDEX(Tabledaily[اســـــــم المــــرجــــع],MATCH(TableDailyJournal[[#This Row],[رقم العملية]],Tabledaily[رقم العملية],0))</f>
        <v>سند استلام</v>
      </c>
      <c r="R247" s="121">
        <f>INDEX(Tabledaily[رقم المـــــرجـــع],MATCH(TableDailyJournal[[#This Row],[رقم العملية]],Tabledaily[رقم العملية],0))</f>
        <v>0</v>
      </c>
      <c r="S247" s="121" t="str">
        <f>INDEX(Tabledaily[مركـــــــزالتكلفــــــة],MATCH(TableDailyJournal[[#This Row],[رقم العملية]],Tabledaily[رقم العملية],0))</f>
        <v>الفرقة الثالثة</v>
      </c>
      <c r="T247" s="121">
        <f>IFERROR(INDEX(tablecost[رقم المركز],MATCH(TableDailyJournal[[#This Row],[مركـــــــزالتكلفــــــة]],tablecost[الاسم],0)),0)</f>
        <v>1</v>
      </c>
      <c r="U247" s="122">
        <f>IFERROR(DATE(TableDailyJournal[[#This Row],[السنــــة]],TableDailyJournal[[#This Row],[الشهــــر]],TableDailyJournal[[#This Row],[الـــــيوم]]),"01-01-2026")</f>
        <v>46182</v>
      </c>
      <c r="V247" s="126"/>
      <c r="W247" s="58"/>
      <c r="X247" s="58">
        <f>IFERROR(YEAR(TableDailyJournal[[#This Row],[التاريخ]]),"")</f>
        <v>2026</v>
      </c>
      <c r="Y247" s="58">
        <f>IFERROR(MONTH(TableDailyJournal[[#This Row],[التاريخ]]),"")</f>
        <v>6</v>
      </c>
      <c r="Z247" s="58">
        <f>IFERROR(DAY(TableDailyJournal[[#This Row],[التاريخ]]),"")</f>
        <v>9</v>
      </c>
      <c r="AA247" s="126" t="str">
        <f>INDEX(Tabledaily[المرجع البياني],MATCH(TableDailyJournal[[#This Row],[رقم العملية]],Tabledaily[رقم العملية],0))</f>
        <v>قيـد مقابـل:- (مصاريف حوافز ومكافئات  - علي محمد ناصر فضل دهمس - الفرقة الثالثة)  - استلام نقدي رقم   سند استلام - صرف حافز ل قائد مدفعية الفرقة بامر</v>
      </c>
      <c r="AB247" s="121">
        <f>INDEX(Tabledaily[جهة الامر],MATCH(TableDailyJournal[[#This Row],[رقم العملية]],Tabledaily[رقم العملية],0))</f>
        <v>0</v>
      </c>
    </row>
    <row r="248" spans="2:28" ht="67.5" x14ac:dyDescent="0.55000000000000004">
      <c r="B248" s="58">
        <f t="shared" si="6"/>
        <v>244</v>
      </c>
      <c r="C248" s="59" t="s">
        <v>613</v>
      </c>
      <c r="D248" s="60">
        <f>INDEX(Tabledaily[date],MATCH(TableDailyJournal[[#This Row],[رقم العملية]],Tabledaily[رقم العملية],0))</f>
        <v>46182</v>
      </c>
      <c r="E248" s="58" t="str">
        <f>INDEX(Tabledaily[نوع العمليــة],MATCH(TableDailyJournal[[#This Row],[رقم العملية]],Tabledaily[رقم العملية],0))</f>
        <v>قيد عهده</v>
      </c>
      <c r="F248" s="58">
        <f>IFERROR(INDEX(TableJudje[رقم الحساب],MATCH(TableDailyJournal[[#This Row],[الحساب]],TableJudje[اسم الحساب],0)),0)</f>
        <v>31010101</v>
      </c>
      <c r="G248" s="58" t="s">
        <v>111</v>
      </c>
      <c r="H248" s="61"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v>
      </c>
      <c r="I248" s="60" t="str">
        <f>INDEX(Tabledaily[العملـــة],MATCH(TableDailyJournal[[#This Row],[رقم العملية]],Tabledaily[رقم العملية],0))</f>
        <v>ريال يمني</v>
      </c>
      <c r="J248" s="59">
        <f>IFERROR(INDEX(Tabledaily[سعــــــر
الصـــــرف],MATCH(C248,Tabledaily[رقم العملية],0)),1)</f>
        <v>405</v>
      </c>
      <c r="K248" s="123" cm="1">
        <f t="array" ref="K248">IFERROR(INDEX(Tabledaily[المبلـــــــغ],MATCH(1,(TableDailyJournal[[#This Row],[رقم العملية]]=Tabledaily[رقم العملية])*(TableDailyJournal[[#This Row],[الحساب]]=Tabledaily[الحســاب المديــــن]),0)),0)</f>
        <v>60000</v>
      </c>
      <c r="L248" s="123" cm="1">
        <f t="array" ref="L248">IFERROR(INDEX(Tabledaily[المبلـــــــغ],MATCH(1,(TableDailyJournal[[#This Row],[رقم العملية]]=Tabledaily[رقم العملية])*(TableDailyJournal[[#This Row],[الحساب]]=Tabledaily[الحســاب الدئـــن]),0)),0)</f>
        <v>0</v>
      </c>
      <c r="M248" s="119">
        <f>IFERROR(TableDailyJournal[[#This Row],[المبلغ مدين]]/TableDailyJournal[[#This Row],[سعــــــر
الصـــــرف]],0)</f>
        <v>148.14814814814815</v>
      </c>
      <c r="N248" s="119">
        <f>IFERROR(TableDailyJournal[[#This Row],[المبلغ دائن]]/TableDailyJournal[[#This Row],[سعــــــر
الصـــــرف]],0)</f>
        <v>0</v>
      </c>
      <c r="O248" s="121" t="str">
        <f>INDEX(Tabledaily[المستفيــــــــد],MATCH(TableDailyJournal[[#This Row],[رقم العملية]],Tabledaily[رقم العملية],0))</f>
        <v>عبدالمغني عبدالصمد عبدالحميد الصلوي</v>
      </c>
      <c r="P248" s="121" t="str">
        <f>INDEX(Tabledaily[المــــرجـــــــــع],MATCH(TableDailyJournal[[#This Row],[رقم العملية]],Tabledaily[رقم العملية],0))</f>
        <v>حواله</v>
      </c>
      <c r="Q248" s="121" t="str">
        <f>INDEX(Tabledaily[اســـــــم المــــرجــــع],MATCH(TableDailyJournal[[#This Row],[رقم العملية]],Tabledaily[رقم العملية],0))</f>
        <v xml:space="preserve">الكريمي </v>
      </c>
      <c r="R248" s="121">
        <f>INDEX(Tabledaily[رقم المـــــرجـــع],MATCH(TableDailyJournal[[#This Row],[رقم العملية]],Tabledaily[رقم العملية],0))</f>
        <v>4118096</v>
      </c>
      <c r="S248" s="121" t="str">
        <f>INDEX(Tabledaily[مركـــــــزالتكلفــــــة],MATCH(TableDailyJournal[[#This Row],[رقم العملية]],Tabledaily[رقم العملية],0))</f>
        <v>الفرقة الثالثة</v>
      </c>
      <c r="T248" s="121">
        <f>IFERROR(INDEX(tablecost[رقم المركز],MATCH(TableDailyJournal[[#This Row],[مركـــــــزالتكلفــــــة]],tablecost[الاسم],0)),0)</f>
        <v>1</v>
      </c>
      <c r="U248" s="122">
        <f>IFERROR(DATE(TableDailyJournal[[#This Row],[السنــــة]],TableDailyJournal[[#This Row],[الشهــــر]],TableDailyJournal[[#This Row],[الـــــيوم]]),"01-01-2026")</f>
        <v>46182</v>
      </c>
      <c r="V248" s="126"/>
      <c r="W248" s="58"/>
      <c r="X248" s="58">
        <f>IFERROR(YEAR(TableDailyJournal[[#This Row],[التاريخ]]),"")</f>
        <v>2026</v>
      </c>
      <c r="Y248" s="58">
        <f>IFERROR(MONTH(TableDailyJournal[[#This Row],[التاريخ]]),"")</f>
        <v>6</v>
      </c>
      <c r="Z248" s="58">
        <f>IFERROR(DAY(TableDailyJournal[[#This Row],[التاريخ]]),"")</f>
        <v>9</v>
      </c>
      <c r="AA248" s="126"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v>
      </c>
      <c r="AB248" s="121">
        <f>INDEX(Tabledaily[جهة الامر],MATCH(TableDailyJournal[[#This Row],[رقم العملية]],Tabledaily[رقم العملية],0))</f>
        <v>0</v>
      </c>
    </row>
    <row r="249" spans="2:28" ht="67.5" x14ac:dyDescent="0.55000000000000004">
      <c r="B249" s="58">
        <f t="shared" si="6"/>
        <v>245</v>
      </c>
      <c r="C249" s="59" t="s">
        <v>613</v>
      </c>
      <c r="D249" s="60">
        <f>INDEX(Tabledaily[date],MATCH(TableDailyJournal[[#This Row],[رقم العملية]],Tabledaily[رقم العملية],0))</f>
        <v>46182</v>
      </c>
      <c r="E249" s="58" t="str">
        <f>INDEX(Tabledaily[نوع العمليــة],MATCH(TableDailyJournal[[#This Row],[رقم العملية]],Tabledaily[رقم العملية],0))</f>
        <v>قيد عهده</v>
      </c>
      <c r="F249" s="58">
        <f>IFERROR(INDEX(TableJudje[رقم الحساب],MATCH(TableDailyJournal[[#This Row],[الحساب]],TableJudje[اسم الحساب],0)),0)</f>
        <v>11060205</v>
      </c>
      <c r="G249" s="58" t="s">
        <v>513</v>
      </c>
      <c r="H249" s="61"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v>
      </c>
      <c r="I249" s="60" t="str">
        <f>INDEX(Tabledaily[العملـــة],MATCH(TableDailyJournal[[#This Row],[رقم العملية]],Tabledaily[رقم العملية],0))</f>
        <v>ريال يمني</v>
      </c>
      <c r="J249" s="59">
        <f>IFERROR(INDEX(Tabledaily[سعــــــر
الصـــــرف],MATCH(C249,Tabledaily[رقم العملية],0)),1)</f>
        <v>405</v>
      </c>
      <c r="K249" s="123" cm="1">
        <f t="array" ref="K249">IFERROR(INDEX(Tabledaily[المبلـــــــغ],MATCH(1,(TableDailyJournal[[#This Row],[رقم العملية]]=Tabledaily[رقم العملية])*(TableDailyJournal[[#This Row],[الحساب]]=Tabledaily[الحســاب المديــــن]),0)),0)</f>
        <v>0</v>
      </c>
      <c r="L249" s="123" cm="1">
        <f t="array" ref="L249">IFERROR(INDEX(Tabledaily[المبلـــــــغ],MATCH(1,(TableDailyJournal[[#This Row],[رقم العملية]]=Tabledaily[رقم العملية])*(TableDailyJournal[[#This Row],[الحساب]]=Tabledaily[الحســاب الدئـــن]),0)),0)</f>
        <v>60000</v>
      </c>
      <c r="M249" s="119">
        <f>IFERROR(TableDailyJournal[[#This Row],[المبلغ مدين]]/TableDailyJournal[[#This Row],[سعــــــر
الصـــــرف]],0)</f>
        <v>0</v>
      </c>
      <c r="N249" s="119">
        <f>IFERROR(TableDailyJournal[[#This Row],[المبلغ دائن]]/TableDailyJournal[[#This Row],[سعــــــر
الصـــــرف]],0)</f>
        <v>148.14814814814815</v>
      </c>
      <c r="O249" s="121" t="str">
        <f>INDEX(Tabledaily[المستفيــــــــد],MATCH(TableDailyJournal[[#This Row],[رقم العملية]],Tabledaily[رقم العملية],0))</f>
        <v>عبدالمغني عبدالصمد عبدالحميد الصلوي</v>
      </c>
      <c r="P249" s="121" t="str">
        <f>INDEX(Tabledaily[المــــرجـــــــــع],MATCH(TableDailyJournal[[#This Row],[رقم العملية]],Tabledaily[رقم العملية],0))</f>
        <v>حواله</v>
      </c>
      <c r="Q249" s="121" t="str">
        <f>INDEX(Tabledaily[اســـــــم المــــرجــــع],MATCH(TableDailyJournal[[#This Row],[رقم العملية]],Tabledaily[رقم العملية],0))</f>
        <v xml:space="preserve">الكريمي </v>
      </c>
      <c r="R249" s="121">
        <f>INDEX(Tabledaily[رقم المـــــرجـــع],MATCH(TableDailyJournal[[#This Row],[رقم العملية]],Tabledaily[رقم العملية],0))</f>
        <v>4118096</v>
      </c>
      <c r="S249" s="121" t="str">
        <f>INDEX(Tabledaily[مركـــــــزالتكلفــــــة],MATCH(TableDailyJournal[[#This Row],[رقم العملية]],Tabledaily[رقم العملية],0))</f>
        <v>الفرقة الثالثة</v>
      </c>
      <c r="T249" s="121">
        <f>IFERROR(INDEX(tablecost[رقم المركز],MATCH(TableDailyJournal[[#This Row],[مركـــــــزالتكلفــــــة]],tablecost[الاسم],0)),0)</f>
        <v>1</v>
      </c>
      <c r="U249" s="122">
        <f>IFERROR(DATE(TableDailyJournal[[#This Row],[السنــــة]],TableDailyJournal[[#This Row],[الشهــــر]],TableDailyJournal[[#This Row],[الـــــيوم]]),"01-01-2026")</f>
        <v>46182</v>
      </c>
      <c r="V249" s="126"/>
      <c r="W249" s="58"/>
      <c r="X249" s="58">
        <f>IFERROR(YEAR(TableDailyJournal[[#This Row],[التاريخ]]),"")</f>
        <v>2026</v>
      </c>
      <c r="Y249" s="58">
        <f>IFERROR(MONTH(TableDailyJournal[[#This Row],[التاريخ]]),"")</f>
        <v>6</v>
      </c>
      <c r="Z249" s="58">
        <f>IFERROR(DAY(TableDailyJournal[[#This Row],[التاريخ]]),"")</f>
        <v>9</v>
      </c>
      <c r="AA249" s="126"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حواله رقم 4118096  الكريمي  - صرف صرفة عبد المغني اليومية للفترة من 7 الى 10 يونيو كونه جريح في مستشفى سيؤون بامر</v>
      </c>
      <c r="AB249" s="121">
        <f>INDEX(Tabledaily[جهة الامر],MATCH(TableDailyJournal[[#This Row],[رقم العملية]],Tabledaily[رقم العملية],0))</f>
        <v>0</v>
      </c>
    </row>
    <row r="250" spans="2:28" ht="45.75" x14ac:dyDescent="0.55000000000000004">
      <c r="B250" s="58">
        <f t="shared" si="6"/>
        <v>246</v>
      </c>
      <c r="C250" s="59" t="s">
        <v>618</v>
      </c>
      <c r="D250" s="60">
        <f>INDEX(Tabledaily[date],MATCH(TableDailyJournal[[#This Row],[رقم العملية]],Tabledaily[رقم العملية],0))</f>
        <v>46182</v>
      </c>
      <c r="E250" s="58" t="str">
        <f>INDEX(Tabledaily[نوع العمليــة],MATCH(TableDailyJournal[[#This Row],[رقم العملية]],Tabledaily[رقم العملية],0))</f>
        <v>قيد عهده</v>
      </c>
      <c r="F250" s="58">
        <f>IFERROR(INDEX(TableJudje[رقم الحساب],MATCH(TableDailyJournal[[#This Row],[الحساب]],TableJudje[اسم الحساب],0)),0)</f>
        <v>11060209</v>
      </c>
      <c r="G250" s="58" t="s">
        <v>824</v>
      </c>
      <c r="H250" s="61" t="str">
        <f>INDEX(Tabledaily[المرجع البياني],MATCH(TableDailyJournal[[#This Row],[رقم العملية]],Tabledaily[رقم العملية],0))</f>
        <v>قيـد مقابـل:- (عهدة جمال مسدوس - مجدي محمد احمد مسدوس - الفرقة الثالثة)  - استلام نقدي رقم   سند استلام - صرف عهدة للتخطيط بامرالأركان جمال مسدوس</v>
      </c>
      <c r="I250" s="60" t="str">
        <f>INDEX(Tabledaily[العملـــة],MATCH(TableDailyJournal[[#This Row],[رقم العملية]],Tabledaily[رقم العملية],0))</f>
        <v>ريال سعودي</v>
      </c>
      <c r="J250" s="59">
        <f>IFERROR(INDEX(Tabledaily[سعــــــر
الصـــــرف],MATCH(C250,Tabledaily[رقم العملية],0)),1)</f>
        <v>1</v>
      </c>
      <c r="K250" s="123" cm="1">
        <f t="array" ref="K250">IFERROR(INDEX(Tabledaily[المبلـــــــغ],MATCH(1,(TableDailyJournal[[#This Row],[رقم العملية]]=Tabledaily[رقم العملية])*(TableDailyJournal[[#This Row],[الحساب]]=Tabledaily[الحســاب المديــــن]),0)),0)</f>
        <v>2000</v>
      </c>
      <c r="L250" s="123" cm="1">
        <f t="array" ref="L250">IFERROR(INDEX(Tabledaily[المبلـــــــغ],MATCH(1,(TableDailyJournal[[#This Row],[رقم العملية]]=Tabledaily[رقم العملية])*(TableDailyJournal[[#This Row],[الحساب]]=Tabledaily[الحســاب الدئـــن]),0)),0)</f>
        <v>0</v>
      </c>
      <c r="M250" s="119">
        <f>IFERROR(TableDailyJournal[[#This Row],[المبلغ مدين]]/TableDailyJournal[[#This Row],[سعــــــر
الصـــــرف]],0)</f>
        <v>2000</v>
      </c>
      <c r="N250" s="119">
        <f>IFERROR(TableDailyJournal[[#This Row],[المبلغ دائن]]/TableDailyJournal[[#This Row],[سعــــــر
الصـــــرف]],0)</f>
        <v>0</v>
      </c>
      <c r="O250" s="121" t="str">
        <f>INDEX(Tabledaily[المستفيــــــــد],MATCH(TableDailyJournal[[#This Row],[رقم العملية]],Tabledaily[رقم العملية],0))</f>
        <v>مجدي محمد احمد مسدوس</v>
      </c>
      <c r="P250" s="121" t="str">
        <f>INDEX(Tabledaily[المــــرجـــــــــع],MATCH(TableDailyJournal[[#This Row],[رقم العملية]],Tabledaily[رقم العملية],0))</f>
        <v>استلام نقدي</v>
      </c>
      <c r="Q250" s="121" t="str">
        <f>INDEX(Tabledaily[اســـــــم المــــرجــــع],MATCH(TableDailyJournal[[#This Row],[رقم العملية]],Tabledaily[رقم العملية],0))</f>
        <v>سند استلام</v>
      </c>
      <c r="R250" s="121">
        <f>INDEX(Tabledaily[رقم المـــــرجـــع],MATCH(TableDailyJournal[[#This Row],[رقم العملية]],Tabledaily[رقم العملية],0))</f>
        <v>0</v>
      </c>
      <c r="S250" s="121" t="str">
        <f>INDEX(Tabledaily[مركـــــــزالتكلفــــــة],MATCH(TableDailyJournal[[#This Row],[رقم العملية]],Tabledaily[رقم العملية],0))</f>
        <v>الفرقة الثالثة</v>
      </c>
      <c r="T250" s="121">
        <f>IFERROR(INDEX(tablecost[رقم المركز],MATCH(TableDailyJournal[[#This Row],[مركـــــــزالتكلفــــــة]],tablecost[الاسم],0)),0)</f>
        <v>1</v>
      </c>
      <c r="U250" s="122">
        <f>IFERROR(DATE(TableDailyJournal[[#This Row],[السنــــة]],TableDailyJournal[[#This Row],[الشهــــر]],TableDailyJournal[[#This Row],[الـــــيوم]]),"01-01-2026")</f>
        <v>46182</v>
      </c>
      <c r="V250" s="126"/>
      <c r="W250" s="58"/>
      <c r="X250" s="58">
        <f>IFERROR(YEAR(TableDailyJournal[[#This Row],[التاريخ]]),"")</f>
        <v>2026</v>
      </c>
      <c r="Y250" s="58">
        <f>IFERROR(MONTH(TableDailyJournal[[#This Row],[التاريخ]]),"")</f>
        <v>6</v>
      </c>
      <c r="Z250" s="58">
        <f>IFERROR(DAY(TableDailyJournal[[#This Row],[التاريخ]]),"")</f>
        <v>9</v>
      </c>
      <c r="AA250" s="126" t="str">
        <f>INDEX(Tabledaily[المرجع البياني],MATCH(TableDailyJournal[[#This Row],[رقم العملية]],Tabledaily[رقم العملية],0))</f>
        <v>قيـد مقابـل:- (عهدة جمال مسدوس - مجدي محمد احمد مسدوس - الفرقة الثالثة)  - استلام نقدي رقم   سند استلام - صرف عهدة للتخطيط بامرالأركان جمال مسدوس</v>
      </c>
      <c r="AB250" s="121" t="str">
        <f>INDEX(Tabledaily[جهة الامر],MATCH(TableDailyJournal[[#This Row],[رقم العملية]],Tabledaily[رقم العملية],0))</f>
        <v>الأركان جمال مسدوس</v>
      </c>
    </row>
    <row r="251" spans="2:28" ht="45.75" x14ac:dyDescent="0.55000000000000004">
      <c r="B251" s="58">
        <f t="shared" si="6"/>
        <v>247</v>
      </c>
      <c r="C251" s="59" t="s">
        <v>618</v>
      </c>
      <c r="D251" s="60">
        <f>INDEX(Tabledaily[date],MATCH(TableDailyJournal[[#This Row],[رقم العملية]],Tabledaily[رقم العملية],0))</f>
        <v>46182</v>
      </c>
      <c r="E251" s="58" t="str">
        <f>INDEX(Tabledaily[نوع العمليــة],MATCH(TableDailyJournal[[#This Row],[رقم العملية]],Tabledaily[رقم العملية],0))</f>
        <v>قيد عهده</v>
      </c>
      <c r="F251" s="58">
        <f>IFERROR(INDEX(TableJudje[رقم الحساب],MATCH(TableDailyJournal[[#This Row],[الحساب]],TableJudje[اسم الحساب],0)),0)</f>
        <v>11060205</v>
      </c>
      <c r="G251" s="58" t="s">
        <v>513</v>
      </c>
      <c r="H251" s="61" t="str">
        <f>INDEX(Tabledaily[المرجع البياني],MATCH(TableDailyJournal[[#This Row],[رقم العملية]],Tabledaily[رقم العملية],0))</f>
        <v>قيـد مقابـل:- (عهدة جمال مسدوس - مجدي محمد احمد مسدوس - الفرقة الثالثة)  - استلام نقدي رقم   سند استلام - صرف عهدة للتخطيط بامرالأركان جمال مسدوس</v>
      </c>
      <c r="I251" s="60" t="str">
        <f>INDEX(Tabledaily[العملـــة],MATCH(TableDailyJournal[[#This Row],[رقم العملية]],Tabledaily[رقم العملية],0))</f>
        <v>ريال سعودي</v>
      </c>
      <c r="J251" s="59">
        <f>IFERROR(INDEX(Tabledaily[سعــــــر
الصـــــرف],MATCH(C251,Tabledaily[رقم العملية],0)),1)</f>
        <v>1</v>
      </c>
      <c r="K251" s="123" cm="1">
        <f t="array" ref="K251">IFERROR(INDEX(Tabledaily[المبلـــــــغ],MATCH(1,(TableDailyJournal[[#This Row],[رقم العملية]]=Tabledaily[رقم العملية])*(TableDailyJournal[[#This Row],[الحساب]]=Tabledaily[الحســاب المديــــن]),0)),0)</f>
        <v>0</v>
      </c>
      <c r="L251" s="123" cm="1">
        <f t="array" ref="L251">IFERROR(INDEX(Tabledaily[المبلـــــــغ],MATCH(1,(TableDailyJournal[[#This Row],[رقم العملية]]=Tabledaily[رقم العملية])*(TableDailyJournal[[#This Row],[الحساب]]=Tabledaily[الحســاب الدئـــن]),0)),0)</f>
        <v>2000</v>
      </c>
      <c r="M251" s="119">
        <f>IFERROR(TableDailyJournal[[#This Row],[المبلغ مدين]]/TableDailyJournal[[#This Row],[سعــــــر
الصـــــرف]],0)</f>
        <v>0</v>
      </c>
      <c r="N251" s="119">
        <f>IFERROR(TableDailyJournal[[#This Row],[المبلغ دائن]]/TableDailyJournal[[#This Row],[سعــــــر
الصـــــرف]],0)</f>
        <v>2000</v>
      </c>
      <c r="O251" s="121" t="str">
        <f>INDEX(Tabledaily[المستفيــــــــد],MATCH(TableDailyJournal[[#This Row],[رقم العملية]],Tabledaily[رقم العملية],0))</f>
        <v>مجدي محمد احمد مسدوس</v>
      </c>
      <c r="P251" s="121" t="str">
        <f>INDEX(Tabledaily[المــــرجـــــــــع],MATCH(TableDailyJournal[[#This Row],[رقم العملية]],Tabledaily[رقم العملية],0))</f>
        <v>استلام نقدي</v>
      </c>
      <c r="Q251" s="121" t="str">
        <f>INDEX(Tabledaily[اســـــــم المــــرجــــع],MATCH(TableDailyJournal[[#This Row],[رقم العملية]],Tabledaily[رقم العملية],0))</f>
        <v>سند استلام</v>
      </c>
      <c r="R251" s="121">
        <f>INDEX(Tabledaily[رقم المـــــرجـــع],MATCH(TableDailyJournal[[#This Row],[رقم العملية]],Tabledaily[رقم العملية],0))</f>
        <v>0</v>
      </c>
      <c r="S251" s="121" t="str">
        <f>INDEX(Tabledaily[مركـــــــزالتكلفــــــة],MATCH(TableDailyJournal[[#This Row],[رقم العملية]],Tabledaily[رقم العملية],0))</f>
        <v>الفرقة الثالثة</v>
      </c>
      <c r="T251" s="121">
        <f>IFERROR(INDEX(tablecost[رقم المركز],MATCH(TableDailyJournal[[#This Row],[مركـــــــزالتكلفــــــة]],tablecost[الاسم],0)),0)</f>
        <v>1</v>
      </c>
      <c r="U251" s="122">
        <f>IFERROR(DATE(TableDailyJournal[[#This Row],[السنــــة]],TableDailyJournal[[#This Row],[الشهــــر]],TableDailyJournal[[#This Row],[الـــــيوم]]),"01-01-2026")</f>
        <v>46182</v>
      </c>
      <c r="V251" s="126"/>
      <c r="W251" s="58"/>
      <c r="X251" s="58">
        <f>IFERROR(YEAR(TableDailyJournal[[#This Row],[التاريخ]]),"")</f>
        <v>2026</v>
      </c>
      <c r="Y251" s="58">
        <f>IFERROR(MONTH(TableDailyJournal[[#This Row],[التاريخ]]),"")</f>
        <v>6</v>
      </c>
      <c r="Z251" s="58">
        <f>IFERROR(DAY(TableDailyJournal[[#This Row],[التاريخ]]),"")</f>
        <v>9</v>
      </c>
      <c r="AA251" s="126" t="str">
        <f>INDEX(Tabledaily[المرجع البياني],MATCH(TableDailyJournal[[#This Row],[رقم العملية]],Tabledaily[رقم العملية],0))</f>
        <v>قيـد مقابـل:- (عهدة جمال مسدوس - مجدي محمد احمد مسدوس - الفرقة الثالثة)  - استلام نقدي رقم   سند استلام - صرف عهدة للتخطيط بامرالأركان جمال مسدوس</v>
      </c>
      <c r="AB251" s="121" t="str">
        <f>INDEX(Tabledaily[جهة الامر],MATCH(TableDailyJournal[[#This Row],[رقم العملية]],Tabledaily[رقم العملية],0))</f>
        <v>الأركان جمال مسدوس</v>
      </c>
    </row>
    <row r="252" spans="2:28" ht="67.5" x14ac:dyDescent="0.55000000000000004">
      <c r="B252" s="58">
        <f t="shared" si="6"/>
        <v>248</v>
      </c>
      <c r="C252" s="59" t="s">
        <v>621</v>
      </c>
      <c r="D252" s="60">
        <f>INDEX(Tabledaily[date],MATCH(TableDailyJournal[[#This Row],[رقم العملية]],Tabledaily[رقم العملية],0))</f>
        <v>46182</v>
      </c>
      <c r="E252" s="58" t="str">
        <f>INDEX(Tabledaily[نوع العمليــة],MATCH(TableDailyJournal[[#This Row],[رقم العملية]],Tabledaily[رقم العملية],0))</f>
        <v>قيد عهده</v>
      </c>
      <c r="F252" s="58">
        <f>IFERROR(INDEX(TableJudje[رقم الحساب],MATCH(TableDailyJournal[[#This Row],[الحساب]],TableJudje[اسم الحساب],0)),0)</f>
        <v>31010116</v>
      </c>
      <c r="G252" s="58" t="s">
        <v>122</v>
      </c>
      <c r="H252" s="61" t="str">
        <f>INDEX(Tabledaily[المرجع البياني],MATCH(TableDailyJournal[[#This Row],[رقم العملية]],Tabledaily[رقم العملية],0))</f>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v>
      </c>
      <c r="I252" s="60" t="str">
        <f>INDEX(Tabledaily[العملـــة],MATCH(TableDailyJournal[[#This Row],[رقم العملية]],Tabledaily[رقم العملية],0))</f>
        <v>ريال سعودي</v>
      </c>
      <c r="J252" s="59">
        <f>IFERROR(INDEX(Tabledaily[سعــــــر
الصـــــرف],MATCH(C252,Tabledaily[رقم العملية],0)),1)</f>
        <v>1</v>
      </c>
      <c r="K252" s="123" cm="1">
        <f t="array" ref="K252">IFERROR(INDEX(Tabledaily[المبلـــــــغ],MATCH(1,(TableDailyJournal[[#This Row],[رقم العملية]]=Tabledaily[رقم العملية])*(TableDailyJournal[[#This Row],[الحساب]]=Tabledaily[الحســاب المديــــن]),0)),0)</f>
        <v>600</v>
      </c>
      <c r="L252" s="123" cm="1">
        <f t="array" ref="L252">IFERROR(INDEX(Tabledaily[المبلـــــــغ],MATCH(1,(TableDailyJournal[[#This Row],[رقم العملية]]=Tabledaily[رقم العملية])*(TableDailyJournal[[#This Row],[الحساب]]=Tabledaily[الحســاب الدئـــن]),0)),0)</f>
        <v>0</v>
      </c>
      <c r="M252" s="119">
        <f>IFERROR(TableDailyJournal[[#This Row],[المبلغ مدين]]/TableDailyJournal[[#This Row],[سعــــــر
الصـــــرف]],0)</f>
        <v>600</v>
      </c>
      <c r="N252" s="119">
        <f>IFERROR(TableDailyJournal[[#This Row],[المبلغ دائن]]/TableDailyJournal[[#This Row],[سعــــــر
الصـــــرف]],0)</f>
        <v>0</v>
      </c>
      <c r="O252" s="121" t="str">
        <f>INDEX(Tabledaily[المستفيــــــــد],MATCH(TableDailyJournal[[#This Row],[رقم العملية]],Tabledaily[رقم العملية],0))</f>
        <v>مجدي محمد احمد مسدوس</v>
      </c>
      <c r="P252" s="121" t="str">
        <f>INDEX(Tabledaily[المــــرجـــــــــع],MATCH(TableDailyJournal[[#This Row],[رقم العملية]],Tabledaily[رقم العملية],0))</f>
        <v>استلام نقدي</v>
      </c>
      <c r="Q252" s="121" t="str">
        <f>INDEX(Tabledaily[اســـــــم المــــرجــــع],MATCH(TableDailyJournal[[#This Row],[رقم العملية]],Tabledaily[رقم العملية],0))</f>
        <v>سند استلام</v>
      </c>
      <c r="R252" s="121">
        <f>INDEX(Tabledaily[رقم المـــــرجـــع],MATCH(TableDailyJournal[[#This Row],[رقم العملية]],Tabledaily[رقم العملية],0))</f>
        <v>0</v>
      </c>
      <c r="S252" s="121" t="str">
        <f>INDEX(Tabledaily[مركـــــــزالتكلفــــــة],MATCH(TableDailyJournal[[#This Row],[رقم العملية]],Tabledaily[رقم العملية],0))</f>
        <v>الفرقة الثالثة</v>
      </c>
      <c r="T252" s="121">
        <f>IFERROR(INDEX(tablecost[رقم المركز],MATCH(TableDailyJournal[[#This Row],[مركـــــــزالتكلفــــــة]],tablecost[الاسم],0)),0)</f>
        <v>1</v>
      </c>
      <c r="U252" s="122">
        <f>IFERROR(DATE(TableDailyJournal[[#This Row],[السنــــة]],TableDailyJournal[[#This Row],[الشهــــر]],TableDailyJournal[[#This Row],[الـــــيوم]]),"01-01-2026")</f>
        <v>46182</v>
      </c>
      <c r="V252" s="126"/>
      <c r="W252" s="58"/>
      <c r="X252" s="58">
        <f>IFERROR(YEAR(TableDailyJournal[[#This Row],[التاريخ]]),"")</f>
        <v>2026</v>
      </c>
      <c r="Y252" s="58">
        <f>IFERROR(MONTH(TableDailyJournal[[#This Row],[التاريخ]]),"")</f>
        <v>6</v>
      </c>
      <c r="Z252" s="58">
        <f>IFERROR(DAY(TableDailyJournal[[#This Row],[التاريخ]]),"")</f>
        <v>9</v>
      </c>
      <c r="AA252" s="126" t="str">
        <f>INDEX(Tabledaily[المرجع البياني],MATCH(TableDailyJournal[[#This Row],[رقم العملية]],Tabledaily[رقم العملية],0))</f>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v>
      </c>
      <c r="AB252" s="121" t="str">
        <f>INDEX(Tabledaily[جهة الامر],MATCH(TableDailyJournal[[#This Row],[رقم العملية]],Tabledaily[رقم العملية],0))</f>
        <v>الأركان جمال مسدوس</v>
      </c>
    </row>
    <row r="253" spans="2:28" ht="67.5" x14ac:dyDescent="0.55000000000000004">
      <c r="B253" s="58">
        <f t="shared" si="6"/>
        <v>249</v>
      </c>
      <c r="C253" s="59" t="s">
        <v>621</v>
      </c>
      <c r="D253" s="60">
        <f>INDEX(Tabledaily[date],MATCH(TableDailyJournal[[#This Row],[رقم العملية]],Tabledaily[رقم العملية],0))</f>
        <v>46182</v>
      </c>
      <c r="E253" s="58" t="str">
        <f>INDEX(Tabledaily[نوع العمليــة],MATCH(TableDailyJournal[[#This Row],[رقم العملية]],Tabledaily[رقم العملية],0))</f>
        <v>قيد عهده</v>
      </c>
      <c r="F253" s="58">
        <f>IFERROR(INDEX(TableJudje[رقم الحساب],MATCH(TableDailyJournal[[#This Row],[الحساب]],TableJudje[اسم الحساب],0)),0)</f>
        <v>11060205</v>
      </c>
      <c r="G253" s="58" t="s">
        <v>513</v>
      </c>
      <c r="H253" s="61" t="str">
        <f>INDEX(Tabledaily[المرجع البياني],MATCH(TableDailyJournal[[#This Row],[رقم العملية]],Tabledaily[رقم العملية],0))</f>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v>
      </c>
      <c r="I253" s="60" t="str">
        <f>INDEX(Tabledaily[العملـــة],MATCH(TableDailyJournal[[#This Row],[رقم العملية]],Tabledaily[رقم العملية],0))</f>
        <v>ريال سعودي</v>
      </c>
      <c r="J253" s="59">
        <f>IFERROR(INDEX(Tabledaily[سعــــــر
الصـــــرف],MATCH(C253,Tabledaily[رقم العملية],0)),1)</f>
        <v>1</v>
      </c>
      <c r="K253" s="123" cm="1">
        <f t="array" ref="K253">IFERROR(INDEX(Tabledaily[المبلـــــــغ],MATCH(1,(TableDailyJournal[[#This Row],[رقم العملية]]=Tabledaily[رقم العملية])*(TableDailyJournal[[#This Row],[الحساب]]=Tabledaily[الحســاب المديــــن]),0)),0)</f>
        <v>0</v>
      </c>
      <c r="L253" s="123" cm="1">
        <f t="array" ref="L253">IFERROR(INDEX(Tabledaily[المبلـــــــغ],MATCH(1,(TableDailyJournal[[#This Row],[رقم العملية]]=Tabledaily[رقم العملية])*(TableDailyJournal[[#This Row],[الحساب]]=Tabledaily[الحســاب الدئـــن]),0)),0)</f>
        <v>600</v>
      </c>
      <c r="M253" s="119">
        <f>IFERROR(TableDailyJournal[[#This Row],[المبلغ مدين]]/TableDailyJournal[[#This Row],[سعــــــر
الصـــــرف]],0)</f>
        <v>0</v>
      </c>
      <c r="N253" s="119">
        <f>IFERROR(TableDailyJournal[[#This Row],[المبلغ دائن]]/TableDailyJournal[[#This Row],[سعــــــر
الصـــــرف]],0)</f>
        <v>600</v>
      </c>
      <c r="O253" s="121" t="str">
        <f>INDEX(Tabledaily[المستفيــــــــد],MATCH(TableDailyJournal[[#This Row],[رقم العملية]],Tabledaily[رقم العملية],0))</f>
        <v>مجدي محمد احمد مسدوس</v>
      </c>
      <c r="P253" s="121" t="str">
        <f>INDEX(Tabledaily[المــــرجـــــــــع],MATCH(TableDailyJournal[[#This Row],[رقم العملية]],Tabledaily[رقم العملية],0))</f>
        <v>استلام نقدي</v>
      </c>
      <c r="Q253" s="121" t="str">
        <f>INDEX(Tabledaily[اســـــــم المــــرجــــع],MATCH(TableDailyJournal[[#This Row],[رقم العملية]],Tabledaily[رقم العملية],0))</f>
        <v>سند استلام</v>
      </c>
      <c r="R253" s="121">
        <f>INDEX(Tabledaily[رقم المـــــرجـــع],MATCH(TableDailyJournal[[#This Row],[رقم العملية]],Tabledaily[رقم العملية],0))</f>
        <v>0</v>
      </c>
      <c r="S253" s="121" t="str">
        <f>INDEX(Tabledaily[مركـــــــزالتكلفــــــة],MATCH(TableDailyJournal[[#This Row],[رقم العملية]],Tabledaily[رقم العملية],0))</f>
        <v>الفرقة الثالثة</v>
      </c>
      <c r="T253" s="121">
        <f>IFERROR(INDEX(tablecost[رقم المركز],MATCH(TableDailyJournal[[#This Row],[مركـــــــزالتكلفــــــة]],tablecost[الاسم],0)),0)</f>
        <v>1</v>
      </c>
      <c r="U253" s="122">
        <f>IFERROR(DATE(TableDailyJournal[[#This Row],[السنــــة]],TableDailyJournal[[#This Row],[الشهــــر]],TableDailyJournal[[#This Row],[الـــــيوم]]),"01-01-2026")</f>
        <v>46182</v>
      </c>
      <c r="V253" s="126"/>
      <c r="W253" s="58"/>
      <c r="X253" s="58">
        <f>IFERROR(YEAR(TableDailyJournal[[#This Row],[التاريخ]]),"")</f>
        <v>2026</v>
      </c>
      <c r="Y253" s="58">
        <f>IFERROR(MONTH(TableDailyJournal[[#This Row],[التاريخ]]),"")</f>
        <v>6</v>
      </c>
      <c r="Z253" s="58">
        <f>IFERROR(DAY(TableDailyJournal[[#This Row],[التاريخ]]),"")</f>
        <v>9</v>
      </c>
      <c r="AA253" s="126" t="str">
        <f>INDEX(Tabledaily[المرجع البياني],MATCH(TableDailyJournal[[#This Row],[رقم العملية]],Tabledaily[رقم العملية],0))</f>
        <v>قيـد مقابـل:- (مصاريف نزول مهام  - مجدي محمد احمد مسدوس - الفرقة الثالثة)  - استلام نقدي رقم   سند استلام - صرف مصاريف التريب للمشروع وزيارة الى اللواء السابع والخامس بامرالأركان جمال مسدوس</v>
      </c>
      <c r="AB253" s="121" t="str">
        <f>INDEX(Tabledaily[جهة الامر],MATCH(TableDailyJournal[[#This Row],[رقم العملية]],Tabledaily[رقم العملية],0))</f>
        <v>الأركان جمال مسدوس</v>
      </c>
    </row>
    <row r="254" spans="2:28" ht="45.75" x14ac:dyDescent="0.55000000000000004">
      <c r="B254" s="58">
        <f t="shared" ref="B254:B285" si="7">ROW()-4</f>
        <v>250</v>
      </c>
      <c r="C254" s="59" t="s">
        <v>623</v>
      </c>
      <c r="D254" s="60">
        <f>INDEX(Tabledaily[date],MATCH(TableDailyJournal[[#This Row],[رقم العملية]],Tabledaily[رقم العملية],0))</f>
        <v>46183</v>
      </c>
      <c r="E254" s="58" t="str">
        <f>INDEX(Tabledaily[نوع العمليــة],MATCH(TableDailyJournal[[#This Row],[رقم العملية]],Tabledaily[رقم العملية],0))</f>
        <v>قيد عهده</v>
      </c>
      <c r="F254" s="58">
        <f>IFERROR(INDEX(TableJudje[رقم الحساب],MATCH(TableDailyJournal[[#This Row],[الحساب]],TableJudje[اسم الحساب],0)),0)</f>
        <v>31010101</v>
      </c>
      <c r="G254" s="58" t="s">
        <v>111</v>
      </c>
      <c r="H254"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I254" s="60" t="str">
        <f>INDEX(Tabledaily[العملـــة],MATCH(TableDailyJournal[[#This Row],[رقم العملية]],Tabledaily[رقم العملية],0))</f>
        <v>ريال يمني</v>
      </c>
      <c r="J254" s="59">
        <f>IFERROR(INDEX(Tabledaily[سعــــــر
الصـــــرف],MATCH(C254,Tabledaily[رقم العملية],0)),1)</f>
        <v>405</v>
      </c>
      <c r="K254" s="123" cm="1">
        <f t="array" ref="K254">IFERROR(INDEX(Tabledaily[المبلـــــــغ],MATCH(1,(TableDailyJournal[[#This Row],[رقم العملية]]=Tabledaily[رقم العملية])*(TableDailyJournal[[#This Row],[الحساب]]=Tabledaily[الحســاب المديــــن]),0)),0)</f>
        <v>43000</v>
      </c>
      <c r="L254" s="123" cm="1">
        <f t="array" ref="L254">IFERROR(INDEX(Tabledaily[المبلـــــــغ],MATCH(1,(TableDailyJournal[[#This Row],[رقم العملية]]=Tabledaily[رقم العملية])*(TableDailyJournal[[#This Row],[الحساب]]=Tabledaily[الحســاب الدئـــن]),0)),0)</f>
        <v>0</v>
      </c>
      <c r="M254" s="119">
        <f>IFERROR(TableDailyJournal[[#This Row],[المبلغ مدين]]/TableDailyJournal[[#This Row],[سعــــــر
الصـــــرف]],0)</f>
        <v>106.17283950617283</v>
      </c>
      <c r="N254" s="119">
        <f>IFERROR(TableDailyJournal[[#This Row],[المبلغ دائن]]/TableDailyJournal[[#This Row],[سعــــــر
الصـــــرف]],0)</f>
        <v>0</v>
      </c>
      <c r="O254" s="121" t="str">
        <f>INDEX(Tabledaily[المستفيــــــــد],MATCH(TableDailyJournal[[#This Row],[رقم العملية]],Tabledaily[رقم العملية],0))</f>
        <v>السيطرة والاتصالات</v>
      </c>
      <c r="P254" s="121" t="str">
        <f>INDEX(Tabledaily[المــــرجـــــــــع],MATCH(TableDailyJournal[[#This Row],[رقم العملية]],Tabledaily[رقم العملية],0))</f>
        <v>كشف صرف</v>
      </c>
      <c r="Q254" s="121" t="str">
        <f>INDEX(Tabledaily[اســـــــم المــــرجــــع],MATCH(TableDailyJournal[[#This Row],[رقم العملية]],Tabledaily[رقم العملية],0))</f>
        <v>كشف صرف</v>
      </c>
      <c r="R254" s="121">
        <f>INDEX(Tabledaily[رقم المـــــرجـــع],MATCH(TableDailyJournal[[#This Row],[رقم العملية]],Tabledaily[رقم العملية],0))</f>
        <v>0</v>
      </c>
      <c r="S254" s="121" t="str">
        <f>INDEX(Tabledaily[مركـــــــزالتكلفــــــة],MATCH(TableDailyJournal[[#This Row],[رقم العملية]],Tabledaily[رقم العملية],0))</f>
        <v>الفرقة الثالثة</v>
      </c>
      <c r="T254" s="121">
        <f>IFERROR(INDEX(tablecost[رقم المركز],MATCH(TableDailyJournal[[#This Row],[مركـــــــزالتكلفــــــة]],tablecost[الاسم],0)),0)</f>
        <v>1</v>
      </c>
      <c r="U254" s="122">
        <f>IFERROR(DATE(TableDailyJournal[[#This Row],[السنــــة]],TableDailyJournal[[#This Row],[الشهــــر]],TableDailyJournal[[#This Row],[الـــــيوم]]),"01-01-2026")</f>
        <v>46183</v>
      </c>
      <c r="V254" s="126"/>
      <c r="W254" s="58"/>
      <c r="X254" s="58">
        <f>IFERROR(YEAR(TableDailyJournal[[#This Row],[التاريخ]]),"")</f>
        <v>2026</v>
      </c>
      <c r="Y254" s="58">
        <f>IFERROR(MONTH(TableDailyJournal[[#This Row],[التاريخ]]),"")</f>
        <v>6</v>
      </c>
      <c r="Z254" s="58">
        <f>IFERROR(DAY(TableDailyJournal[[#This Row],[التاريخ]]),"")</f>
        <v>10</v>
      </c>
      <c r="AA254"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AB254" s="121">
        <f>INDEX(Tabledaily[جهة الامر],MATCH(TableDailyJournal[[#This Row],[رقم العملية]],Tabledaily[رقم العملية],0))</f>
        <v>0</v>
      </c>
    </row>
    <row r="255" spans="2:28" ht="45.75" x14ac:dyDescent="0.55000000000000004">
      <c r="B255" s="58">
        <f t="shared" si="7"/>
        <v>251</v>
      </c>
      <c r="C255" s="59" t="s">
        <v>623</v>
      </c>
      <c r="D255" s="60">
        <f>INDEX(Tabledaily[date],MATCH(TableDailyJournal[[#This Row],[رقم العملية]],Tabledaily[رقم العملية],0))</f>
        <v>46183</v>
      </c>
      <c r="E255" s="58" t="str">
        <f>INDEX(Tabledaily[نوع العمليــة],MATCH(TableDailyJournal[[#This Row],[رقم العملية]],Tabledaily[رقم العملية],0))</f>
        <v>قيد عهده</v>
      </c>
      <c r="F255" s="58">
        <f>IFERROR(INDEX(TableJudje[رقم الحساب],MATCH(TableDailyJournal[[#This Row],[الحساب]],TableJudje[اسم الحساب],0)),0)</f>
        <v>11060205</v>
      </c>
      <c r="G255" s="58" t="s">
        <v>513</v>
      </c>
      <c r="H255"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I255" s="60" t="str">
        <f>INDEX(Tabledaily[العملـــة],MATCH(TableDailyJournal[[#This Row],[رقم العملية]],Tabledaily[رقم العملية],0))</f>
        <v>ريال يمني</v>
      </c>
      <c r="J255" s="59">
        <f>IFERROR(INDEX(Tabledaily[سعــــــر
الصـــــرف],MATCH(C255,Tabledaily[رقم العملية],0)),1)</f>
        <v>405</v>
      </c>
      <c r="K255" s="123" cm="1">
        <f t="array" ref="K255">IFERROR(INDEX(Tabledaily[المبلـــــــغ],MATCH(1,(TableDailyJournal[[#This Row],[رقم العملية]]=Tabledaily[رقم العملية])*(TableDailyJournal[[#This Row],[الحساب]]=Tabledaily[الحســاب المديــــن]),0)),0)</f>
        <v>0</v>
      </c>
      <c r="L255" s="123" cm="1">
        <f t="array" ref="L255">IFERROR(INDEX(Tabledaily[المبلـــــــغ],MATCH(1,(TableDailyJournal[[#This Row],[رقم العملية]]=Tabledaily[رقم العملية])*(TableDailyJournal[[#This Row],[الحساب]]=Tabledaily[الحســاب الدئـــن]),0)),0)</f>
        <v>43000</v>
      </c>
      <c r="M255" s="119">
        <f>IFERROR(TableDailyJournal[[#This Row],[المبلغ مدين]]/TableDailyJournal[[#This Row],[سعــــــر
الصـــــرف]],0)</f>
        <v>0</v>
      </c>
      <c r="N255" s="119">
        <f>IFERROR(TableDailyJournal[[#This Row],[المبلغ دائن]]/TableDailyJournal[[#This Row],[سعــــــر
الصـــــرف]],0)</f>
        <v>106.17283950617283</v>
      </c>
      <c r="O255" s="121" t="str">
        <f>INDEX(Tabledaily[المستفيــــــــد],MATCH(TableDailyJournal[[#This Row],[رقم العملية]],Tabledaily[رقم العملية],0))</f>
        <v>السيطرة والاتصالات</v>
      </c>
      <c r="P255" s="121" t="str">
        <f>INDEX(Tabledaily[المــــرجـــــــــع],MATCH(TableDailyJournal[[#This Row],[رقم العملية]],Tabledaily[رقم العملية],0))</f>
        <v>كشف صرف</v>
      </c>
      <c r="Q255" s="121" t="str">
        <f>INDEX(Tabledaily[اســـــــم المــــرجــــع],MATCH(TableDailyJournal[[#This Row],[رقم العملية]],Tabledaily[رقم العملية],0))</f>
        <v>كشف صرف</v>
      </c>
      <c r="R255" s="121">
        <f>INDEX(Tabledaily[رقم المـــــرجـــع],MATCH(TableDailyJournal[[#This Row],[رقم العملية]],Tabledaily[رقم العملية],0))</f>
        <v>0</v>
      </c>
      <c r="S255" s="121" t="str">
        <f>INDEX(Tabledaily[مركـــــــزالتكلفــــــة],MATCH(TableDailyJournal[[#This Row],[رقم العملية]],Tabledaily[رقم العملية],0))</f>
        <v>الفرقة الثالثة</v>
      </c>
      <c r="T255" s="121">
        <f>IFERROR(INDEX(tablecost[رقم المركز],MATCH(TableDailyJournal[[#This Row],[مركـــــــزالتكلفــــــة]],tablecost[الاسم],0)),0)</f>
        <v>1</v>
      </c>
      <c r="U255" s="122">
        <f>IFERROR(DATE(TableDailyJournal[[#This Row],[السنــــة]],TableDailyJournal[[#This Row],[الشهــــر]],TableDailyJournal[[#This Row],[الـــــيوم]]),"01-01-2026")</f>
        <v>46183</v>
      </c>
      <c r="V255" s="126"/>
      <c r="W255" s="58"/>
      <c r="X255" s="58">
        <f>IFERROR(YEAR(TableDailyJournal[[#This Row],[التاريخ]]),"")</f>
        <v>2026</v>
      </c>
      <c r="Y255" s="58">
        <f>IFERROR(MONTH(TableDailyJournal[[#This Row],[التاريخ]]),"")</f>
        <v>6</v>
      </c>
      <c r="Z255" s="58">
        <f>IFERROR(DAY(TableDailyJournal[[#This Row],[التاريخ]]),"")</f>
        <v>10</v>
      </c>
      <c r="AA255"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5 بامر</v>
      </c>
      <c r="AB255" s="121">
        <f>INDEX(Tabledaily[جهة الامر],MATCH(TableDailyJournal[[#This Row],[رقم العملية]],Tabledaily[رقم العملية],0))</f>
        <v>0</v>
      </c>
    </row>
    <row r="256" spans="2:28" ht="45.75" x14ac:dyDescent="0.55000000000000004">
      <c r="B256" s="58">
        <f t="shared" si="7"/>
        <v>252</v>
      </c>
      <c r="C256" s="59" t="s">
        <v>625</v>
      </c>
      <c r="D256" s="60">
        <f>INDEX(Tabledaily[date],MATCH(TableDailyJournal[[#This Row],[رقم العملية]],Tabledaily[رقم العملية],0))</f>
        <v>46183</v>
      </c>
      <c r="E256" s="58" t="str">
        <f>INDEX(Tabledaily[نوع العمليــة],MATCH(TableDailyJournal[[#This Row],[رقم العملية]],Tabledaily[رقم العملية],0))</f>
        <v>قيد عهده</v>
      </c>
      <c r="F256" s="58">
        <f>IFERROR(INDEX(TableJudje[رقم الحساب],MATCH(TableDailyJournal[[#This Row],[الحساب]],TableJudje[اسم الحساب],0)),0)</f>
        <v>31010101</v>
      </c>
      <c r="G256" s="58" t="s">
        <v>111</v>
      </c>
      <c r="H256"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256" s="60" t="str">
        <f>INDEX(Tabledaily[العملـــة],MATCH(TableDailyJournal[[#This Row],[رقم العملية]],Tabledaily[رقم العملية],0))</f>
        <v>ريال يمني</v>
      </c>
      <c r="J256" s="59">
        <f>IFERROR(INDEX(Tabledaily[سعــــــر
الصـــــرف],MATCH(C256,Tabledaily[رقم العملية],0)),1)</f>
        <v>405</v>
      </c>
      <c r="K256" s="123" cm="1">
        <f t="array" ref="K256">IFERROR(INDEX(Tabledaily[المبلـــــــغ],MATCH(1,(TableDailyJournal[[#This Row],[رقم العملية]]=Tabledaily[رقم العملية])*(TableDailyJournal[[#This Row],[الحساب]]=Tabledaily[الحســاب المديــــن]),0)),0)</f>
        <v>30000</v>
      </c>
      <c r="L256" s="123" cm="1">
        <f t="array" ref="L256">IFERROR(INDEX(Tabledaily[المبلـــــــغ],MATCH(1,(TableDailyJournal[[#This Row],[رقم العملية]]=Tabledaily[رقم العملية])*(TableDailyJournal[[#This Row],[الحساب]]=Tabledaily[الحســاب الدئـــن]),0)),0)</f>
        <v>0</v>
      </c>
      <c r="M256" s="119">
        <f>IFERROR(TableDailyJournal[[#This Row],[المبلغ مدين]]/TableDailyJournal[[#This Row],[سعــــــر
الصـــــرف]],0)</f>
        <v>74.074074074074076</v>
      </c>
      <c r="N256" s="119">
        <f>IFERROR(TableDailyJournal[[#This Row],[المبلغ دائن]]/TableDailyJournal[[#This Row],[سعــــــر
الصـــــرف]],0)</f>
        <v>0</v>
      </c>
      <c r="O256" s="121" t="str">
        <f>INDEX(Tabledaily[المستفيــــــــد],MATCH(TableDailyJournal[[#This Row],[رقم العملية]],Tabledaily[رقم العملية],0))</f>
        <v>التوجيه</v>
      </c>
      <c r="P256" s="121" t="str">
        <f>INDEX(Tabledaily[المــــرجـــــــــع],MATCH(TableDailyJournal[[#This Row],[رقم العملية]],Tabledaily[رقم العملية],0))</f>
        <v>كشف صرف</v>
      </c>
      <c r="Q256" s="121" t="str">
        <f>INDEX(Tabledaily[اســـــــم المــــرجــــع],MATCH(TableDailyJournal[[#This Row],[رقم العملية]],Tabledaily[رقم العملية],0))</f>
        <v>كشف صرف</v>
      </c>
      <c r="R256" s="121">
        <f>INDEX(Tabledaily[رقم المـــــرجـــع],MATCH(TableDailyJournal[[#This Row],[رقم العملية]],Tabledaily[رقم العملية],0))</f>
        <v>0</v>
      </c>
      <c r="S256" s="121" t="str">
        <f>INDEX(Tabledaily[مركـــــــزالتكلفــــــة],MATCH(TableDailyJournal[[#This Row],[رقم العملية]],Tabledaily[رقم العملية],0))</f>
        <v>الفرقة الثالثة</v>
      </c>
      <c r="T256" s="121">
        <f>IFERROR(INDEX(tablecost[رقم المركز],MATCH(TableDailyJournal[[#This Row],[مركـــــــزالتكلفــــــة]],tablecost[الاسم],0)),0)</f>
        <v>1</v>
      </c>
      <c r="U256" s="122">
        <f>IFERROR(DATE(TableDailyJournal[[#This Row],[السنــــة]],TableDailyJournal[[#This Row],[الشهــــر]],TableDailyJournal[[#This Row],[الـــــيوم]]),"01-01-2026")</f>
        <v>46183</v>
      </c>
      <c r="V256" s="126"/>
      <c r="W256" s="58"/>
      <c r="X256" s="58">
        <f>IFERROR(YEAR(TableDailyJournal[[#This Row],[التاريخ]]),"")</f>
        <v>2026</v>
      </c>
      <c r="Y256" s="58">
        <f>IFERROR(MONTH(TableDailyJournal[[#This Row],[التاريخ]]),"")</f>
        <v>6</v>
      </c>
      <c r="Z256" s="58">
        <f>IFERROR(DAY(TableDailyJournal[[#This Row],[التاريخ]]),"")</f>
        <v>10</v>
      </c>
      <c r="AA256"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256" s="121">
        <f>INDEX(Tabledaily[جهة الامر],MATCH(TableDailyJournal[[#This Row],[رقم العملية]],Tabledaily[رقم العملية],0))</f>
        <v>0</v>
      </c>
    </row>
    <row r="257" spans="2:28" ht="45.75" x14ac:dyDescent="0.55000000000000004">
      <c r="B257" s="58">
        <f t="shared" si="7"/>
        <v>253</v>
      </c>
      <c r="C257" s="59" t="s">
        <v>625</v>
      </c>
      <c r="D257" s="60">
        <f>INDEX(Tabledaily[date],MATCH(TableDailyJournal[[#This Row],[رقم العملية]],Tabledaily[رقم العملية],0))</f>
        <v>46183</v>
      </c>
      <c r="E257" s="58" t="str">
        <f>INDEX(Tabledaily[نوع العمليــة],MATCH(TableDailyJournal[[#This Row],[رقم العملية]],Tabledaily[رقم العملية],0))</f>
        <v>قيد عهده</v>
      </c>
      <c r="F257" s="58">
        <f>IFERROR(INDEX(TableJudje[رقم الحساب],MATCH(TableDailyJournal[[#This Row],[الحساب]],TableJudje[اسم الحساب],0)),0)</f>
        <v>11060205</v>
      </c>
      <c r="G257" s="58" t="s">
        <v>513</v>
      </c>
      <c r="H257"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257" s="60" t="str">
        <f>INDEX(Tabledaily[العملـــة],MATCH(TableDailyJournal[[#This Row],[رقم العملية]],Tabledaily[رقم العملية],0))</f>
        <v>ريال يمني</v>
      </c>
      <c r="J257" s="59">
        <f>IFERROR(INDEX(Tabledaily[سعــــــر
الصـــــرف],MATCH(C257,Tabledaily[رقم العملية],0)),1)</f>
        <v>405</v>
      </c>
      <c r="K257" s="123" cm="1">
        <f t="array" ref="K257">IFERROR(INDEX(Tabledaily[المبلـــــــغ],MATCH(1,(TableDailyJournal[[#This Row],[رقم العملية]]=Tabledaily[رقم العملية])*(TableDailyJournal[[#This Row],[الحساب]]=Tabledaily[الحســاب المديــــن]),0)),0)</f>
        <v>0</v>
      </c>
      <c r="L257" s="123" cm="1">
        <f t="array" ref="L257">IFERROR(INDEX(Tabledaily[المبلـــــــغ],MATCH(1,(TableDailyJournal[[#This Row],[رقم العملية]]=Tabledaily[رقم العملية])*(TableDailyJournal[[#This Row],[الحساب]]=Tabledaily[الحســاب الدئـــن]),0)),0)</f>
        <v>30000</v>
      </c>
      <c r="M257" s="119">
        <f>IFERROR(TableDailyJournal[[#This Row],[المبلغ مدين]]/TableDailyJournal[[#This Row],[سعــــــر
الصـــــرف]],0)</f>
        <v>0</v>
      </c>
      <c r="N257" s="119">
        <f>IFERROR(TableDailyJournal[[#This Row],[المبلغ دائن]]/TableDailyJournal[[#This Row],[سعــــــر
الصـــــرف]],0)</f>
        <v>74.074074074074076</v>
      </c>
      <c r="O257" s="121" t="str">
        <f>INDEX(Tabledaily[المستفيــــــــد],MATCH(TableDailyJournal[[#This Row],[رقم العملية]],Tabledaily[رقم العملية],0))</f>
        <v>التوجيه</v>
      </c>
      <c r="P257" s="121" t="str">
        <f>INDEX(Tabledaily[المــــرجـــــــــع],MATCH(TableDailyJournal[[#This Row],[رقم العملية]],Tabledaily[رقم العملية],0))</f>
        <v>كشف صرف</v>
      </c>
      <c r="Q257" s="121" t="str">
        <f>INDEX(Tabledaily[اســـــــم المــــرجــــع],MATCH(TableDailyJournal[[#This Row],[رقم العملية]],Tabledaily[رقم العملية],0))</f>
        <v>كشف صرف</v>
      </c>
      <c r="R257" s="121">
        <f>INDEX(Tabledaily[رقم المـــــرجـــع],MATCH(TableDailyJournal[[#This Row],[رقم العملية]],Tabledaily[رقم العملية],0))</f>
        <v>0</v>
      </c>
      <c r="S257" s="121" t="str">
        <f>INDEX(Tabledaily[مركـــــــزالتكلفــــــة],MATCH(TableDailyJournal[[#This Row],[رقم العملية]],Tabledaily[رقم العملية],0))</f>
        <v>الفرقة الثالثة</v>
      </c>
      <c r="T257" s="121">
        <f>IFERROR(INDEX(tablecost[رقم المركز],MATCH(TableDailyJournal[[#This Row],[مركـــــــزالتكلفــــــة]],tablecost[الاسم],0)),0)</f>
        <v>1</v>
      </c>
      <c r="U257" s="122">
        <f>IFERROR(DATE(TableDailyJournal[[#This Row],[السنــــة]],TableDailyJournal[[#This Row],[الشهــــر]],TableDailyJournal[[#This Row],[الـــــيوم]]),"01-01-2026")</f>
        <v>46183</v>
      </c>
      <c r="V257" s="126"/>
      <c r="W257" s="58"/>
      <c r="X257" s="58">
        <f>IFERROR(YEAR(TableDailyJournal[[#This Row],[التاريخ]]),"")</f>
        <v>2026</v>
      </c>
      <c r="Y257" s="58">
        <f>IFERROR(MONTH(TableDailyJournal[[#This Row],[التاريخ]]),"")</f>
        <v>6</v>
      </c>
      <c r="Z257" s="58">
        <f>IFERROR(DAY(TableDailyJournal[[#This Row],[التاريخ]]),"")</f>
        <v>10</v>
      </c>
      <c r="AA257"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257" s="121">
        <f>INDEX(Tabledaily[جهة الامر],MATCH(TableDailyJournal[[#This Row],[رقم العملية]],Tabledaily[رقم العملية],0))</f>
        <v>0</v>
      </c>
    </row>
    <row r="258" spans="2:28" ht="45.75" x14ac:dyDescent="0.55000000000000004">
      <c r="B258" s="58">
        <f t="shared" si="7"/>
        <v>254</v>
      </c>
      <c r="C258" s="59" t="s">
        <v>626</v>
      </c>
      <c r="D258" s="60">
        <f>INDEX(Tabledaily[date],MATCH(TableDailyJournal[[#This Row],[رقم العملية]],Tabledaily[رقم العملية],0))</f>
        <v>46183</v>
      </c>
      <c r="E258" s="58" t="str">
        <f>INDEX(Tabledaily[نوع العمليــة],MATCH(TableDailyJournal[[#This Row],[رقم العملية]],Tabledaily[رقم العملية],0))</f>
        <v>قيد عهده</v>
      </c>
      <c r="F258" s="58">
        <f>IFERROR(INDEX(TableJudje[رقم الحساب],MATCH(TableDailyJournal[[#This Row],[الحساب]],TableJudje[اسم الحساب],0)),0)</f>
        <v>31010101</v>
      </c>
      <c r="G258" s="58" t="s">
        <v>111</v>
      </c>
      <c r="H258"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258" s="60" t="str">
        <f>INDEX(Tabledaily[العملـــة],MATCH(TableDailyJournal[[#This Row],[رقم العملية]],Tabledaily[رقم العملية],0))</f>
        <v>ريال يمني</v>
      </c>
      <c r="J258" s="59">
        <f>IFERROR(INDEX(Tabledaily[سعــــــر
الصـــــرف],MATCH(C258,Tabledaily[رقم العملية],0)),1)</f>
        <v>405</v>
      </c>
      <c r="K258" s="123" cm="1">
        <f t="array" ref="K258">IFERROR(INDEX(Tabledaily[المبلـــــــغ],MATCH(1,(TableDailyJournal[[#This Row],[رقم العملية]]=Tabledaily[رقم العملية])*(TableDailyJournal[[#This Row],[الحساب]]=Tabledaily[الحســاب المديــــن]),0)),0)</f>
        <v>15000</v>
      </c>
      <c r="L258" s="123" cm="1">
        <f t="array" ref="L258">IFERROR(INDEX(Tabledaily[المبلـــــــغ],MATCH(1,(TableDailyJournal[[#This Row],[رقم العملية]]=Tabledaily[رقم العملية])*(TableDailyJournal[[#This Row],[الحساب]]=Tabledaily[الحســاب الدئـــن]),0)),0)</f>
        <v>0</v>
      </c>
      <c r="M258" s="119">
        <f>IFERROR(TableDailyJournal[[#This Row],[المبلغ مدين]]/TableDailyJournal[[#This Row],[سعــــــر
الصـــــرف]],0)</f>
        <v>37.037037037037038</v>
      </c>
      <c r="N258" s="119">
        <f>IFERROR(TableDailyJournal[[#This Row],[المبلغ دائن]]/TableDailyJournal[[#This Row],[سعــــــر
الصـــــرف]],0)</f>
        <v>0</v>
      </c>
      <c r="O258" s="121" t="str">
        <f>INDEX(Tabledaily[المستفيــــــــد],MATCH(TableDailyJournal[[#This Row],[رقم العملية]],Tabledaily[رقم العملية],0))</f>
        <v>البشرية و الصراف</v>
      </c>
      <c r="P258" s="121" t="str">
        <f>INDEX(Tabledaily[المــــرجـــــــــع],MATCH(TableDailyJournal[[#This Row],[رقم العملية]],Tabledaily[رقم العملية],0))</f>
        <v>كشف صرف</v>
      </c>
      <c r="Q258" s="121" t="str">
        <f>INDEX(Tabledaily[اســـــــم المــــرجــــع],MATCH(TableDailyJournal[[#This Row],[رقم العملية]],Tabledaily[رقم العملية],0))</f>
        <v>كشف صرف</v>
      </c>
      <c r="R258" s="121">
        <f>INDEX(Tabledaily[رقم المـــــرجـــع],MATCH(TableDailyJournal[[#This Row],[رقم العملية]],Tabledaily[رقم العملية],0))</f>
        <v>0</v>
      </c>
      <c r="S258" s="121" t="str">
        <f>INDEX(Tabledaily[مركـــــــزالتكلفــــــة],MATCH(TableDailyJournal[[#This Row],[رقم العملية]],Tabledaily[رقم العملية],0))</f>
        <v>الفرقة الثالثة</v>
      </c>
      <c r="T258" s="121">
        <f>IFERROR(INDEX(tablecost[رقم المركز],MATCH(TableDailyJournal[[#This Row],[مركـــــــزالتكلفــــــة]],tablecost[الاسم],0)),0)</f>
        <v>1</v>
      </c>
      <c r="U258" s="122">
        <f>IFERROR(DATE(TableDailyJournal[[#This Row],[السنــــة]],TableDailyJournal[[#This Row],[الشهــــر]],TableDailyJournal[[#This Row],[الـــــيوم]]),"01-01-2026")</f>
        <v>46183</v>
      </c>
      <c r="V258" s="126"/>
      <c r="W258" s="58"/>
      <c r="X258" s="58">
        <f>IFERROR(YEAR(TableDailyJournal[[#This Row],[التاريخ]]),"")</f>
        <v>2026</v>
      </c>
      <c r="Y258" s="58">
        <f>IFERROR(MONTH(TableDailyJournal[[#This Row],[التاريخ]]),"")</f>
        <v>6</v>
      </c>
      <c r="Z258" s="58">
        <f>IFERROR(DAY(TableDailyJournal[[#This Row],[التاريخ]]),"")</f>
        <v>10</v>
      </c>
      <c r="AA258"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258" s="121">
        <f>INDEX(Tabledaily[جهة الامر],MATCH(TableDailyJournal[[#This Row],[رقم العملية]],Tabledaily[رقم العملية],0))</f>
        <v>0</v>
      </c>
    </row>
    <row r="259" spans="2:28" ht="45.75" x14ac:dyDescent="0.55000000000000004">
      <c r="B259" s="58">
        <f t="shared" si="7"/>
        <v>255</v>
      </c>
      <c r="C259" s="59" t="s">
        <v>626</v>
      </c>
      <c r="D259" s="60">
        <f>INDEX(Tabledaily[date],MATCH(TableDailyJournal[[#This Row],[رقم العملية]],Tabledaily[رقم العملية],0))</f>
        <v>46183</v>
      </c>
      <c r="E259" s="58" t="str">
        <f>INDEX(Tabledaily[نوع العمليــة],MATCH(TableDailyJournal[[#This Row],[رقم العملية]],Tabledaily[رقم العملية],0))</f>
        <v>قيد عهده</v>
      </c>
      <c r="F259" s="58">
        <f>IFERROR(INDEX(TableJudje[رقم الحساب],MATCH(TableDailyJournal[[#This Row],[الحساب]],TableJudje[اسم الحساب],0)),0)</f>
        <v>11060205</v>
      </c>
      <c r="G259" s="58" t="s">
        <v>513</v>
      </c>
      <c r="H259"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259" s="60" t="str">
        <f>INDEX(Tabledaily[العملـــة],MATCH(TableDailyJournal[[#This Row],[رقم العملية]],Tabledaily[رقم العملية],0))</f>
        <v>ريال يمني</v>
      </c>
      <c r="J259" s="59">
        <f>IFERROR(INDEX(Tabledaily[سعــــــر
الصـــــرف],MATCH(C259,Tabledaily[رقم العملية],0)),1)</f>
        <v>405</v>
      </c>
      <c r="K259" s="123" cm="1">
        <f t="array" ref="K259">IFERROR(INDEX(Tabledaily[المبلـــــــغ],MATCH(1,(TableDailyJournal[[#This Row],[رقم العملية]]=Tabledaily[رقم العملية])*(TableDailyJournal[[#This Row],[الحساب]]=Tabledaily[الحســاب المديــــن]),0)),0)</f>
        <v>0</v>
      </c>
      <c r="L259" s="123" cm="1">
        <f t="array" ref="L259">IFERROR(INDEX(Tabledaily[المبلـــــــغ],MATCH(1,(TableDailyJournal[[#This Row],[رقم العملية]]=Tabledaily[رقم العملية])*(TableDailyJournal[[#This Row],[الحساب]]=Tabledaily[الحســاب الدئـــن]),0)),0)</f>
        <v>15000</v>
      </c>
      <c r="M259" s="119">
        <f>IFERROR(TableDailyJournal[[#This Row],[المبلغ مدين]]/TableDailyJournal[[#This Row],[سعــــــر
الصـــــرف]],0)</f>
        <v>0</v>
      </c>
      <c r="N259" s="119">
        <f>IFERROR(TableDailyJournal[[#This Row],[المبلغ دائن]]/TableDailyJournal[[#This Row],[سعــــــر
الصـــــرف]],0)</f>
        <v>37.037037037037038</v>
      </c>
      <c r="O259" s="121" t="str">
        <f>INDEX(Tabledaily[المستفيــــــــد],MATCH(TableDailyJournal[[#This Row],[رقم العملية]],Tabledaily[رقم العملية],0))</f>
        <v>البشرية و الصراف</v>
      </c>
      <c r="P259" s="121" t="str">
        <f>INDEX(Tabledaily[المــــرجـــــــــع],MATCH(TableDailyJournal[[#This Row],[رقم العملية]],Tabledaily[رقم العملية],0))</f>
        <v>كشف صرف</v>
      </c>
      <c r="Q259" s="121" t="str">
        <f>INDEX(Tabledaily[اســـــــم المــــرجــــع],MATCH(TableDailyJournal[[#This Row],[رقم العملية]],Tabledaily[رقم العملية],0))</f>
        <v>كشف صرف</v>
      </c>
      <c r="R259" s="121">
        <f>INDEX(Tabledaily[رقم المـــــرجـــع],MATCH(TableDailyJournal[[#This Row],[رقم العملية]],Tabledaily[رقم العملية],0))</f>
        <v>0</v>
      </c>
      <c r="S259" s="121" t="str">
        <f>INDEX(Tabledaily[مركـــــــزالتكلفــــــة],MATCH(TableDailyJournal[[#This Row],[رقم العملية]],Tabledaily[رقم العملية],0))</f>
        <v>الفرقة الثالثة</v>
      </c>
      <c r="T259" s="121">
        <f>IFERROR(INDEX(tablecost[رقم المركز],MATCH(TableDailyJournal[[#This Row],[مركـــــــزالتكلفــــــة]],tablecost[الاسم],0)),0)</f>
        <v>1</v>
      </c>
      <c r="U259" s="122">
        <f>IFERROR(DATE(TableDailyJournal[[#This Row],[السنــــة]],TableDailyJournal[[#This Row],[الشهــــر]],TableDailyJournal[[#This Row],[الـــــيوم]]),"01-01-2026")</f>
        <v>46183</v>
      </c>
      <c r="V259" s="126"/>
      <c r="W259" s="58"/>
      <c r="X259" s="58">
        <f>IFERROR(YEAR(TableDailyJournal[[#This Row],[التاريخ]]),"")</f>
        <v>2026</v>
      </c>
      <c r="Y259" s="58">
        <f>IFERROR(MONTH(TableDailyJournal[[#This Row],[التاريخ]]),"")</f>
        <v>6</v>
      </c>
      <c r="Z259" s="58">
        <f>IFERROR(DAY(TableDailyJournal[[#This Row],[التاريخ]]),"")</f>
        <v>10</v>
      </c>
      <c r="AA259"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259" s="121">
        <f>INDEX(Tabledaily[جهة الامر],MATCH(TableDailyJournal[[#This Row],[رقم العملية]],Tabledaily[رقم العملية],0))</f>
        <v>0</v>
      </c>
    </row>
    <row r="260" spans="2:28" ht="45.75" x14ac:dyDescent="0.55000000000000004">
      <c r="B260" s="58">
        <f t="shared" si="7"/>
        <v>256</v>
      </c>
      <c r="C260" s="59" t="s">
        <v>627</v>
      </c>
      <c r="D260" s="60">
        <f>INDEX(Tabledaily[date],MATCH(TableDailyJournal[[#This Row],[رقم العملية]],Tabledaily[رقم العملية],0))</f>
        <v>46183</v>
      </c>
      <c r="E260" s="58" t="str">
        <f>INDEX(Tabledaily[نوع العمليــة],MATCH(TableDailyJournal[[#This Row],[رقم العملية]],Tabledaily[رقم العملية],0))</f>
        <v>قيد عهده</v>
      </c>
      <c r="F260" s="58">
        <f>IFERROR(INDEX(TableJudje[رقم الحساب],MATCH(TableDailyJournal[[#This Row],[الحساب]],TableJudje[اسم الحساب],0)),0)</f>
        <v>31010101</v>
      </c>
      <c r="G260" s="58" t="s">
        <v>111</v>
      </c>
      <c r="H260"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260" s="60" t="str">
        <f>INDEX(Tabledaily[العملـــة],MATCH(TableDailyJournal[[#This Row],[رقم العملية]],Tabledaily[رقم العملية],0))</f>
        <v>ريال يمني</v>
      </c>
      <c r="J260" s="59">
        <f>IFERROR(INDEX(Tabledaily[سعــــــر
الصـــــرف],MATCH(C260,Tabledaily[رقم العملية],0)),1)</f>
        <v>405</v>
      </c>
      <c r="K260" s="123" cm="1">
        <f t="array" ref="K260">IFERROR(INDEX(Tabledaily[المبلـــــــغ],MATCH(1,(TableDailyJournal[[#This Row],[رقم العملية]]=Tabledaily[رقم العملية])*(TableDailyJournal[[#This Row],[الحساب]]=Tabledaily[الحســاب المديــــن]),0)),0)</f>
        <v>65000</v>
      </c>
      <c r="L260" s="123" cm="1">
        <f t="array" ref="L260">IFERROR(INDEX(Tabledaily[المبلـــــــغ],MATCH(1,(TableDailyJournal[[#This Row],[رقم العملية]]=Tabledaily[رقم العملية])*(TableDailyJournal[[#This Row],[الحساب]]=Tabledaily[الحســاب الدئـــن]),0)),0)</f>
        <v>0</v>
      </c>
      <c r="M260" s="119">
        <f>IFERROR(TableDailyJournal[[#This Row],[المبلغ مدين]]/TableDailyJournal[[#This Row],[سعــــــر
الصـــــرف]],0)</f>
        <v>160.49382716049382</v>
      </c>
      <c r="N260" s="119">
        <f>IFERROR(TableDailyJournal[[#This Row],[المبلغ دائن]]/TableDailyJournal[[#This Row],[سعــــــر
الصـــــرف]],0)</f>
        <v>0</v>
      </c>
      <c r="O260" s="121" t="str">
        <f>INDEX(Tabledaily[المستفيــــــــد],MATCH(TableDailyJournal[[#This Row],[رقم العملية]],Tabledaily[رقم العملية],0))</f>
        <v>الاستخبارات</v>
      </c>
      <c r="P260" s="121" t="str">
        <f>INDEX(Tabledaily[المــــرجـــــــــع],MATCH(TableDailyJournal[[#This Row],[رقم العملية]],Tabledaily[رقم العملية],0))</f>
        <v>كشف صرف</v>
      </c>
      <c r="Q260" s="121" t="str">
        <f>INDEX(Tabledaily[اســـــــم المــــرجــــع],MATCH(TableDailyJournal[[#This Row],[رقم العملية]],Tabledaily[رقم العملية],0))</f>
        <v>كشف صرف</v>
      </c>
      <c r="R260" s="121">
        <f>INDEX(Tabledaily[رقم المـــــرجـــع],MATCH(TableDailyJournal[[#This Row],[رقم العملية]],Tabledaily[رقم العملية],0))</f>
        <v>0</v>
      </c>
      <c r="S260" s="121" t="str">
        <f>INDEX(Tabledaily[مركـــــــزالتكلفــــــة],MATCH(TableDailyJournal[[#This Row],[رقم العملية]],Tabledaily[رقم العملية],0))</f>
        <v>الفرقة الثالثة</v>
      </c>
      <c r="T260" s="121">
        <f>IFERROR(INDEX(tablecost[رقم المركز],MATCH(TableDailyJournal[[#This Row],[مركـــــــزالتكلفــــــة]],tablecost[الاسم],0)),0)</f>
        <v>1</v>
      </c>
      <c r="U260" s="122">
        <f>IFERROR(DATE(TableDailyJournal[[#This Row],[السنــــة]],TableDailyJournal[[#This Row],[الشهــــر]],TableDailyJournal[[#This Row],[الـــــيوم]]),"01-01-2026")</f>
        <v>46183</v>
      </c>
      <c r="V260" s="126"/>
      <c r="W260" s="58"/>
      <c r="X260" s="58">
        <f>IFERROR(YEAR(TableDailyJournal[[#This Row],[التاريخ]]),"")</f>
        <v>2026</v>
      </c>
      <c r="Y260" s="58">
        <f>IFERROR(MONTH(TableDailyJournal[[#This Row],[التاريخ]]),"")</f>
        <v>6</v>
      </c>
      <c r="Z260" s="58">
        <f>IFERROR(DAY(TableDailyJournal[[#This Row],[التاريخ]]),"")</f>
        <v>10</v>
      </c>
      <c r="AA260"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260" s="121">
        <f>INDEX(Tabledaily[جهة الامر],MATCH(TableDailyJournal[[#This Row],[رقم العملية]],Tabledaily[رقم العملية],0))</f>
        <v>0</v>
      </c>
    </row>
    <row r="261" spans="2:28" ht="45.75" x14ac:dyDescent="0.55000000000000004">
      <c r="B261" s="58">
        <f t="shared" si="7"/>
        <v>257</v>
      </c>
      <c r="C261" s="59" t="s">
        <v>627</v>
      </c>
      <c r="D261" s="60">
        <f>INDEX(Tabledaily[date],MATCH(TableDailyJournal[[#This Row],[رقم العملية]],Tabledaily[رقم العملية],0))</f>
        <v>46183</v>
      </c>
      <c r="E261" s="58" t="str">
        <f>INDEX(Tabledaily[نوع العمليــة],MATCH(TableDailyJournal[[#This Row],[رقم العملية]],Tabledaily[رقم العملية],0))</f>
        <v>قيد عهده</v>
      </c>
      <c r="F261" s="58">
        <f>IFERROR(INDEX(TableJudje[رقم الحساب],MATCH(TableDailyJournal[[#This Row],[الحساب]],TableJudje[اسم الحساب],0)),0)</f>
        <v>11060205</v>
      </c>
      <c r="G261" s="58" t="s">
        <v>513</v>
      </c>
      <c r="H261"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261" s="60" t="str">
        <f>INDEX(Tabledaily[العملـــة],MATCH(TableDailyJournal[[#This Row],[رقم العملية]],Tabledaily[رقم العملية],0))</f>
        <v>ريال يمني</v>
      </c>
      <c r="J261" s="59">
        <f>IFERROR(INDEX(Tabledaily[سعــــــر
الصـــــرف],MATCH(C261,Tabledaily[رقم العملية],0)),1)</f>
        <v>405</v>
      </c>
      <c r="K261" s="123" cm="1">
        <f t="array" ref="K261">IFERROR(INDEX(Tabledaily[المبلـــــــغ],MATCH(1,(TableDailyJournal[[#This Row],[رقم العملية]]=Tabledaily[رقم العملية])*(TableDailyJournal[[#This Row],[الحساب]]=Tabledaily[الحســاب المديــــن]),0)),0)</f>
        <v>0</v>
      </c>
      <c r="L261" s="123" cm="1">
        <f t="array" ref="L261">IFERROR(INDEX(Tabledaily[المبلـــــــغ],MATCH(1,(TableDailyJournal[[#This Row],[رقم العملية]]=Tabledaily[رقم العملية])*(TableDailyJournal[[#This Row],[الحساب]]=Tabledaily[الحســاب الدئـــن]),0)),0)</f>
        <v>65000</v>
      </c>
      <c r="M261" s="119">
        <f>IFERROR(TableDailyJournal[[#This Row],[المبلغ مدين]]/TableDailyJournal[[#This Row],[سعــــــر
الصـــــرف]],0)</f>
        <v>0</v>
      </c>
      <c r="N261" s="119">
        <f>IFERROR(TableDailyJournal[[#This Row],[المبلغ دائن]]/TableDailyJournal[[#This Row],[سعــــــر
الصـــــرف]],0)</f>
        <v>160.49382716049382</v>
      </c>
      <c r="O261" s="121" t="str">
        <f>INDEX(Tabledaily[المستفيــــــــد],MATCH(TableDailyJournal[[#This Row],[رقم العملية]],Tabledaily[رقم العملية],0))</f>
        <v>الاستخبارات</v>
      </c>
      <c r="P261" s="121" t="str">
        <f>INDEX(Tabledaily[المــــرجـــــــــع],MATCH(TableDailyJournal[[#This Row],[رقم العملية]],Tabledaily[رقم العملية],0))</f>
        <v>كشف صرف</v>
      </c>
      <c r="Q261" s="121" t="str">
        <f>INDEX(Tabledaily[اســـــــم المــــرجــــع],MATCH(TableDailyJournal[[#This Row],[رقم العملية]],Tabledaily[رقم العملية],0))</f>
        <v>كشف صرف</v>
      </c>
      <c r="R261" s="121">
        <f>INDEX(Tabledaily[رقم المـــــرجـــع],MATCH(TableDailyJournal[[#This Row],[رقم العملية]],Tabledaily[رقم العملية],0))</f>
        <v>0</v>
      </c>
      <c r="S261" s="121" t="str">
        <f>INDEX(Tabledaily[مركـــــــزالتكلفــــــة],MATCH(TableDailyJournal[[#This Row],[رقم العملية]],Tabledaily[رقم العملية],0))</f>
        <v>الفرقة الثالثة</v>
      </c>
      <c r="T261" s="121">
        <f>IFERROR(INDEX(tablecost[رقم المركز],MATCH(TableDailyJournal[[#This Row],[مركـــــــزالتكلفــــــة]],tablecost[الاسم],0)),0)</f>
        <v>1</v>
      </c>
      <c r="U261" s="122">
        <f>IFERROR(DATE(TableDailyJournal[[#This Row],[السنــــة]],TableDailyJournal[[#This Row],[الشهــــر]],TableDailyJournal[[#This Row],[الـــــيوم]]),"01-01-2026")</f>
        <v>46183</v>
      </c>
      <c r="V261" s="126"/>
      <c r="W261" s="58"/>
      <c r="X261" s="58">
        <f>IFERROR(YEAR(TableDailyJournal[[#This Row],[التاريخ]]),"")</f>
        <v>2026</v>
      </c>
      <c r="Y261" s="58">
        <f>IFERROR(MONTH(TableDailyJournal[[#This Row],[التاريخ]]),"")</f>
        <v>6</v>
      </c>
      <c r="Z261" s="58">
        <f>IFERROR(DAY(TableDailyJournal[[#This Row],[التاريخ]]),"")</f>
        <v>10</v>
      </c>
      <c r="AA261"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261" s="121">
        <f>INDEX(Tabledaily[جهة الامر],MATCH(TableDailyJournal[[#This Row],[رقم العملية]],Tabledaily[رقم العملية],0))</f>
        <v>0</v>
      </c>
    </row>
    <row r="262" spans="2:28" ht="45.75" x14ac:dyDescent="0.55000000000000004">
      <c r="B262" s="58">
        <f t="shared" si="7"/>
        <v>258</v>
      </c>
      <c r="C262" s="59" t="s">
        <v>628</v>
      </c>
      <c r="D262" s="60">
        <f>INDEX(Tabledaily[date],MATCH(TableDailyJournal[[#This Row],[رقم العملية]],Tabledaily[رقم العملية],0))</f>
        <v>46183</v>
      </c>
      <c r="E262" s="58" t="str">
        <f>INDEX(Tabledaily[نوع العمليــة],MATCH(TableDailyJournal[[#This Row],[رقم العملية]],Tabledaily[رقم العملية],0))</f>
        <v>قيد عهده</v>
      </c>
      <c r="F262" s="58">
        <f>IFERROR(INDEX(TableJudje[رقم الحساب],MATCH(TableDailyJournal[[#This Row],[الحساب]],TableJudje[اسم الحساب],0)),0)</f>
        <v>31010101</v>
      </c>
      <c r="G262" s="58" t="s">
        <v>111</v>
      </c>
      <c r="H262"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I262" s="60" t="str">
        <f>INDEX(Tabledaily[العملـــة],MATCH(TableDailyJournal[[#This Row],[رقم العملية]],Tabledaily[رقم العملية],0))</f>
        <v>ريال يمني</v>
      </c>
      <c r="J262" s="59">
        <f>IFERROR(INDEX(Tabledaily[سعــــــر
الصـــــرف],MATCH(C262,Tabledaily[رقم العملية],0)),1)</f>
        <v>405</v>
      </c>
      <c r="K262" s="123" cm="1">
        <f t="array" ref="K262">IFERROR(INDEX(Tabledaily[المبلـــــــغ],MATCH(1,(TableDailyJournal[[#This Row],[رقم العملية]]=Tabledaily[رقم العملية])*(TableDailyJournal[[#This Row],[الحساب]]=Tabledaily[الحســاب المديــــن]),0)),0)</f>
        <v>30000</v>
      </c>
      <c r="L262" s="123" cm="1">
        <f t="array" ref="L262">IFERROR(INDEX(Tabledaily[المبلـــــــغ],MATCH(1,(TableDailyJournal[[#This Row],[رقم العملية]]=Tabledaily[رقم العملية])*(TableDailyJournal[[#This Row],[الحساب]]=Tabledaily[الحســاب الدئـــن]),0)),0)</f>
        <v>0</v>
      </c>
      <c r="M262" s="119">
        <f>IFERROR(TableDailyJournal[[#This Row],[المبلغ مدين]]/TableDailyJournal[[#This Row],[سعــــــر
الصـــــرف]],0)</f>
        <v>74.074074074074076</v>
      </c>
      <c r="N262" s="119">
        <f>IFERROR(TableDailyJournal[[#This Row],[المبلغ دائن]]/TableDailyJournal[[#This Row],[سعــــــر
الصـــــرف]],0)</f>
        <v>0</v>
      </c>
      <c r="O262" s="121" t="str">
        <f>INDEX(Tabledaily[المستفيــــــــد],MATCH(TableDailyJournal[[#This Row],[رقم العملية]],Tabledaily[رقم العملية],0))</f>
        <v>المدفعية</v>
      </c>
      <c r="P262" s="121" t="str">
        <f>INDEX(Tabledaily[المــــرجـــــــــع],MATCH(TableDailyJournal[[#This Row],[رقم العملية]],Tabledaily[رقم العملية],0))</f>
        <v>كشف صرف</v>
      </c>
      <c r="Q262" s="121" t="str">
        <f>INDEX(Tabledaily[اســـــــم المــــرجــــع],MATCH(TableDailyJournal[[#This Row],[رقم العملية]],Tabledaily[رقم العملية],0))</f>
        <v>كشف صرف</v>
      </c>
      <c r="R262" s="121">
        <f>INDEX(Tabledaily[رقم المـــــرجـــع],MATCH(TableDailyJournal[[#This Row],[رقم العملية]],Tabledaily[رقم العملية],0))</f>
        <v>0</v>
      </c>
      <c r="S262" s="121" t="str">
        <f>INDEX(Tabledaily[مركـــــــزالتكلفــــــة],MATCH(TableDailyJournal[[#This Row],[رقم العملية]],Tabledaily[رقم العملية],0))</f>
        <v>الفرقة الثالثة</v>
      </c>
      <c r="T262" s="121">
        <f>IFERROR(INDEX(tablecost[رقم المركز],MATCH(TableDailyJournal[[#This Row],[مركـــــــزالتكلفــــــة]],tablecost[الاسم],0)),0)</f>
        <v>1</v>
      </c>
      <c r="U262" s="122">
        <f>IFERROR(DATE(TableDailyJournal[[#This Row],[السنــــة]],TableDailyJournal[[#This Row],[الشهــــر]],TableDailyJournal[[#This Row],[الـــــيوم]]),"01-01-2026")</f>
        <v>46183</v>
      </c>
      <c r="V262" s="126"/>
      <c r="W262" s="58"/>
      <c r="X262" s="58">
        <f>IFERROR(YEAR(TableDailyJournal[[#This Row],[التاريخ]]),"")</f>
        <v>2026</v>
      </c>
      <c r="Y262" s="58">
        <f>IFERROR(MONTH(TableDailyJournal[[#This Row],[التاريخ]]),"")</f>
        <v>6</v>
      </c>
      <c r="Z262" s="58">
        <f>IFERROR(DAY(TableDailyJournal[[#This Row],[التاريخ]]),"")</f>
        <v>10</v>
      </c>
      <c r="AA262"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AB262" s="121">
        <f>INDEX(Tabledaily[جهة الامر],MATCH(TableDailyJournal[[#This Row],[رقم العملية]],Tabledaily[رقم العملية],0))</f>
        <v>0</v>
      </c>
    </row>
    <row r="263" spans="2:28" ht="45.75" x14ac:dyDescent="0.55000000000000004">
      <c r="B263" s="58">
        <f t="shared" si="7"/>
        <v>259</v>
      </c>
      <c r="C263" s="59" t="s">
        <v>628</v>
      </c>
      <c r="D263" s="60">
        <f>INDEX(Tabledaily[date],MATCH(TableDailyJournal[[#This Row],[رقم العملية]],Tabledaily[رقم العملية],0))</f>
        <v>46183</v>
      </c>
      <c r="E263" s="58" t="str">
        <f>INDEX(Tabledaily[نوع العمليــة],MATCH(TableDailyJournal[[#This Row],[رقم العملية]],Tabledaily[رقم العملية],0))</f>
        <v>قيد عهده</v>
      </c>
      <c r="F263" s="58">
        <f>IFERROR(INDEX(TableJudje[رقم الحساب],MATCH(TableDailyJournal[[#This Row],[الحساب]],TableJudje[اسم الحساب],0)),0)</f>
        <v>11060205</v>
      </c>
      <c r="G263" s="58" t="s">
        <v>513</v>
      </c>
      <c r="H263"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I263" s="60" t="str">
        <f>INDEX(Tabledaily[العملـــة],MATCH(TableDailyJournal[[#This Row],[رقم العملية]],Tabledaily[رقم العملية],0))</f>
        <v>ريال يمني</v>
      </c>
      <c r="J263" s="59">
        <f>IFERROR(INDEX(Tabledaily[سعــــــر
الصـــــرف],MATCH(C263,Tabledaily[رقم العملية],0)),1)</f>
        <v>405</v>
      </c>
      <c r="K263" s="123" cm="1">
        <f t="array" ref="K263">IFERROR(INDEX(Tabledaily[المبلـــــــغ],MATCH(1,(TableDailyJournal[[#This Row],[رقم العملية]]=Tabledaily[رقم العملية])*(TableDailyJournal[[#This Row],[الحساب]]=Tabledaily[الحســاب المديــــن]),0)),0)</f>
        <v>0</v>
      </c>
      <c r="L263" s="123" cm="1">
        <f t="array" ref="L263">IFERROR(INDEX(Tabledaily[المبلـــــــغ],MATCH(1,(TableDailyJournal[[#This Row],[رقم العملية]]=Tabledaily[رقم العملية])*(TableDailyJournal[[#This Row],[الحساب]]=Tabledaily[الحســاب الدئـــن]),0)),0)</f>
        <v>30000</v>
      </c>
      <c r="M263" s="119">
        <f>IFERROR(TableDailyJournal[[#This Row],[المبلغ مدين]]/TableDailyJournal[[#This Row],[سعــــــر
الصـــــرف]],0)</f>
        <v>0</v>
      </c>
      <c r="N263" s="119">
        <f>IFERROR(TableDailyJournal[[#This Row],[المبلغ دائن]]/TableDailyJournal[[#This Row],[سعــــــر
الصـــــرف]],0)</f>
        <v>74.074074074074076</v>
      </c>
      <c r="O263" s="121" t="str">
        <f>INDEX(Tabledaily[المستفيــــــــد],MATCH(TableDailyJournal[[#This Row],[رقم العملية]],Tabledaily[رقم العملية],0))</f>
        <v>المدفعية</v>
      </c>
      <c r="P263" s="121" t="str">
        <f>INDEX(Tabledaily[المــــرجـــــــــع],MATCH(TableDailyJournal[[#This Row],[رقم العملية]],Tabledaily[رقم العملية],0))</f>
        <v>كشف صرف</v>
      </c>
      <c r="Q263" s="121" t="str">
        <f>INDEX(Tabledaily[اســـــــم المــــرجــــع],MATCH(TableDailyJournal[[#This Row],[رقم العملية]],Tabledaily[رقم العملية],0))</f>
        <v>كشف صرف</v>
      </c>
      <c r="R263" s="121">
        <f>INDEX(Tabledaily[رقم المـــــرجـــع],MATCH(TableDailyJournal[[#This Row],[رقم العملية]],Tabledaily[رقم العملية],0))</f>
        <v>0</v>
      </c>
      <c r="S263" s="121" t="str">
        <f>INDEX(Tabledaily[مركـــــــزالتكلفــــــة],MATCH(TableDailyJournal[[#This Row],[رقم العملية]],Tabledaily[رقم العملية],0))</f>
        <v>الفرقة الثالثة</v>
      </c>
      <c r="T263" s="121">
        <f>IFERROR(INDEX(tablecost[رقم المركز],MATCH(TableDailyJournal[[#This Row],[مركـــــــزالتكلفــــــة]],tablecost[الاسم],0)),0)</f>
        <v>1</v>
      </c>
      <c r="U263" s="122">
        <f>IFERROR(DATE(TableDailyJournal[[#This Row],[السنــــة]],TableDailyJournal[[#This Row],[الشهــــر]],TableDailyJournal[[#This Row],[الـــــيوم]]),"01-01-2026")</f>
        <v>46183</v>
      </c>
      <c r="V263" s="126"/>
      <c r="W263" s="58"/>
      <c r="X263" s="58">
        <f>IFERROR(YEAR(TableDailyJournal[[#This Row],[التاريخ]]),"")</f>
        <v>2026</v>
      </c>
      <c r="Y263" s="58">
        <f>IFERROR(MONTH(TableDailyJournal[[#This Row],[التاريخ]]),"")</f>
        <v>6</v>
      </c>
      <c r="Z263" s="58">
        <f>IFERROR(DAY(TableDailyJournal[[#This Row],[التاريخ]]),"")</f>
        <v>10</v>
      </c>
      <c r="AA263"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AB263" s="121">
        <f>INDEX(Tabledaily[جهة الامر],MATCH(TableDailyJournal[[#This Row],[رقم العملية]],Tabledaily[رقم العملية],0))</f>
        <v>0</v>
      </c>
    </row>
    <row r="264" spans="2:28" ht="45.75" x14ac:dyDescent="0.55000000000000004">
      <c r="B264" s="58">
        <f t="shared" si="7"/>
        <v>260</v>
      </c>
      <c r="C264" s="59" t="s">
        <v>629</v>
      </c>
      <c r="D264" s="60">
        <f>INDEX(Tabledaily[date],MATCH(TableDailyJournal[[#This Row],[رقم العملية]],Tabledaily[رقم العملية],0))</f>
        <v>46183</v>
      </c>
      <c r="E264" s="58" t="str">
        <f>INDEX(Tabledaily[نوع العمليــة],MATCH(TableDailyJournal[[#This Row],[رقم العملية]],Tabledaily[رقم العملية],0))</f>
        <v>قيد عهده</v>
      </c>
      <c r="F264" s="58">
        <f>IFERROR(INDEX(TableJudje[رقم الحساب],MATCH(TableDailyJournal[[#This Row],[الحساب]],TableJudje[اسم الحساب],0)),0)</f>
        <v>31010101</v>
      </c>
      <c r="G264" s="58" t="s">
        <v>111</v>
      </c>
      <c r="H264"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264" s="60" t="str">
        <f>INDEX(Tabledaily[العملـــة],MATCH(TableDailyJournal[[#This Row],[رقم العملية]],Tabledaily[رقم العملية],0))</f>
        <v>ريال يمني</v>
      </c>
      <c r="J264" s="59">
        <f>IFERROR(INDEX(Tabledaily[سعــــــر
الصـــــرف],MATCH(C264,Tabledaily[رقم العملية],0)),1)</f>
        <v>405</v>
      </c>
      <c r="K264" s="123" cm="1">
        <f t="array" ref="K264">IFERROR(INDEX(Tabledaily[المبلـــــــغ],MATCH(1,(TableDailyJournal[[#This Row],[رقم العملية]]=Tabledaily[رقم العملية])*(TableDailyJournal[[#This Row],[الحساب]]=Tabledaily[الحســاب المديــــن]),0)),0)</f>
        <v>95000</v>
      </c>
      <c r="L264" s="123" cm="1">
        <f t="array" ref="L264">IFERROR(INDEX(Tabledaily[المبلـــــــغ],MATCH(1,(TableDailyJournal[[#This Row],[رقم العملية]]=Tabledaily[رقم العملية])*(TableDailyJournal[[#This Row],[الحساب]]=Tabledaily[الحســاب الدئـــن]),0)),0)</f>
        <v>0</v>
      </c>
      <c r="M264" s="119">
        <f>IFERROR(TableDailyJournal[[#This Row],[المبلغ مدين]]/TableDailyJournal[[#This Row],[سعــــــر
الصـــــرف]],0)</f>
        <v>234.5679012345679</v>
      </c>
      <c r="N264" s="119">
        <f>IFERROR(TableDailyJournal[[#This Row],[المبلغ دائن]]/TableDailyJournal[[#This Row],[سعــــــر
الصـــــرف]],0)</f>
        <v>0</v>
      </c>
      <c r="O264" s="121" t="str">
        <f>INDEX(Tabledaily[المستفيــــــــد],MATCH(TableDailyJournal[[#This Row],[رقم العملية]],Tabledaily[رقم العملية],0))</f>
        <v>المستشارين والمساعدين</v>
      </c>
      <c r="P264" s="121" t="str">
        <f>INDEX(Tabledaily[المــــرجـــــــــع],MATCH(TableDailyJournal[[#This Row],[رقم العملية]],Tabledaily[رقم العملية],0))</f>
        <v>كشف صرف</v>
      </c>
      <c r="Q264" s="121" t="str">
        <f>INDEX(Tabledaily[اســـــــم المــــرجــــع],MATCH(TableDailyJournal[[#This Row],[رقم العملية]],Tabledaily[رقم العملية],0))</f>
        <v>كشف صرف</v>
      </c>
      <c r="R264" s="121">
        <f>INDEX(Tabledaily[رقم المـــــرجـــع],MATCH(TableDailyJournal[[#This Row],[رقم العملية]],Tabledaily[رقم العملية],0))</f>
        <v>0</v>
      </c>
      <c r="S264" s="121" t="str">
        <f>INDEX(Tabledaily[مركـــــــزالتكلفــــــة],MATCH(TableDailyJournal[[#This Row],[رقم العملية]],Tabledaily[رقم العملية],0))</f>
        <v>الفرقة الثالثة</v>
      </c>
      <c r="T264" s="121">
        <f>IFERROR(INDEX(tablecost[رقم المركز],MATCH(TableDailyJournal[[#This Row],[مركـــــــزالتكلفــــــة]],tablecost[الاسم],0)),0)</f>
        <v>1</v>
      </c>
      <c r="U264" s="122">
        <f>IFERROR(DATE(TableDailyJournal[[#This Row],[السنــــة]],TableDailyJournal[[#This Row],[الشهــــر]],TableDailyJournal[[#This Row],[الـــــيوم]]),"01-01-2026")</f>
        <v>46183</v>
      </c>
      <c r="V264" s="126"/>
      <c r="W264" s="58"/>
      <c r="X264" s="58">
        <f>IFERROR(YEAR(TableDailyJournal[[#This Row],[التاريخ]]),"")</f>
        <v>2026</v>
      </c>
      <c r="Y264" s="58">
        <f>IFERROR(MONTH(TableDailyJournal[[#This Row],[التاريخ]]),"")</f>
        <v>6</v>
      </c>
      <c r="Z264" s="58">
        <f>IFERROR(DAY(TableDailyJournal[[#This Row],[التاريخ]]),"")</f>
        <v>10</v>
      </c>
      <c r="AA264"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264" s="121">
        <f>INDEX(Tabledaily[جهة الامر],MATCH(TableDailyJournal[[#This Row],[رقم العملية]],Tabledaily[رقم العملية],0))</f>
        <v>0</v>
      </c>
    </row>
    <row r="265" spans="2:28" ht="45.75" x14ac:dyDescent="0.55000000000000004">
      <c r="B265" s="58">
        <f t="shared" si="7"/>
        <v>261</v>
      </c>
      <c r="C265" s="59" t="s">
        <v>629</v>
      </c>
      <c r="D265" s="60">
        <f>INDEX(Tabledaily[date],MATCH(TableDailyJournal[[#This Row],[رقم العملية]],Tabledaily[رقم العملية],0))</f>
        <v>46183</v>
      </c>
      <c r="E265" s="58" t="str">
        <f>INDEX(Tabledaily[نوع العمليــة],MATCH(TableDailyJournal[[#This Row],[رقم العملية]],Tabledaily[رقم العملية],0))</f>
        <v>قيد عهده</v>
      </c>
      <c r="F265" s="58">
        <f>IFERROR(INDEX(TableJudje[رقم الحساب],MATCH(TableDailyJournal[[#This Row],[الحساب]],TableJudje[اسم الحساب],0)),0)</f>
        <v>11060205</v>
      </c>
      <c r="G265" s="58" t="s">
        <v>513</v>
      </c>
      <c r="H265"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265" s="60" t="str">
        <f>INDEX(Tabledaily[العملـــة],MATCH(TableDailyJournal[[#This Row],[رقم العملية]],Tabledaily[رقم العملية],0))</f>
        <v>ريال يمني</v>
      </c>
      <c r="J265" s="59">
        <f>IFERROR(INDEX(Tabledaily[سعــــــر
الصـــــرف],MATCH(C265,Tabledaily[رقم العملية],0)),1)</f>
        <v>405</v>
      </c>
      <c r="K265" s="123" cm="1">
        <f t="array" ref="K265">IFERROR(INDEX(Tabledaily[المبلـــــــغ],MATCH(1,(TableDailyJournal[[#This Row],[رقم العملية]]=Tabledaily[رقم العملية])*(TableDailyJournal[[#This Row],[الحساب]]=Tabledaily[الحســاب المديــــن]),0)),0)</f>
        <v>0</v>
      </c>
      <c r="L265" s="123" cm="1">
        <f t="array" ref="L265">IFERROR(INDEX(Tabledaily[المبلـــــــغ],MATCH(1,(TableDailyJournal[[#This Row],[رقم العملية]]=Tabledaily[رقم العملية])*(TableDailyJournal[[#This Row],[الحساب]]=Tabledaily[الحســاب الدئـــن]),0)),0)</f>
        <v>95000</v>
      </c>
      <c r="M265" s="119">
        <f>IFERROR(TableDailyJournal[[#This Row],[المبلغ مدين]]/TableDailyJournal[[#This Row],[سعــــــر
الصـــــرف]],0)</f>
        <v>0</v>
      </c>
      <c r="N265" s="119">
        <f>IFERROR(TableDailyJournal[[#This Row],[المبلغ دائن]]/TableDailyJournal[[#This Row],[سعــــــر
الصـــــرف]],0)</f>
        <v>234.5679012345679</v>
      </c>
      <c r="O265" s="121" t="str">
        <f>INDEX(Tabledaily[المستفيــــــــد],MATCH(TableDailyJournal[[#This Row],[رقم العملية]],Tabledaily[رقم العملية],0))</f>
        <v>المستشارين والمساعدين</v>
      </c>
      <c r="P265" s="121" t="str">
        <f>INDEX(Tabledaily[المــــرجـــــــــع],MATCH(TableDailyJournal[[#This Row],[رقم العملية]],Tabledaily[رقم العملية],0))</f>
        <v>كشف صرف</v>
      </c>
      <c r="Q265" s="121" t="str">
        <f>INDEX(Tabledaily[اســـــــم المــــرجــــع],MATCH(TableDailyJournal[[#This Row],[رقم العملية]],Tabledaily[رقم العملية],0))</f>
        <v>كشف صرف</v>
      </c>
      <c r="R265" s="121">
        <f>INDEX(Tabledaily[رقم المـــــرجـــع],MATCH(TableDailyJournal[[#This Row],[رقم العملية]],Tabledaily[رقم العملية],0))</f>
        <v>0</v>
      </c>
      <c r="S265" s="121" t="str">
        <f>INDEX(Tabledaily[مركـــــــزالتكلفــــــة],MATCH(TableDailyJournal[[#This Row],[رقم العملية]],Tabledaily[رقم العملية],0))</f>
        <v>الفرقة الثالثة</v>
      </c>
      <c r="T265" s="121">
        <f>IFERROR(INDEX(tablecost[رقم المركز],MATCH(TableDailyJournal[[#This Row],[مركـــــــزالتكلفــــــة]],tablecost[الاسم],0)),0)</f>
        <v>1</v>
      </c>
      <c r="U265" s="122">
        <f>IFERROR(DATE(TableDailyJournal[[#This Row],[السنــــة]],TableDailyJournal[[#This Row],[الشهــــر]],TableDailyJournal[[#This Row],[الـــــيوم]]),"01-01-2026")</f>
        <v>46183</v>
      </c>
      <c r="V265" s="126"/>
      <c r="W265" s="58"/>
      <c r="X265" s="58">
        <f>IFERROR(YEAR(TableDailyJournal[[#This Row],[التاريخ]]),"")</f>
        <v>2026</v>
      </c>
      <c r="Y265" s="58">
        <f>IFERROR(MONTH(TableDailyJournal[[#This Row],[التاريخ]]),"")</f>
        <v>6</v>
      </c>
      <c r="Z265" s="58">
        <f>IFERROR(DAY(TableDailyJournal[[#This Row],[التاريخ]]),"")</f>
        <v>10</v>
      </c>
      <c r="AA265"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265" s="121">
        <f>INDEX(Tabledaily[جهة الامر],MATCH(TableDailyJournal[[#This Row],[رقم العملية]],Tabledaily[رقم العملية],0))</f>
        <v>0</v>
      </c>
    </row>
    <row r="266" spans="2:28" ht="45.75" x14ac:dyDescent="0.55000000000000004">
      <c r="B266" s="58">
        <f t="shared" si="7"/>
        <v>262</v>
      </c>
      <c r="C266" s="59" t="s">
        <v>631</v>
      </c>
      <c r="D266" s="60">
        <f>INDEX(Tabledaily[date],MATCH(TableDailyJournal[[#This Row],[رقم العملية]],Tabledaily[رقم العملية],0))</f>
        <v>46183</v>
      </c>
      <c r="E266" s="58" t="str">
        <f>INDEX(Tabledaily[نوع العمليــة],MATCH(TableDailyJournal[[#This Row],[رقم العملية]],Tabledaily[رقم العملية],0))</f>
        <v>قيد عهده</v>
      </c>
      <c r="F266" s="58">
        <f>IFERROR(INDEX(TableJudje[رقم الحساب],MATCH(TableDailyJournal[[#This Row],[الحساب]],TableJudje[اسم الحساب],0)),0)</f>
        <v>31010101</v>
      </c>
      <c r="G266" s="58" t="s">
        <v>111</v>
      </c>
      <c r="H266"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3 بامر</v>
      </c>
      <c r="I266" s="60" t="str">
        <f>INDEX(Tabledaily[العملـــة],MATCH(TableDailyJournal[[#This Row],[رقم العملية]],Tabledaily[رقم العملية],0))</f>
        <v>ريال يمني</v>
      </c>
      <c r="J266" s="59">
        <f>IFERROR(INDEX(Tabledaily[سعــــــر
الصـــــرف],MATCH(C266,Tabledaily[رقم العملية],0)),1)</f>
        <v>405</v>
      </c>
      <c r="K266" s="123" cm="1">
        <f t="array" ref="K266">IFERROR(INDEX(Tabledaily[المبلـــــــغ],MATCH(1,(TableDailyJournal[[#This Row],[رقم العملية]]=Tabledaily[رقم العملية])*(TableDailyJournal[[#This Row],[الحساب]]=Tabledaily[الحســاب المديــــن]),0)),0)</f>
        <v>20000</v>
      </c>
      <c r="L266" s="123" cm="1">
        <f t="array" ref="L266">IFERROR(INDEX(Tabledaily[المبلـــــــغ],MATCH(1,(TableDailyJournal[[#This Row],[رقم العملية]]=Tabledaily[رقم العملية])*(TableDailyJournal[[#This Row],[الحساب]]=Tabledaily[الحســاب الدئـــن]),0)),0)</f>
        <v>0</v>
      </c>
      <c r="M266" s="119">
        <f>IFERROR(TableDailyJournal[[#This Row],[المبلغ مدين]]/TableDailyJournal[[#This Row],[سعــــــر
الصـــــرف]],0)</f>
        <v>49.382716049382715</v>
      </c>
      <c r="N266" s="119">
        <f>IFERROR(TableDailyJournal[[#This Row],[المبلغ دائن]]/TableDailyJournal[[#This Row],[سعــــــر
الصـــــرف]],0)</f>
        <v>0</v>
      </c>
      <c r="O266" s="121" t="str">
        <f>INDEX(Tabledaily[المستفيــــــــد],MATCH(TableDailyJournal[[#This Row],[رقم العملية]],Tabledaily[رقم العملية],0))</f>
        <v>الطبية والمحاسبين</v>
      </c>
      <c r="P266" s="121" t="str">
        <f>INDEX(Tabledaily[المــــرجـــــــــع],MATCH(TableDailyJournal[[#This Row],[رقم العملية]],Tabledaily[رقم العملية],0))</f>
        <v>كشف صرف</v>
      </c>
      <c r="Q266" s="121" t="str">
        <f>INDEX(Tabledaily[اســـــــم المــــرجــــع],MATCH(TableDailyJournal[[#This Row],[رقم العملية]],Tabledaily[رقم العملية],0))</f>
        <v>كشف صرف</v>
      </c>
      <c r="R266" s="121">
        <f>INDEX(Tabledaily[رقم المـــــرجـــع],MATCH(TableDailyJournal[[#This Row],[رقم العملية]],Tabledaily[رقم العملية],0))</f>
        <v>0</v>
      </c>
      <c r="S266" s="121" t="str">
        <f>INDEX(Tabledaily[مركـــــــزالتكلفــــــة],MATCH(TableDailyJournal[[#This Row],[رقم العملية]],Tabledaily[رقم العملية],0))</f>
        <v>الفرقة الثالثة</v>
      </c>
      <c r="T266" s="121">
        <f>IFERROR(INDEX(tablecost[رقم المركز],MATCH(TableDailyJournal[[#This Row],[مركـــــــزالتكلفــــــة]],tablecost[الاسم],0)),0)</f>
        <v>1</v>
      </c>
      <c r="U266" s="122">
        <f>IFERROR(DATE(TableDailyJournal[[#This Row],[السنــــة]],TableDailyJournal[[#This Row],[الشهــــر]],TableDailyJournal[[#This Row],[الـــــيوم]]),"01-01-2026")</f>
        <v>46183</v>
      </c>
      <c r="V266" s="126"/>
      <c r="W266" s="58"/>
      <c r="X266" s="58">
        <f>IFERROR(YEAR(TableDailyJournal[[#This Row],[التاريخ]]),"")</f>
        <v>2026</v>
      </c>
      <c r="Y266" s="58">
        <f>IFERROR(MONTH(TableDailyJournal[[#This Row],[التاريخ]]),"")</f>
        <v>6</v>
      </c>
      <c r="Z266" s="58">
        <f>IFERROR(DAY(TableDailyJournal[[#This Row],[التاريخ]]),"")</f>
        <v>10</v>
      </c>
      <c r="AA266"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3 بامر</v>
      </c>
      <c r="AB266" s="121">
        <f>INDEX(Tabledaily[جهة الامر],MATCH(TableDailyJournal[[#This Row],[رقم العملية]],Tabledaily[رقم العملية],0))</f>
        <v>0</v>
      </c>
    </row>
    <row r="267" spans="2:28" ht="45.75" x14ac:dyDescent="0.55000000000000004">
      <c r="B267" s="58">
        <f t="shared" si="7"/>
        <v>263</v>
      </c>
      <c r="C267" s="59" t="s">
        <v>631</v>
      </c>
      <c r="D267" s="60">
        <f>INDEX(Tabledaily[date],MATCH(TableDailyJournal[[#This Row],[رقم العملية]],Tabledaily[رقم العملية],0))</f>
        <v>46183</v>
      </c>
      <c r="E267" s="58" t="str">
        <f>INDEX(Tabledaily[نوع العمليــة],MATCH(TableDailyJournal[[#This Row],[رقم العملية]],Tabledaily[رقم العملية],0))</f>
        <v>قيد عهده</v>
      </c>
      <c r="F267" s="58">
        <f>IFERROR(INDEX(TableJudje[رقم الحساب],MATCH(TableDailyJournal[[#This Row],[الحساب]],TableJudje[اسم الحساب],0)),0)</f>
        <v>11060205</v>
      </c>
      <c r="G267" s="58" t="s">
        <v>513</v>
      </c>
      <c r="H267"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3 بامر</v>
      </c>
      <c r="I267" s="60" t="str">
        <f>INDEX(Tabledaily[العملـــة],MATCH(TableDailyJournal[[#This Row],[رقم العملية]],Tabledaily[رقم العملية],0))</f>
        <v>ريال يمني</v>
      </c>
      <c r="J267" s="59">
        <f>IFERROR(INDEX(Tabledaily[سعــــــر
الصـــــرف],MATCH(C267,Tabledaily[رقم العملية],0)),1)</f>
        <v>405</v>
      </c>
      <c r="K267" s="123" cm="1">
        <f t="array" ref="K267">IFERROR(INDEX(Tabledaily[المبلـــــــغ],MATCH(1,(TableDailyJournal[[#This Row],[رقم العملية]]=Tabledaily[رقم العملية])*(TableDailyJournal[[#This Row],[الحساب]]=Tabledaily[الحســاب المديــــن]),0)),0)</f>
        <v>0</v>
      </c>
      <c r="L267" s="123" cm="1">
        <f t="array" ref="L267">IFERROR(INDEX(Tabledaily[المبلـــــــغ],MATCH(1,(TableDailyJournal[[#This Row],[رقم العملية]]=Tabledaily[رقم العملية])*(TableDailyJournal[[#This Row],[الحساب]]=Tabledaily[الحســاب الدئـــن]),0)),0)</f>
        <v>20000</v>
      </c>
      <c r="M267" s="119">
        <f>IFERROR(TableDailyJournal[[#This Row],[المبلغ مدين]]/TableDailyJournal[[#This Row],[سعــــــر
الصـــــرف]],0)</f>
        <v>0</v>
      </c>
      <c r="N267" s="119">
        <f>IFERROR(TableDailyJournal[[#This Row],[المبلغ دائن]]/TableDailyJournal[[#This Row],[سعــــــر
الصـــــرف]],0)</f>
        <v>49.382716049382715</v>
      </c>
      <c r="O267" s="121" t="str">
        <f>INDEX(Tabledaily[المستفيــــــــد],MATCH(TableDailyJournal[[#This Row],[رقم العملية]],Tabledaily[رقم العملية],0))</f>
        <v>الطبية والمحاسبين</v>
      </c>
      <c r="P267" s="121" t="str">
        <f>INDEX(Tabledaily[المــــرجـــــــــع],MATCH(TableDailyJournal[[#This Row],[رقم العملية]],Tabledaily[رقم العملية],0))</f>
        <v>كشف صرف</v>
      </c>
      <c r="Q267" s="121" t="str">
        <f>INDEX(Tabledaily[اســـــــم المــــرجــــع],MATCH(TableDailyJournal[[#This Row],[رقم العملية]],Tabledaily[رقم العملية],0))</f>
        <v>كشف صرف</v>
      </c>
      <c r="R267" s="121">
        <f>INDEX(Tabledaily[رقم المـــــرجـــع],MATCH(TableDailyJournal[[#This Row],[رقم العملية]],Tabledaily[رقم العملية],0))</f>
        <v>0</v>
      </c>
      <c r="S267" s="121" t="str">
        <f>INDEX(Tabledaily[مركـــــــزالتكلفــــــة],MATCH(TableDailyJournal[[#This Row],[رقم العملية]],Tabledaily[رقم العملية],0))</f>
        <v>الفرقة الثالثة</v>
      </c>
      <c r="T267" s="121">
        <f>IFERROR(INDEX(tablecost[رقم المركز],MATCH(TableDailyJournal[[#This Row],[مركـــــــزالتكلفــــــة]],tablecost[الاسم],0)),0)</f>
        <v>1</v>
      </c>
      <c r="U267" s="122">
        <f>IFERROR(DATE(TableDailyJournal[[#This Row],[السنــــة]],TableDailyJournal[[#This Row],[الشهــــر]],TableDailyJournal[[#This Row],[الـــــيوم]]),"01-01-2026")</f>
        <v>46183</v>
      </c>
      <c r="V267" s="126"/>
      <c r="W267" s="58"/>
      <c r="X267" s="58">
        <f>IFERROR(YEAR(TableDailyJournal[[#This Row],[التاريخ]]),"")</f>
        <v>2026</v>
      </c>
      <c r="Y267" s="58">
        <f>IFERROR(MONTH(TableDailyJournal[[#This Row],[التاريخ]]),"")</f>
        <v>6</v>
      </c>
      <c r="Z267" s="58">
        <f>IFERROR(DAY(TableDailyJournal[[#This Row],[التاريخ]]),"")</f>
        <v>10</v>
      </c>
      <c r="AA267"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3 بامر</v>
      </c>
      <c r="AB267" s="121">
        <f>INDEX(Tabledaily[جهة الامر],MATCH(TableDailyJournal[[#This Row],[رقم العملية]],Tabledaily[رقم العملية],0))</f>
        <v>0</v>
      </c>
    </row>
    <row r="268" spans="2:28" ht="45.75" x14ac:dyDescent="0.55000000000000004">
      <c r="B268" s="58">
        <f t="shared" si="7"/>
        <v>264</v>
      </c>
      <c r="C268" s="59" t="s">
        <v>633</v>
      </c>
      <c r="D268" s="60">
        <f>INDEX(Tabledaily[date],MATCH(TableDailyJournal[[#This Row],[رقم العملية]],Tabledaily[رقم العملية],0))</f>
        <v>46183</v>
      </c>
      <c r="E268" s="58" t="str">
        <f>INDEX(Tabledaily[نوع العمليــة],MATCH(TableDailyJournal[[#This Row],[رقم العملية]],Tabledaily[رقم العملية],0))</f>
        <v>قيد عهده</v>
      </c>
      <c r="F268" s="58">
        <f>IFERROR(INDEX(TableJudje[رقم الحساب],MATCH(TableDailyJournal[[#This Row],[الحساب]],TableJudje[اسم الحساب],0)),0)</f>
        <v>31010101</v>
      </c>
      <c r="G268" s="58" t="s">
        <v>111</v>
      </c>
      <c r="H268"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268" s="60" t="str">
        <f>INDEX(Tabledaily[العملـــة],MATCH(TableDailyJournal[[#This Row],[رقم العملية]],Tabledaily[رقم العملية],0))</f>
        <v>ريال يمني</v>
      </c>
      <c r="J268" s="59">
        <f>IFERROR(INDEX(Tabledaily[سعــــــر
الصـــــرف],MATCH(C268,Tabledaily[رقم العملية],0)),1)</f>
        <v>405</v>
      </c>
      <c r="K268" s="123" cm="1">
        <f t="array" ref="K268">IFERROR(INDEX(Tabledaily[المبلـــــــغ],MATCH(1,(TableDailyJournal[[#This Row],[رقم العملية]]=Tabledaily[رقم العملية])*(TableDailyJournal[[#This Row],[الحساب]]=Tabledaily[الحســاب المديــــن]),0)),0)</f>
        <v>70000</v>
      </c>
      <c r="L268" s="123" cm="1">
        <f t="array" ref="L268">IFERROR(INDEX(Tabledaily[المبلـــــــغ],MATCH(1,(TableDailyJournal[[#This Row],[رقم العملية]]=Tabledaily[رقم العملية])*(TableDailyJournal[[#This Row],[الحساب]]=Tabledaily[الحســاب الدئـــن]),0)),0)</f>
        <v>0</v>
      </c>
      <c r="M268" s="119">
        <f>IFERROR(TableDailyJournal[[#This Row],[المبلغ مدين]]/TableDailyJournal[[#This Row],[سعــــــر
الصـــــرف]],0)</f>
        <v>172.83950617283949</v>
      </c>
      <c r="N268" s="119">
        <f>IFERROR(TableDailyJournal[[#This Row],[المبلغ دائن]]/TableDailyJournal[[#This Row],[سعــــــر
الصـــــرف]],0)</f>
        <v>0</v>
      </c>
      <c r="O268" s="121" t="str">
        <f>INDEX(Tabledaily[المستفيــــــــد],MATCH(TableDailyJournal[[#This Row],[رقم العملية]],Tabledaily[رقم العملية],0))</f>
        <v>الضباط السابقين</v>
      </c>
      <c r="P268" s="121" t="str">
        <f>INDEX(Tabledaily[المــــرجـــــــــع],MATCH(TableDailyJournal[[#This Row],[رقم العملية]],Tabledaily[رقم العملية],0))</f>
        <v>كشف صرف</v>
      </c>
      <c r="Q268" s="121" t="str">
        <f>INDEX(Tabledaily[اســـــــم المــــرجــــع],MATCH(TableDailyJournal[[#This Row],[رقم العملية]],Tabledaily[رقم العملية],0))</f>
        <v>كشف صرف</v>
      </c>
      <c r="R268" s="121">
        <f>INDEX(Tabledaily[رقم المـــــرجـــع],MATCH(TableDailyJournal[[#This Row],[رقم العملية]],Tabledaily[رقم العملية],0))</f>
        <v>0</v>
      </c>
      <c r="S268" s="121" t="str">
        <f>INDEX(Tabledaily[مركـــــــزالتكلفــــــة],MATCH(TableDailyJournal[[#This Row],[رقم العملية]],Tabledaily[رقم العملية],0))</f>
        <v>الفرقة الثالثة</v>
      </c>
      <c r="T268" s="121">
        <f>IFERROR(INDEX(tablecost[رقم المركز],MATCH(TableDailyJournal[[#This Row],[مركـــــــزالتكلفــــــة]],tablecost[الاسم],0)),0)</f>
        <v>1</v>
      </c>
      <c r="U268" s="122">
        <f>IFERROR(DATE(TableDailyJournal[[#This Row],[السنــــة]],TableDailyJournal[[#This Row],[الشهــــر]],TableDailyJournal[[#This Row],[الـــــيوم]]),"01-01-2026")</f>
        <v>46183</v>
      </c>
      <c r="V268" s="126"/>
      <c r="W268" s="58"/>
      <c r="X268" s="58">
        <f>IFERROR(YEAR(TableDailyJournal[[#This Row],[التاريخ]]),"")</f>
        <v>2026</v>
      </c>
      <c r="Y268" s="58">
        <f>IFERROR(MONTH(TableDailyJournal[[#This Row],[التاريخ]]),"")</f>
        <v>6</v>
      </c>
      <c r="Z268" s="58">
        <f>IFERROR(DAY(TableDailyJournal[[#This Row],[التاريخ]]),"")</f>
        <v>10</v>
      </c>
      <c r="AA268"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268" s="121">
        <f>INDEX(Tabledaily[جهة الامر],MATCH(TableDailyJournal[[#This Row],[رقم العملية]],Tabledaily[رقم العملية],0))</f>
        <v>0</v>
      </c>
    </row>
    <row r="269" spans="2:28" ht="45.75" x14ac:dyDescent="0.55000000000000004">
      <c r="B269" s="58">
        <f t="shared" si="7"/>
        <v>265</v>
      </c>
      <c r="C269" s="59" t="s">
        <v>633</v>
      </c>
      <c r="D269" s="60">
        <f>INDEX(Tabledaily[date],MATCH(TableDailyJournal[[#This Row],[رقم العملية]],Tabledaily[رقم العملية],0))</f>
        <v>46183</v>
      </c>
      <c r="E269" s="58" t="str">
        <f>INDEX(Tabledaily[نوع العمليــة],MATCH(TableDailyJournal[[#This Row],[رقم العملية]],Tabledaily[رقم العملية],0))</f>
        <v>قيد عهده</v>
      </c>
      <c r="F269" s="58">
        <f>IFERROR(INDEX(TableJudje[رقم الحساب],MATCH(TableDailyJournal[[#This Row],[الحساب]],TableJudje[اسم الحساب],0)),0)</f>
        <v>11060205</v>
      </c>
      <c r="G269" s="58" t="s">
        <v>513</v>
      </c>
      <c r="H269"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269" s="60" t="str">
        <f>INDEX(Tabledaily[العملـــة],MATCH(TableDailyJournal[[#This Row],[رقم العملية]],Tabledaily[رقم العملية],0))</f>
        <v>ريال يمني</v>
      </c>
      <c r="J269" s="59">
        <f>IFERROR(INDEX(Tabledaily[سعــــــر
الصـــــرف],MATCH(C269,Tabledaily[رقم العملية],0)),1)</f>
        <v>405</v>
      </c>
      <c r="K269" s="123" cm="1">
        <f t="array" ref="K269">IFERROR(INDEX(Tabledaily[المبلـــــــغ],MATCH(1,(TableDailyJournal[[#This Row],[رقم العملية]]=Tabledaily[رقم العملية])*(TableDailyJournal[[#This Row],[الحساب]]=Tabledaily[الحســاب المديــــن]),0)),0)</f>
        <v>0</v>
      </c>
      <c r="L269" s="123" cm="1">
        <f t="array" ref="L269">IFERROR(INDEX(Tabledaily[المبلـــــــغ],MATCH(1,(TableDailyJournal[[#This Row],[رقم العملية]]=Tabledaily[رقم العملية])*(TableDailyJournal[[#This Row],[الحساب]]=Tabledaily[الحســاب الدئـــن]),0)),0)</f>
        <v>70000</v>
      </c>
      <c r="M269" s="119">
        <f>IFERROR(TableDailyJournal[[#This Row],[المبلغ مدين]]/TableDailyJournal[[#This Row],[سعــــــر
الصـــــرف]],0)</f>
        <v>0</v>
      </c>
      <c r="N269" s="119">
        <f>IFERROR(TableDailyJournal[[#This Row],[المبلغ دائن]]/TableDailyJournal[[#This Row],[سعــــــر
الصـــــرف]],0)</f>
        <v>172.83950617283949</v>
      </c>
      <c r="O269" s="121" t="str">
        <f>INDEX(Tabledaily[المستفيــــــــد],MATCH(TableDailyJournal[[#This Row],[رقم العملية]],Tabledaily[رقم العملية],0))</f>
        <v>الضباط السابقين</v>
      </c>
      <c r="P269" s="121" t="str">
        <f>INDEX(Tabledaily[المــــرجـــــــــع],MATCH(TableDailyJournal[[#This Row],[رقم العملية]],Tabledaily[رقم العملية],0))</f>
        <v>كشف صرف</v>
      </c>
      <c r="Q269" s="121" t="str">
        <f>INDEX(Tabledaily[اســـــــم المــــرجــــع],MATCH(TableDailyJournal[[#This Row],[رقم العملية]],Tabledaily[رقم العملية],0))</f>
        <v>كشف صرف</v>
      </c>
      <c r="R269" s="121">
        <f>INDEX(Tabledaily[رقم المـــــرجـــع],MATCH(TableDailyJournal[[#This Row],[رقم العملية]],Tabledaily[رقم العملية],0))</f>
        <v>0</v>
      </c>
      <c r="S269" s="121" t="str">
        <f>INDEX(Tabledaily[مركـــــــزالتكلفــــــة],MATCH(TableDailyJournal[[#This Row],[رقم العملية]],Tabledaily[رقم العملية],0))</f>
        <v>الفرقة الثالثة</v>
      </c>
      <c r="T269" s="121">
        <f>IFERROR(INDEX(tablecost[رقم المركز],MATCH(TableDailyJournal[[#This Row],[مركـــــــزالتكلفــــــة]],tablecost[الاسم],0)),0)</f>
        <v>1</v>
      </c>
      <c r="U269" s="122">
        <f>IFERROR(DATE(TableDailyJournal[[#This Row],[السنــــة]],TableDailyJournal[[#This Row],[الشهــــر]],TableDailyJournal[[#This Row],[الـــــيوم]]),"01-01-2026")</f>
        <v>46183</v>
      </c>
      <c r="V269" s="126"/>
      <c r="W269" s="58"/>
      <c r="X269" s="58">
        <f>IFERROR(YEAR(TableDailyJournal[[#This Row],[التاريخ]]),"")</f>
        <v>2026</v>
      </c>
      <c r="Y269" s="58">
        <f>IFERROR(MONTH(TableDailyJournal[[#This Row],[التاريخ]]),"")</f>
        <v>6</v>
      </c>
      <c r="Z269" s="58">
        <f>IFERROR(DAY(TableDailyJournal[[#This Row],[التاريخ]]),"")</f>
        <v>10</v>
      </c>
      <c r="AA269"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269" s="121">
        <f>INDEX(Tabledaily[جهة الامر],MATCH(TableDailyJournal[[#This Row],[رقم العملية]],Tabledaily[رقم العملية],0))</f>
        <v>0</v>
      </c>
    </row>
    <row r="270" spans="2:28" ht="45.75" x14ac:dyDescent="0.55000000000000004">
      <c r="B270" s="58">
        <f t="shared" si="7"/>
        <v>266</v>
      </c>
      <c r="C270" s="59" t="s">
        <v>634</v>
      </c>
      <c r="D270" s="60">
        <f>INDEX(Tabledaily[date],MATCH(TableDailyJournal[[#This Row],[رقم العملية]],Tabledaily[رقم العملية],0))</f>
        <v>46183</v>
      </c>
      <c r="E270" s="58" t="str">
        <f>INDEX(Tabledaily[نوع العمليــة],MATCH(TableDailyJournal[[#This Row],[رقم العملية]],Tabledaily[رقم العملية],0))</f>
        <v>قيد عهده</v>
      </c>
      <c r="F270" s="58">
        <f>IFERROR(INDEX(TableJudje[رقم الحساب],MATCH(TableDailyJournal[[#This Row],[الحساب]],TableJudje[اسم الحساب],0)),0)</f>
        <v>31010101</v>
      </c>
      <c r="G270" s="58" t="s">
        <v>111</v>
      </c>
      <c r="H270"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I270" s="60" t="str">
        <f>INDEX(Tabledaily[العملـــة],MATCH(TableDailyJournal[[#This Row],[رقم العملية]],Tabledaily[رقم العملية],0))</f>
        <v>ريال يمني</v>
      </c>
      <c r="J270" s="59">
        <f>IFERROR(INDEX(Tabledaily[سعــــــر
الصـــــرف],MATCH(C270,Tabledaily[رقم العملية],0)),1)</f>
        <v>405</v>
      </c>
      <c r="K270" s="123" cm="1">
        <f t="array" ref="K270">IFERROR(INDEX(Tabledaily[المبلـــــــغ],MATCH(1,(TableDailyJournal[[#This Row],[رقم العملية]]=Tabledaily[رقم العملية])*(TableDailyJournal[[#This Row],[الحساب]]=Tabledaily[الحســاب المديــــن]),0)),0)</f>
        <v>74000</v>
      </c>
      <c r="L270" s="123" cm="1">
        <f t="array" ref="L270">IFERROR(INDEX(Tabledaily[المبلـــــــغ],MATCH(1,(TableDailyJournal[[#This Row],[رقم العملية]]=Tabledaily[رقم العملية])*(TableDailyJournal[[#This Row],[الحساب]]=Tabledaily[الحســاب الدئـــن]),0)),0)</f>
        <v>0</v>
      </c>
      <c r="M270" s="119">
        <f>IFERROR(TableDailyJournal[[#This Row],[المبلغ مدين]]/TableDailyJournal[[#This Row],[سعــــــر
الصـــــرف]],0)</f>
        <v>182.71604938271605</v>
      </c>
      <c r="N270" s="119">
        <f>IFERROR(TableDailyJournal[[#This Row],[المبلغ دائن]]/TableDailyJournal[[#This Row],[سعــــــر
الصـــــرف]],0)</f>
        <v>0</v>
      </c>
      <c r="O270" s="121" t="str">
        <f>INDEX(Tabledaily[المستفيــــــــد],MATCH(TableDailyJournal[[#This Row],[رقم العملية]],Tabledaily[رقم العملية],0))</f>
        <v>اخرون</v>
      </c>
      <c r="P270" s="121" t="str">
        <f>INDEX(Tabledaily[المــــرجـــــــــع],MATCH(TableDailyJournal[[#This Row],[رقم العملية]],Tabledaily[رقم العملية],0))</f>
        <v>كشف صرف</v>
      </c>
      <c r="Q270" s="121" t="str">
        <f>INDEX(Tabledaily[اســـــــم المــــرجــــع],MATCH(TableDailyJournal[[#This Row],[رقم العملية]],Tabledaily[رقم العملية],0))</f>
        <v>كشف صرف</v>
      </c>
      <c r="R270" s="121">
        <f>INDEX(Tabledaily[رقم المـــــرجـــع],MATCH(TableDailyJournal[[#This Row],[رقم العملية]],Tabledaily[رقم العملية],0))</f>
        <v>0</v>
      </c>
      <c r="S270" s="121" t="str">
        <f>INDEX(Tabledaily[مركـــــــزالتكلفــــــة],MATCH(TableDailyJournal[[#This Row],[رقم العملية]],Tabledaily[رقم العملية],0))</f>
        <v>الفرقة الثالثة</v>
      </c>
      <c r="T270" s="121">
        <f>IFERROR(INDEX(tablecost[رقم المركز],MATCH(TableDailyJournal[[#This Row],[مركـــــــزالتكلفــــــة]],tablecost[الاسم],0)),0)</f>
        <v>1</v>
      </c>
      <c r="U270" s="122">
        <f>IFERROR(DATE(TableDailyJournal[[#This Row],[السنــــة]],TableDailyJournal[[#This Row],[الشهــــر]],TableDailyJournal[[#This Row],[الـــــيوم]]),"01-01-2026")</f>
        <v>46183</v>
      </c>
      <c r="V270" s="126"/>
      <c r="W270" s="58"/>
      <c r="X270" s="58">
        <f>IFERROR(YEAR(TableDailyJournal[[#This Row],[التاريخ]]),"")</f>
        <v>2026</v>
      </c>
      <c r="Y270" s="58">
        <f>IFERROR(MONTH(TableDailyJournal[[#This Row],[التاريخ]]),"")</f>
        <v>6</v>
      </c>
      <c r="Z270" s="58">
        <f>IFERROR(DAY(TableDailyJournal[[#This Row],[التاريخ]]),"")</f>
        <v>10</v>
      </c>
      <c r="AA270"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AB270" s="121">
        <f>INDEX(Tabledaily[جهة الامر],MATCH(TableDailyJournal[[#This Row],[رقم العملية]],Tabledaily[رقم العملية],0))</f>
        <v>0</v>
      </c>
    </row>
    <row r="271" spans="2:28" ht="45.75" x14ac:dyDescent="0.55000000000000004">
      <c r="B271" s="58">
        <f t="shared" si="7"/>
        <v>267</v>
      </c>
      <c r="C271" s="59" t="s">
        <v>634</v>
      </c>
      <c r="D271" s="60">
        <f>INDEX(Tabledaily[date],MATCH(TableDailyJournal[[#This Row],[رقم العملية]],Tabledaily[رقم العملية],0))</f>
        <v>46183</v>
      </c>
      <c r="E271" s="58" t="str">
        <f>INDEX(Tabledaily[نوع العمليــة],MATCH(TableDailyJournal[[#This Row],[رقم العملية]],Tabledaily[رقم العملية],0))</f>
        <v>قيد عهده</v>
      </c>
      <c r="F271" s="58">
        <f>IFERROR(INDEX(TableJudje[رقم الحساب],MATCH(TableDailyJournal[[#This Row],[الحساب]],TableJudje[اسم الحساب],0)),0)</f>
        <v>11060205</v>
      </c>
      <c r="G271" s="58" t="s">
        <v>513</v>
      </c>
      <c r="H271"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I271" s="60" t="str">
        <f>INDEX(Tabledaily[العملـــة],MATCH(TableDailyJournal[[#This Row],[رقم العملية]],Tabledaily[رقم العملية],0))</f>
        <v>ريال يمني</v>
      </c>
      <c r="J271" s="59">
        <f>IFERROR(INDEX(Tabledaily[سعــــــر
الصـــــرف],MATCH(C271,Tabledaily[رقم العملية],0)),1)</f>
        <v>405</v>
      </c>
      <c r="K271" s="123" cm="1">
        <f t="array" ref="K271">IFERROR(INDEX(Tabledaily[المبلـــــــغ],MATCH(1,(TableDailyJournal[[#This Row],[رقم العملية]]=Tabledaily[رقم العملية])*(TableDailyJournal[[#This Row],[الحساب]]=Tabledaily[الحســاب المديــــن]),0)),0)</f>
        <v>0</v>
      </c>
      <c r="L271" s="123" cm="1">
        <f t="array" ref="L271">IFERROR(INDEX(Tabledaily[المبلـــــــغ],MATCH(1,(TableDailyJournal[[#This Row],[رقم العملية]]=Tabledaily[رقم العملية])*(TableDailyJournal[[#This Row],[الحساب]]=Tabledaily[الحســاب الدئـــن]),0)),0)</f>
        <v>74000</v>
      </c>
      <c r="M271" s="119">
        <f>IFERROR(TableDailyJournal[[#This Row],[المبلغ مدين]]/TableDailyJournal[[#This Row],[سعــــــر
الصـــــرف]],0)</f>
        <v>0</v>
      </c>
      <c r="N271" s="119">
        <f>IFERROR(TableDailyJournal[[#This Row],[المبلغ دائن]]/TableDailyJournal[[#This Row],[سعــــــر
الصـــــرف]],0)</f>
        <v>182.71604938271605</v>
      </c>
      <c r="O271" s="121" t="str">
        <f>INDEX(Tabledaily[المستفيــــــــد],MATCH(TableDailyJournal[[#This Row],[رقم العملية]],Tabledaily[رقم العملية],0))</f>
        <v>اخرون</v>
      </c>
      <c r="P271" s="121" t="str">
        <f>INDEX(Tabledaily[المــــرجـــــــــع],MATCH(TableDailyJournal[[#This Row],[رقم العملية]],Tabledaily[رقم العملية],0))</f>
        <v>كشف صرف</v>
      </c>
      <c r="Q271" s="121" t="str">
        <f>INDEX(Tabledaily[اســـــــم المــــرجــــع],MATCH(TableDailyJournal[[#This Row],[رقم العملية]],Tabledaily[رقم العملية],0))</f>
        <v>كشف صرف</v>
      </c>
      <c r="R271" s="121">
        <f>INDEX(Tabledaily[رقم المـــــرجـــع],MATCH(TableDailyJournal[[#This Row],[رقم العملية]],Tabledaily[رقم العملية],0))</f>
        <v>0</v>
      </c>
      <c r="S271" s="121" t="str">
        <f>INDEX(Tabledaily[مركـــــــزالتكلفــــــة],MATCH(TableDailyJournal[[#This Row],[رقم العملية]],Tabledaily[رقم العملية],0))</f>
        <v>الفرقة الثالثة</v>
      </c>
      <c r="T271" s="121">
        <f>IFERROR(INDEX(tablecost[رقم المركز],MATCH(TableDailyJournal[[#This Row],[مركـــــــزالتكلفــــــة]],tablecost[الاسم],0)),0)</f>
        <v>1</v>
      </c>
      <c r="U271" s="122">
        <f>IFERROR(DATE(TableDailyJournal[[#This Row],[السنــــة]],TableDailyJournal[[#This Row],[الشهــــر]],TableDailyJournal[[#This Row],[الـــــيوم]]),"01-01-2026")</f>
        <v>46183</v>
      </c>
      <c r="V271" s="126"/>
      <c r="W271" s="58"/>
      <c r="X271" s="58">
        <f>IFERROR(YEAR(TableDailyJournal[[#This Row],[التاريخ]]),"")</f>
        <v>2026</v>
      </c>
      <c r="Y271" s="58">
        <f>IFERROR(MONTH(TableDailyJournal[[#This Row],[التاريخ]]),"")</f>
        <v>6</v>
      </c>
      <c r="Z271" s="58">
        <f>IFERROR(DAY(TableDailyJournal[[#This Row],[التاريخ]]),"")</f>
        <v>10</v>
      </c>
      <c r="AA271"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AB271" s="121">
        <f>INDEX(Tabledaily[جهة الامر],MATCH(TableDailyJournal[[#This Row],[رقم العملية]],Tabledaily[رقم العملية],0))</f>
        <v>0</v>
      </c>
    </row>
    <row r="272" spans="2:28" ht="45.75" x14ac:dyDescent="0.55000000000000004">
      <c r="B272" s="58">
        <f t="shared" si="7"/>
        <v>268</v>
      </c>
      <c r="C272" s="59" t="s">
        <v>636</v>
      </c>
      <c r="D272" s="60">
        <f>INDEX(Tabledaily[date],MATCH(TableDailyJournal[[#This Row],[رقم العملية]],Tabledaily[رقم العملية],0))</f>
        <v>46183</v>
      </c>
      <c r="E272" s="58" t="str">
        <f>INDEX(Tabledaily[نوع العمليــة],MATCH(TableDailyJournal[[#This Row],[رقم العملية]],Tabledaily[رقم العملية],0))</f>
        <v>قيد عهده</v>
      </c>
      <c r="F272" s="58">
        <f>IFERROR(INDEX(TableJudje[رقم الحساب],MATCH(TableDailyJournal[[#This Row],[الحساب]],TableJudje[اسم الحساب],0)),0)</f>
        <v>31010101</v>
      </c>
      <c r="G272" s="58" t="s">
        <v>111</v>
      </c>
      <c r="H272"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I272" s="60" t="str">
        <f>INDEX(Tabledaily[العملـــة],MATCH(TableDailyJournal[[#This Row],[رقم العملية]],Tabledaily[رقم العملية],0))</f>
        <v>ريال يمني</v>
      </c>
      <c r="J272" s="59">
        <f>IFERROR(INDEX(Tabledaily[سعــــــر
الصـــــرف],MATCH(C272,Tabledaily[رقم العملية],0)),1)</f>
        <v>405</v>
      </c>
      <c r="K272" s="123" cm="1">
        <f t="array" ref="K272">IFERROR(INDEX(Tabledaily[المبلـــــــغ],MATCH(1,(TableDailyJournal[[#This Row],[رقم العملية]]=Tabledaily[رقم العملية])*(TableDailyJournal[[#This Row],[الحساب]]=Tabledaily[الحســاب المديــــن]),0)),0)</f>
        <v>20000</v>
      </c>
      <c r="L272" s="123" cm="1">
        <f t="array" ref="L272">IFERROR(INDEX(Tabledaily[المبلـــــــغ],MATCH(1,(TableDailyJournal[[#This Row],[رقم العملية]]=Tabledaily[رقم العملية])*(TableDailyJournal[[#This Row],[الحساب]]=Tabledaily[الحســاب الدئـــن]),0)),0)</f>
        <v>0</v>
      </c>
      <c r="M272" s="119">
        <f>IFERROR(TableDailyJournal[[#This Row],[المبلغ مدين]]/TableDailyJournal[[#This Row],[سعــــــر
الصـــــرف]],0)</f>
        <v>49.382716049382715</v>
      </c>
      <c r="N272" s="119">
        <f>IFERROR(TableDailyJournal[[#This Row],[المبلغ دائن]]/TableDailyJournal[[#This Row],[سعــــــر
الصـــــرف]],0)</f>
        <v>0</v>
      </c>
      <c r="O272" s="121" t="str">
        <f>INDEX(Tabledaily[المستفيــــــــد],MATCH(TableDailyJournal[[#This Row],[رقم العملية]],Tabledaily[رقم العملية],0))</f>
        <v>مرافقي الاركان</v>
      </c>
      <c r="P272" s="121" t="str">
        <f>INDEX(Tabledaily[المــــرجـــــــــع],MATCH(TableDailyJournal[[#This Row],[رقم العملية]],Tabledaily[رقم العملية],0))</f>
        <v>كشف صرف</v>
      </c>
      <c r="Q272" s="121" t="str">
        <f>INDEX(Tabledaily[اســـــــم المــــرجــــع],MATCH(TableDailyJournal[[#This Row],[رقم العملية]],Tabledaily[رقم العملية],0))</f>
        <v>كشف صرف</v>
      </c>
      <c r="R272" s="121">
        <f>INDEX(Tabledaily[رقم المـــــرجـــع],MATCH(TableDailyJournal[[#This Row],[رقم العملية]],Tabledaily[رقم العملية],0))</f>
        <v>0</v>
      </c>
      <c r="S272" s="121" t="str">
        <f>INDEX(Tabledaily[مركـــــــزالتكلفــــــة],MATCH(TableDailyJournal[[#This Row],[رقم العملية]],Tabledaily[رقم العملية],0))</f>
        <v>الفرقة الثالثة</v>
      </c>
      <c r="T272" s="121">
        <f>IFERROR(INDEX(tablecost[رقم المركز],MATCH(TableDailyJournal[[#This Row],[مركـــــــزالتكلفــــــة]],tablecost[الاسم],0)),0)</f>
        <v>1</v>
      </c>
      <c r="U272" s="122">
        <f>IFERROR(DATE(TableDailyJournal[[#This Row],[السنــــة]],TableDailyJournal[[#This Row],[الشهــــر]],TableDailyJournal[[#This Row],[الـــــيوم]]),"01-01-2026")</f>
        <v>46183</v>
      </c>
      <c r="V272" s="126"/>
      <c r="W272" s="58"/>
      <c r="X272" s="58">
        <f>IFERROR(YEAR(TableDailyJournal[[#This Row],[التاريخ]]),"")</f>
        <v>2026</v>
      </c>
      <c r="Y272" s="58">
        <f>IFERROR(MONTH(TableDailyJournal[[#This Row],[التاريخ]]),"")</f>
        <v>6</v>
      </c>
      <c r="Z272" s="58">
        <f>IFERROR(DAY(TableDailyJournal[[#This Row],[التاريخ]]),"")</f>
        <v>10</v>
      </c>
      <c r="AA272"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AB272" s="121">
        <f>INDEX(Tabledaily[جهة الامر],MATCH(TableDailyJournal[[#This Row],[رقم العملية]],Tabledaily[رقم العملية],0))</f>
        <v>0</v>
      </c>
    </row>
    <row r="273" spans="2:28" ht="45.75" x14ac:dyDescent="0.55000000000000004">
      <c r="B273" s="58">
        <f t="shared" si="7"/>
        <v>269</v>
      </c>
      <c r="C273" s="59" t="s">
        <v>636</v>
      </c>
      <c r="D273" s="60">
        <f>INDEX(Tabledaily[date],MATCH(TableDailyJournal[[#This Row],[رقم العملية]],Tabledaily[رقم العملية],0))</f>
        <v>46183</v>
      </c>
      <c r="E273" s="58" t="str">
        <f>INDEX(Tabledaily[نوع العمليــة],MATCH(TableDailyJournal[[#This Row],[رقم العملية]],Tabledaily[رقم العملية],0))</f>
        <v>قيد عهده</v>
      </c>
      <c r="F273" s="58">
        <f>IFERROR(INDEX(TableJudje[رقم الحساب],MATCH(TableDailyJournal[[#This Row],[الحساب]],TableJudje[اسم الحساب],0)),0)</f>
        <v>11060205</v>
      </c>
      <c r="G273" s="58" t="s">
        <v>513</v>
      </c>
      <c r="H273"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I273" s="60" t="str">
        <f>INDEX(Tabledaily[العملـــة],MATCH(TableDailyJournal[[#This Row],[رقم العملية]],Tabledaily[رقم العملية],0))</f>
        <v>ريال يمني</v>
      </c>
      <c r="J273" s="59">
        <f>IFERROR(INDEX(Tabledaily[سعــــــر
الصـــــرف],MATCH(C273,Tabledaily[رقم العملية],0)),1)</f>
        <v>405</v>
      </c>
      <c r="K273" s="123" cm="1">
        <f t="array" ref="K273">IFERROR(INDEX(Tabledaily[المبلـــــــغ],MATCH(1,(TableDailyJournal[[#This Row],[رقم العملية]]=Tabledaily[رقم العملية])*(TableDailyJournal[[#This Row],[الحساب]]=Tabledaily[الحســاب المديــــن]),0)),0)</f>
        <v>0</v>
      </c>
      <c r="L273" s="123" cm="1">
        <f t="array" ref="L273">IFERROR(INDEX(Tabledaily[المبلـــــــغ],MATCH(1,(TableDailyJournal[[#This Row],[رقم العملية]]=Tabledaily[رقم العملية])*(TableDailyJournal[[#This Row],[الحساب]]=Tabledaily[الحســاب الدئـــن]),0)),0)</f>
        <v>20000</v>
      </c>
      <c r="M273" s="119">
        <f>IFERROR(TableDailyJournal[[#This Row],[المبلغ مدين]]/TableDailyJournal[[#This Row],[سعــــــر
الصـــــرف]],0)</f>
        <v>0</v>
      </c>
      <c r="N273" s="119">
        <f>IFERROR(TableDailyJournal[[#This Row],[المبلغ دائن]]/TableDailyJournal[[#This Row],[سعــــــر
الصـــــرف]],0)</f>
        <v>49.382716049382715</v>
      </c>
      <c r="O273" s="121" t="str">
        <f>INDEX(Tabledaily[المستفيــــــــد],MATCH(TableDailyJournal[[#This Row],[رقم العملية]],Tabledaily[رقم العملية],0))</f>
        <v>مرافقي الاركان</v>
      </c>
      <c r="P273" s="121" t="str">
        <f>INDEX(Tabledaily[المــــرجـــــــــع],MATCH(TableDailyJournal[[#This Row],[رقم العملية]],Tabledaily[رقم العملية],0))</f>
        <v>كشف صرف</v>
      </c>
      <c r="Q273" s="121" t="str">
        <f>INDEX(Tabledaily[اســـــــم المــــرجــــع],MATCH(TableDailyJournal[[#This Row],[رقم العملية]],Tabledaily[رقم العملية],0))</f>
        <v>كشف صرف</v>
      </c>
      <c r="R273" s="121">
        <f>INDEX(Tabledaily[رقم المـــــرجـــع],MATCH(TableDailyJournal[[#This Row],[رقم العملية]],Tabledaily[رقم العملية],0))</f>
        <v>0</v>
      </c>
      <c r="S273" s="121" t="str">
        <f>INDEX(Tabledaily[مركـــــــزالتكلفــــــة],MATCH(TableDailyJournal[[#This Row],[رقم العملية]],Tabledaily[رقم العملية],0))</f>
        <v>الفرقة الثالثة</v>
      </c>
      <c r="T273" s="121">
        <f>IFERROR(INDEX(tablecost[رقم المركز],MATCH(TableDailyJournal[[#This Row],[مركـــــــزالتكلفــــــة]],tablecost[الاسم],0)),0)</f>
        <v>1</v>
      </c>
      <c r="U273" s="122">
        <f>IFERROR(DATE(TableDailyJournal[[#This Row],[السنــــة]],TableDailyJournal[[#This Row],[الشهــــر]],TableDailyJournal[[#This Row],[الـــــيوم]]),"01-01-2026")</f>
        <v>46183</v>
      </c>
      <c r="V273" s="126"/>
      <c r="W273" s="58"/>
      <c r="X273" s="58">
        <f>IFERROR(YEAR(TableDailyJournal[[#This Row],[التاريخ]]),"")</f>
        <v>2026</v>
      </c>
      <c r="Y273" s="58">
        <f>IFERROR(MONTH(TableDailyJournal[[#This Row],[التاريخ]]),"")</f>
        <v>6</v>
      </c>
      <c r="Z273" s="58">
        <f>IFERROR(DAY(TableDailyJournal[[#This Row],[التاريخ]]),"")</f>
        <v>10</v>
      </c>
      <c r="AA273"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AB273" s="121">
        <f>INDEX(Tabledaily[جهة الامر],MATCH(TableDailyJournal[[#This Row],[رقم العملية]],Tabledaily[رقم العملية],0))</f>
        <v>0</v>
      </c>
    </row>
    <row r="274" spans="2:28" ht="45.75" x14ac:dyDescent="0.55000000000000004">
      <c r="B274" s="58">
        <f t="shared" si="7"/>
        <v>270</v>
      </c>
      <c r="C274" s="59" t="s">
        <v>639</v>
      </c>
      <c r="D274" s="60">
        <f>INDEX(Tabledaily[date],MATCH(TableDailyJournal[[#This Row],[رقم العملية]],Tabledaily[رقم العملية],0))</f>
        <v>46183</v>
      </c>
      <c r="E274" s="58" t="str">
        <f>INDEX(Tabledaily[نوع العمليــة],MATCH(TableDailyJournal[[#This Row],[رقم العملية]],Tabledaily[رقم العملية],0))</f>
        <v>قيد عهده</v>
      </c>
      <c r="F274" s="58">
        <f>IFERROR(INDEX(TableJudje[رقم الحساب],MATCH(TableDailyJournal[[#This Row],[الحساب]],TableJudje[اسم الحساب],0)),0)</f>
        <v>31010101</v>
      </c>
      <c r="G274" s="58" t="s">
        <v>111</v>
      </c>
      <c r="H274"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274" s="60" t="str">
        <f>INDEX(Tabledaily[العملـــة],MATCH(TableDailyJournal[[#This Row],[رقم العملية]],Tabledaily[رقم العملية],0))</f>
        <v>ريال يمني</v>
      </c>
      <c r="J274" s="59">
        <f>IFERROR(INDEX(Tabledaily[سعــــــر
الصـــــرف],MATCH(C274,Tabledaily[رقم العملية],0)),1)</f>
        <v>405</v>
      </c>
      <c r="K274" s="123" cm="1">
        <f t="array" ref="K274">IFERROR(INDEX(Tabledaily[المبلـــــــغ],MATCH(1,(TableDailyJournal[[#This Row],[رقم العملية]]=Tabledaily[رقم العملية])*(TableDailyJournal[[#This Row],[الحساب]]=Tabledaily[الحســاب المديــــن]),0)),0)</f>
        <v>28000</v>
      </c>
      <c r="L274" s="123" cm="1">
        <f t="array" ref="L274">IFERROR(INDEX(Tabledaily[المبلـــــــغ],MATCH(1,(TableDailyJournal[[#This Row],[رقم العملية]]=Tabledaily[رقم العملية])*(TableDailyJournal[[#This Row],[الحساب]]=Tabledaily[الحســاب الدئـــن]),0)),0)</f>
        <v>0</v>
      </c>
      <c r="M274" s="119">
        <f>IFERROR(TableDailyJournal[[#This Row],[المبلغ مدين]]/TableDailyJournal[[#This Row],[سعــــــر
الصـــــرف]],0)</f>
        <v>69.135802469135797</v>
      </c>
      <c r="N274" s="119">
        <f>IFERROR(TableDailyJournal[[#This Row],[المبلغ دائن]]/TableDailyJournal[[#This Row],[سعــــــر
الصـــــرف]],0)</f>
        <v>0</v>
      </c>
      <c r="O274" s="121" t="str">
        <f>INDEX(Tabledaily[المستفيــــــــد],MATCH(TableDailyJournal[[#This Row],[رقم العملية]],Tabledaily[رقم العملية],0))</f>
        <v>الاشغال</v>
      </c>
      <c r="P274" s="121" t="str">
        <f>INDEX(Tabledaily[المــــرجـــــــــع],MATCH(TableDailyJournal[[#This Row],[رقم العملية]],Tabledaily[رقم العملية],0))</f>
        <v>كشف صرف</v>
      </c>
      <c r="Q274" s="121" t="str">
        <f>INDEX(Tabledaily[اســـــــم المــــرجــــع],MATCH(TableDailyJournal[[#This Row],[رقم العملية]],Tabledaily[رقم العملية],0))</f>
        <v>كشف صرف</v>
      </c>
      <c r="R274" s="121">
        <f>INDEX(Tabledaily[رقم المـــــرجـــع],MATCH(TableDailyJournal[[#This Row],[رقم العملية]],Tabledaily[رقم العملية],0))</f>
        <v>0</v>
      </c>
      <c r="S274" s="121" t="str">
        <f>INDEX(Tabledaily[مركـــــــزالتكلفــــــة],MATCH(TableDailyJournal[[#This Row],[رقم العملية]],Tabledaily[رقم العملية],0))</f>
        <v>الفرقة الثالثة</v>
      </c>
      <c r="T274" s="121">
        <f>IFERROR(INDEX(tablecost[رقم المركز],MATCH(TableDailyJournal[[#This Row],[مركـــــــزالتكلفــــــة]],tablecost[الاسم],0)),0)</f>
        <v>1</v>
      </c>
      <c r="U274" s="122">
        <f>IFERROR(DATE(TableDailyJournal[[#This Row],[السنــــة]],TableDailyJournal[[#This Row],[الشهــــر]],TableDailyJournal[[#This Row],[الـــــيوم]]),"01-01-2026")</f>
        <v>46183</v>
      </c>
      <c r="V274" s="126"/>
      <c r="W274" s="58"/>
      <c r="X274" s="58">
        <f>IFERROR(YEAR(TableDailyJournal[[#This Row],[التاريخ]]),"")</f>
        <v>2026</v>
      </c>
      <c r="Y274" s="58">
        <f>IFERROR(MONTH(TableDailyJournal[[#This Row],[التاريخ]]),"")</f>
        <v>6</v>
      </c>
      <c r="Z274" s="58">
        <f>IFERROR(DAY(TableDailyJournal[[#This Row],[التاريخ]]),"")</f>
        <v>10</v>
      </c>
      <c r="AA274"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274" s="121">
        <f>INDEX(Tabledaily[جهة الامر],MATCH(TableDailyJournal[[#This Row],[رقم العملية]],Tabledaily[رقم العملية],0))</f>
        <v>0</v>
      </c>
    </row>
    <row r="275" spans="2:28" ht="45.75" x14ac:dyDescent="0.55000000000000004">
      <c r="B275" s="58">
        <f t="shared" si="7"/>
        <v>271</v>
      </c>
      <c r="C275" s="59" t="s">
        <v>639</v>
      </c>
      <c r="D275" s="60">
        <f>INDEX(Tabledaily[date],MATCH(TableDailyJournal[[#This Row],[رقم العملية]],Tabledaily[رقم العملية],0))</f>
        <v>46183</v>
      </c>
      <c r="E275" s="58" t="str">
        <f>INDEX(Tabledaily[نوع العمليــة],MATCH(TableDailyJournal[[#This Row],[رقم العملية]],Tabledaily[رقم العملية],0))</f>
        <v>قيد عهده</v>
      </c>
      <c r="F275" s="58">
        <f>IFERROR(INDEX(TableJudje[رقم الحساب],MATCH(TableDailyJournal[[#This Row],[الحساب]],TableJudje[اسم الحساب],0)),0)</f>
        <v>11060205</v>
      </c>
      <c r="G275" s="58" t="s">
        <v>513</v>
      </c>
      <c r="H275"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275" s="60" t="str">
        <f>INDEX(Tabledaily[العملـــة],MATCH(TableDailyJournal[[#This Row],[رقم العملية]],Tabledaily[رقم العملية],0))</f>
        <v>ريال يمني</v>
      </c>
      <c r="J275" s="59">
        <f>IFERROR(INDEX(Tabledaily[سعــــــر
الصـــــرف],MATCH(C275,Tabledaily[رقم العملية],0)),1)</f>
        <v>405</v>
      </c>
      <c r="K275" s="123" cm="1">
        <f t="array" ref="K275">IFERROR(INDEX(Tabledaily[المبلـــــــغ],MATCH(1,(TableDailyJournal[[#This Row],[رقم العملية]]=Tabledaily[رقم العملية])*(TableDailyJournal[[#This Row],[الحساب]]=Tabledaily[الحســاب المديــــن]),0)),0)</f>
        <v>0</v>
      </c>
      <c r="L275" s="123" cm="1">
        <f t="array" ref="L275">IFERROR(INDEX(Tabledaily[المبلـــــــغ],MATCH(1,(TableDailyJournal[[#This Row],[رقم العملية]]=Tabledaily[رقم العملية])*(TableDailyJournal[[#This Row],[الحساب]]=Tabledaily[الحســاب الدئـــن]),0)),0)</f>
        <v>28000</v>
      </c>
      <c r="M275" s="119">
        <f>IFERROR(TableDailyJournal[[#This Row],[المبلغ مدين]]/TableDailyJournal[[#This Row],[سعــــــر
الصـــــرف]],0)</f>
        <v>0</v>
      </c>
      <c r="N275" s="119">
        <f>IFERROR(TableDailyJournal[[#This Row],[المبلغ دائن]]/TableDailyJournal[[#This Row],[سعــــــر
الصـــــرف]],0)</f>
        <v>69.135802469135797</v>
      </c>
      <c r="O275" s="121" t="str">
        <f>INDEX(Tabledaily[المستفيــــــــد],MATCH(TableDailyJournal[[#This Row],[رقم العملية]],Tabledaily[رقم العملية],0))</f>
        <v>الاشغال</v>
      </c>
      <c r="P275" s="121" t="str">
        <f>INDEX(Tabledaily[المــــرجـــــــــع],MATCH(TableDailyJournal[[#This Row],[رقم العملية]],Tabledaily[رقم العملية],0))</f>
        <v>كشف صرف</v>
      </c>
      <c r="Q275" s="121" t="str">
        <f>INDEX(Tabledaily[اســـــــم المــــرجــــع],MATCH(TableDailyJournal[[#This Row],[رقم العملية]],Tabledaily[رقم العملية],0))</f>
        <v>كشف صرف</v>
      </c>
      <c r="R275" s="121">
        <f>INDEX(Tabledaily[رقم المـــــرجـــع],MATCH(TableDailyJournal[[#This Row],[رقم العملية]],Tabledaily[رقم العملية],0))</f>
        <v>0</v>
      </c>
      <c r="S275" s="121" t="str">
        <f>INDEX(Tabledaily[مركـــــــزالتكلفــــــة],MATCH(TableDailyJournal[[#This Row],[رقم العملية]],Tabledaily[رقم العملية],0))</f>
        <v>الفرقة الثالثة</v>
      </c>
      <c r="T275" s="121">
        <f>IFERROR(INDEX(tablecost[رقم المركز],MATCH(TableDailyJournal[[#This Row],[مركـــــــزالتكلفــــــة]],tablecost[الاسم],0)),0)</f>
        <v>1</v>
      </c>
      <c r="U275" s="122">
        <f>IFERROR(DATE(TableDailyJournal[[#This Row],[السنــــة]],TableDailyJournal[[#This Row],[الشهــــر]],TableDailyJournal[[#This Row],[الـــــيوم]]),"01-01-2026")</f>
        <v>46183</v>
      </c>
      <c r="V275" s="126"/>
      <c r="W275" s="58"/>
      <c r="X275" s="58">
        <f>IFERROR(YEAR(TableDailyJournal[[#This Row],[التاريخ]]),"")</f>
        <v>2026</v>
      </c>
      <c r="Y275" s="58">
        <f>IFERROR(MONTH(TableDailyJournal[[#This Row],[التاريخ]]),"")</f>
        <v>6</v>
      </c>
      <c r="Z275" s="58">
        <f>IFERROR(DAY(TableDailyJournal[[#This Row],[التاريخ]]),"")</f>
        <v>10</v>
      </c>
      <c r="AA275"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275" s="121">
        <f>INDEX(Tabledaily[جهة الامر],MATCH(TableDailyJournal[[#This Row],[رقم العملية]],Tabledaily[رقم العملية],0))</f>
        <v>0</v>
      </c>
    </row>
    <row r="276" spans="2:28" ht="45.75" x14ac:dyDescent="0.55000000000000004">
      <c r="B276" s="58">
        <f t="shared" si="7"/>
        <v>272</v>
      </c>
      <c r="C276" s="59" t="s">
        <v>640</v>
      </c>
      <c r="D276" s="60">
        <f>INDEX(Tabledaily[date],MATCH(TableDailyJournal[[#This Row],[رقم العملية]],Tabledaily[رقم العملية],0))</f>
        <v>46183</v>
      </c>
      <c r="E276" s="58" t="str">
        <f>INDEX(Tabledaily[نوع العمليــة],MATCH(TableDailyJournal[[#This Row],[رقم العملية]],Tabledaily[رقم العملية],0))</f>
        <v>قيد عهده</v>
      </c>
      <c r="F276" s="58">
        <f>IFERROR(INDEX(TableJudje[رقم الحساب],MATCH(TableDailyJournal[[#This Row],[الحساب]],TableJudje[اسم الحساب],0)),0)</f>
        <v>31010101</v>
      </c>
      <c r="G276" s="58" t="s">
        <v>111</v>
      </c>
      <c r="H276"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I276" s="60" t="str">
        <f>INDEX(Tabledaily[العملـــة],MATCH(TableDailyJournal[[#This Row],[رقم العملية]],Tabledaily[رقم العملية],0))</f>
        <v>ريال يمني</v>
      </c>
      <c r="J276" s="59">
        <f>IFERROR(INDEX(Tabledaily[سعــــــر
الصـــــرف],MATCH(C276,Tabledaily[رقم العملية],0)),1)</f>
        <v>405</v>
      </c>
      <c r="K276" s="123" cm="1">
        <f t="array" ref="K276">IFERROR(INDEX(Tabledaily[المبلـــــــغ],MATCH(1,(TableDailyJournal[[#This Row],[رقم العملية]]=Tabledaily[رقم العملية])*(TableDailyJournal[[#This Row],[الحساب]]=Tabledaily[الحســاب المديــــن]),0)),0)</f>
        <v>152000</v>
      </c>
      <c r="L276" s="123" cm="1">
        <f t="array" ref="L276">IFERROR(INDEX(Tabledaily[المبلـــــــغ],MATCH(1,(TableDailyJournal[[#This Row],[رقم العملية]]=Tabledaily[رقم العملية])*(TableDailyJournal[[#This Row],[الحساب]]=Tabledaily[الحســاب الدئـــن]),0)),0)</f>
        <v>0</v>
      </c>
      <c r="M276" s="119">
        <f>IFERROR(TableDailyJournal[[#This Row],[المبلغ مدين]]/TableDailyJournal[[#This Row],[سعــــــر
الصـــــرف]],0)</f>
        <v>375.30864197530866</v>
      </c>
      <c r="N276" s="119">
        <f>IFERROR(TableDailyJournal[[#This Row],[المبلغ دائن]]/TableDailyJournal[[#This Row],[سعــــــر
الصـــــرف]],0)</f>
        <v>0</v>
      </c>
      <c r="O276" s="121" t="str">
        <f>INDEX(Tabledaily[المستفيــــــــد],MATCH(TableDailyJournal[[#This Row],[رقم العملية]],Tabledaily[رقم العملية],0))</f>
        <v>سرية اللواء السادس</v>
      </c>
      <c r="P276" s="121" t="str">
        <f>INDEX(Tabledaily[المــــرجـــــــــع],MATCH(TableDailyJournal[[#This Row],[رقم العملية]],Tabledaily[رقم العملية],0))</f>
        <v>كشف صرف</v>
      </c>
      <c r="Q276" s="121" t="str">
        <f>INDEX(Tabledaily[اســـــــم المــــرجــــع],MATCH(TableDailyJournal[[#This Row],[رقم العملية]],Tabledaily[رقم العملية],0))</f>
        <v>كشف صرف</v>
      </c>
      <c r="R276" s="121">
        <f>INDEX(Tabledaily[رقم المـــــرجـــع],MATCH(TableDailyJournal[[#This Row],[رقم العملية]],Tabledaily[رقم العملية],0))</f>
        <v>0</v>
      </c>
      <c r="S276" s="121" t="str">
        <f>INDEX(Tabledaily[مركـــــــزالتكلفــــــة],MATCH(TableDailyJournal[[#This Row],[رقم العملية]],Tabledaily[رقم العملية],0))</f>
        <v>اللواء السادس</v>
      </c>
      <c r="T276" s="121">
        <f>IFERROR(INDEX(tablecost[رقم المركز],MATCH(TableDailyJournal[[#This Row],[مركـــــــزالتكلفــــــة]],tablecost[الاسم],0)),0)</f>
        <v>7</v>
      </c>
      <c r="U276" s="122">
        <f>IFERROR(DATE(TableDailyJournal[[#This Row],[السنــــة]],TableDailyJournal[[#This Row],[الشهــــر]],TableDailyJournal[[#This Row],[الـــــيوم]]),"01-01-2026")</f>
        <v>46183</v>
      </c>
      <c r="V276" s="126"/>
      <c r="W276" s="58"/>
      <c r="X276" s="58">
        <f>IFERROR(YEAR(TableDailyJournal[[#This Row],[التاريخ]]),"")</f>
        <v>2026</v>
      </c>
      <c r="Y276" s="58">
        <f>IFERROR(MONTH(TableDailyJournal[[#This Row],[التاريخ]]),"")</f>
        <v>6</v>
      </c>
      <c r="Z276" s="58">
        <f>IFERROR(DAY(TableDailyJournal[[#This Row],[التاريخ]]),"")</f>
        <v>10</v>
      </c>
      <c r="AA276"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AB276" s="121">
        <f>INDEX(Tabledaily[جهة الامر],MATCH(TableDailyJournal[[#This Row],[رقم العملية]],Tabledaily[رقم العملية],0))</f>
        <v>0</v>
      </c>
    </row>
    <row r="277" spans="2:28" ht="45.75" x14ac:dyDescent="0.55000000000000004">
      <c r="B277" s="58">
        <f t="shared" si="7"/>
        <v>273</v>
      </c>
      <c r="C277" s="59" t="s">
        <v>640</v>
      </c>
      <c r="D277" s="60">
        <f>INDEX(Tabledaily[date],MATCH(TableDailyJournal[[#This Row],[رقم العملية]],Tabledaily[رقم العملية],0))</f>
        <v>46183</v>
      </c>
      <c r="E277" s="58" t="str">
        <f>INDEX(Tabledaily[نوع العمليــة],MATCH(TableDailyJournal[[#This Row],[رقم العملية]],Tabledaily[رقم العملية],0))</f>
        <v>قيد عهده</v>
      </c>
      <c r="F277" s="58">
        <f>IFERROR(INDEX(TableJudje[رقم الحساب],MATCH(TableDailyJournal[[#This Row],[الحساب]],TableJudje[اسم الحساب],0)),0)</f>
        <v>11060205</v>
      </c>
      <c r="G277" s="58" t="s">
        <v>513</v>
      </c>
      <c r="H277"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I277" s="60" t="str">
        <f>INDEX(Tabledaily[العملـــة],MATCH(TableDailyJournal[[#This Row],[رقم العملية]],Tabledaily[رقم العملية],0))</f>
        <v>ريال يمني</v>
      </c>
      <c r="J277" s="59">
        <f>IFERROR(INDEX(Tabledaily[سعــــــر
الصـــــرف],MATCH(C277,Tabledaily[رقم العملية],0)),1)</f>
        <v>405</v>
      </c>
      <c r="K277" s="123" cm="1">
        <f t="array" ref="K277">IFERROR(INDEX(Tabledaily[المبلـــــــغ],MATCH(1,(TableDailyJournal[[#This Row],[رقم العملية]]=Tabledaily[رقم العملية])*(TableDailyJournal[[#This Row],[الحساب]]=Tabledaily[الحســاب المديــــن]),0)),0)</f>
        <v>0</v>
      </c>
      <c r="L277" s="123" cm="1">
        <f t="array" ref="L277">IFERROR(INDEX(Tabledaily[المبلـــــــغ],MATCH(1,(TableDailyJournal[[#This Row],[رقم العملية]]=Tabledaily[رقم العملية])*(TableDailyJournal[[#This Row],[الحساب]]=Tabledaily[الحســاب الدئـــن]),0)),0)</f>
        <v>152000</v>
      </c>
      <c r="M277" s="119">
        <f>IFERROR(TableDailyJournal[[#This Row],[المبلغ مدين]]/TableDailyJournal[[#This Row],[سعــــــر
الصـــــرف]],0)</f>
        <v>0</v>
      </c>
      <c r="N277" s="119">
        <f>IFERROR(TableDailyJournal[[#This Row],[المبلغ دائن]]/TableDailyJournal[[#This Row],[سعــــــر
الصـــــرف]],0)</f>
        <v>375.30864197530866</v>
      </c>
      <c r="O277" s="121" t="str">
        <f>INDEX(Tabledaily[المستفيــــــــد],MATCH(TableDailyJournal[[#This Row],[رقم العملية]],Tabledaily[رقم العملية],0))</f>
        <v>سرية اللواء السادس</v>
      </c>
      <c r="P277" s="121" t="str">
        <f>INDEX(Tabledaily[المــــرجـــــــــع],MATCH(TableDailyJournal[[#This Row],[رقم العملية]],Tabledaily[رقم العملية],0))</f>
        <v>كشف صرف</v>
      </c>
      <c r="Q277" s="121" t="str">
        <f>INDEX(Tabledaily[اســـــــم المــــرجــــع],MATCH(TableDailyJournal[[#This Row],[رقم العملية]],Tabledaily[رقم العملية],0))</f>
        <v>كشف صرف</v>
      </c>
      <c r="R277" s="121">
        <f>INDEX(Tabledaily[رقم المـــــرجـــع],MATCH(TableDailyJournal[[#This Row],[رقم العملية]],Tabledaily[رقم العملية],0))</f>
        <v>0</v>
      </c>
      <c r="S277" s="121" t="str">
        <f>INDEX(Tabledaily[مركـــــــزالتكلفــــــة],MATCH(TableDailyJournal[[#This Row],[رقم العملية]],Tabledaily[رقم العملية],0))</f>
        <v>اللواء السادس</v>
      </c>
      <c r="T277" s="121">
        <f>IFERROR(INDEX(tablecost[رقم المركز],MATCH(TableDailyJournal[[#This Row],[مركـــــــزالتكلفــــــة]],tablecost[الاسم],0)),0)</f>
        <v>7</v>
      </c>
      <c r="U277" s="122">
        <f>IFERROR(DATE(TableDailyJournal[[#This Row],[السنــــة]],TableDailyJournal[[#This Row],[الشهــــر]],TableDailyJournal[[#This Row],[الـــــيوم]]),"01-01-2026")</f>
        <v>46183</v>
      </c>
      <c r="V277" s="126"/>
      <c r="W277" s="58"/>
      <c r="X277" s="58">
        <f>IFERROR(YEAR(TableDailyJournal[[#This Row],[التاريخ]]),"")</f>
        <v>2026</v>
      </c>
      <c r="Y277" s="58">
        <f>IFERROR(MONTH(TableDailyJournal[[#This Row],[التاريخ]]),"")</f>
        <v>6</v>
      </c>
      <c r="Z277" s="58">
        <f>IFERROR(DAY(TableDailyJournal[[#This Row],[التاريخ]]),"")</f>
        <v>10</v>
      </c>
      <c r="AA277"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AB277" s="121">
        <f>INDEX(Tabledaily[جهة الامر],MATCH(TableDailyJournal[[#This Row],[رقم العملية]],Tabledaily[رقم العملية],0))</f>
        <v>0</v>
      </c>
    </row>
    <row r="278" spans="2:28" ht="45.75" x14ac:dyDescent="0.55000000000000004">
      <c r="B278" s="58">
        <f t="shared" si="7"/>
        <v>274</v>
      </c>
      <c r="C278" s="59" t="s">
        <v>642</v>
      </c>
      <c r="D278" s="60">
        <f>INDEX(Tabledaily[date],MATCH(TableDailyJournal[[#This Row],[رقم العملية]],Tabledaily[رقم العملية],0))</f>
        <v>46183</v>
      </c>
      <c r="E278" s="58" t="str">
        <f>INDEX(Tabledaily[نوع العمليــة],MATCH(TableDailyJournal[[#This Row],[رقم العملية]],Tabledaily[رقم العملية],0))</f>
        <v>قيد عهده</v>
      </c>
      <c r="F278" s="58">
        <f>IFERROR(INDEX(TableJudje[رقم الحساب],MATCH(TableDailyJournal[[#This Row],[الحساب]],TableJudje[اسم الحساب],0)),0)</f>
        <v>31010101</v>
      </c>
      <c r="G278" s="58" t="s">
        <v>111</v>
      </c>
      <c r="H278"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I278" s="60" t="str">
        <f>INDEX(Tabledaily[العملـــة],MATCH(TableDailyJournal[[#This Row],[رقم العملية]],Tabledaily[رقم العملية],0))</f>
        <v>ريال يمني</v>
      </c>
      <c r="J278" s="59">
        <f>IFERROR(INDEX(Tabledaily[سعــــــر
الصـــــرف],MATCH(C278,Tabledaily[رقم العملية],0)),1)</f>
        <v>405</v>
      </c>
      <c r="K278" s="123" cm="1">
        <f t="array" ref="K278">IFERROR(INDEX(Tabledaily[المبلـــــــغ],MATCH(1,(TableDailyJournal[[#This Row],[رقم العملية]]=Tabledaily[رقم العملية])*(TableDailyJournal[[#This Row],[الحساب]]=Tabledaily[الحســاب المديــــن]),0)),0)</f>
        <v>128000</v>
      </c>
      <c r="L278" s="123" cm="1">
        <f t="array" ref="L278">IFERROR(INDEX(Tabledaily[المبلـــــــغ],MATCH(1,(TableDailyJournal[[#This Row],[رقم العملية]]=Tabledaily[رقم العملية])*(TableDailyJournal[[#This Row],[الحساب]]=Tabledaily[الحســاب الدئـــن]),0)),0)</f>
        <v>0</v>
      </c>
      <c r="M278" s="119">
        <f>IFERROR(TableDailyJournal[[#This Row],[المبلغ مدين]]/TableDailyJournal[[#This Row],[سعــــــر
الصـــــرف]],0)</f>
        <v>316.04938271604937</v>
      </c>
      <c r="N278" s="119">
        <f>IFERROR(TableDailyJournal[[#This Row],[المبلغ دائن]]/TableDailyJournal[[#This Row],[سعــــــر
الصـــــرف]],0)</f>
        <v>0</v>
      </c>
      <c r="O278" s="121" t="str">
        <f>INDEX(Tabledaily[المستفيــــــــد],MATCH(TableDailyJournal[[#This Row],[رقم العملية]],Tabledaily[رقم العملية],0))</f>
        <v>الامداد</v>
      </c>
      <c r="P278" s="121" t="str">
        <f>INDEX(Tabledaily[المــــرجـــــــــع],MATCH(TableDailyJournal[[#This Row],[رقم العملية]],Tabledaily[رقم العملية],0))</f>
        <v>كشف صرف</v>
      </c>
      <c r="Q278" s="121" t="str">
        <f>INDEX(Tabledaily[اســـــــم المــــرجــــع],MATCH(TableDailyJournal[[#This Row],[رقم العملية]],Tabledaily[رقم العملية],0))</f>
        <v>كشف صرف</v>
      </c>
      <c r="R278" s="121">
        <f>INDEX(Tabledaily[رقم المـــــرجـــع],MATCH(TableDailyJournal[[#This Row],[رقم العملية]],Tabledaily[رقم العملية],0))</f>
        <v>0</v>
      </c>
      <c r="S278" s="121" t="str">
        <f>INDEX(Tabledaily[مركـــــــزالتكلفــــــة],MATCH(TableDailyJournal[[#This Row],[رقم العملية]],Tabledaily[رقم العملية],0))</f>
        <v>الفرقة الثالثة</v>
      </c>
      <c r="T278" s="121">
        <f>IFERROR(INDEX(tablecost[رقم المركز],MATCH(TableDailyJournal[[#This Row],[مركـــــــزالتكلفــــــة]],tablecost[الاسم],0)),0)</f>
        <v>1</v>
      </c>
      <c r="U278" s="122">
        <f>IFERROR(DATE(TableDailyJournal[[#This Row],[السنــــة]],TableDailyJournal[[#This Row],[الشهــــر]],TableDailyJournal[[#This Row],[الـــــيوم]]),"01-01-2026")</f>
        <v>46183</v>
      </c>
      <c r="V278" s="126"/>
      <c r="W278" s="58"/>
      <c r="X278" s="58">
        <f>IFERROR(YEAR(TableDailyJournal[[#This Row],[التاريخ]]),"")</f>
        <v>2026</v>
      </c>
      <c r="Y278" s="58">
        <f>IFERROR(MONTH(TableDailyJournal[[#This Row],[التاريخ]]),"")</f>
        <v>6</v>
      </c>
      <c r="Z278" s="58">
        <f>IFERROR(DAY(TableDailyJournal[[#This Row],[التاريخ]]),"")</f>
        <v>10</v>
      </c>
      <c r="AA278"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AB278" s="121">
        <f>INDEX(Tabledaily[جهة الامر],MATCH(TableDailyJournal[[#This Row],[رقم العملية]],Tabledaily[رقم العملية],0))</f>
        <v>0</v>
      </c>
    </row>
    <row r="279" spans="2:28" ht="45.75" x14ac:dyDescent="0.55000000000000004">
      <c r="B279" s="58">
        <f t="shared" si="7"/>
        <v>275</v>
      </c>
      <c r="C279" s="59" t="s">
        <v>642</v>
      </c>
      <c r="D279" s="60">
        <f>INDEX(Tabledaily[date],MATCH(TableDailyJournal[[#This Row],[رقم العملية]],Tabledaily[رقم العملية],0))</f>
        <v>46183</v>
      </c>
      <c r="E279" s="58" t="str">
        <f>INDEX(Tabledaily[نوع العمليــة],MATCH(TableDailyJournal[[#This Row],[رقم العملية]],Tabledaily[رقم العملية],0))</f>
        <v>قيد عهده</v>
      </c>
      <c r="F279" s="58">
        <f>IFERROR(INDEX(TableJudje[رقم الحساب],MATCH(TableDailyJournal[[#This Row],[الحساب]],TableJudje[اسم الحساب],0)),0)</f>
        <v>11060205</v>
      </c>
      <c r="G279" s="58" t="s">
        <v>513</v>
      </c>
      <c r="H279"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I279" s="60" t="str">
        <f>INDEX(Tabledaily[العملـــة],MATCH(TableDailyJournal[[#This Row],[رقم العملية]],Tabledaily[رقم العملية],0))</f>
        <v>ريال يمني</v>
      </c>
      <c r="J279" s="59">
        <f>IFERROR(INDEX(Tabledaily[سعــــــر
الصـــــرف],MATCH(C279,Tabledaily[رقم العملية],0)),1)</f>
        <v>405</v>
      </c>
      <c r="K279" s="123" cm="1">
        <f t="array" ref="K279">IFERROR(INDEX(Tabledaily[المبلـــــــغ],MATCH(1,(TableDailyJournal[[#This Row],[رقم العملية]]=Tabledaily[رقم العملية])*(TableDailyJournal[[#This Row],[الحساب]]=Tabledaily[الحســاب المديــــن]),0)),0)</f>
        <v>0</v>
      </c>
      <c r="L279" s="123" cm="1">
        <f t="array" ref="L279">IFERROR(INDEX(Tabledaily[المبلـــــــغ],MATCH(1,(TableDailyJournal[[#This Row],[رقم العملية]]=Tabledaily[رقم العملية])*(TableDailyJournal[[#This Row],[الحساب]]=Tabledaily[الحســاب الدئـــن]),0)),0)</f>
        <v>128000</v>
      </c>
      <c r="M279" s="119">
        <f>IFERROR(TableDailyJournal[[#This Row],[المبلغ مدين]]/TableDailyJournal[[#This Row],[سعــــــر
الصـــــرف]],0)</f>
        <v>0</v>
      </c>
      <c r="N279" s="119">
        <f>IFERROR(TableDailyJournal[[#This Row],[المبلغ دائن]]/TableDailyJournal[[#This Row],[سعــــــر
الصـــــرف]],0)</f>
        <v>316.04938271604937</v>
      </c>
      <c r="O279" s="121" t="str">
        <f>INDEX(Tabledaily[المستفيــــــــد],MATCH(TableDailyJournal[[#This Row],[رقم العملية]],Tabledaily[رقم العملية],0))</f>
        <v>الامداد</v>
      </c>
      <c r="P279" s="121" t="str">
        <f>INDEX(Tabledaily[المــــرجـــــــــع],MATCH(TableDailyJournal[[#This Row],[رقم العملية]],Tabledaily[رقم العملية],0))</f>
        <v>كشف صرف</v>
      </c>
      <c r="Q279" s="121" t="str">
        <f>INDEX(Tabledaily[اســـــــم المــــرجــــع],MATCH(TableDailyJournal[[#This Row],[رقم العملية]],Tabledaily[رقم العملية],0))</f>
        <v>كشف صرف</v>
      </c>
      <c r="R279" s="121">
        <f>INDEX(Tabledaily[رقم المـــــرجـــع],MATCH(TableDailyJournal[[#This Row],[رقم العملية]],Tabledaily[رقم العملية],0))</f>
        <v>0</v>
      </c>
      <c r="S279" s="121" t="str">
        <f>INDEX(Tabledaily[مركـــــــزالتكلفــــــة],MATCH(TableDailyJournal[[#This Row],[رقم العملية]],Tabledaily[رقم العملية],0))</f>
        <v>الفرقة الثالثة</v>
      </c>
      <c r="T279" s="121">
        <f>IFERROR(INDEX(tablecost[رقم المركز],MATCH(TableDailyJournal[[#This Row],[مركـــــــزالتكلفــــــة]],tablecost[الاسم],0)),0)</f>
        <v>1</v>
      </c>
      <c r="U279" s="122">
        <f>IFERROR(DATE(TableDailyJournal[[#This Row],[السنــــة]],TableDailyJournal[[#This Row],[الشهــــر]],TableDailyJournal[[#This Row],[الـــــيوم]]),"01-01-2026")</f>
        <v>46183</v>
      </c>
      <c r="V279" s="126"/>
      <c r="W279" s="58"/>
      <c r="X279" s="58">
        <f>IFERROR(YEAR(TableDailyJournal[[#This Row],[التاريخ]]),"")</f>
        <v>2026</v>
      </c>
      <c r="Y279" s="58">
        <f>IFERROR(MONTH(TableDailyJournal[[#This Row],[التاريخ]]),"")</f>
        <v>6</v>
      </c>
      <c r="Z279" s="58">
        <f>IFERROR(DAY(TableDailyJournal[[#This Row],[التاريخ]]),"")</f>
        <v>10</v>
      </c>
      <c r="AA279"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12 بامر</v>
      </c>
      <c r="AB279" s="121">
        <f>INDEX(Tabledaily[جهة الامر],MATCH(TableDailyJournal[[#This Row],[رقم العملية]],Tabledaily[رقم العملية],0))</f>
        <v>0</v>
      </c>
    </row>
    <row r="280" spans="2:28" ht="45.75" x14ac:dyDescent="0.55000000000000004">
      <c r="B280" s="58">
        <f t="shared" si="7"/>
        <v>276</v>
      </c>
      <c r="C280" s="59" t="s">
        <v>643</v>
      </c>
      <c r="D280" s="60">
        <f>INDEX(Tabledaily[date],MATCH(TableDailyJournal[[#This Row],[رقم العملية]],Tabledaily[رقم العملية],0))</f>
        <v>46183</v>
      </c>
      <c r="E280" s="58" t="str">
        <f>INDEX(Tabledaily[نوع العمليــة],MATCH(TableDailyJournal[[#This Row],[رقم العملية]],Tabledaily[رقم العملية],0))</f>
        <v>قيد عهده</v>
      </c>
      <c r="F280" s="58">
        <f>IFERROR(INDEX(TableJudje[رقم الحساب],MATCH(TableDailyJournal[[#This Row],[الحساب]],TableJudje[اسم الحساب],0)),0)</f>
        <v>31010135</v>
      </c>
      <c r="G280" s="58" t="s">
        <v>473</v>
      </c>
      <c r="H280" s="61"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بامرالمستشار المالي</v>
      </c>
      <c r="I280" s="60" t="str">
        <f>INDEX(Tabledaily[العملـــة],MATCH(TableDailyJournal[[#This Row],[رقم العملية]],Tabledaily[رقم العملية],0))</f>
        <v>ريال يمني</v>
      </c>
      <c r="J280" s="59">
        <f>IFERROR(INDEX(Tabledaily[سعــــــر
الصـــــرف],MATCH(C280,Tabledaily[رقم العملية],0)),1)</f>
        <v>405</v>
      </c>
      <c r="K280" s="123" cm="1">
        <f t="array" ref="K280">IFERROR(INDEX(Tabledaily[المبلـــــــغ],MATCH(1,(TableDailyJournal[[#This Row],[رقم العملية]]=Tabledaily[رقم العملية])*(TableDailyJournal[[#This Row],[الحساب]]=Tabledaily[الحســاب المديــــن]),0)),0)</f>
        <v>30000</v>
      </c>
      <c r="L280" s="123" cm="1">
        <f t="array" ref="L280">IFERROR(INDEX(Tabledaily[المبلـــــــغ],MATCH(1,(TableDailyJournal[[#This Row],[رقم العملية]]=Tabledaily[رقم العملية])*(TableDailyJournal[[#This Row],[الحساب]]=Tabledaily[الحســاب الدئـــن]),0)),0)</f>
        <v>0</v>
      </c>
      <c r="M280" s="119">
        <f>IFERROR(TableDailyJournal[[#This Row],[المبلغ مدين]]/TableDailyJournal[[#This Row],[سعــــــر
الصـــــرف]],0)</f>
        <v>74.074074074074076</v>
      </c>
      <c r="N280" s="119">
        <f>IFERROR(TableDailyJournal[[#This Row],[المبلغ دائن]]/TableDailyJournal[[#This Row],[سعــــــر
الصـــــرف]],0)</f>
        <v>0</v>
      </c>
      <c r="O280" s="121" t="str">
        <f>INDEX(Tabledaily[المستفيــــــــد],MATCH(TableDailyJournal[[#This Row],[رقم العملية]],Tabledaily[رقم العملية],0))</f>
        <v>صالح عبدالله لدحل</v>
      </c>
      <c r="P280" s="121" t="str">
        <f>INDEX(Tabledaily[المــــرجـــــــــع],MATCH(TableDailyJournal[[#This Row],[رقم العملية]],Tabledaily[رقم العملية],0))</f>
        <v>استلام نقدي</v>
      </c>
      <c r="Q280" s="121" t="str">
        <f>INDEX(Tabledaily[اســـــــم المــــرجــــع],MATCH(TableDailyJournal[[#This Row],[رقم العملية]],Tabledaily[رقم العملية],0))</f>
        <v>سند استلام</v>
      </c>
      <c r="R280" s="121">
        <f>INDEX(Tabledaily[رقم المـــــرجـــع],MATCH(TableDailyJournal[[#This Row],[رقم العملية]],Tabledaily[رقم العملية],0))</f>
        <v>0</v>
      </c>
      <c r="S280" s="121" t="str">
        <f>INDEX(Tabledaily[مركـــــــزالتكلفــــــة],MATCH(TableDailyJournal[[#This Row],[رقم العملية]],Tabledaily[رقم العملية],0))</f>
        <v>الفرقة الثالثة</v>
      </c>
      <c r="T280" s="121">
        <f>IFERROR(INDEX(tablecost[رقم المركز],MATCH(TableDailyJournal[[#This Row],[مركـــــــزالتكلفــــــة]],tablecost[الاسم],0)),0)</f>
        <v>1</v>
      </c>
      <c r="U280" s="122">
        <f>IFERROR(DATE(TableDailyJournal[[#This Row],[السنــــة]],TableDailyJournal[[#This Row],[الشهــــر]],TableDailyJournal[[#This Row],[الـــــيوم]]),"01-01-2026")</f>
        <v>46183</v>
      </c>
      <c r="V280" s="126"/>
      <c r="W280" s="58"/>
      <c r="X280" s="58">
        <f>IFERROR(YEAR(TableDailyJournal[[#This Row],[التاريخ]]),"")</f>
        <v>2026</v>
      </c>
      <c r="Y280" s="58">
        <f>IFERROR(MONTH(TableDailyJournal[[#This Row],[التاريخ]]),"")</f>
        <v>6</v>
      </c>
      <c r="Z280" s="58">
        <f>IFERROR(DAY(TableDailyJournal[[#This Row],[التاريخ]]),"")</f>
        <v>10</v>
      </c>
      <c r="AA280" s="126"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بامرالمستشار المالي</v>
      </c>
      <c r="AB280" s="121" t="str">
        <f>INDEX(Tabledaily[جهة الامر],MATCH(TableDailyJournal[[#This Row],[رقم العملية]],Tabledaily[رقم العملية],0))</f>
        <v>المستشار المالي</v>
      </c>
    </row>
    <row r="281" spans="2:28" ht="45.75" x14ac:dyDescent="0.55000000000000004">
      <c r="B281" s="58">
        <f t="shared" si="7"/>
        <v>277</v>
      </c>
      <c r="C281" s="59" t="s">
        <v>643</v>
      </c>
      <c r="D281" s="60">
        <f>INDEX(Tabledaily[date],MATCH(TableDailyJournal[[#This Row],[رقم العملية]],Tabledaily[رقم العملية],0))</f>
        <v>46183</v>
      </c>
      <c r="E281" s="58" t="str">
        <f>INDEX(Tabledaily[نوع العمليــة],MATCH(TableDailyJournal[[#This Row],[رقم العملية]],Tabledaily[رقم العملية],0))</f>
        <v>قيد عهده</v>
      </c>
      <c r="F281" s="58">
        <f>IFERROR(INDEX(TableJudje[رقم الحساب],MATCH(TableDailyJournal[[#This Row],[الحساب]],TableJudje[اسم الحساب],0)),0)</f>
        <v>11060205</v>
      </c>
      <c r="G281" s="58" t="s">
        <v>513</v>
      </c>
      <c r="H281" s="61"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بامرالمستشار المالي</v>
      </c>
      <c r="I281" s="60" t="str">
        <f>INDEX(Tabledaily[العملـــة],MATCH(TableDailyJournal[[#This Row],[رقم العملية]],Tabledaily[رقم العملية],0))</f>
        <v>ريال يمني</v>
      </c>
      <c r="J281" s="59">
        <f>IFERROR(INDEX(Tabledaily[سعــــــر
الصـــــرف],MATCH(C281,Tabledaily[رقم العملية],0)),1)</f>
        <v>405</v>
      </c>
      <c r="K281" s="123" cm="1">
        <f t="array" ref="K281">IFERROR(INDEX(Tabledaily[المبلـــــــغ],MATCH(1,(TableDailyJournal[[#This Row],[رقم العملية]]=Tabledaily[رقم العملية])*(TableDailyJournal[[#This Row],[الحساب]]=Tabledaily[الحســاب المديــــن]),0)),0)</f>
        <v>0</v>
      </c>
      <c r="L281" s="123" cm="1">
        <f t="array" ref="L281">IFERROR(INDEX(Tabledaily[المبلـــــــغ],MATCH(1,(TableDailyJournal[[#This Row],[رقم العملية]]=Tabledaily[رقم العملية])*(TableDailyJournal[[#This Row],[الحساب]]=Tabledaily[الحســاب الدئـــن]),0)),0)</f>
        <v>30000</v>
      </c>
      <c r="M281" s="119">
        <f>IFERROR(TableDailyJournal[[#This Row],[المبلغ مدين]]/TableDailyJournal[[#This Row],[سعــــــر
الصـــــرف]],0)</f>
        <v>0</v>
      </c>
      <c r="N281" s="119">
        <f>IFERROR(TableDailyJournal[[#This Row],[المبلغ دائن]]/TableDailyJournal[[#This Row],[سعــــــر
الصـــــرف]],0)</f>
        <v>74.074074074074076</v>
      </c>
      <c r="O281" s="121" t="str">
        <f>INDEX(Tabledaily[المستفيــــــــد],MATCH(TableDailyJournal[[#This Row],[رقم العملية]],Tabledaily[رقم العملية],0))</f>
        <v>صالح عبدالله لدحل</v>
      </c>
      <c r="P281" s="121" t="str">
        <f>INDEX(Tabledaily[المــــرجـــــــــع],MATCH(TableDailyJournal[[#This Row],[رقم العملية]],Tabledaily[رقم العملية],0))</f>
        <v>استلام نقدي</v>
      </c>
      <c r="Q281" s="121" t="str">
        <f>INDEX(Tabledaily[اســـــــم المــــرجــــع],MATCH(TableDailyJournal[[#This Row],[رقم العملية]],Tabledaily[رقم العملية],0))</f>
        <v>سند استلام</v>
      </c>
      <c r="R281" s="121">
        <f>INDEX(Tabledaily[رقم المـــــرجـــع],MATCH(TableDailyJournal[[#This Row],[رقم العملية]],Tabledaily[رقم العملية],0))</f>
        <v>0</v>
      </c>
      <c r="S281" s="121" t="str">
        <f>INDEX(Tabledaily[مركـــــــزالتكلفــــــة],MATCH(TableDailyJournal[[#This Row],[رقم العملية]],Tabledaily[رقم العملية],0))</f>
        <v>الفرقة الثالثة</v>
      </c>
      <c r="T281" s="121">
        <f>IFERROR(INDEX(tablecost[رقم المركز],MATCH(TableDailyJournal[[#This Row],[مركـــــــزالتكلفــــــة]],tablecost[الاسم],0)),0)</f>
        <v>1</v>
      </c>
      <c r="U281" s="122">
        <f>IFERROR(DATE(TableDailyJournal[[#This Row],[السنــــة]],TableDailyJournal[[#This Row],[الشهــــر]],TableDailyJournal[[#This Row],[الـــــيوم]]),"01-01-2026")</f>
        <v>46183</v>
      </c>
      <c r="V281" s="126"/>
      <c r="W281" s="58"/>
      <c r="X281" s="58">
        <f>IFERROR(YEAR(TableDailyJournal[[#This Row],[التاريخ]]),"")</f>
        <v>2026</v>
      </c>
      <c r="Y281" s="58">
        <f>IFERROR(MONTH(TableDailyJournal[[#This Row],[التاريخ]]),"")</f>
        <v>6</v>
      </c>
      <c r="Z281" s="58">
        <f>IFERROR(DAY(TableDailyJournal[[#This Row],[التاريخ]]),"")</f>
        <v>10</v>
      </c>
      <c r="AA281" s="126"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بامرالمستشار المالي</v>
      </c>
      <c r="AB281" s="121" t="str">
        <f>INDEX(Tabledaily[جهة الامر],MATCH(TableDailyJournal[[#This Row],[رقم العملية]],Tabledaily[رقم العملية],0))</f>
        <v>المستشار المالي</v>
      </c>
    </row>
    <row r="282" spans="2:28" ht="67.5" x14ac:dyDescent="0.55000000000000004">
      <c r="B282" s="58">
        <f t="shared" si="7"/>
        <v>278</v>
      </c>
      <c r="C282" s="59" t="s">
        <v>647</v>
      </c>
      <c r="D282" s="60">
        <f>INDEX(Tabledaily[date],MATCH(TableDailyJournal[[#This Row],[رقم العملية]],Tabledaily[رقم العملية],0))</f>
        <v>46183</v>
      </c>
      <c r="E282" s="58" t="str">
        <f>INDEX(Tabledaily[نوع العمليــة],MATCH(TableDailyJournal[[#This Row],[رقم العملية]],Tabledaily[رقم العملية],0))</f>
        <v>قيد عهده</v>
      </c>
      <c r="F282" s="58">
        <f>IFERROR(INDEX(TableJudje[رقم الحساب],MATCH(TableDailyJournal[[#This Row],[الحساب]],TableJudje[اسم الحساب],0)),0)</f>
        <v>31010101</v>
      </c>
      <c r="G282" s="58" t="s">
        <v>111</v>
      </c>
      <c r="H282" s="61" t="str">
        <f>INDEX(Tabledaily[المرجع البياني],MATCH(TableDailyJournal[[#This Row],[رقم العملية]],Tabledaily[رقم العملية],0))</f>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v>
      </c>
      <c r="I282" s="60" t="str">
        <f>INDEX(Tabledaily[العملـــة],MATCH(TableDailyJournal[[#This Row],[رقم العملية]],Tabledaily[رقم العملية],0))</f>
        <v>ريال يمني</v>
      </c>
      <c r="J282" s="59">
        <f>IFERROR(INDEX(Tabledaily[سعــــــر
الصـــــرف],MATCH(C282,Tabledaily[رقم العملية],0)),1)</f>
        <v>405</v>
      </c>
      <c r="K282" s="123" cm="1">
        <f t="array" ref="K282">IFERROR(INDEX(Tabledaily[المبلـــــــغ],MATCH(1,(TableDailyJournal[[#This Row],[رقم العملية]]=Tabledaily[رقم العملية])*(TableDailyJournal[[#This Row],[الحساب]]=Tabledaily[الحســاب المديــــن]),0)),0)</f>
        <v>12000</v>
      </c>
      <c r="L282" s="123" cm="1">
        <f t="array" ref="L282">IFERROR(INDEX(Tabledaily[المبلـــــــغ],MATCH(1,(TableDailyJournal[[#This Row],[رقم العملية]]=Tabledaily[رقم العملية])*(TableDailyJournal[[#This Row],[الحساب]]=Tabledaily[الحســاب الدئـــن]),0)),0)</f>
        <v>0</v>
      </c>
      <c r="M282" s="119">
        <f>IFERROR(TableDailyJournal[[#This Row],[المبلغ مدين]]/TableDailyJournal[[#This Row],[سعــــــر
الصـــــرف]],0)</f>
        <v>29.62962962962963</v>
      </c>
      <c r="N282" s="119">
        <f>IFERROR(TableDailyJournal[[#This Row],[المبلغ دائن]]/TableDailyJournal[[#This Row],[سعــــــر
الصـــــرف]],0)</f>
        <v>0</v>
      </c>
      <c r="O282" s="121" t="str">
        <f>INDEX(Tabledaily[المستفيــــــــد],MATCH(TableDailyJournal[[#This Row],[رقم العملية]],Tabledaily[رقم العملية],0))</f>
        <v>علي عارف علي راجح</v>
      </c>
      <c r="P282" s="121" t="str">
        <f>INDEX(Tabledaily[المــــرجـــــــــع],MATCH(TableDailyJournal[[#This Row],[رقم العملية]],Tabledaily[رقم العملية],0))</f>
        <v>استلام نقدي</v>
      </c>
      <c r="Q282" s="121" t="str">
        <f>INDEX(Tabledaily[اســـــــم المــــرجــــع],MATCH(TableDailyJournal[[#This Row],[رقم العملية]],Tabledaily[رقم العملية],0))</f>
        <v>سند استلام</v>
      </c>
      <c r="R282" s="121">
        <f>INDEX(Tabledaily[رقم المـــــرجـــع],MATCH(TableDailyJournal[[#This Row],[رقم العملية]],Tabledaily[رقم العملية],0))</f>
        <v>0</v>
      </c>
      <c r="S282" s="121" t="str">
        <f>INDEX(Tabledaily[مركـــــــزالتكلفــــــة],MATCH(TableDailyJournal[[#This Row],[رقم العملية]],Tabledaily[رقم العملية],0))</f>
        <v>الفرقة الثالثة</v>
      </c>
      <c r="T282" s="121">
        <f>IFERROR(INDEX(tablecost[رقم المركز],MATCH(TableDailyJournal[[#This Row],[مركـــــــزالتكلفــــــة]],tablecost[الاسم],0)),0)</f>
        <v>1</v>
      </c>
      <c r="U282" s="122">
        <f>IFERROR(DATE(TableDailyJournal[[#This Row],[السنــــة]],TableDailyJournal[[#This Row],[الشهــــر]],TableDailyJournal[[#This Row],[الـــــيوم]]),"01-01-2026")</f>
        <v>46183</v>
      </c>
      <c r="V282" s="126"/>
      <c r="W282" s="58"/>
      <c r="X282" s="58">
        <f>IFERROR(YEAR(TableDailyJournal[[#This Row],[التاريخ]]),"")</f>
        <v>2026</v>
      </c>
      <c r="Y282" s="58">
        <f>IFERROR(MONTH(TableDailyJournal[[#This Row],[التاريخ]]),"")</f>
        <v>6</v>
      </c>
      <c r="Z282" s="58">
        <f>IFERROR(DAY(TableDailyJournal[[#This Row],[التاريخ]]),"")</f>
        <v>10</v>
      </c>
      <c r="AA282" s="126" t="str">
        <f>INDEX(Tabledaily[المرجع البياني],MATCH(TableDailyJournal[[#This Row],[رقم العملية]],Tabledaily[رقم العملية],0))</f>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v>
      </c>
      <c r="AB282" s="121" t="str">
        <f>INDEX(Tabledaily[جهة الامر],MATCH(TableDailyJournal[[#This Row],[رقم العملية]],Tabledaily[رقم العملية],0))</f>
        <v>المالية</v>
      </c>
    </row>
    <row r="283" spans="2:28" ht="67.5" x14ac:dyDescent="0.55000000000000004">
      <c r="B283" s="58">
        <f t="shared" si="7"/>
        <v>279</v>
      </c>
      <c r="C283" s="59" t="s">
        <v>647</v>
      </c>
      <c r="D283" s="60">
        <f>INDEX(Tabledaily[date],MATCH(TableDailyJournal[[#This Row],[رقم العملية]],Tabledaily[رقم العملية],0))</f>
        <v>46183</v>
      </c>
      <c r="E283" s="58" t="str">
        <f>INDEX(Tabledaily[نوع العمليــة],MATCH(TableDailyJournal[[#This Row],[رقم العملية]],Tabledaily[رقم العملية],0))</f>
        <v>قيد عهده</v>
      </c>
      <c r="F283" s="58">
        <f>IFERROR(INDEX(TableJudje[رقم الحساب],MATCH(TableDailyJournal[[#This Row],[الحساب]],TableJudje[اسم الحساب],0)),0)</f>
        <v>11060205</v>
      </c>
      <c r="G283" s="58" t="s">
        <v>513</v>
      </c>
      <c r="H283" s="61" t="str">
        <f>INDEX(Tabledaily[المرجع البياني],MATCH(TableDailyJournal[[#This Row],[رقم العملية]],Tabledaily[رقم العملية],0))</f>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v>
      </c>
      <c r="I283" s="60" t="str">
        <f>INDEX(Tabledaily[العملـــة],MATCH(TableDailyJournal[[#This Row],[رقم العملية]],Tabledaily[رقم العملية],0))</f>
        <v>ريال يمني</v>
      </c>
      <c r="J283" s="59">
        <f>IFERROR(INDEX(Tabledaily[سعــــــر
الصـــــرف],MATCH(C283,Tabledaily[رقم العملية],0)),1)</f>
        <v>405</v>
      </c>
      <c r="K283" s="123" cm="1">
        <f t="array" ref="K283">IFERROR(INDEX(Tabledaily[المبلـــــــغ],MATCH(1,(TableDailyJournal[[#This Row],[رقم العملية]]=Tabledaily[رقم العملية])*(TableDailyJournal[[#This Row],[الحساب]]=Tabledaily[الحســاب المديــــن]),0)),0)</f>
        <v>0</v>
      </c>
      <c r="L283" s="123" cm="1">
        <f t="array" ref="L283">IFERROR(INDEX(Tabledaily[المبلـــــــغ],MATCH(1,(TableDailyJournal[[#This Row],[رقم العملية]]=Tabledaily[رقم العملية])*(TableDailyJournal[[#This Row],[الحساب]]=Tabledaily[الحســاب الدئـــن]),0)),0)</f>
        <v>12000</v>
      </c>
      <c r="M283" s="119">
        <f>IFERROR(TableDailyJournal[[#This Row],[المبلغ مدين]]/TableDailyJournal[[#This Row],[سعــــــر
الصـــــرف]],0)</f>
        <v>0</v>
      </c>
      <c r="N283" s="119">
        <f>IFERROR(TableDailyJournal[[#This Row],[المبلغ دائن]]/TableDailyJournal[[#This Row],[سعــــــر
الصـــــرف]],0)</f>
        <v>29.62962962962963</v>
      </c>
      <c r="O283" s="121" t="str">
        <f>INDEX(Tabledaily[المستفيــــــــد],MATCH(TableDailyJournal[[#This Row],[رقم العملية]],Tabledaily[رقم العملية],0))</f>
        <v>علي عارف علي راجح</v>
      </c>
      <c r="P283" s="121" t="str">
        <f>INDEX(Tabledaily[المــــرجـــــــــع],MATCH(TableDailyJournal[[#This Row],[رقم العملية]],Tabledaily[رقم العملية],0))</f>
        <v>استلام نقدي</v>
      </c>
      <c r="Q283" s="121" t="str">
        <f>INDEX(Tabledaily[اســـــــم المــــرجــــع],MATCH(TableDailyJournal[[#This Row],[رقم العملية]],Tabledaily[رقم العملية],0))</f>
        <v>سند استلام</v>
      </c>
      <c r="R283" s="121">
        <f>INDEX(Tabledaily[رقم المـــــرجـــع],MATCH(TableDailyJournal[[#This Row],[رقم العملية]],Tabledaily[رقم العملية],0))</f>
        <v>0</v>
      </c>
      <c r="S283" s="121" t="str">
        <f>INDEX(Tabledaily[مركـــــــزالتكلفــــــة],MATCH(TableDailyJournal[[#This Row],[رقم العملية]],Tabledaily[رقم العملية],0))</f>
        <v>الفرقة الثالثة</v>
      </c>
      <c r="T283" s="121">
        <f>IFERROR(INDEX(tablecost[رقم المركز],MATCH(TableDailyJournal[[#This Row],[مركـــــــزالتكلفــــــة]],tablecost[الاسم],0)),0)</f>
        <v>1</v>
      </c>
      <c r="U283" s="122">
        <f>IFERROR(DATE(TableDailyJournal[[#This Row],[السنــــة]],TableDailyJournal[[#This Row],[الشهــــر]],TableDailyJournal[[#This Row],[الـــــيوم]]),"01-01-2026")</f>
        <v>46183</v>
      </c>
      <c r="V283" s="126"/>
      <c r="W283" s="58"/>
      <c r="X283" s="58">
        <f>IFERROR(YEAR(TableDailyJournal[[#This Row],[التاريخ]]),"")</f>
        <v>2026</v>
      </c>
      <c r="Y283" s="58">
        <f>IFERROR(MONTH(TableDailyJournal[[#This Row],[التاريخ]]),"")</f>
        <v>6</v>
      </c>
      <c r="Z283" s="58">
        <f>IFERROR(DAY(TableDailyJournal[[#This Row],[التاريخ]]),"")</f>
        <v>10</v>
      </c>
      <c r="AA283" s="126" t="str">
        <f>INDEX(Tabledaily[المرجع البياني],MATCH(TableDailyJournal[[#This Row],[رقم العملية]],Tabledaily[رقم العملية],0))</f>
        <v>قيـد مقابـل:- (مصاريف  صرفة يومية للافراد  - علي عارف علي راجح - الفرقة الثالثة)  - استلام نقدي رقم   سند استلام - تقديم الصرفة اليومية لفرد الشرطه العسكرية الخاصة بيوم 11 لضروف خاصة بامرالمالية</v>
      </c>
      <c r="AB283" s="121" t="str">
        <f>INDEX(Tabledaily[جهة الامر],MATCH(TableDailyJournal[[#This Row],[رقم العملية]],Tabledaily[رقم العملية],0))</f>
        <v>المالية</v>
      </c>
    </row>
    <row r="284" spans="2:28" ht="45.75" x14ac:dyDescent="0.55000000000000004">
      <c r="B284" s="58">
        <f t="shared" si="7"/>
        <v>280</v>
      </c>
      <c r="C284" s="59" t="s">
        <v>650</v>
      </c>
      <c r="D284" s="60">
        <f>INDEX(Tabledaily[date],MATCH(TableDailyJournal[[#This Row],[رقم العملية]],Tabledaily[رقم العملية],0))</f>
        <v>46183</v>
      </c>
      <c r="E284" s="58" t="str">
        <f>INDEX(Tabledaily[نوع العمليــة],MATCH(TableDailyJournal[[#This Row],[رقم العملية]],Tabledaily[رقم العملية],0))</f>
        <v>قيد عهده</v>
      </c>
      <c r="F284" s="58">
        <f>IFERROR(INDEX(TableJudje[رقم الحساب],MATCH(TableDailyJournal[[#This Row],[الحساب]],TableJudje[اسم الحساب],0)),0)</f>
        <v>31010114</v>
      </c>
      <c r="G284" s="58" t="s">
        <v>121</v>
      </c>
      <c r="H284" s="61" t="str">
        <f>INDEX(Tabledaily[المرجع البياني],MATCH(TableDailyJournal[[#This Row],[رقم العملية]],Tabledaily[رقم العملية],0))</f>
        <v>قيـد مقابـل:- (مصاريف حوافز ومكافئات  - افراد السيطرة - الفرقة الثالثة)  - استلام نقدي رقم   سند استلام - صرف حافز افراد علي عارف علي راجح بامرالمالية</v>
      </c>
      <c r="I284" s="60" t="str">
        <f>INDEX(Tabledaily[العملـــة],MATCH(TableDailyJournal[[#This Row],[رقم العملية]],Tabledaily[رقم العملية],0))</f>
        <v>ريال يمني</v>
      </c>
      <c r="J284" s="59">
        <f>IFERROR(INDEX(Tabledaily[سعــــــر
الصـــــرف],MATCH(C284,Tabledaily[رقم العملية],0)),1)</f>
        <v>405</v>
      </c>
      <c r="K284" s="123" cm="1">
        <f t="array" ref="K284">IFERROR(INDEX(Tabledaily[المبلـــــــغ],MATCH(1,(TableDailyJournal[[#This Row],[رقم العملية]]=Tabledaily[رقم العملية])*(TableDailyJournal[[#This Row],[الحساب]]=Tabledaily[الحســاب المديــــن]),0)),0)</f>
        <v>21000</v>
      </c>
      <c r="L284" s="123" cm="1">
        <f t="array" ref="L284">IFERROR(INDEX(Tabledaily[المبلـــــــغ],MATCH(1,(TableDailyJournal[[#This Row],[رقم العملية]]=Tabledaily[رقم العملية])*(TableDailyJournal[[#This Row],[الحساب]]=Tabledaily[الحســاب الدئـــن]),0)),0)</f>
        <v>0</v>
      </c>
      <c r="M284" s="119">
        <f>IFERROR(TableDailyJournal[[#This Row],[المبلغ مدين]]/TableDailyJournal[[#This Row],[سعــــــر
الصـــــرف]],0)</f>
        <v>51.851851851851855</v>
      </c>
      <c r="N284" s="119">
        <f>IFERROR(TableDailyJournal[[#This Row],[المبلغ دائن]]/TableDailyJournal[[#This Row],[سعــــــر
الصـــــرف]],0)</f>
        <v>0</v>
      </c>
      <c r="O284" s="121" t="str">
        <f>INDEX(Tabledaily[المستفيــــــــد],MATCH(TableDailyJournal[[#This Row],[رقم العملية]],Tabledaily[رقم العملية],0))</f>
        <v>افراد السيطرة</v>
      </c>
      <c r="P284" s="121" t="str">
        <f>INDEX(Tabledaily[المــــرجـــــــــع],MATCH(TableDailyJournal[[#This Row],[رقم العملية]],Tabledaily[رقم العملية],0))</f>
        <v>استلام نقدي</v>
      </c>
      <c r="Q284" s="121" t="str">
        <f>INDEX(Tabledaily[اســـــــم المــــرجــــع],MATCH(TableDailyJournal[[#This Row],[رقم العملية]],Tabledaily[رقم العملية],0))</f>
        <v>سند استلام</v>
      </c>
      <c r="R284" s="121">
        <f>INDEX(Tabledaily[رقم المـــــرجـــع],MATCH(TableDailyJournal[[#This Row],[رقم العملية]],Tabledaily[رقم العملية],0))</f>
        <v>0</v>
      </c>
      <c r="S284" s="121" t="str">
        <f>INDEX(Tabledaily[مركـــــــزالتكلفــــــة],MATCH(TableDailyJournal[[#This Row],[رقم العملية]],Tabledaily[رقم العملية],0))</f>
        <v>الفرقة الثالثة</v>
      </c>
      <c r="T284" s="121">
        <f>IFERROR(INDEX(tablecost[رقم المركز],MATCH(TableDailyJournal[[#This Row],[مركـــــــزالتكلفــــــة]],tablecost[الاسم],0)),0)</f>
        <v>1</v>
      </c>
      <c r="U284" s="122">
        <f>IFERROR(DATE(TableDailyJournal[[#This Row],[السنــــة]],TableDailyJournal[[#This Row],[الشهــــر]],TableDailyJournal[[#This Row],[الـــــيوم]]),"01-01-2026")</f>
        <v>46183</v>
      </c>
      <c r="V284" s="126"/>
      <c r="W284" s="58"/>
      <c r="X284" s="58">
        <f>IFERROR(YEAR(TableDailyJournal[[#This Row],[التاريخ]]),"")</f>
        <v>2026</v>
      </c>
      <c r="Y284" s="58">
        <f>IFERROR(MONTH(TableDailyJournal[[#This Row],[التاريخ]]),"")</f>
        <v>6</v>
      </c>
      <c r="Z284" s="58">
        <f>IFERROR(DAY(TableDailyJournal[[#This Row],[التاريخ]]),"")</f>
        <v>10</v>
      </c>
      <c r="AA284" s="126" t="str">
        <f>INDEX(Tabledaily[المرجع البياني],MATCH(TableDailyJournal[[#This Row],[رقم العملية]],Tabledaily[رقم العملية],0))</f>
        <v>قيـد مقابـل:- (مصاريف حوافز ومكافئات  - افراد السيطرة - الفرقة الثالثة)  - استلام نقدي رقم   سند استلام - صرف حافز افراد علي عارف علي راجح بامرالمالية</v>
      </c>
      <c r="AB284" s="121" t="str">
        <f>INDEX(Tabledaily[جهة الامر],MATCH(TableDailyJournal[[#This Row],[رقم العملية]],Tabledaily[رقم العملية],0))</f>
        <v>المالية</v>
      </c>
    </row>
    <row r="285" spans="2:28" ht="45.75" x14ac:dyDescent="0.55000000000000004">
      <c r="B285" s="58">
        <f t="shared" si="7"/>
        <v>281</v>
      </c>
      <c r="C285" s="59" t="s">
        <v>650</v>
      </c>
      <c r="D285" s="60">
        <f>INDEX(Tabledaily[date],MATCH(TableDailyJournal[[#This Row],[رقم العملية]],Tabledaily[رقم العملية],0))</f>
        <v>46183</v>
      </c>
      <c r="E285" s="58" t="str">
        <f>INDEX(Tabledaily[نوع العمليــة],MATCH(TableDailyJournal[[#This Row],[رقم العملية]],Tabledaily[رقم العملية],0))</f>
        <v>قيد عهده</v>
      </c>
      <c r="F285" s="58">
        <f>IFERROR(INDEX(TableJudje[رقم الحساب],MATCH(TableDailyJournal[[#This Row],[الحساب]],TableJudje[اسم الحساب],0)),0)</f>
        <v>11060205</v>
      </c>
      <c r="G285" s="58" t="s">
        <v>513</v>
      </c>
      <c r="H285" s="61" t="str">
        <f>INDEX(Tabledaily[المرجع البياني],MATCH(TableDailyJournal[[#This Row],[رقم العملية]],Tabledaily[رقم العملية],0))</f>
        <v>قيـد مقابـل:- (مصاريف حوافز ومكافئات  - افراد السيطرة - الفرقة الثالثة)  - استلام نقدي رقم   سند استلام - صرف حافز افراد علي عارف علي راجح بامرالمالية</v>
      </c>
      <c r="I285" s="60" t="str">
        <f>INDEX(Tabledaily[العملـــة],MATCH(TableDailyJournal[[#This Row],[رقم العملية]],Tabledaily[رقم العملية],0))</f>
        <v>ريال يمني</v>
      </c>
      <c r="J285" s="59">
        <f>IFERROR(INDEX(Tabledaily[سعــــــر
الصـــــرف],MATCH(C285,Tabledaily[رقم العملية],0)),1)</f>
        <v>405</v>
      </c>
      <c r="K285" s="123" cm="1">
        <f t="array" ref="K285">IFERROR(INDEX(Tabledaily[المبلـــــــغ],MATCH(1,(TableDailyJournal[[#This Row],[رقم العملية]]=Tabledaily[رقم العملية])*(TableDailyJournal[[#This Row],[الحساب]]=Tabledaily[الحســاب المديــــن]),0)),0)</f>
        <v>0</v>
      </c>
      <c r="L285" s="123" cm="1">
        <f t="array" ref="L285">IFERROR(INDEX(Tabledaily[المبلـــــــغ],MATCH(1,(TableDailyJournal[[#This Row],[رقم العملية]]=Tabledaily[رقم العملية])*(TableDailyJournal[[#This Row],[الحساب]]=Tabledaily[الحســاب الدئـــن]),0)),0)</f>
        <v>21000</v>
      </c>
      <c r="M285" s="119">
        <f>IFERROR(TableDailyJournal[[#This Row],[المبلغ مدين]]/TableDailyJournal[[#This Row],[سعــــــر
الصـــــرف]],0)</f>
        <v>0</v>
      </c>
      <c r="N285" s="119">
        <f>IFERROR(TableDailyJournal[[#This Row],[المبلغ دائن]]/TableDailyJournal[[#This Row],[سعــــــر
الصـــــرف]],0)</f>
        <v>51.851851851851855</v>
      </c>
      <c r="O285" s="121" t="str">
        <f>INDEX(Tabledaily[المستفيــــــــد],MATCH(TableDailyJournal[[#This Row],[رقم العملية]],Tabledaily[رقم العملية],0))</f>
        <v>افراد السيطرة</v>
      </c>
      <c r="P285" s="121" t="str">
        <f>INDEX(Tabledaily[المــــرجـــــــــع],MATCH(TableDailyJournal[[#This Row],[رقم العملية]],Tabledaily[رقم العملية],0))</f>
        <v>استلام نقدي</v>
      </c>
      <c r="Q285" s="121" t="str">
        <f>INDEX(Tabledaily[اســـــــم المــــرجــــع],MATCH(TableDailyJournal[[#This Row],[رقم العملية]],Tabledaily[رقم العملية],0))</f>
        <v>سند استلام</v>
      </c>
      <c r="R285" s="121">
        <f>INDEX(Tabledaily[رقم المـــــرجـــع],MATCH(TableDailyJournal[[#This Row],[رقم العملية]],Tabledaily[رقم العملية],0))</f>
        <v>0</v>
      </c>
      <c r="S285" s="121" t="str">
        <f>INDEX(Tabledaily[مركـــــــزالتكلفــــــة],MATCH(TableDailyJournal[[#This Row],[رقم العملية]],Tabledaily[رقم العملية],0))</f>
        <v>الفرقة الثالثة</v>
      </c>
      <c r="T285" s="121">
        <f>IFERROR(INDEX(tablecost[رقم المركز],MATCH(TableDailyJournal[[#This Row],[مركـــــــزالتكلفــــــة]],tablecost[الاسم],0)),0)</f>
        <v>1</v>
      </c>
      <c r="U285" s="122">
        <f>IFERROR(DATE(TableDailyJournal[[#This Row],[السنــــة]],TableDailyJournal[[#This Row],[الشهــــر]],TableDailyJournal[[#This Row],[الـــــيوم]]),"01-01-2026")</f>
        <v>46183</v>
      </c>
      <c r="V285" s="126"/>
      <c r="W285" s="58"/>
      <c r="X285" s="58">
        <f>IFERROR(YEAR(TableDailyJournal[[#This Row],[التاريخ]]),"")</f>
        <v>2026</v>
      </c>
      <c r="Y285" s="58">
        <f>IFERROR(MONTH(TableDailyJournal[[#This Row],[التاريخ]]),"")</f>
        <v>6</v>
      </c>
      <c r="Z285" s="58">
        <f>IFERROR(DAY(TableDailyJournal[[#This Row],[التاريخ]]),"")</f>
        <v>10</v>
      </c>
      <c r="AA285" s="126" t="str">
        <f>INDEX(Tabledaily[المرجع البياني],MATCH(TableDailyJournal[[#This Row],[رقم العملية]],Tabledaily[رقم العملية],0))</f>
        <v>قيـد مقابـل:- (مصاريف حوافز ومكافئات  - افراد السيطرة - الفرقة الثالثة)  - استلام نقدي رقم   سند استلام - صرف حافز افراد علي عارف علي راجح بامرالمالية</v>
      </c>
      <c r="AB285" s="121" t="str">
        <f>INDEX(Tabledaily[جهة الامر],MATCH(TableDailyJournal[[#This Row],[رقم العملية]],Tabledaily[رقم العملية],0))</f>
        <v>المالية</v>
      </c>
    </row>
    <row r="286" spans="2:28" ht="45.75" x14ac:dyDescent="0.55000000000000004">
      <c r="B286" s="58">
        <f t="shared" ref="B286:B295" si="8">ROW()-4</f>
        <v>282</v>
      </c>
      <c r="C286" s="59" t="s">
        <v>653</v>
      </c>
      <c r="D286" s="60">
        <f>INDEX(Tabledaily[date],MATCH(TableDailyJournal[[#This Row],[رقم العملية]],Tabledaily[رقم العملية],0))</f>
        <v>46183</v>
      </c>
      <c r="E286" s="58" t="str">
        <f>INDEX(Tabledaily[نوع العمليــة],MATCH(TableDailyJournal[[#This Row],[رقم العملية]],Tabledaily[رقم العملية],0))</f>
        <v>قيد عهده</v>
      </c>
      <c r="F286" s="58">
        <f>IFERROR(INDEX(TableJudje[رقم الحساب],MATCH(TableDailyJournal[[#This Row],[الحساب]],TableJudje[اسم الحساب],0)),0)</f>
        <v>31010101</v>
      </c>
      <c r="G286" s="58" t="s">
        <v>111</v>
      </c>
      <c r="H286"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الصرفة اليومية ليومي 9 و 10 بامر</v>
      </c>
      <c r="I286" s="60" t="str">
        <f>INDEX(Tabledaily[العملـــة],MATCH(TableDailyJournal[[#This Row],[رقم العملية]],Tabledaily[رقم العملية],0))</f>
        <v>ريال يمني</v>
      </c>
      <c r="J286" s="59">
        <f>IFERROR(INDEX(Tabledaily[سعــــــر
الصـــــرف],MATCH(C286,Tabledaily[رقم العملية],0)),1)</f>
        <v>405</v>
      </c>
      <c r="K286" s="123" cm="1">
        <f t="array" ref="K286">IFERROR(INDEX(Tabledaily[المبلـــــــغ],MATCH(1,(TableDailyJournal[[#This Row],[رقم العملية]]=Tabledaily[رقم العملية])*(TableDailyJournal[[#This Row],[الحساب]]=Tabledaily[الحســاب المديــــن]),0)),0)</f>
        <v>20000</v>
      </c>
      <c r="L286" s="123" cm="1">
        <f t="array" ref="L286">IFERROR(INDEX(Tabledaily[المبلـــــــغ],MATCH(1,(TableDailyJournal[[#This Row],[رقم العملية]]=Tabledaily[رقم العملية])*(TableDailyJournal[[#This Row],[الحساب]]=Tabledaily[الحســاب الدئـــن]),0)),0)</f>
        <v>0</v>
      </c>
      <c r="M286" s="119">
        <f>IFERROR(TableDailyJournal[[#This Row],[المبلغ مدين]]/TableDailyJournal[[#This Row],[سعــــــر
الصـــــرف]],0)</f>
        <v>49.382716049382715</v>
      </c>
      <c r="N286" s="119">
        <f>IFERROR(TableDailyJournal[[#This Row],[المبلغ دائن]]/TableDailyJournal[[#This Row],[سعــــــر
الصـــــرف]],0)</f>
        <v>0</v>
      </c>
      <c r="O286" s="121" t="str">
        <f>INDEX(Tabledaily[المستفيــــــــد],MATCH(TableDailyJournal[[#This Row],[رقم العملية]],Tabledaily[رقم العملية],0))</f>
        <v>محمد عبدالصمد عبدالله</v>
      </c>
      <c r="P286" s="121" t="str">
        <f>INDEX(Tabledaily[المــــرجـــــــــع],MATCH(TableDailyJournal[[#This Row],[رقم العملية]],Tabledaily[رقم العملية],0))</f>
        <v>استلام نقدي</v>
      </c>
      <c r="Q286" s="121" t="str">
        <f>INDEX(Tabledaily[اســـــــم المــــرجــــع],MATCH(TableDailyJournal[[#This Row],[رقم العملية]],Tabledaily[رقم العملية],0))</f>
        <v>سند استلام</v>
      </c>
      <c r="R286" s="121">
        <f>INDEX(Tabledaily[رقم المـــــرجـــع],MATCH(TableDailyJournal[[#This Row],[رقم العملية]],Tabledaily[رقم العملية],0))</f>
        <v>0</v>
      </c>
      <c r="S286" s="121" t="str">
        <f>INDEX(Tabledaily[مركـــــــزالتكلفــــــة],MATCH(TableDailyJournal[[#This Row],[رقم العملية]],Tabledaily[رقم العملية],0))</f>
        <v>اللواء السادس</v>
      </c>
      <c r="T286" s="121">
        <f>IFERROR(INDEX(tablecost[رقم المركز],MATCH(TableDailyJournal[[#This Row],[مركـــــــزالتكلفــــــة]],tablecost[الاسم],0)),0)</f>
        <v>7</v>
      </c>
      <c r="U286" s="122">
        <f>IFERROR(DATE(TableDailyJournal[[#This Row],[السنــــة]],TableDailyJournal[[#This Row],[الشهــــر]],TableDailyJournal[[#This Row],[الـــــيوم]]),"01-01-2026")</f>
        <v>46183</v>
      </c>
      <c r="V286" s="126"/>
      <c r="W286" s="58"/>
      <c r="X286" s="58">
        <f>IFERROR(YEAR(TableDailyJournal[[#This Row],[التاريخ]]),"")</f>
        <v>2026</v>
      </c>
      <c r="Y286" s="58">
        <f>IFERROR(MONTH(TableDailyJournal[[#This Row],[التاريخ]]),"")</f>
        <v>6</v>
      </c>
      <c r="Z286" s="58">
        <f>IFERROR(DAY(TableDailyJournal[[#This Row],[التاريخ]]),"")</f>
        <v>10</v>
      </c>
      <c r="AA286"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الصرفة اليومية ليومي 9 و 10 بامر</v>
      </c>
      <c r="AB286" s="121">
        <f>INDEX(Tabledaily[جهة الامر],MATCH(TableDailyJournal[[#This Row],[رقم العملية]],Tabledaily[رقم العملية],0))</f>
        <v>0</v>
      </c>
    </row>
    <row r="287" spans="2:28" ht="45.75" x14ac:dyDescent="0.55000000000000004">
      <c r="B287" s="58">
        <f t="shared" si="8"/>
        <v>283</v>
      </c>
      <c r="C287" s="59" t="s">
        <v>653</v>
      </c>
      <c r="D287" s="60">
        <f>INDEX(Tabledaily[date],MATCH(TableDailyJournal[[#This Row],[رقم العملية]],Tabledaily[رقم العملية],0))</f>
        <v>46183</v>
      </c>
      <c r="E287" s="58" t="str">
        <f>INDEX(Tabledaily[نوع العمليــة],MATCH(TableDailyJournal[[#This Row],[رقم العملية]],Tabledaily[رقم العملية],0))</f>
        <v>قيد عهده</v>
      </c>
      <c r="F287" s="58">
        <f>IFERROR(INDEX(TableJudje[رقم الحساب],MATCH(TableDailyJournal[[#This Row],[الحساب]],TableJudje[اسم الحساب],0)),0)</f>
        <v>11060205</v>
      </c>
      <c r="G287" s="58" t="s">
        <v>513</v>
      </c>
      <c r="H287"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الصرفة اليومية ليومي 9 و 10 بامر</v>
      </c>
      <c r="I287" s="60" t="str">
        <f>INDEX(Tabledaily[العملـــة],MATCH(TableDailyJournal[[#This Row],[رقم العملية]],Tabledaily[رقم العملية],0))</f>
        <v>ريال يمني</v>
      </c>
      <c r="J287" s="59">
        <f>IFERROR(INDEX(Tabledaily[سعــــــر
الصـــــرف],MATCH(C287,Tabledaily[رقم العملية],0)),1)</f>
        <v>405</v>
      </c>
      <c r="K287" s="123" cm="1">
        <f t="array" ref="K287">IFERROR(INDEX(Tabledaily[المبلـــــــغ],MATCH(1,(TableDailyJournal[[#This Row],[رقم العملية]]=Tabledaily[رقم العملية])*(TableDailyJournal[[#This Row],[الحساب]]=Tabledaily[الحســاب المديــــن]),0)),0)</f>
        <v>0</v>
      </c>
      <c r="L287" s="123" cm="1">
        <f t="array" ref="L287">IFERROR(INDEX(Tabledaily[المبلـــــــغ],MATCH(1,(TableDailyJournal[[#This Row],[رقم العملية]]=Tabledaily[رقم العملية])*(TableDailyJournal[[#This Row],[الحساب]]=Tabledaily[الحســاب الدئـــن]),0)),0)</f>
        <v>20000</v>
      </c>
      <c r="M287" s="119">
        <f>IFERROR(TableDailyJournal[[#This Row],[المبلغ مدين]]/TableDailyJournal[[#This Row],[سعــــــر
الصـــــرف]],0)</f>
        <v>0</v>
      </c>
      <c r="N287" s="119">
        <f>IFERROR(TableDailyJournal[[#This Row],[المبلغ دائن]]/TableDailyJournal[[#This Row],[سعــــــر
الصـــــرف]],0)</f>
        <v>49.382716049382715</v>
      </c>
      <c r="O287" s="121" t="str">
        <f>INDEX(Tabledaily[المستفيــــــــد],MATCH(TableDailyJournal[[#This Row],[رقم العملية]],Tabledaily[رقم العملية],0))</f>
        <v>محمد عبدالصمد عبدالله</v>
      </c>
      <c r="P287" s="121" t="str">
        <f>INDEX(Tabledaily[المــــرجـــــــــع],MATCH(TableDailyJournal[[#This Row],[رقم العملية]],Tabledaily[رقم العملية],0))</f>
        <v>استلام نقدي</v>
      </c>
      <c r="Q287" s="121" t="str">
        <f>INDEX(Tabledaily[اســـــــم المــــرجــــع],MATCH(TableDailyJournal[[#This Row],[رقم العملية]],Tabledaily[رقم العملية],0))</f>
        <v>سند استلام</v>
      </c>
      <c r="R287" s="121">
        <f>INDEX(Tabledaily[رقم المـــــرجـــع],MATCH(TableDailyJournal[[#This Row],[رقم العملية]],Tabledaily[رقم العملية],0))</f>
        <v>0</v>
      </c>
      <c r="S287" s="121" t="str">
        <f>INDEX(Tabledaily[مركـــــــزالتكلفــــــة],MATCH(TableDailyJournal[[#This Row],[رقم العملية]],Tabledaily[رقم العملية],0))</f>
        <v>اللواء السادس</v>
      </c>
      <c r="T287" s="121">
        <f>IFERROR(INDEX(tablecost[رقم المركز],MATCH(TableDailyJournal[[#This Row],[مركـــــــزالتكلفــــــة]],tablecost[الاسم],0)),0)</f>
        <v>7</v>
      </c>
      <c r="U287" s="122">
        <f>IFERROR(DATE(TableDailyJournal[[#This Row],[السنــــة]],TableDailyJournal[[#This Row],[الشهــــر]],TableDailyJournal[[#This Row],[الـــــيوم]]),"01-01-2026")</f>
        <v>46183</v>
      </c>
      <c r="V287" s="126"/>
      <c r="W287" s="58"/>
      <c r="X287" s="58">
        <f>IFERROR(YEAR(TableDailyJournal[[#This Row],[التاريخ]]),"")</f>
        <v>2026</v>
      </c>
      <c r="Y287" s="58">
        <f>IFERROR(MONTH(TableDailyJournal[[#This Row],[التاريخ]]),"")</f>
        <v>6</v>
      </c>
      <c r="Z287" s="58">
        <f>IFERROR(DAY(TableDailyJournal[[#This Row],[التاريخ]]),"")</f>
        <v>10</v>
      </c>
      <c r="AA287"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الصرفة اليومية ليومي 9 و 10 بامر</v>
      </c>
      <c r="AB287" s="121">
        <f>INDEX(Tabledaily[جهة الامر],MATCH(TableDailyJournal[[#This Row],[رقم العملية]],Tabledaily[رقم العملية],0))</f>
        <v>0</v>
      </c>
    </row>
    <row r="288" spans="2:28" ht="45.75" x14ac:dyDescent="0.55000000000000004">
      <c r="B288" s="58">
        <f t="shared" si="8"/>
        <v>284</v>
      </c>
      <c r="C288" s="59" t="s">
        <v>658</v>
      </c>
      <c r="D288" s="60">
        <f>INDEX(Tabledaily[date],MATCH(TableDailyJournal[[#This Row],[رقم العملية]],Tabledaily[رقم العملية],0))</f>
        <v>46184</v>
      </c>
      <c r="E288" s="58" t="str">
        <f>INDEX(Tabledaily[نوع العمليــة],MATCH(TableDailyJournal[[#This Row],[رقم العملية]],Tabledaily[رقم العملية],0))</f>
        <v>قيد عهده</v>
      </c>
      <c r="F288" s="58">
        <f>IFERROR(INDEX(TableJudje[رقم الحساب],MATCH(TableDailyJournal[[#This Row],[الحساب]],TableJudje[اسم الحساب],0)),0)</f>
        <v>31010101</v>
      </c>
      <c r="G288" s="58" t="s">
        <v>111</v>
      </c>
      <c r="H288"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7 بامر</v>
      </c>
      <c r="I288" s="60" t="str">
        <f>INDEX(Tabledaily[العملـــة],MATCH(TableDailyJournal[[#This Row],[رقم العملية]],Tabledaily[رقم العملية],0))</f>
        <v>ريال يمني</v>
      </c>
      <c r="J288" s="59">
        <f>IFERROR(INDEX(Tabledaily[سعــــــر
الصـــــرف],MATCH(C288,Tabledaily[رقم العملية],0)),1)</f>
        <v>405</v>
      </c>
      <c r="K288" s="123" cm="1">
        <f t="array" ref="K288">IFERROR(INDEX(Tabledaily[المبلـــــــغ],MATCH(1,(TableDailyJournal[[#This Row],[رقم العملية]]=Tabledaily[رقم العملية])*(TableDailyJournal[[#This Row],[الحساب]]=Tabledaily[الحســاب المديــــن]),0)),0)</f>
        <v>40000</v>
      </c>
      <c r="L288" s="123" cm="1">
        <f t="array" ref="L288">IFERROR(INDEX(Tabledaily[المبلـــــــغ],MATCH(1,(TableDailyJournal[[#This Row],[رقم العملية]]=Tabledaily[رقم العملية])*(TableDailyJournal[[#This Row],[الحساب]]=Tabledaily[الحســاب الدئـــن]),0)),0)</f>
        <v>0</v>
      </c>
      <c r="M288" s="119">
        <f>IFERROR(TableDailyJournal[[#This Row],[المبلغ مدين]]/TableDailyJournal[[#This Row],[سعــــــر
الصـــــرف]],0)</f>
        <v>98.76543209876543</v>
      </c>
      <c r="N288" s="119">
        <f>IFERROR(TableDailyJournal[[#This Row],[المبلغ دائن]]/TableDailyJournal[[#This Row],[سعــــــر
الصـــــرف]],0)</f>
        <v>0</v>
      </c>
      <c r="O288" s="121" t="str">
        <f>INDEX(Tabledaily[المستفيــــــــد],MATCH(TableDailyJournal[[#This Row],[رقم العملية]],Tabledaily[رقم العملية],0))</f>
        <v>السيطرة والاتصالات</v>
      </c>
      <c r="P288" s="121" t="str">
        <f>INDEX(Tabledaily[المــــرجـــــــــع],MATCH(TableDailyJournal[[#This Row],[رقم العملية]],Tabledaily[رقم العملية],0))</f>
        <v>كشف صرف</v>
      </c>
      <c r="Q288" s="121" t="str">
        <f>INDEX(Tabledaily[اســـــــم المــــرجــــع],MATCH(TableDailyJournal[[#This Row],[رقم العملية]],Tabledaily[رقم العملية],0))</f>
        <v>كشف صرف</v>
      </c>
      <c r="R288" s="121">
        <f>INDEX(Tabledaily[رقم المـــــرجـــع],MATCH(TableDailyJournal[[#This Row],[رقم العملية]],Tabledaily[رقم العملية],0))</f>
        <v>0</v>
      </c>
      <c r="S288" s="121" t="str">
        <f>INDEX(Tabledaily[مركـــــــزالتكلفــــــة],MATCH(TableDailyJournal[[#This Row],[رقم العملية]],Tabledaily[رقم العملية],0))</f>
        <v>الفرقة الثالثة</v>
      </c>
      <c r="T288" s="121">
        <f>IFERROR(INDEX(tablecost[رقم المركز],MATCH(TableDailyJournal[[#This Row],[مركـــــــزالتكلفــــــة]],tablecost[الاسم],0)),0)</f>
        <v>1</v>
      </c>
      <c r="U288" s="122">
        <f>IFERROR(DATE(TableDailyJournal[[#This Row],[السنــــة]],TableDailyJournal[[#This Row],[الشهــــر]],TableDailyJournal[[#This Row],[الـــــيوم]]),"01-01-2026")</f>
        <v>46184</v>
      </c>
      <c r="V288" s="126"/>
      <c r="W288" s="58"/>
      <c r="X288" s="58">
        <f>IFERROR(YEAR(TableDailyJournal[[#This Row],[التاريخ]]),"")</f>
        <v>2026</v>
      </c>
      <c r="Y288" s="58">
        <f>IFERROR(MONTH(TableDailyJournal[[#This Row],[التاريخ]]),"")</f>
        <v>6</v>
      </c>
      <c r="Z288" s="58">
        <f>IFERROR(DAY(TableDailyJournal[[#This Row],[التاريخ]]),"")</f>
        <v>11</v>
      </c>
      <c r="AA288"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7 بامر</v>
      </c>
      <c r="AB288" s="121">
        <f>INDEX(Tabledaily[جهة الامر],MATCH(TableDailyJournal[[#This Row],[رقم العملية]],Tabledaily[رقم العملية],0))</f>
        <v>0</v>
      </c>
    </row>
    <row r="289" spans="2:28" ht="45.75" x14ac:dyDescent="0.55000000000000004">
      <c r="B289" s="58">
        <f t="shared" si="8"/>
        <v>285</v>
      </c>
      <c r="C289" s="59" t="s">
        <v>658</v>
      </c>
      <c r="D289" s="60">
        <f>INDEX(Tabledaily[date],MATCH(TableDailyJournal[[#This Row],[رقم العملية]],Tabledaily[رقم العملية],0))</f>
        <v>46184</v>
      </c>
      <c r="E289" s="58" t="str">
        <f>INDEX(Tabledaily[نوع العمليــة],MATCH(TableDailyJournal[[#This Row],[رقم العملية]],Tabledaily[رقم العملية],0))</f>
        <v>قيد عهده</v>
      </c>
      <c r="F289" s="58">
        <f>IFERROR(INDEX(TableJudje[رقم الحساب],MATCH(TableDailyJournal[[#This Row],[الحساب]],TableJudje[اسم الحساب],0)),0)</f>
        <v>11060205</v>
      </c>
      <c r="G289" s="58" t="s">
        <v>513</v>
      </c>
      <c r="H289"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7 بامر</v>
      </c>
      <c r="I289" s="60" t="str">
        <f>INDEX(Tabledaily[العملـــة],MATCH(TableDailyJournal[[#This Row],[رقم العملية]],Tabledaily[رقم العملية],0))</f>
        <v>ريال يمني</v>
      </c>
      <c r="J289" s="59">
        <f>IFERROR(INDEX(Tabledaily[سعــــــر
الصـــــرف],MATCH(C289,Tabledaily[رقم العملية],0)),1)</f>
        <v>405</v>
      </c>
      <c r="K289" s="123" cm="1">
        <f t="array" ref="K289">IFERROR(INDEX(Tabledaily[المبلـــــــغ],MATCH(1,(TableDailyJournal[[#This Row],[رقم العملية]]=Tabledaily[رقم العملية])*(TableDailyJournal[[#This Row],[الحساب]]=Tabledaily[الحســاب المديــــن]),0)),0)</f>
        <v>0</v>
      </c>
      <c r="L289" s="123" cm="1">
        <f t="array" ref="L289">IFERROR(INDEX(Tabledaily[المبلـــــــغ],MATCH(1,(TableDailyJournal[[#This Row],[رقم العملية]]=Tabledaily[رقم العملية])*(TableDailyJournal[[#This Row],[الحساب]]=Tabledaily[الحســاب الدئـــن]),0)),0)</f>
        <v>40000</v>
      </c>
      <c r="M289" s="119">
        <f>IFERROR(TableDailyJournal[[#This Row],[المبلغ مدين]]/TableDailyJournal[[#This Row],[سعــــــر
الصـــــرف]],0)</f>
        <v>0</v>
      </c>
      <c r="N289" s="119">
        <f>IFERROR(TableDailyJournal[[#This Row],[المبلغ دائن]]/TableDailyJournal[[#This Row],[سعــــــر
الصـــــرف]],0)</f>
        <v>98.76543209876543</v>
      </c>
      <c r="O289" s="121" t="str">
        <f>INDEX(Tabledaily[المستفيــــــــد],MATCH(TableDailyJournal[[#This Row],[رقم العملية]],Tabledaily[رقم العملية],0))</f>
        <v>السيطرة والاتصالات</v>
      </c>
      <c r="P289" s="121" t="str">
        <f>INDEX(Tabledaily[المــــرجـــــــــع],MATCH(TableDailyJournal[[#This Row],[رقم العملية]],Tabledaily[رقم العملية],0))</f>
        <v>كشف صرف</v>
      </c>
      <c r="Q289" s="121" t="str">
        <f>INDEX(Tabledaily[اســـــــم المــــرجــــع],MATCH(TableDailyJournal[[#This Row],[رقم العملية]],Tabledaily[رقم العملية],0))</f>
        <v>كشف صرف</v>
      </c>
      <c r="R289" s="121">
        <f>INDEX(Tabledaily[رقم المـــــرجـــع],MATCH(TableDailyJournal[[#This Row],[رقم العملية]],Tabledaily[رقم العملية],0))</f>
        <v>0</v>
      </c>
      <c r="S289" s="121" t="str">
        <f>INDEX(Tabledaily[مركـــــــزالتكلفــــــة],MATCH(TableDailyJournal[[#This Row],[رقم العملية]],Tabledaily[رقم العملية],0))</f>
        <v>الفرقة الثالثة</v>
      </c>
      <c r="T289" s="121">
        <f>IFERROR(INDEX(tablecost[رقم المركز],MATCH(TableDailyJournal[[#This Row],[مركـــــــزالتكلفــــــة]],tablecost[الاسم],0)),0)</f>
        <v>1</v>
      </c>
      <c r="U289" s="122">
        <f>IFERROR(DATE(TableDailyJournal[[#This Row],[السنــــة]],TableDailyJournal[[#This Row],[الشهــــر]],TableDailyJournal[[#This Row],[الـــــيوم]]),"01-01-2026")</f>
        <v>46184</v>
      </c>
      <c r="V289" s="126"/>
      <c r="W289" s="58"/>
      <c r="X289" s="58">
        <f>IFERROR(YEAR(TableDailyJournal[[#This Row],[التاريخ]]),"")</f>
        <v>2026</v>
      </c>
      <c r="Y289" s="58">
        <f>IFERROR(MONTH(TableDailyJournal[[#This Row],[التاريخ]]),"")</f>
        <v>6</v>
      </c>
      <c r="Z289" s="58">
        <f>IFERROR(DAY(TableDailyJournal[[#This Row],[التاريخ]]),"")</f>
        <v>11</v>
      </c>
      <c r="AA289"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7 بامر</v>
      </c>
      <c r="AB289" s="121">
        <f>INDEX(Tabledaily[جهة الامر],MATCH(TableDailyJournal[[#This Row],[رقم العملية]],Tabledaily[رقم العملية],0))</f>
        <v>0</v>
      </c>
    </row>
    <row r="290" spans="2:28" ht="45.75" x14ac:dyDescent="0.55000000000000004">
      <c r="B290" s="58">
        <f t="shared" si="8"/>
        <v>286</v>
      </c>
      <c r="C290" s="59" t="s">
        <v>660</v>
      </c>
      <c r="D290" s="60">
        <f>INDEX(Tabledaily[date],MATCH(TableDailyJournal[[#This Row],[رقم العملية]],Tabledaily[رقم العملية],0))</f>
        <v>46184</v>
      </c>
      <c r="E290" s="58" t="str">
        <f>INDEX(Tabledaily[نوع العمليــة],MATCH(TableDailyJournal[[#This Row],[رقم العملية]],Tabledaily[رقم العملية],0))</f>
        <v>قيد عهده</v>
      </c>
      <c r="F290" s="58">
        <f>IFERROR(INDEX(TableJudje[رقم الحساب],MATCH(TableDailyJournal[[#This Row],[الحساب]],TableJudje[اسم الحساب],0)),0)</f>
        <v>31010101</v>
      </c>
      <c r="G290" s="58" t="s">
        <v>111</v>
      </c>
      <c r="H290"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290" s="60" t="str">
        <f>INDEX(Tabledaily[العملـــة],MATCH(TableDailyJournal[[#This Row],[رقم العملية]],Tabledaily[رقم العملية],0))</f>
        <v>ريال يمني</v>
      </c>
      <c r="J290" s="59">
        <f>IFERROR(INDEX(Tabledaily[سعــــــر
الصـــــرف],MATCH(C290,Tabledaily[رقم العملية],0)),1)</f>
        <v>405</v>
      </c>
      <c r="K290" s="123" cm="1">
        <f t="array" ref="K290">IFERROR(INDEX(Tabledaily[المبلـــــــغ],MATCH(1,(TableDailyJournal[[#This Row],[رقم العملية]]=Tabledaily[رقم العملية])*(TableDailyJournal[[#This Row],[الحساب]]=Tabledaily[الحســاب المديــــن]),0)),0)</f>
        <v>30000</v>
      </c>
      <c r="L290" s="123" cm="1">
        <f t="array" ref="L290">IFERROR(INDEX(Tabledaily[المبلـــــــغ],MATCH(1,(TableDailyJournal[[#This Row],[رقم العملية]]=Tabledaily[رقم العملية])*(TableDailyJournal[[#This Row],[الحساب]]=Tabledaily[الحســاب الدئـــن]),0)),0)</f>
        <v>0</v>
      </c>
      <c r="M290" s="119">
        <f>IFERROR(TableDailyJournal[[#This Row],[المبلغ مدين]]/TableDailyJournal[[#This Row],[سعــــــر
الصـــــرف]],0)</f>
        <v>74.074074074074076</v>
      </c>
      <c r="N290" s="119">
        <f>IFERROR(TableDailyJournal[[#This Row],[المبلغ دائن]]/TableDailyJournal[[#This Row],[سعــــــر
الصـــــرف]],0)</f>
        <v>0</v>
      </c>
      <c r="O290" s="121" t="str">
        <f>INDEX(Tabledaily[المستفيــــــــد],MATCH(TableDailyJournal[[#This Row],[رقم العملية]],Tabledaily[رقم العملية],0))</f>
        <v>التوجيه</v>
      </c>
      <c r="P290" s="121" t="str">
        <f>INDEX(Tabledaily[المــــرجـــــــــع],MATCH(TableDailyJournal[[#This Row],[رقم العملية]],Tabledaily[رقم العملية],0))</f>
        <v>كشف صرف</v>
      </c>
      <c r="Q290" s="121" t="str">
        <f>INDEX(Tabledaily[اســـــــم المــــرجــــع],MATCH(TableDailyJournal[[#This Row],[رقم العملية]],Tabledaily[رقم العملية],0))</f>
        <v>كشف صرف</v>
      </c>
      <c r="R290" s="121">
        <f>INDEX(Tabledaily[رقم المـــــرجـــع],MATCH(TableDailyJournal[[#This Row],[رقم العملية]],Tabledaily[رقم العملية],0))</f>
        <v>0</v>
      </c>
      <c r="S290" s="121" t="str">
        <f>INDEX(Tabledaily[مركـــــــزالتكلفــــــة],MATCH(TableDailyJournal[[#This Row],[رقم العملية]],Tabledaily[رقم العملية],0))</f>
        <v>الفرقة الثالثة</v>
      </c>
      <c r="T290" s="121">
        <f>IFERROR(INDEX(tablecost[رقم المركز],MATCH(TableDailyJournal[[#This Row],[مركـــــــزالتكلفــــــة]],tablecost[الاسم],0)),0)</f>
        <v>1</v>
      </c>
      <c r="U290" s="122">
        <f>IFERROR(DATE(TableDailyJournal[[#This Row],[السنــــة]],TableDailyJournal[[#This Row],[الشهــــر]],TableDailyJournal[[#This Row],[الـــــيوم]]),"01-01-2026")</f>
        <v>46184</v>
      </c>
      <c r="V290" s="126"/>
      <c r="W290" s="58"/>
      <c r="X290" s="58">
        <f>IFERROR(YEAR(TableDailyJournal[[#This Row],[التاريخ]]),"")</f>
        <v>2026</v>
      </c>
      <c r="Y290" s="58">
        <f>IFERROR(MONTH(TableDailyJournal[[#This Row],[التاريخ]]),"")</f>
        <v>6</v>
      </c>
      <c r="Z290" s="58">
        <f>IFERROR(DAY(TableDailyJournal[[#This Row],[التاريخ]]),"")</f>
        <v>11</v>
      </c>
      <c r="AA290"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290" s="121">
        <f>INDEX(Tabledaily[جهة الامر],MATCH(TableDailyJournal[[#This Row],[رقم العملية]],Tabledaily[رقم العملية],0))</f>
        <v>0</v>
      </c>
    </row>
    <row r="291" spans="2:28" ht="45.75" x14ac:dyDescent="0.55000000000000004">
      <c r="B291" s="58">
        <f t="shared" si="8"/>
        <v>287</v>
      </c>
      <c r="C291" s="59" t="s">
        <v>660</v>
      </c>
      <c r="D291" s="60">
        <f>INDEX(Tabledaily[date],MATCH(TableDailyJournal[[#This Row],[رقم العملية]],Tabledaily[رقم العملية],0))</f>
        <v>46184</v>
      </c>
      <c r="E291" s="58" t="str">
        <f>INDEX(Tabledaily[نوع العمليــة],MATCH(TableDailyJournal[[#This Row],[رقم العملية]],Tabledaily[رقم العملية],0))</f>
        <v>قيد عهده</v>
      </c>
      <c r="F291" s="58">
        <f>IFERROR(INDEX(TableJudje[رقم الحساب],MATCH(TableDailyJournal[[#This Row],[الحساب]],TableJudje[اسم الحساب],0)),0)</f>
        <v>11060205</v>
      </c>
      <c r="G291" s="58" t="s">
        <v>513</v>
      </c>
      <c r="H291"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291" s="60" t="str">
        <f>INDEX(Tabledaily[العملـــة],MATCH(TableDailyJournal[[#This Row],[رقم العملية]],Tabledaily[رقم العملية],0))</f>
        <v>ريال يمني</v>
      </c>
      <c r="J291" s="59">
        <f>IFERROR(INDEX(Tabledaily[سعــــــر
الصـــــرف],MATCH(C291,Tabledaily[رقم العملية],0)),1)</f>
        <v>405</v>
      </c>
      <c r="K291" s="123" cm="1">
        <f t="array" ref="K291">IFERROR(INDEX(Tabledaily[المبلـــــــغ],MATCH(1,(TableDailyJournal[[#This Row],[رقم العملية]]=Tabledaily[رقم العملية])*(TableDailyJournal[[#This Row],[الحساب]]=Tabledaily[الحســاب المديــــن]),0)),0)</f>
        <v>0</v>
      </c>
      <c r="L291" s="123" cm="1">
        <f t="array" ref="L291">IFERROR(INDEX(Tabledaily[المبلـــــــغ],MATCH(1,(TableDailyJournal[[#This Row],[رقم العملية]]=Tabledaily[رقم العملية])*(TableDailyJournal[[#This Row],[الحساب]]=Tabledaily[الحســاب الدئـــن]),0)),0)</f>
        <v>30000</v>
      </c>
      <c r="M291" s="119">
        <f>IFERROR(TableDailyJournal[[#This Row],[المبلغ مدين]]/TableDailyJournal[[#This Row],[سعــــــر
الصـــــرف]],0)</f>
        <v>0</v>
      </c>
      <c r="N291" s="119">
        <f>IFERROR(TableDailyJournal[[#This Row],[المبلغ دائن]]/TableDailyJournal[[#This Row],[سعــــــر
الصـــــرف]],0)</f>
        <v>74.074074074074076</v>
      </c>
      <c r="O291" s="121" t="str">
        <f>INDEX(Tabledaily[المستفيــــــــد],MATCH(TableDailyJournal[[#This Row],[رقم العملية]],Tabledaily[رقم العملية],0))</f>
        <v>التوجيه</v>
      </c>
      <c r="P291" s="121" t="str">
        <f>INDEX(Tabledaily[المــــرجـــــــــع],MATCH(TableDailyJournal[[#This Row],[رقم العملية]],Tabledaily[رقم العملية],0))</f>
        <v>كشف صرف</v>
      </c>
      <c r="Q291" s="121" t="str">
        <f>INDEX(Tabledaily[اســـــــم المــــرجــــع],MATCH(TableDailyJournal[[#This Row],[رقم العملية]],Tabledaily[رقم العملية],0))</f>
        <v>كشف صرف</v>
      </c>
      <c r="R291" s="121">
        <f>INDEX(Tabledaily[رقم المـــــرجـــع],MATCH(TableDailyJournal[[#This Row],[رقم العملية]],Tabledaily[رقم العملية],0))</f>
        <v>0</v>
      </c>
      <c r="S291" s="121" t="str">
        <f>INDEX(Tabledaily[مركـــــــزالتكلفــــــة],MATCH(TableDailyJournal[[#This Row],[رقم العملية]],Tabledaily[رقم العملية],0))</f>
        <v>الفرقة الثالثة</v>
      </c>
      <c r="T291" s="121">
        <f>IFERROR(INDEX(tablecost[رقم المركز],MATCH(TableDailyJournal[[#This Row],[مركـــــــزالتكلفــــــة]],tablecost[الاسم],0)),0)</f>
        <v>1</v>
      </c>
      <c r="U291" s="122">
        <f>IFERROR(DATE(TableDailyJournal[[#This Row],[السنــــة]],TableDailyJournal[[#This Row],[الشهــــر]],TableDailyJournal[[#This Row],[الـــــيوم]]),"01-01-2026")</f>
        <v>46184</v>
      </c>
      <c r="V291" s="126"/>
      <c r="W291" s="58"/>
      <c r="X291" s="58">
        <f>IFERROR(YEAR(TableDailyJournal[[#This Row],[التاريخ]]),"")</f>
        <v>2026</v>
      </c>
      <c r="Y291" s="58">
        <f>IFERROR(MONTH(TableDailyJournal[[#This Row],[التاريخ]]),"")</f>
        <v>6</v>
      </c>
      <c r="Z291" s="58">
        <f>IFERROR(DAY(TableDailyJournal[[#This Row],[التاريخ]]),"")</f>
        <v>11</v>
      </c>
      <c r="AA291"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291" s="121">
        <f>INDEX(Tabledaily[جهة الامر],MATCH(TableDailyJournal[[#This Row],[رقم العملية]],Tabledaily[رقم العملية],0))</f>
        <v>0</v>
      </c>
    </row>
    <row r="292" spans="2:28" ht="45.75" x14ac:dyDescent="0.55000000000000004">
      <c r="B292" s="58">
        <f t="shared" si="8"/>
        <v>288</v>
      </c>
      <c r="C292" s="59" t="s">
        <v>662</v>
      </c>
      <c r="D292" s="60">
        <f>INDEX(Tabledaily[date],MATCH(TableDailyJournal[[#This Row],[رقم العملية]],Tabledaily[رقم العملية],0))</f>
        <v>46184</v>
      </c>
      <c r="E292" s="58" t="str">
        <f>INDEX(Tabledaily[نوع العمليــة],MATCH(TableDailyJournal[[#This Row],[رقم العملية]],Tabledaily[رقم العملية],0))</f>
        <v>قيد عهده</v>
      </c>
      <c r="F292" s="58">
        <f>IFERROR(INDEX(TableJudje[رقم الحساب],MATCH(TableDailyJournal[[#This Row],[الحساب]],TableJudje[اسم الحساب],0)),0)</f>
        <v>31010101</v>
      </c>
      <c r="G292" s="58" t="s">
        <v>111</v>
      </c>
      <c r="H292"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292" s="60" t="str">
        <f>INDEX(Tabledaily[العملـــة],MATCH(TableDailyJournal[[#This Row],[رقم العملية]],Tabledaily[رقم العملية],0))</f>
        <v>ريال يمني</v>
      </c>
      <c r="J292" s="59">
        <f>IFERROR(INDEX(Tabledaily[سعــــــر
الصـــــرف],MATCH(C292,Tabledaily[رقم العملية],0)),1)</f>
        <v>405</v>
      </c>
      <c r="K292" s="123" cm="1">
        <f t="array" ref="K292">IFERROR(INDEX(Tabledaily[المبلـــــــغ],MATCH(1,(TableDailyJournal[[#This Row],[رقم العملية]]=Tabledaily[رقم العملية])*(TableDailyJournal[[#This Row],[الحساب]]=Tabledaily[الحســاب المديــــن]),0)),0)</f>
        <v>116000</v>
      </c>
      <c r="L292" s="123" cm="1">
        <f t="array" ref="L292">IFERROR(INDEX(Tabledaily[المبلـــــــغ],MATCH(1,(TableDailyJournal[[#This Row],[رقم العملية]]=Tabledaily[رقم العملية])*(TableDailyJournal[[#This Row],[الحساب]]=Tabledaily[الحســاب الدئـــن]),0)),0)</f>
        <v>0</v>
      </c>
      <c r="M292" s="119">
        <f>IFERROR(TableDailyJournal[[#This Row],[المبلغ مدين]]/TableDailyJournal[[#This Row],[سعــــــر
الصـــــرف]],0)</f>
        <v>286.41975308641975</v>
      </c>
      <c r="N292" s="119">
        <f>IFERROR(TableDailyJournal[[#This Row],[المبلغ دائن]]/TableDailyJournal[[#This Row],[سعــــــر
الصـــــرف]],0)</f>
        <v>0</v>
      </c>
      <c r="O292" s="121" t="str">
        <f>INDEX(Tabledaily[المستفيــــــــد],MATCH(TableDailyJournal[[#This Row],[رقم العملية]],Tabledaily[رقم العملية],0))</f>
        <v>الامداد</v>
      </c>
      <c r="P292" s="121" t="str">
        <f>INDEX(Tabledaily[المــــرجـــــــــع],MATCH(TableDailyJournal[[#This Row],[رقم العملية]],Tabledaily[رقم العملية],0))</f>
        <v>كشف صرف</v>
      </c>
      <c r="Q292" s="121" t="str">
        <f>INDEX(Tabledaily[اســـــــم المــــرجــــع],MATCH(TableDailyJournal[[#This Row],[رقم العملية]],Tabledaily[رقم العملية],0))</f>
        <v>كشف صرف</v>
      </c>
      <c r="R292" s="121">
        <f>INDEX(Tabledaily[رقم المـــــرجـــع],MATCH(TableDailyJournal[[#This Row],[رقم العملية]],Tabledaily[رقم العملية],0))</f>
        <v>0</v>
      </c>
      <c r="S292" s="121" t="str">
        <f>INDEX(Tabledaily[مركـــــــزالتكلفــــــة],MATCH(TableDailyJournal[[#This Row],[رقم العملية]],Tabledaily[رقم العملية],0))</f>
        <v>الفرقة الثالثة</v>
      </c>
      <c r="T292" s="121">
        <f>IFERROR(INDEX(tablecost[رقم المركز],MATCH(TableDailyJournal[[#This Row],[مركـــــــزالتكلفــــــة]],tablecost[الاسم],0)),0)</f>
        <v>1</v>
      </c>
      <c r="U292" s="122">
        <f>IFERROR(DATE(TableDailyJournal[[#This Row],[السنــــة]],TableDailyJournal[[#This Row],[الشهــــر]],TableDailyJournal[[#This Row],[الـــــيوم]]),"01-01-2026")</f>
        <v>46184</v>
      </c>
      <c r="V292" s="126"/>
      <c r="W292" s="58"/>
      <c r="X292" s="58">
        <f>IFERROR(YEAR(TableDailyJournal[[#This Row],[التاريخ]]),"")</f>
        <v>2026</v>
      </c>
      <c r="Y292" s="58">
        <f>IFERROR(MONTH(TableDailyJournal[[#This Row],[التاريخ]]),"")</f>
        <v>6</v>
      </c>
      <c r="Z292" s="58">
        <f>IFERROR(DAY(TableDailyJournal[[#This Row],[التاريخ]]),"")</f>
        <v>11</v>
      </c>
      <c r="AA292"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292" s="121">
        <f>INDEX(Tabledaily[جهة الامر],MATCH(TableDailyJournal[[#This Row],[رقم العملية]],Tabledaily[رقم العملية],0))</f>
        <v>0</v>
      </c>
    </row>
    <row r="293" spans="2:28" ht="45.75" x14ac:dyDescent="0.55000000000000004">
      <c r="B293" s="58">
        <f t="shared" si="8"/>
        <v>289</v>
      </c>
      <c r="C293" s="59" t="s">
        <v>662</v>
      </c>
      <c r="D293" s="60">
        <f>INDEX(Tabledaily[date],MATCH(TableDailyJournal[[#This Row],[رقم العملية]],Tabledaily[رقم العملية],0))</f>
        <v>46184</v>
      </c>
      <c r="E293" s="58" t="str">
        <f>INDEX(Tabledaily[نوع العمليــة],MATCH(TableDailyJournal[[#This Row],[رقم العملية]],Tabledaily[رقم العملية],0))</f>
        <v>قيد عهده</v>
      </c>
      <c r="F293" s="58">
        <f>IFERROR(INDEX(TableJudje[رقم الحساب],MATCH(TableDailyJournal[[#This Row],[الحساب]],TableJudje[اسم الحساب],0)),0)</f>
        <v>11060205</v>
      </c>
      <c r="G293" s="58" t="s">
        <v>513</v>
      </c>
      <c r="H293"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293" s="60" t="str">
        <f>INDEX(Tabledaily[العملـــة],MATCH(TableDailyJournal[[#This Row],[رقم العملية]],Tabledaily[رقم العملية],0))</f>
        <v>ريال يمني</v>
      </c>
      <c r="J293" s="59">
        <f>IFERROR(INDEX(Tabledaily[سعــــــر
الصـــــرف],MATCH(C293,Tabledaily[رقم العملية],0)),1)</f>
        <v>405</v>
      </c>
      <c r="K293" s="123" cm="1">
        <f t="array" ref="K293">IFERROR(INDEX(Tabledaily[المبلـــــــغ],MATCH(1,(TableDailyJournal[[#This Row],[رقم العملية]]=Tabledaily[رقم العملية])*(TableDailyJournal[[#This Row],[الحساب]]=Tabledaily[الحســاب المديــــن]),0)),0)</f>
        <v>0</v>
      </c>
      <c r="L293" s="123" cm="1">
        <f t="array" ref="L293">IFERROR(INDEX(Tabledaily[المبلـــــــغ],MATCH(1,(TableDailyJournal[[#This Row],[رقم العملية]]=Tabledaily[رقم العملية])*(TableDailyJournal[[#This Row],[الحساب]]=Tabledaily[الحســاب الدئـــن]),0)),0)</f>
        <v>116000</v>
      </c>
      <c r="M293" s="119">
        <f>IFERROR(TableDailyJournal[[#This Row],[المبلغ مدين]]/TableDailyJournal[[#This Row],[سعــــــر
الصـــــرف]],0)</f>
        <v>0</v>
      </c>
      <c r="N293" s="119">
        <f>IFERROR(TableDailyJournal[[#This Row],[المبلغ دائن]]/TableDailyJournal[[#This Row],[سعــــــر
الصـــــرف]],0)</f>
        <v>286.41975308641975</v>
      </c>
      <c r="O293" s="121" t="str">
        <f>INDEX(Tabledaily[المستفيــــــــد],MATCH(TableDailyJournal[[#This Row],[رقم العملية]],Tabledaily[رقم العملية],0))</f>
        <v>الامداد</v>
      </c>
      <c r="P293" s="121" t="str">
        <f>INDEX(Tabledaily[المــــرجـــــــــع],MATCH(TableDailyJournal[[#This Row],[رقم العملية]],Tabledaily[رقم العملية],0))</f>
        <v>كشف صرف</v>
      </c>
      <c r="Q293" s="121" t="str">
        <f>INDEX(Tabledaily[اســـــــم المــــرجــــع],MATCH(TableDailyJournal[[#This Row],[رقم العملية]],Tabledaily[رقم العملية],0))</f>
        <v>كشف صرف</v>
      </c>
      <c r="R293" s="121">
        <f>INDEX(Tabledaily[رقم المـــــرجـــع],MATCH(TableDailyJournal[[#This Row],[رقم العملية]],Tabledaily[رقم العملية],0))</f>
        <v>0</v>
      </c>
      <c r="S293" s="121" t="str">
        <f>INDEX(Tabledaily[مركـــــــزالتكلفــــــة],MATCH(TableDailyJournal[[#This Row],[رقم العملية]],Tabledaily[رقم العملية],0))</f>
        <v>الفرقة الثالثة</v>
      </c>
      <c r="T293" s="121">
        <f>IFERROR(INDEX(tablecost[رقم المركز],MATCH(TableDailyJournal[[#This Row],[مركـــــــزالتكلفــــــة]],tablecost[الاسم],0)),0)</f>
        <v>1</v>
      </c>
      <c r="U293" s="122">
        <f>IFERROR(DATE(TableDailyJournal[[#This Row],[السنــــة]],TableDailyJournal[[#This Row],[الشهــــر]],TableDailyJournal[[#This Row],[الـــــيوم]]),"01-01-2026")</f>
        <v>46184</v>
      </c>
      <c r="V293" s="126"/>
      <c r="W293" s="58"/>
      <c r="X293" s="58">
        <f>IFERROR(YEAR(TableDailyJournal[[#This Row],[التاريخ]]),"")</f>
        <v>2026</v>
      </c>
      <c r="Y293" s="58">
        <f>IFERROR(MONTH(TableDailyJournal[[#This Row],[التاريخ]]),"")</f>
        <v>6</v>
      </c>
      <c r="Z293" s="58">
        <f>IFERROR(DAY(TableDailyJournal[[#This Row],[التاريخ]]),"")</f>
        <v>11</v>
      </c>
      <c r="AA293"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293" s="121">
        <f>INDEX(Tabledaily[جهة الامر],MATCH(TableDailyJournal[[#This Row],[رقم العملية]],Tabledaily[رقم العملية],0))</f>
        <v>0</v>
      </c>
    </row>
    <row r="294" spans="2:28" ht="45.75" x14ac:dyDescent="0.55000000000000004">
      <c r="B294" s="58">
        <f t="shared" si="8"/>
        <v>290</v>
      </c>
      <c r="C294" s="59" t="s">
        <v>664</v>
      </c>
      <c r="D294" s="60">
        <f>INDEX(Tabledaily[date],MATCH(TableDailyJournal[[#This Row],[رقم العملية]],Tabledaily[رقم العملية],0))</f>
        <v>46184</v>
      </c>
      <c r="E294" s="58" t="str">
        <f>INDEX(Tabledaily[نوع العمليــة],MATCH(TableDailyJournal[[#This Row],[رقم العملية]],Tabledaily[رقم العملية],0))</f>
        <v>قيد عهده</v>
      </c>
      <c r="F294" s="58">
        <f>IFERROR(INDEX(TableJudje[رقم الحساب],MATCH(TableDailyJournal[[#This Row],[الحساب]],TableJudje[اسم الحساب],0)),0)</f>
        <v>31010101</v>
      </c>
      <c r="G294" s="58" t="s">
        <v>111</v>
      </c>
      <c r="H294" s="61"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الاسبوعية سرية الشرطة عدد 56 بامر</v>
      </c>
      <c r="I294" s="60" t="str">
        <f>INDEX(Tabledaily[العملـــة],MATCH(TableDailyJournal[[#This Row],[رقم العملية]],Tabledaily[رقم العملية],0))</f>
        <v>ريال يمني</v>
      </c>
      <c r="J294" s="59">
        <f>IFERROR(INDEX(Tabledaily[سعــــــر
الصـــــرف],MATCH(C294,Tabledaily[رقم العملية],0)),1)</f>
        <v>405</v>
      </c>
      <c r="K294" s="123" cm="1">
        <f t="array" ref="K294">IFERROR(INDEX(Tabledaily[المبلـــــــغ],MATCH(1,(TableDailyJournal[[#This Row],[رقم العملية]]=Tabledaily[رقم العملية])*(TableDailyJournal[[#This Row],[الحساب]]=Tabledaily[الحســاب المديــــن]),0)),0)</f>
        <v>690000</v>
      </c>
      <c r="L294" s="123" cm="1">
        <f t="array" ref="L294">IFERROR(INDEX(Tabledaily[المبلـــــــغ],MATCH(1,(TableDailyJournal[[#This Row],[رقم العملية]]=Tabledaily[رقم العملية])*(TableDailyJournal[[#This Row],[الحساب]]=Tabledaily[الحســاب الدئـــن]),0)),0)</f>
        <v>0</v>
      </c>
      <c r="M294" s="119">
        <f>IFERROR(TableDailyJournal[[#This Row],[المبلغ مدين]]/TableDailyJournal[[#This Row],[سعــــــر
الصـــــرف]],0)</f>
        <v>1703.7037037037037</v>
      </c>
      <c r="N294" s="119">
        <f>IFERROR(TableDailyJournal[[#This Row],[المبلغ دائن]]/TableDailyJournal[[#This Row],[سعــــــر
الصـــــرف]],0)</f>
        <v>0</v>
      </c>
      <c r="O294" s="121" t="str">
        <f>INDEX(Tabledaily[المستفيــــــــد],MATCH(TableDailyJournal[[#This Row],[رقم العملية]],Tabledaily[رقم العملية],0))</f>
        <v>سرية الشرطة</v>
      </c>
      <c r="P294" s="121" t="str">
        <f>INDEX(Tabledaily[المــــرجـــــــــع],MATCH(TableDailyJournal[[#This Row],[رقم العملية]],Tabledaily[رقم العملية],0))</f>
        <v>كشف صرف</v>
      </c>
      <c r="Q294" s="121" t="str">
        <f>INDEX(Tabledaily[اســـــــم المــــرجــــع],MATCH(TableDailyJournal[[#This Row],[رقم العملية]],Tabledaily[رقم العملية],0))</f>
        <v>كشف صرف</v>
      </c>
      <c r="R294" s="121">
        <f>INDEX(Tabledaily[رقم المـــــرجـــع],MATCH(TableDailyJournal[[#This Row],[رقم العملية]],Tabledaily[رقم العملية],0))</f>
        <v>0</v>
      </c>
      <c r="S294" s="121" t="str">
        <f>INDEX(Tabledaily[مركـــــــزالتكلفــــــة],MATCH(TableDailyJournal[[#This Row],[رقم العملية]],Tabledaily[رقم العملية],0))</f>
        <v>الفرقة الثالثة</v>
      </c>
      <c r="T294" s="121">
        <f>IFERROR(INDEX(tablecost[رقم المركز],MATCH(TableDailyJournal[[#This Row],[مركـــــــزالتكلفــــــة]],tablecost[الاسم],0)),0)</f>
        <v>1</v>
      </c>
      <c r="U294" s="122">
        <f>IFERROR(DATE(TableDailyJournal[[#This Row],[السنــــة]],TableDailyJournal[[#This Row],[الشهــــر]],TableDailyJournal[[#This Row],[الـــــيوم]]),"01-01-2026")</f>
        <v>46184</v>
      </c>
      <c r="V294" s="126"/>
      <c r="W294" s="58"/>
      <c r="X294" s="58">
        <f>IFERROR(YEAR(TableDailyJournal[[#This Row],[التاريخ]]),"")</f>
        <v>2026</v>
      </c>
      <c r="Y294" s="58">
        <f>IFERROR(MONTH(TableDailyJournal[[#This Row],[التاريخ]]),"")</f>
        <v>6</v>
      </c>
      <c r="Z294" s="58">
        <f>IFERROR(DAY(TableDailyJournal[[#This Row],[التاريخ]]),"")</f>
        <v>11</v>
      </c>
      <c r="AA294" s="126"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الاسبوعية سرية الشرطة عدد 56 بامر</v>
      </c>
      <c r="AB294" s="121">
        <f>INDEX(Tabledaily[جهة الامر],MATCH(TableDailyJournal[[#This Row],[رقم العملية]],Tabledaily[رقم العملية],0))</f>
        <v>0</v>
      </c>
    </row>
    <row r="295" spans="2:28" ht="45.75" x14ac:dyDescent="0.55000000000000004">
      <c r="B295" s="58">
        <f t="shared" si="8"/>
        <v>291</v>
      </c>
      <c r="C295" s="59" t="s">
        <v>664</v>
      </c>
      <c r="D295" s="60">
        <f>INDEX(Tabledaily[date],MATCH(TableDailyJournal[[#This Row],[رقم العملية]],Tabledaily[رقم العملية],0))</f>
        <v>46184</v>
      </c>
      <c r="E295" s="58" t="str">
        <f>INDEX(Tabledaily[نوع العمليــة],MATCH(TableDailyJournal[[#This Row],[رقم العملية]],Tabledaily[رقم العملية],0))</f>
        <v>قيد عهده</v>
      </c>
      <c r="F295" s="58">
        <f>IFERROR(INDEX(TableJudje[رقم الحساب],MATCH(TableDailyJournal[[#This Row],[الحساب]],TableJudje[اسم الحساب],0)),0)</f>
        <v>11060205</v>
      </c>
      <c r="G295" s="58" t="s">
        <v>513</v>
      </c>
      <c r="H295" s="61"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الاسبوعية سرية الشرطة عدد 56 بامر</v>
      </c>
      <c r="I295" s="60" t="str">
        <f>INDEX(Tabledaily[العملـــة],MATCH(TableDailyJournal[[#This Row],[رقم العملية]],Tabledaily[رقم العملية],0))</f>
        <v>ريال يمني</v>
      </c>
      <c r="J295" s="59">
        <f>IFERROR(INDEX(Tabledaily[سعــــــر
الصـــــرف],MATCH(C295,Tabledaily[رقم العملية],0)),1)</f>
        <v>405</v>
      </c>
      <c r="K295" s="123" cm="1">
        <f t="array" ref="K295">IFERROR(INDEX(Tabledaily[المبلـــــــغ],MATCH(1,(TableDailyJournal[[#This Row],[رقم العملية]]=Tabledaily[رقم العملية])*(TableDailyJournal[[#This Row],[الحساب]]=Tabledaily[الحســاب المديــــن]),0)),0)</f>
        <v>0</v>
      </c>
      <c r="L295" s="123" cm="1">
        <f t="array" ref="L295">IFERROR(INDEX(Tabledaily[المبلـــــــغ],MATCH(1,(TableDailyJournal[[#This Row],[رقم العملية]]=Tabledaily[رقم العملية])*(TableDailyJournal[[#This Row],[الحساب]]=Tabledaily[الحســاب الدئـــن]),0)),0)</f>
        <v>690000</v>
      </c>
      <c r="M295" s="119">
        <f>IFERROR(TableDailyJournal[[#This Row],[المبلغ مدين]]/TableDailyJournal[[#This Row],[سعــــــر
الصـــــرف]],0)</f>
        <v>0</v>
      </c>
      <c r="N295" s="119">
        <f>IFERROR(TableDailyJournal[[#This Row],[المبلغ دائن]]/TableDailyJournal[[#This Row],[سعــــــر
الصـــــرف]],0)</f>
        <v>1703.7037037037037</v>
      </c>
      <c r="O295" s="121" t="str">
        <f>INDEX(Tabledaily[المستفيــــــــد],MATCH(TableDailyJournal[[#This Row],[رقم العملية]],Tabledaily[رقم العملية],0))</f>
        <v>سرية الشرطة</v>
      </c>
      <c r="P295" s="121" t="str">
        <f>INDEX(Tabledaily[المــــرجـــــــــع],MATCH(TableDailyJournal[[#This Row],[رقم العملية]],Tabledaily[رقم العملية],0))</f>
        <v>كشف صرف</v>
      </c>
      <c r="Q295" s="121" t="str">
        <f>INDEX(Tabledaily[اســـــــم المــــرجــــع],MATCH(TableDailyJournal[[#This Row],[رقم العملية]],Tabledaily[رقم العملية],0))</f>
        <v>كشف صرف</v>
      </c>
      <c r="R295" s="121">
        <f>INDEX(Tabledaily[رقم المـــــرجـــع],MATCH(TableDailyJournal[[#This Row],[رقم العملية]],Tabledaily[رقم العملية],0))</f>
        <v>0</v>
      </c>
      <c r="S295" s="121" t="str">
        <f>INDEX(Tabledaily[مركـــــــزالتكلفــــــة],MATCH(TableDailyJournal[[#This Row],[رقم العملية]],Tabledaily[رقم العملية],0))</f>
        <v>الفرقة الثالثة</v>
      </c>
      <c r="T295" s="121">
        <f>IFERROR(INDEX(tablecost[رقم المركز],MATCH(TableDailyJournal[[#This Row],[مركـــــــزالتكلفــــــة]],tablecost[الاسم],0)),0)</f>
        <v>1</v>
      </c>
      <c r="U295" s="122">
        <f>IFERROR(DATE(TableDailyJournal[[#This Row],[السنــــة]],TableDailyJournal[[#This Row],[الشهــــر]],TableDailyJournal[[#This Row],[الـــــيوم]]),"01-01-2026")</f>
        <v>46184</v>
      </c>
      <c r="V295" s="126"/>
      <c r="W295" s="58"/>
      <c r="X295" s="58">
        <f>IFERROR(YEAR(TableDailyJournal[[#This Row],[التاريخ]]),"")</f>
        <v>2026</v>
      </c>
      <c r="Y295" s="58">
        <f>IFERROR(MONTH(TableDailyJournal[[#This Row],[التاريخ]]),"")</f>
        <v>6</v>
      </c>
      <c r="Z295" s="58">
        <f>IFERROR(DAY(TableDailyJournal[[#This Row],[التاريخ]]),"")</f>
        <v>11</v>
      </c>
      <c r="AA295" s="126"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الاسبوعية سرية الشرطة عدد 56 بامر</v>
      </c>
      <c r="AB295" s="121">
        <f>INDEX(Tabledaily[جهة الامر],MATCH(TableDailyJournal[[#This Row],[رقم العملية]],Tabledaily[رقم العملية],0))</f>
        <v>0</v>
      </c>
    </row>
    <row r="296" spans="2:28" ht="45.75" x14ac:dyDescent="0.55000000000000004">
      <c r="B296" s="58">
        <f t="shared" ref="B296:B327" si="9">ROW()-4</f>
        <v>292</v>
      </c>
      <c r="C296" s="59" t="s">
        <v>666</v>
      </c>
      <c r="D296" s="60">
        <f>INDEX(Tabledaily[date],MATCH(TableDailyJournal[[#This Row],[رقم العملية]],Tabledaily[رقم العملية],0))</f>
        <v>46184</v>
      </c>
      <c r="E296" s="58" t="str">
        <f>INDEX(Tabledaily[نوع العمليــة],MATCH(TableDailyJournal[[#This Row],[رقم العملية]],Tabledaily[رقم العملية],0))</f>
        <v>قيد عهده</v>
      </c>
      <c r="F296" s="58">
        <f>IFERROR(INDEX(TableJudje[رقم الحساب],MATCH(TableDailyJournal[[#This Row],[الحساب]],TableJudje[اسم الحساب],0)),0)</f>
        <v>31010101</v>
      </c>
      <c r="G296" s="58" t="s">
        <v>111</v>
      </c>
      <c r="H296"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296" s="60" t="str">
        <f>INDEX(Tabledaily[العملـــة],MATCH(TableDailyJournal[[#This Row],[رقم العملية]],Tabledaily[رقم العملية],0))</f>
        <v>ريال يمني</v>
      </c>
      <c r="J296" s="59">
        <f>IFERROR(INDEX(Tabledaily[سعــــــر
الصـــــرف],MATCH(C296,Tabledaily[رقم العملية],0)),1)</f>
        <v>405</v>
      </c>
      <c r="K296" s="123" cm="1">
        <f t="array" ref="K296">IFERROR(INDEX(Tabledaily[المبلـــــــغ],MATCH(1,(TableDailyJournal[[#This Row],[رقم العملية]]=Tabledaily[رقم العملية])*(TableDailyJournal[[#This Row],[الحساب]]=Tabledaily[الحســاب المديــــن]),0)),0)</f>
        <v>30000</v>
      </c>
      <c r="L296" s="123" cm="1">
        <f t="array" ref="L296">IFERROR(INDEX(Tabledaily[المبلـــــــغ],MATCH(1,(TableDailyJournal[[#This Row],[رقم العملية]]=Tabledaily[رقم العملية])*(TableDailyJournal[[#This Row],[الحساب]]=Tabledaily[الحســاب الدئـــن]),0)),0)</f>
        <v>0</v>
      </c>
      <c r="M296" s="119">
        <f>IFERROR(TableDailyJournal[[#This Row],[المبلغ مدين]]/TableDailyJournal[[#This Row],[سعــــــر
الصـــــرف]],0)</f>
        <v>74.074074074074076</v>
      </c>
      <c r="N296" s="119">
        <f>IFERROR(TableDailyJournal[[#This Row],[المبلغ دائن]]/TableDailyJournal[[#This Row],[سعــــــر
الصـــــرف]],0)</f>
        <v>0</v>
      </c>
      <c r="O296" s="121" t="str">
        <f>INDEX(Tabledaily[المستفيــــــــد],MATCH(TableDailyJournal[[#This Row],[رقم العملية]],Tabledaily[رقم العملية],0))</f>
        <v>البشرية و الصراف</v>
      </c>
      <c r="P296" s="121" t="str">
        <f>INDEX(Tabledaily[المــــرجـــــــــع],MATCH(TableDailyJournal[[#This Row],[رقم العملية]],Tabledaily[رقم العملية],0))</f>
        <v>كشف صرف</v>
      </c>
      <c r="Q296" s="121" t="str">
        <f>INDEX(Tabledaily[اســـــــم المــــرجــــع],MATCH(TableDailyJournal[[#This Row],[رقم العملية]],Tabledaily[رقم العملية],0))</f>
        <v>كشف صرف</v>
      </c>
      <c r="R296" s="121">
        <f>INDEX(Tabledaily[رقم المـــــرجـــع],MATCH(TableDailyJournal[[#This Row],[رقم العملية]],Tabledaily[رقم العملية],0))</f>
        <v>0</v>
      </c>
      <c r="S296" s="121" t="str">
        <f>INDEX(Tabledaily[مركـــــــزالتكلفــــــة],MATCH(TableDailyJournal[[#This Row],[رقم العملية]],Tabledaily[رقم العملية],0))</f>
        <v>الفرقة الثالثة</v>
      </c>
      <c r="T296" s="121">
        <f>IFERROR(INDEX(tablecost[رقم المركز],MATCH(TableDailyJournal[[#This Row],[مركـــــــزالتكلفــــــة]],tablecost[الاسم],0)),0)</f>
        <v>1</v>
      </c>
      <c r="U296" s="122">
        <f>IFERROR(DATE(TableDailyJournal[[#This Row],[السنــــة]],TableDailyJournal[[#This Row],[الشهــــر]],TableDailyJournal[[#This Row],[الـــــيوم]]),"01-01-2026")</f>
        <v>46184</v>
      </c>
      <c r="V296" s="126"/>
      <c r="W296" s="58"/>
      <c r="X296" s="58">
        <f>IFERROR(YEAR(TableDailyJournal[[#This Row],[التاريخ]]),"")</f>
        <v>2026</v>
      </c>
      <c r="Y296" s="58">
        <f>IFERROR(MONTH(TableDailyJournal[[#This Row],[التاريخ]]),"")</f>
        <v>6</v>
      </c>
      <c r="Z296" s="58">
        <f>IFERROR(DAY(TableDailyJournal[[#This Row],[التاريخ]]),"")</f>
        <v>11</v>
      </c>
      <c r="AA296"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296" s="121">
        <f>INDEX(Tabledaily[جهة الامر],MATCH(TableDailyJournal[[#This Row],[رقم العملية]],Tabledaily[رقم العملية],0))</f>
        <v>0</v>
      </c>
    </row>
    <row r="297" spans="2:28" ht="45.75" x14ac:dyDescent="0.55000000000000004">
      <c r="B297" s="58">
        <f t="shared" si="9"/>
        <v>293</v>
      </c>
      <c r="C297" s="59" t="s">
        <v>666</v>
      </c>
      <c r="D297" s="60">
        <f>INDEX(Tabledaily[date],MATCH(TableDailyJournal[[#This Row],[رقم العملية]],Tabledaily[رقم العملية],0))</f>
        <v>46184</v>
      </c>
      <c r="E297" s="58" t="str">
        <f>INDEX(Tabledaily[نوع العمليــة],MATCH(TableDailyJournal[[#This Row],[رقم العملية]],Tabledaily[رقم العملية],0))</f>
        <v>قيد عهده</v>
      </c>
      <c r="F297" s="58">
        <f>IFERROR(INDEX(TableJudje[رقم الحساب],MATCH(TableDailyJournal[[#This Row],[الحساب]],TableJudje[اسم الحساب],0)),0)</f>
        <v>11060205</v>
      </c>
      <c r="G297" s="58" t="s">
        <v>513</v>
      </c>
      <c r="H297"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297" s="60" t="str">
        <f>INDEX(Tabledaily[العملـــة],MATCH(TableDailyJournal[[#This Row],[رقم العملية]],Tabledaily[رقم العملية],0))</f>
        <v>ريال يمني</v>
      </c>
      <c r="J297" s="59">
        <f>IFERROR(INDEX(Tabledaily[سعــــــر
الصـــــرف],MATCH(C297,Tabledaily[رقم العملية],0)),1)</f>
        <v>405</v>
      </c>
      <c r="K297" s="123" cm="1">
        <f t="array" ref="K297">IFERROR(INDEX(Tabledaily[المبلـــــــغ],MATCH(1,(TableDailyJournal[[#This Row],[رقم العملية]]=Tabledaily[رقم العملية])*(TableDailyJournal[[#This Row],[الحساب]]=Tabledaily[الحســاب المديــــن]),0)),0)</f>
        <v>0</v>
      </c>
      <c r="L297" s="123" cm="1">
        <f t="array" ref="L297">IFERROR(INDEX(Tabledaily[المبلـــــــغ],MATCH(1,(TableDailyJournal[[#This Row],[رقم العملية]]=Tabledaily[رقم العملية])*(TableDailyJournal[[#This Row],[الحساب]]=Tabledaily[الحســاب الدئـــن]),0)),0)</f>
        <v>30000</v>
      </c>
      <c r="M297" s="119">
        <f>IFERROR(TableDailyJournal[[#This Row],[المبلغ مدين]]/TableDailyJournal[[#This Row],[سعــــــر
الصـــــرف]],0)</f>
        <v>0</v>
      </c>
      <c r="N297" s="119">
        <f>IFERROR(TableDailyJournal[[#This Row],[المبلغ دائن]]/TableDailyJournal[[#This Row],[سعــــــر
الصـــــرف]],0)</f>
        <v>74.074074074074076</v>
      </c>
      <c r="O297" s="121" t="str">
        <f>INDEX(Tabledaily[المستفيــــــــد],MATCH(TableDailyJournal[[#This Row],[رقم العملية]],Tabledaily[رقم العملية],0))</f>
        <v>البشرية و الصراف</v>
      </c>
      <c r="P297" s="121" t="str">
        <f>INDEX(Tabledaily[المــــرجـــــــــع],MATCH(TableDailyJournal[[#This Row],[رقم العملية]],Tabledaily[رقم العملية],0))</f>
        <v>كشف صرف</v>
      </c>
      <c r="Q297" s="121" t="str">
        <f>INDEX(Tabledaily[اســـــــم المــــرجــــع],MATCH(TableDailyJournal[[#This Row],[رقم العملية]],Tabledaily[رقم العملية],0))</f>
        <v>كشف صرف</v>
      </c>
      <c r="R297" s="121">
        <f>INDEX(Tabledaily[رقم المـــــرجـــع],MATCH(TableDailyJournal[[#This Row],[رقم العملية]],Tabledaily[رقم العملية],0))</f>
        <v>0</v>
      </c>
      <c r="S297" s="121" t="str">
        <f>INDEX(Tabledaily[مركـــــــزالتكلفــــــة],MATCH(TableDailyJournal[[#This Row],[رقم العملية]],Tabledaily[رقم العملية],0))</f>
        <v>الفرقة الثالثة</v>
      </c>
      <c r="T297" s="121">
        <f>IFERROR(INDEX(tablecost[رقم المركز],MATCH(TableDailyJournal[[#This Row],[مركـــــــزالتكلفــــــة]],tablecost[الاسم],0)),0)</f>
        <v>1</v>
      </c>
      <c r="U297" s="122">
        <f>IFERROR(DATE(TableDailyJournal[[#This Row],[السنــــة]],TableDailyJournal[[#This Row],[الشهــــر]],TableDailyJournal[[#This Row],[الـــــيوم]]),"01-01-2026")</f>
        <v>46184</v>
      </c>
      <c r="V297" s="126"/>
      <c r="W297" s="58"/>
      <c r="X297" s="58">
        <f>IFERROR(YEAR(TableDailyJournal[[#This Row],[التاريخ]]),"")</f>
        <v>2026</v>
      </c>
      <c r="Y297" s="58">
        <f>IFERROR(MONTH(TableDailyJournal[[#This Row],[التاريخ]]),"")</f>
        <v>6</v>
      </c>
      <c r="Z297" s="58">
        <f>IFERROR(DAY(TableDailyJournal[[#This Row],[التاريخ]]),"")</f>
        <v>11</v>
      </c>
      <c r="AA297"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297" s="121">
        <f>INDEX(Tabledaily[جهة الامر],MATCH(TableDailyJournal[[#This Row],[رقم العملية]],Tabledaily[رقم العملية],0))</f>
        <v>0</v>
      </c>
    </row>
    <row r="298" spans="2:28" ht="45.75" x14ac:dyDescent="0.55000000000000004">
      <c r="B298" s="58">
        <f t="shared" si="9"/>
        <v>294</v>
      </c>
      <c r="C298" s="59" t="s">
        <v>667</v>
      </c>
      <c r="D298" s="60">
        <f>INDEX(Tabledaily[date],MATCH(TableDailyJournal[[#This Row],[رقم العملية]],Tabledaily[رقم العملية],0))</f>
        <v>46184</v>
      </c>
      <c r="E298" s="58" t="str">
        <f>INDEX(Tabledaily[نوع العمليــة],MATCH(TableDailyJournal[[#This Row],[رقم العملية]],Tabledaily[رقم العملية],0))</f>
        <v>قيد عهده</v>
      </c>
      <c r="F298" s="58">
        <f>IFERROR(INDEX(TableJudje[رقم الحساب],MATCH(TableDailyJournal[[#This Row],[الحساب]],TableJudje[اسم الحساب],0)),0)</f>
        <v>31010101</v>
      </c>
      <c r="G298" s="58" t="s">
        <v>111</v>
      </c>
      <c r="H298"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298" s="60" t="str">
        <f>INDEX(Tabledaily[العملـــة],MATCH(TableDailyJournal[[#This Row],[رقم العملية]],Tabledaily[رقم العملية],0))</f>
        <v>ريال يمني</v>
      </c>
      <c r="J298" s="59">
        <f>IFERROR(INDEX(Tabledaily[سعــــــر
الصـــــرف],MATCH(C298,Tabledaily[رقم العملية],0)),1)</f>
        <v>405</v>
      </c>
      <c r="K298" s="123" cm="1">
        <f t="array" ref="K298">IFERROR(INDEX(Tabledaily[المبلـــــــغ],MATCH(1,(TableDailyJournal[[#This Row],[رقم العملية]]=Tabledaily[رقم العملية])*(TableDailyJournal[[#This Row],[الحساب]]=Tabledaily[الحســاب المديــــن]),0)),0)</f>
        <v>65000</v>
      </c>
      <c r="L298" s="123" cm="1">
        <f t="array" ref="L298">IFERROR(INDEX(Tabledaily[المبلـــــــغ],MATCH(1,(TableDailyJournal[[#This Row],[رقم العملية]]=Tabledaily[رقم العملية])*(TableDailyJournal[[#This Row],[الحساب]]=Tabledaily[الحســاب الدئـــن]),0)),0)</f>
        <v>0</v>
      </c>
      <c r="M298" s="119">
        <f>IFERROR(TableDailyJournal[[#This Row],[المبلغ مدين]]/TableDailyJournal[[#This Row],[سعــــــر
الصـــــرف]],0)</f>
        <v>160.49382716049382</v>
      </c>
      <c r="N298" s="119">
        <f>IFERROR(TableDailyJournal[[#This Row],[المبلغ دائن]]/TableDailyJournal[[#This Row],[سعــــــر
الصـــــرف]],0)</f>
        <v>0</v>
      </c>
      <c r="O298" s="121" t="str">
        <f>INDEX(Tabledaily[المستفيــــــــد],MATCH(TableDailyJournal[[#This Row],[رقم العملية]],Tabledaily[رقم العملية],0))</f>
        <v>الاستخبارات</v>
      </c>
      <c r="P298" s="121" t="str">
        <f>INDEX(Tabledaily[المــــرجـــــــــع],MATCH(TableDailyJournal[[#This Row],[رقم العملية]],Tabledaily[رقم العملية],0))</f>
        <v>كشف صرف</v>
      </c>
      <c r="Q298" s="121" t="str">
        <f>INDEX(Tabledaily[اســـــــم المــــرجــــع],MATCH(TableDailyJournal[[#This Row],[رقم العملية]],Tabledaily[رقم العملية],0))</f>
        <v>كشف صرف</v>
      </c>
      <c r="R298" s="121">
        <f>INDEX(Tabledaily[رقم المـــــرجـــع],MATCH(TableDailyJournal[[#This Row],[رقم العملية]],Tabledaily[رقم العملية],0))</f>
        <v>0</v>
      </c>
      <c r="S298" s="121" t="str">
        <f>INDEX(Tabledaily[مركـــــــزالتكلفــــــة],MATCH(TableDailyJournal[[#This Row],[رقم العملية]],Tabledaily[رقم العملية],0))</f>
        <v>الفرقة الثالثة</v>
      </c>
      <c r="T298" s="121">
        <f>IFERROR(INDEX(tablecost[رقم المركز],MATCH(TableDailyJournal[[#This Row],[مركـــــــزالتكلفــــــة]],tablecost[الاسم],0)),0)</f>
        <v>1</v>
      </c>
      <c r="U298" s="122">
        <f>IFERROR(DATE(TableDailyJournal[[#This Row],[السنــــة]],TableDailyJournal[[#This Row],[الشهــــر]],TableDailyJournal[[#This Row],[الـــــيوم]]),"01-01-2026")</f>
        <v>46184</v>
      </c>
      <c r="V298" s="126"/>
      <c r="W298" s="58"/>
      <c r="X298" s="58">
        <f>IFERROR(YEAR(TableDailyJournal[[#This Row],[التاريخ]]),"")</f>
        <v>2026</v>
      </c>
      <c r="Y298" s="58">
        <f>IFERROR(MONTH(TableDailyJournal[[#This Row],[التاريخ]]),"")</f>
        <v>6</v>
      </c>
      <c r="Z298" s="58">
        <f>IFERROR(DAY(TableDailyJournal[[#This Row],[التاريخ]]),"")</f>
        <v>11</v>
      </c>
      <c r="AA298"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298" s="121">
        <f>INDEX(Tabledaily[جهة الامر],MATCH(TableDailyJournal[[#This Row],[رقم العملية]],Tabledaily[رقم العملية],0))</f>
        <v>0</v>
      </c>
    </row>
    <row r="299" spans="2:28" ht="45.75" x14ac:dyDescent="0.55000000000000004">
      <c r="B299" s="58">
        <f t="shared" si="9"/>
        <v>295</v>
      </c>
      <c r="C299" s="59" t="s">
        <v>667</v>
      </c>
      <c r="D299" s="60">
        <f>INDEX(Tabledaily[date],MATCH(TableDailyJournal[[#This Row],[رقم العملية]],Tabledaily[رقم العملية],0))</f>
        <v>46184</v>
      </c>
      <c r="E299" s="58" t="str">
        <f>INDEX(Tabledaily[نوع العمليــة],MATCH(TableDailyJournal[[#This Row],[رقم العملية]],Tabledaily[رقم العملية],0))</f>
        <v>قيد عهده</v>
      </c>
      <c r="F299" s="58">
        <f>IFERROR(INDEX(TableJudje[رقم الحساب],MATCH(TableDailyJournal[[#This Row],[الحساب]],TableJudje[اسم الحساب],0)),0)</f>
        <v>11060205</v>
      </c>
      <c r="G299" s="58" t="s">
        <v>513</v>
      </c>
      <c r="H299"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299" s="60" t="str">
        <f>INDEX(Tabledaily[العملـــة],MATCH(TableDailyJournal[[#This Row],[رقم العملية]],Tabledaily[رقم العملية],0))</f>
        <v>ريال يمني</v>
      </c>
      <c r="J299" s="59">
        <f>IFERROR(INDEX(Tabledaily[سعــــــر
الصـــــرف],MATCH(C299,Tabledaily[رقم العملية],0)),1)</f>
        <v>405</v>
      </c>
      <c r="K299" s="123" cm="1">
        <f t="array" ref="K299">IFERROR(INDEX(Tabledaily[المبلـــــــغ],MATCH(1,(TableDailyJournal[[#This Row],[رقم العملية]]=Tabledaily[رقم العملية])*(TableDailyJournal[[#This Row],[الحساب]]=Tabledaily[الحســاب المديــــن]),0)),0)</f>
        <v>0</v>
      </c>
      <c r="L299" s="123" cm="1">
        <f t="array" ref="L299">IFERROR(INDEX(Tabledaily[المبلـــــــغ],MATCH(1,(TableDailyJournal[[#This Row],[رقم العملية]]=Tabledaily[رقم العملية])*(TableDailyJournal[[#This Row],[الحساب]]=Tabledaily[الحســاب الدئـــن]),0)),0)</f>
        <v>65000</v>
      </c>
      <c r="M299" s="119">
        <f>IFERROR(TableDailyJournal[[#This Row],[المبلغ مدين]]/TableDailyJournal[[#This Row],[سعــــــر
الصـــــرف]],0)</f>
        <v>0</v>
      </c>
      <c r="N299" s="119">
        <f>IFERROR(TableDailyJournal[[#This Row],[المبلغ دائن]]/TableDailyJournal[[#This Row],[سعــــــر
الصـــــرف]],0)</f>
        <v>160.49382716049382</v>
      </c>
      <c r="O299" s="121" t="str">
        <f>INDEX(Tabledaily[المستفيــــــــد],MATCH(TableDailyJournal[[#This Row],[رقم العملية]],Tabledaily[رقم العملية],0))</f>
        <v>الاستخبارات</v>
      </c>
      <c r="P299" s="121" t="str">
        <f>INDEX(Tabledaily[المــــرجـــــــــع],MATCH(TableDailyJournal[[#This Row],[رقم العملية]],Tabledaily[رقم العملية],0))</f>
        <v>كشف صرف</v>
      </c>
      <c r="Q299" s="121" t="str">
        <f>INDEX(Tabledaily[اســـــــم المــــرجــــع],MATCH(TableDailyJournal[[#This Row],[رقم العملية]],Tabledaily[رقم العملية],0))</f>
        <v>كشف صرف</v>
      </c>
      <c r="R299" s="121">
        <f>INDEX(Tabledaily[رقم المـــــرجـــع],MATCH(TableDailyJournal[[#This Row],[رقم العملية]],Tabledaily[رقم العملية],0))</f>
        <v>0</v>
      </c>
      <c r="S299" s="121" t="str">
        <f>INDEX(Tabledaily[مركـــــــزالتكلفــــــة],MATCH(TableDailyJournal[[#This Row],[رقم العملية]],Tabledaily[رقم العملية],0))</f>
        <v>الفرقة الثالثة</v>
      </c>
      <c r="T299" s="121">
        <f>IFERROR(INDEX(tablecost[رقم المركز],MATCH(TableDailyJournal[[#This Row],[مركـــــــزالتكلفــــــة]],tablecost[الاسم],0)),0)</f>
        <v>1</v>
      </c>
      <c r="U299" s="122">
        <f>IFERROR(DATE(TableDailyJournal[[#This Row],[السنــــة]],TableDailyJournal[[#This Row],[الشهــــر]],TableDailyJournal[[#This Row],[الـــــيوم]]),"01-01-2026")</f>
        <v>46184</v>
      </c>
      <c r="V299" s="126"/>
      <c r="W299" s="58"/>
      <c r="X299" s="58">
        <f>IFERROR(YEAR(TableDailyJournal[[#This Row],[التاريخ]]),"")</f>
        <v>2026</v>
      </c>
      <c r="Y299" s="58">
        <f>IFERROR(MONTH(TableDailyJournal[[#This Row],[التاريخ]]),"")</f>
        <v>6</v>
      </c>
      <c r="Z299" s="58">
        <f>IFERROR(DAY(TableDailyJournal[[#This Row],[التاريخ]]),"")</f>
        <v>11</v>
      </c>
      <c r="AA299"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299" s="121">
        <f>INDEX(Tabledaily[جهة الامر],MATCH(TableDailyJournal[[#This Row],[رقم العملية]],Tabledaily[رقم العملية],0))</f>
        <v>0</v>
      </c>
    </row>
    <row r="300" spans="2:28" ht="45.75" x14ac:dyDescent="0.55000000000000004">
      <c r="B300" s="58">
        <f t="shared" si="9"/>
        <v>296</v>
      </c>
      <c r="C300" s="59" t="s">
        <v>668</v>
      </c>
      <c r="D300" s="60">
        <f>INDEX(Tabledaily[date],MATCH(TableDailyJournal[[#This Row],[رقم العملية]],Tabledaily[رقم العملية],0))</f>
        <v>46184</v>
      </c>
      <c r="E300" s="58" t="str">
        <f>INDEX(Tabledaily[نوع العمليــة],MATCH(TableDailyJournal[[#This Row],[رقم العملية]],Tabledaily[رقم العملية],0))</f>
        <v>قيد عهده</v>
      </c>
      <c r="F300" s="58">
        <f>IFERROR(INDEX(TableJudje[رقم الحساب],MATCH(TableDailyJournal[[#This Row],[الحساب]],TableJudje[اسم الحساب],0)),0)</f>
        <v>31010101</v>
      </c>
      <c r="G300" s="58" t="s">
        <v>111</v>
      </c>
      <c r="H300"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I300" s="60" t="str">
        <f>INDEX(Tabledaily[العملـــة],MATCH(TableDailyJournal[[#This Row],[رقم العملية]],Tabledaily[رقم العملية],0))</f>
        <v>ريال يمني</v>
      </c>
      <c r="J300" s="59">
        <f>IFERROR(INDEX(Tabledaily[سعــــــر
الصـــــرف],MATCH(C300,Tabledaily[رقم العملية],0)),1)</f>
        <v>405</v>
      </c>
      <c r="K300" s="123" cm="1">
        <f t="array" ref="K300">IFERROR(INDEX(Tabledaily[المبلـــــــغ],MATCH(1,(TableDailyJournal[[#This Row],[رقم العملية]]=Tabledaily[رقم العملية])*(TableDailyJournal[[#This Row],[الحساب]]=Tabledaily[الحســاب المديــــن]),0)),0)</f>
        <v>30000</v>
      </c>
      <c r="L300" s="123" cm="1">
        <f t="array" ref="L300">IFERROR(INDEX(Tabledaily[المبلـــــــغ],MATCH(1,(TableDailyJournal[[#This Row],[رقم العملية]]=Tabledaily[رقم العملية])*(TableDailyJournal[[#This Row],[الحساب]]=Tabledaily[الحســاب الدئـــن]),0)),0)</f>
        <v>0</v>
      </c>
      <c r="M300" s="119">
        <f>IFERROR(TableDailyJournal[[#This Row],[المبلغ مدين]]/TableDailyJournal[[#This Row],[سعــــــر
الصـــــرف]],0)</f>
        <v>74.074074074074076</v>
      </c>
      <c r="N300" s="119">
        <f>IFERROR(TableDailyJournal[[#This Row],[المبلغ دائن]]/TableDailyJournal[[#This Row],[سعــــــر
الصـــــرف]],0)</f>
        <v>0</v>
      </c>
      <c r="O300" s="121" t="str">
        <f>INDEX(Tabledaily[المستفيــــــــد],MATCH(TableDailyJournal[[#This Row],[رقم العملية]],Tabledaily[رقم العملية],0))</f>
        <v>المدفعية</v>
      </c>
      <c r="P300" s="121" t="str">
        <f>INDEX(Tabledaily[المــــرجـــــــــع],MATCH(TableDailyJournal[[#This Row],[رقم العملية]],Tabledaily[رقم العملية],0))</f>
        <v>كشف صرف</v>
      </c>
      <c r="Q300" s="121" t="str">
        <f>INDEX(Tabledaily[اســـــــم المــــرجــــع],MATCH(TableDailyJournal[[#This Row],[رقم العملية]],Tabledaily[رقم العملية],0))</f>
        <v>كشف صرف</v>
      </c>
      <c r="R300" s="121">
        <f>INDEX(Tabledaily[رقم المـــــرجـــع],MATCH(TableDailyJournal[[#This Row],[رقم العملية]],Tabledaily[رقم العملية],0))</f>
        <v>0</v>
      </c>
      <c r="S300" s="121" t="str">
        <f>INDEX(Tabledaily[مركـــــــزالتكلفــــــة],MATCH(TableDailyJournal[[#This Row],[رقم العملية]],Tabledaily[رقم العملية],0))</f>
        <v>الفرقة الثالثة</v>
      </c>
      <c r="T300" s="121">
        <f>IFERROR(INDEX(tablecost[رقم المركز],MATCH(TableDailyJournal[[#This Row],[مركـــــــزالتكلفــــــة]],tablecost[الاسم],0)),0)</f>
        <v>1</v>
      </c>
      <c r="U300" s="122">
        <f>IFERROR(DATE(TableDailyJournal[[#This Row],[السنــــة]],TableDailyJournal[[#This Row],[الشهــــر]],TableDailyJournal[[#This Row],[الـــــيوم]]),"01-01-2026")</f>
        <v>46184</v>
      </c>
      <c r="V300" s="126"/>
      <c r="W300" s="58"/>
      <c r="X300" s="58">
        <f>IFERROR(YEAR(TableDailyJournal[[#This Row],[التاريخ]]),"")</f>
        <v>2026</v>
      </c>
      <c r="Y300" s="58">
        <f>IFERROR(MONTH(TableDailyJournal[[#This Row],[التاريخ]]),"")</f>
        <v>6</v>
      </c>
      <c r="Z300" s="58">
        <f>IFERROR(DAY(TableDailyJournal[[#This Row],[التاريخ]]),"")</f>
        <v>11</v>
      </c>
      <c r="AA300"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AB300" s="121">
        <f>INDEX(Tabledaily[جهة الامر],MATCH(TableDailyJournal[[#This Row],[رقم العملية]],Tabledaily[رقم العملية],0))</f>
        <v>0</v>
      </c>
    </row>
    <row r="301" spans="2:28" ht="45.75" x14ac:dyDescent="0.55000000000000004">
      <c r="B301" s="58">
        <f t="shared" si="9"/>
        <v>297</v>
      </c>
      <c r="C301" s="59" t="s">
        <v>668</v>
      </c>
      <c r="D301" s="60">
        <f>INDEX(Tabledaily[date],MATCH(TableDailyJournal[[#This Row],[رقم العملية]],Tabledaily[رقم العملية],0))</f>
        <v>46184</v>
      </c>
      <c r="E301" s="58" t="str">
        <f>INDEX(Tabledaily[نوع العمليــة],MATCH(TableDailyJournal[[#This Row],[رقم العملية]],Tabledaily[رقم العملية],0))</f>
        <v>قيد عهده</v>
      </c>
      <c r="F301" s="58">
        <f>IFERROR(INDEX(TableJudje[رقم الحساب],MATCH(TableDailyJournal[[#This Row],[الحساب]],TableJudje[اسم الحساب],0)),0)</f>
        <v>11060205</v>
      </c>
      <c r="G301" s="58" t="s">
        <v>513</v>
      </c>
      <c r="H301"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I301" s="60" t="str">
        <f>INDEX(Tabledaily[العملـــة],MATCH(TableDailyJournal[[#This Row],[رقم العملية]],Tabledaily[رقم العملية],0))</f>
        <v>ريال يمني</v>
      </c>
      <c r="J301" s="59">
        <f>IFERROR(INDEX(Tabledaily[سعــــــر
الصـــــرف],MATCH(C301,Tabledaily[رقم العملية],0)),1)</f>
        <v>405</v>
      </c>
      <c r="K301" s="123" cm="1">
        <f t="array" ref="K301">IFERROR(INDEX(Tabledaily[المبلـــــــغ],MATCH(1,(TableDailyJournal[[#This Row],[رقم العملية]]=Tabledaily[رقم العملية])*(TableDailyJournal[[#This Row],[الحساب]]=Tabledaily[الحســاب المديــــن]),0)),0)</f>
        <v>0</v>
      </c>
      <c r="L301" s="123" cm="1">
        <f t="array" ref="L301">IFERROR(INDEX(Tabledaily[المبلـــــــغ],MATCH(1,(TableDailyJournal[[#This Row],[رقم العملية]]=Tabledaily[رقم العملية])*(TableDailyJournal[[#This Row],[الحساب]]=Tabledaily[الحســاب الدئـــن]),0)),0)</f>
        <v>30000</v>
      </c>
      <c r="M301" s="119">
        <f>IFERROR(TableDailyJournal[[#This Row],[المبلغ مدين]]/TableDailyJournal[[#This Row],[سعــــــر
الصـــــرف]],0)</f>
        <v>0</v>
      </c>
      <c r="N301" s="119">
        <f>IFERROR(TableDailyJournal[[#This Row],[المبلغ دائن]]/TableDailyJournal[[#This Row],[سعــــــر
الصـــــرف]],0)</f>
        <v>74.074074074074076</v>
      </c>
      <c r="O301" s="121" t="str">
        <f>INDEX(Tabledaily[المستفيــــــــد],MATCH(TableDailyJournal[[#This Row],[رقم العملية]],Tabledaily[رقم العملية],0))</f>
        <v>المدفعية</v>
      </c>
      <c r="P301" s="121" t="str">
        <f>INDEX(Tabledaily[المــــرجـــــــــع],MATCH(TableDailyJournal[[#This Row],[رقم العملية]],Tabledaily[رقم العملية],0))</f>
        <v>كشف صرف</v>
      </c>
      <c r="Q301" s="121" t="str">
        <f>INDEX(Tabledaily[اســـــــم المــــرجــــع],MATCH(TableDailyJournal[[#This Row],[رقم العملية]],Tabledaily[رقم العملية],0))</f>
        <v>كشف صرف</v>
      </c>
      <c r="R301" s="121">
        <f>INDEX(Tabledaily[رقم المـــــرجـــع],MATCH(TableDailyJournal[[#This Row],[رقم العملية]],Tabledaily[رقم العملية],0))</f>
        <v>0</v>
      </c>
      <c r="S301" s="121" t="str">
        <f>INDEX(Tabledaily[مركـــــــزالتكلفــــــة],MATCH(TableDailyJournal[[#This Row],[رقم العملية]],Tabledaily[رقم العملية],0))</f>
        <v>الفرقة الثالثة</v>
      </c>
      <c r="T301" s="121">
        <f>IFERROR(INDEX(tablecost[رقم المركز],MATCH(TableDailyJournal[[#This Row],[مركـــــــزالتكلفــــــة]],tablecost[الاسم],0)),0)</f>
        <v>1</v>
      </c>
      <c r="U301" s="122">
        <f>IFERROR(DATE(TableDailyJournal[[#This Row],[السنــــة]],TableDailyJournal[[#This Row],[الشهــــر]],TableDailyJournal[[#This Row],[الـــــيوم]]),"01-01-2026")</f>
        <v>46184</v>
      </c>
      <c r="V301" s="126"/>
      <c r="W301" s="58"/>
      <c r="X301" s="58">
        <f>IFERROR(YEAR(TableDailyJournal[[#This Row],[التاريخ]]),"")</f>
        <v>2026</v>
      </c>
      <c r="Y301" s="58">
        <f>IFERROR(MONTH(TableDailyJournal[[#This Row],[التاريخ]]),"")</f>
        <v>6</v>
      </c>
      <c r="Z301" s="58">
        <f>IFERROR(DAY(TableDailyJournal[[#This Row],[التاريخ]]),"")</f>
        <v>11</v>
      </c>
      <c r="AA301"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3 بامر</v>
      </c>
      <c r="AB301" s="121">
        <f>INDEX(Tabledaily[جهة الامر],MATCH(TableDailyJournal[[#This Row],[رقم العملية]],Tabledaily[رقم العملية],0))</f>
        <v>0</v>
      </c>
    </row>
    <row r="302" spans="2:28" ht="45.75" x14ac:dyDescent="0.55000000000000004">
      <c r="B302" s="58">
        <f t="shared" si="9"/>
        <v>298</v>
      </c>
      <c r="C302" s="59" t="s">
        <v>669</v>
      </c>
      <c r="D302" s="60">
        <f>INDEX(Tabledaily[date],MATCH(TableDailyJournal[[#This Row],[رقم العملية]],Tabledaily[رقم العملية],0))</f>
        <v>46184</v>
      </c>
      <c r="E302" s="58" t="str">
        <f>INDEX(Tabledaily[نوع العمليــة],MATCH(TableDailyJournal[[#This Row],[رقم العملية]],Tabledaily[رقم العملية],0))</f>
        <v>قيد عهده</v>
      </c>
      <c r="F302" s="58">
        <f>IFERROR(INDEX(TableJudje[رقم الحساب],MATCH(TableDailyJournal[[#This Row],[الحساب]],TableJudje[اسم الحساب],0)),0)</f>
        <v>31010101</v>
      </c>
      <c r="G302" s="58" t="s">
        <v>111</v>
      </c>
      <c r="H302"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302" s="60" t="str">
        <f>INDEX(Tabledaily[العملـــة],MATCH(TableDailyJournal[[#This Row],[رقم العملية]],Tabledaily[رقم العملية],0))</f>
        <v>ريال يمني</v>
      </c>
      <c r="J302" s="59">
        <f>IFERROR(INDEX(Tabledaily[سعــــــر
الصـــــرف],MATCH(C302,Tabledaily[رقم العملية],0)),1)</f>
        <v>405</v>
      </c>
      <c r="K302" s="123" cm="1">
        <f t="array" ref="K302">IFERROR(INDEX(Tabledaily[المبلـــــــغ],MATCH(1,(TableDailyJournal[[#This Row],[رقم العملية]]=Tabledaily[رقم العملية])*(TableDailyJournal[[#This Row],[الحساب]]=Tabledaily[الحســاب المديــــن]),0)),0)</f>
        <v>95000</v>
      </c>
      <c r="L302" s="123" cm="1">
        <f t="array" ref="L302">IFERROR(INDEX(Tabledaily[المبلـــــــغ],MATCH(1,(TableDailyJournal[[#This Row],[رقم العملية]]=Tabledaily[رقم العملية])*(TableDailyJournal[[#This Row],[الحساب]]=Tabledaily[الحســاب الدئـــن]),0)),0)</f>
        <v>0</v>
      </c>
      <c r="M302" s="119">
        <f>IFERROR(TableDailyJournal[[#This Row],[المبلغ مدين]]/TableDailyJournal[[#This Row],[سعــــــر
الصـــــرف]],0)</f>
        <v>234.5679012345679</v>
      </c>
      <c r="N302" s="119">
        <f>IFERROR(TableDailyJournal[[#This Row],[المبلغ دائن]]/TableDailyJournal[[#This Row],[سعــــــر
الصـــــرف]],0)</f>
        <v>0</v>
      </c>
      <c r="O302" s="121" t="str">
        <f>INDEX(Tabledaily[المستفيــــــــد],MATCH(TableDailyJournal[[#This Row],[رقم العملية]],Tabledaily[رقم العملية],0))</f>
        <v>المستشارين والمساعدين</v>
      </c>
      <c r="P302" s="121" t="str">
        <f>INDEX(Tabledaily[المــــرجـــــــــع],MATCH(TableDailyJournal[[#This Row],[رقم العملية]],Tabledaily[رقم العملية],0))</f>
        <v>كشف صرف</v>
      </c>
      <c r="Q302" s="121" t="str">
        <f>INDEX(Tabledaily[اســـــــم المــــرجــــع],MATCH(TableDailyJournal[[#This Row],[رقم العملية]],Tabledaily[رقم العملية],0))</f>
        <v>كشف صرف</v>
      </c>
      <c r="R302" s="121">
        <f>INDEX(Tabledaily[رقم المـــــرجـــع],MATCH(TableDailyJournal[[#This Row],[رقم العملية]],Tabledaily[رقم العملية],0))</f>
        <v>0</v>
      </c>
      <c r="S302" s="121" t="str">
        <f>INDEX(Tabledaily[مركـــــــزالتكلفــــــة],MATCH(TableDailyJournal[[#This Row],[رقم العملية]],Tabledaily[رقم العملية],0))</f>
        <v>الفرقة الثالثة</v>
      </c>
      <c r="T302" s="121">
        <f>IFERROR(INDEX(tablecost[رقم المركز],MATCH(TableDailyJournal[[#This Row],[مركـــــــزالتكلفــــــة]],tablecost[الاسم],0)),0)</f>
        <v>1</v>
      </c>
      <c r="U302" s="122">
        <f>IFERROR(DATE(TableDailyJournal[[#This Row],[السنــــة]],TableDailyJournal[[#This Row],[الشهــــر]],TableDailyJournal[[#This Row],[الـــــيوم]]),"01-01-2026")</f>
        <v>46184</v>
      </c>
      <c r="V302" s="126"/>
      <c r="W302" s="58"/>
      <c r="X302" s="58">
        <f>IFERROR(YEAR(TableDailyJournal[[#This Row],[التاريخ]]),"")</f>
        <v>2026</v>
      </c>
      <c r="Y302" s="58">
        <f>IFERROR(MONTH(TableDailyJournal[[#This Row],[التاريخ]]),"")</f>
        <v>6</v>
      </c>
      <c r="Z302" s="58">
        <f>IFERROR(DAY(TableDailyJournal[[#This Row],[التاريخ]]),"")</f>
        <v>11</v>
      </c>
      <c r="AA302"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302" s="121">
        <f>INDEX(Tabledaily[جهة الامر],MATCH(TableDailyJournal[[#This Row],[رقم العملية]],Tabledaily[رقم العملية],0))</f>
        <v>0</v>
      </c>
    </row>
    <row r="303" spans="2:28" ht="45.75" x14ac:dyDescent="0.55000000000000004">
      <c r="B303" s="58">
        <f t="shared" si="9"/>
        <v>299</v>
      </c>
      <c r="C303" s="59" t="s">
        <v>669</v>
      </c>
      <c r="D303" s="60">
        <f>INDEX(Tabledaily[date],MATCH(TableDailyJournal[[#This Row],[رقم العملية]],Tabledaily[رقم العملية],0))</f>
        <v>46184</v>
      </c>
      <c r="E303" s="58" t="str">
        <f>INDEX(Tabledaily[نوع العمليــة],MATCH(TableDailyJournal[[#This Row],[رقم العملية]],Tabledaily[رقم العملية],0))</f>
        <v>قيد عهده</v>
      </c>
      <c r="F303" s="58">
        <f>IFERROR(INDEX(TableJudje[رقم الحساب],MATCH(TableDailyJournal[[#This Row],[الحساب]],TableJudje[اسم الحساب],0)),0)</f>
        <v>11060205</v>
      </c>
      <c r="G303" s="58" t="s">
        <v>513</v>
      </c>
      <c r="H303"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303" s="60" t="str">
        <f>INDEX(Tabledaily[العملـــة],MATCH(TableDailyJournal[[#This Row],[رقم العملية]],Tabledaily[رقم العملية],0))</f>
        <v>ريال يمني</v>
      </c>
      <c r="J303" s="59">
        <f>IFERROR(INDEX(Tabledaily[سعــــــر
الصـــــرف],MATCH(C303,Tabledaily[رقم العملية],0)),1)</f>
        <v>405</v>
      </c>
      <c r="K303" s="123" cm="1">
        <f t="array" ref="K303">IFERROR(INDEX(Tabledaily[المبلـــــــغ],MATCH(1,(TableDailyJournal[[#This Row],[رقم العملية]]=Tabledaily[رقم العملية])*(TableDailyJournal[[#This Row],[الحساب]]=Tabledaily[الحســاب المديــــن]),0)),0)</f>
        <v>0</v>
      </c>
      <c r="L303" s="123" cm="1">
        <f t="array" ref="L303">IFERROR(INDEX(Tabledaily[المبلـــــــغ],MATCH(1,(TableDailyJournal[[#This Row],[رقم العملية]]=Tabledaily[رقم العملية])*(TableDailyJournal[[#This Row],[الحساب]]=Tabledaily[الحســاب الدئـــن]),0)),0)</f>
        <v>95000</v>
      </c>
      <c r="M303" s="119">
        <f>IFERROR(TableDailyJournal[[#This Row],[المبلغ مدين]]/TableDailyJournal[[#This Row],[سعــــــر
الصـــــرف]],0)</f>
        <v>0</v>
      </c>
      <c r="N303" s="119">
        <f>IFERROR(TableDailyJournal[[#This Row],[المبلغ دائن]]/TableDailyJournal[[#This Row],[سعــــــر
الصـــــرف]],0)</f>
        <v>234.5679012345679</v>
      </c>
      <c r="O303" s="121" t="str">
        <f>INDEX(Tabledaily[المستفيــــــــد],MATCH(TableDailyJournal[[#This Row],[رقم العملية]],Tabledaily[رقم العملية],0))</f>
        <v>المستشارين والمساعدين</v>
      </c>
      <c r="P303" s="121" t="str">
        <f>INDEX(Tabledaily[المــــرجـــــــــع],MATCH(TableDailyJournal[[#This Row],[رقم العملية]],Tabledaily[رقم العملية],0))</f>
        <v>كشف صرف</v>
      </c>
      <c r="Q303" s="121" t="str">
        <f>INDEX(Tabledaily[اســـــــم المــــرجــــع],MATCH(TableDailyJournal[[#This Row],[رقم العملية]],Tabledaily[رقم العملية],0))</f>
        <v>كشف صرف</v>
      </c>
      <c r="R303" s="121">
        <f>INDEX(Tabledaily[رقم المـــــرجـــع],MATCH(TableDailyJournal[[#This Row],[رقم العملية]],Tabledaily[رقم العملية],0))</f>
        <v>0</v>
      </c>
      <c r="S303" s="121" t="str">
        <f>INDEX(Tabledaily[مركـــــــزالتكلفــــــة],MATCH(TableDailyJournal[[#This Row],[رقم العملية]],Tabledaily[رقم العملية],0))</f>
        <v>الفرقة الثالثة</v>
      </c>
      <c r="T303" s="121">
        <f>IFERROR(INDEX(tablecost[رقم المركز],MATCH(TableDailyJournal[[#This Row],[مركـــــــزالتكلفــــــة]],tablecost[الاسم],0)),0)</f>
        <v>1</v>
      </c>
      <c r="U303" s="122">
        <f>IFERROR(DATE(TableDailyJournal[[#This Row],[السنــــة]],TableDailyJournal[[#This Row],[الشهــــر]],TableDailyJournal[[#This Row],[الـــــيوم]]),"01-01-2026")</f>
        <v>46184</v>
      </c>
      <c r="V303" s="126"/>
      <c r="W303" s="58"/>
      <c r="X303" s="58">
        <f>IFERROR(YEAR(TableDailyJournal[[#This Row],[التاريخ]]),"")</f>
        <v>2026</v>
      </c>
      <c r="Y303" s="58">
        <f>IFERROR(MONTH(TableDailyJournal[[#This Row],[التاريخ]]),"")</f>
        <v>6</v>
      </c>
      <c r="Z303" s="58">
        <f>IFERROR(DAY(TableDailyJournal[[#This Row],[التاريخ]]),"")</f>
        <v>11</v>
      </c>
      <c r="AA303"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303" s="121">
        <f>INDEX(Tabledaily[جهة الامر],MATCH(TableDailyJournal[[#This Row],[رقم العملية]],Tabledaily[رقم العملية],0))</f>
        <v>0</v>
      </c>
    </row>
    <row r="304" spans="2:28" ht="45.75" x14ac:dyDescent="0.55000000000000004">
      <c r="B304" s="58">
        <f t="shared" si="9"/>
        <v>300</v>
      </c>
      <c r="C304" s="59" t="s">
        <v>671</v>
      </c>
      <c r="D304" s="60">
        <f>INDEX(Tabledaily[date],MATCH(TableDailyJournal[[#This Row],[رقم العملية]],Tabledaily[رقم العملية],0))</f>
        <v>46184</v>
      </c>
      <c r="E304" s="58" t="str">
        <f>INDEX(Tabledaily[نوع العمليــة],MATCH(TableDailyJournal[[#This Row],[رقم العملية]],Tabledaily[رقم العملية],0))</f>
        <v>قيد عهده</v>
      </c>
      <c r="F304" s="58">
        <f>IFERROR(INDEX(TableJudje[رقم الحساب],MATCH(TableDailyJournal[[#This Row],[الحساب]],TableJudje[اسم الحساب],0)),0)</f>
        <v>31010101</v>
      </c>
      <c r="G304" s="58" t="s">
        <v>111</v>
      </c>
      <c r="H304"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304" s="60" t="str">
        <f>INDEX(Tabledaily[العملـــة],MATCH(TableDailyJournal[[#This Row],[رقم العملية]],Tabledaily[رقم العملية],0))</f>
        <v>ريال يمني</v>
      </c>
      <c r="J304" s="59">
        <f>IFERROR(INDEX(Tabledaily[سعــــــر
الصـــــرف],MATCH(C304,Tabledaily[رقم العملية],0)),1)</f>
        <v>405</v>
      </c>
      <c r="K304" s="123" cm="1">
        <f t="array" ref="K304">IFERROR(INDEX(Tabledaily[المبلـــــــغ],MATCH(1,(TableDailyJournal[[#This Row],[رقم العملية]]=Tabledaily[رقم العملية])*(TableDailyJournal[[#This Row],[الحساب]]=Tabledaily[الحســاب المديــــن]),0)),0)</f>
        <v>14000</v>
      </c>
      <c r="L304" s="123" cm="1">
        <f t="array" ref="L304">IFERROR(INDEX(Tabledaily[المبلـــــــغ],MATCH(1,(TableDailyJournal[[#This Row],[رقم العملية]]=Tabledaily[رقم العملية])*(TableDailyJournal[[#This Row],[الحساب]]=Tabledaily[الحســاب الدئـــن]),0)),0)</f>
        <v>0</v>
      </c>
      <c r="M304" s="119">
        <f>IFERROR(TableDailyJournal[[#This Row],[المبلغ مدين]]/TableDailyJournal[[#This Row],[سعــــــر
الصـــــرف]],0)</f>
        <v>34.567901234567898</v>
      </c>
      <c r="N304" s="119">
        <f>IFERROR(TableDailyJournal[[#This Row],[المبلغ دائن]]/TableDailyJournal[[#This Row],[سعــــــر
الصـــــرف]],0)</f>
        <v>0</v>
      </c>
      <c r="O304" s="121" t="str">
        <f>INDEX(Tabledaily[المستفيــــــــد],MATCH(TableDailyJournal[[#This Row],[رقم العملية]],Tabledaily[رقم العملية],0))</f>
        <v>الطبية والمحاسبين</v>
      </c>
      <c r="P304" s="121" t="str">
        <f>INDEX(Tabledaily[المــــرجـــــــــع],MATCH(TableDailyJournal[[#This Row],[رقم العملية]],Tabledaily[رقم العملية],0))</f>
        <v>كشف صرف</v>
      </c>
      <c r="Q304" s="121" t="str">
        <f>INDEX(Tabledaily[اســـــــم المــــرجــــع],MATCH(TableDailyJournal[[#This Row],[رقم العملية]],Tabledaily[رقم العملية],0))</f>
        <v>كشف صرف</v>
      </c>
      <c r="R304" s="121">
        <f>INDEX(Tabledaily[رقم المـــــرجـــع],MATCH(TableDailyJournal[[#This Row],[رقم العملية]],Tabledaily[رقم العملية],0))</f>
        <v>0</v>
      </c>
      <c r="S304" s="121" t="str">
        <f>INDEX(Tabledaily[مركـــــــزالتكلفــــــة],MATCH(TableDailyJournal[[#This Row],[رقم العملية]],Tabledaily[رقم العملية],0))</f>
        <v>الفرقة الثالثة</v>
      </c>
      <c r="T304" s="121">
        <f>IFERROR(INDEX(tablecost[رقم المركز],MATCH(TableDailyJournal[[#This Row],[مركـــــــزالتكلفــــــة]],tablecost[الاسم],0)),0)</f>
        <v>1</v>
      </c>
      <c r="U304" s="122">
        <f>IFERROR(DATE(TableDailyJournal[[#This Row],[السنــــة]],TableDailyJournal[[#This Row],[الشهــــر]],TableDailyJournal[[#This Row],[الـــــيوم]]),"01-01-2026")</f>
        <v>46184</v>
      </c>
      <c r="V304" s="126"/>
      <c r="W304" s="58"/>
      <c r="X304" s="58">
        <f>IFERROR(YEAR(TableDailyJournal[[#This Row],[التاريخ]]),"")</f>
        <v>2026</v>
      </c>
      <c r="Y304" s="58">
        <f>IFERROR(MONTH(TableDailyJournal[[#This Row],[التاريخ]]),"")</f>
        <v>6</v>
      </c>
      <c r="Z304" s="58">
        <f>IFERROR(DAY(TableDailyJournal[[#This Row],[التاريخ]]),"")</f>
        <v>11</v>
      </c>
      <c r="AA304"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304" s="121">
        <f>INDEX(Tabledaily[جهة الامر],MATCH(TableDailyJournal[[#This Row],[رقم العملية]],Tabledaily[رقم العملية],0))</f>
        <v>0</v>
      </c>
    </row>
    <row r="305" spans="2:28" ht="45.75" x14ac:dyDescent="0.55000000000000004">
      <c r="B305" s="58">
        <f t="shared" si="9"/>
        <v>301</v>
      </c>
      <c r="C305" s="59" t="s">
        <v>671</v>
      </c>
      <c r="D305" s="60">
        <f>INDEX(Tabledaily[date],MATCH(TableDailyJournal[[#This Row],[رقم العملية]],Tabledaily[رقم العملية],0))</f>
        <v>46184</v>
      </c>
      <c r="E305" s="58" t="str">
        <f>INDEX(Tabledaily[نوع العمليــة],MATCH(TableDailyJournal[[#This Row],[رقم العملية]],Tabledaily[رقم العملية],0))</f>
        <v>قيد عهده</v>
      </c>
      <c r="F305" s="58">
        <f>IFERROR(INDEX(TableJudje[رقم الحساب],MATCH(TableDailyJournal[[#This Row],[الحساب]],TableJudje[اسم الحساب],0)),0)</f>
        <v>11060205</v>
      </c>
      <c r="G305" s="58" t="s">
        <v>513</v>
      </c>
      <c r="H305"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305" s="60" t="str">
        <f>INDEX(Tabledaily[العملـــة],MATCH(TableDailyJournal[[#This Row],[رقم العملية]],Tabledaily[رقم العملية],0))</f>
        <v>ريال يمني</v>
      </c>
      <c r="J305" s="59">
        <f>IFERROR(INDEX(Tabledaily[سعــــــر
الصـــــرف],MATCH(C305,Tabledaily[رقم العملية],0)),1)</f>
        <v>405</v>
      </c>
      <c r="K305" s="123" cm="1">
        <f t="array" ref="K305">IFERROR(INDEX(Tabledaily[المبلـــــــغ],MATCH(1,(TableDailyJournal[[#This Row],[رقم العملية]]=Tabledaily[رقم العملية])*(TableDailyJournal[[#This Row],[الحساب]]=Tabledaily[الحســاب المديــــن]),0)),0)</f>
        <v>0</v>
      </c>
      <c r="L305" s="123" cm="1">
        <f t="array" ref="L305">IFERROR(INDEX(Tabledaily[المبلـــــــغ],MATCH(1,(TableDailyJournal[[#This Row],[رقم العملية]]=Tabledaily[رقم العملية])*(TableDailyJournal[[#This Row],[الحساب]]=Tabledaily[الحســاب الدئـــن]),0)),0)</f>
        <v>14000</v>
      </c>
      <c r="M305" s="119">
        <f>IFERROR(TableDailyJournal[[#This Row],[المبلغ مدين]]/TableDailyJournal[[#This Row],[سعــــــر
الصـــــرف]],0)</f>
        <v>0</v>
      </c>
      <c r="N305" s="119">
        <f>IFERROR(TableDailyJournal[[#This Row],[المبلغ دائن]]/TableDailyJournal[[#This Row],[سعــــــر
الصـــــرف]],0)</f>
        <v>34.567901234567898</v>
      </c>
      <c r="O305" s="121" t="str">
        <f>INDEX(Tabledaily[المستفيــــــــد],MATCH(TableDailyJournal[[#This Row],[رقم العملية]],Tabledaily[رقم العملية],0))</f>
        <v>الطبية والمحاسبين</v>
      </c>
      <c r="P305" s="121" t="str">
        <f>INDEX(Tabledaily[المــــرجـــــــــع],MATCH(TableDailyJournal[[#This Row],[رقم العملية]],Tabledaily[رقم العملية],0))</f>
        <v>كشف صرف</v>
      </c>
      <c r="Q305" s="121" t="str">
        <f>INDEX(Tabledaily[اســـــــم المــــرجــــع],MATCH(TableDailyJournal[[#This Row],[رقم العملية]],Tabledaily[رقم العملية],0))</f>
        <v>كشف صرف</v>
      </c>
      <c r="R305" s="121">
        <f>INDEX(Tabledaily[رقم المـــــرجـــع],MATCH(TableDailyJournal[[#This Row],[رقم العملية]],Tabledaily[رقم العملية],0))</f>
        <v>0</v>
      </c>
      <c r="S305" s="121" t="str">
        <f>INDEX(Tabledaily[مركـــــــزالتكلفــــــة],MATCH(TableDailyJournal[[#This Row],[رقم العملية]],Tabledaily[رقم العملية],0))</f>
        <v>الفرقة الثالثة</v>
      </c>
      <c r="T305" s="121">
        <f>IFERROR(INDEX(tablecost[رقم المركز],MATCH(TableDailyJournal[[#This Row],[مركـــــــزالتكلفــــــة]],tablecost[الاسم],0)),0)</f>
        <v>1</v>
      </c>
      <c r="U305" s="122">
        <f>IFERROR(DATE(TableDailyJournal[[#This Row],[السنــــة]],TableDailyJournal[[#This Row],[الشهــــر]],TableDailyJournal[[#This Row],[الـــــيوم]]),"01-01-2026")</f>
        <v>46184</v>
      </c>
      <c r="V305" s="126"/>
      <c r="W305" s="58"/>
      <c r="X305" s="58">
        <f>IFERROR(YEAR(TableDailyJournal[[#This Row],[التاريخ]]),"")</f>
        <v>2026</v>
      </c>
      <c r="Y305" s="58">
        <f>IFERROR(MONTH(TableDailyJournal[[#This Row],[التاريخ]]),"")</f>
        <v>6</v>
      </c>
      <c r="Z305" s="58">
        <f>IFERROR(DAY(TableDailyJournal[[#This Row],[التاريخ]]),"")</f>
        <v>11</v>
      </c>
      <c r="AA305"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305" s="121">
        <f>INDEX(Tabledaily[جهة الامر],MATCH(TableDailyJournal[[#This Row],[رقم العملية]],Tabledaily[رقم العملية],0))</f>
        <v>0</v>
      </c>
    </row>
    <row r="306" spans="2:28" ht="45.75" x14ac:dyDescent="0.55000000000000004">
      <c r="B306" s="58">
        <f t="shared" si="9"/>
        <v>302</v>
      </c>
      <c r="C306" s="59" t="s">
        <v>673</v>
      </c>
      <c r="D306" s="60">
        <f>INDEX(Tabledaily[date],MATCH(TableDailyJournal[[#This Row],[رقم العملية]],Tabledaily[رقم العملية],0))</f>
        <v>46184</v>
      </c>
      <c r="E306" s="58" t="str">
        <f>INDEX(Tabledaily[نوع العمليــة],MATCH(TableDailyJournal[[#This Row],[رقم العملية]],Tabledaily[رقم العملية],0))</f>
        <v>قيد عهده</v>
      </c>
      <c r="F306" s="58">
        <f>IFERROR(INDEX(TableJudje[رقم الحساب],MATCH(TableDailyJournal[[#This Row],[الحساب]],TableJudje[اسم الحساب],0)),0)</f>
        <v>31010101</v>
      </c>
      <c r="G306" s="58" t="s">
        <v>111</v>
      </c>
      <c r="H306"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306" s="60" t="str">
        <f>INDEX(Tabledaily[العملـــة],MATCH(TableDailyJournal[[#This Row],[رقم العملية]],Tabledaily[رقم العملية],0))</f>
        <v>ريال يمني</v>
      </c>
      <c r="J306" s="59">
        <f>IFERROR(INDEX(Tabledaily[سعــــــر
الصـــــرف],MATCH(C306,Tabledaily[رقم العملية],0)),1)</f>
        <v>405</v>
      </c>
      <c r="K306" s="123" cm="1">
        <f t="array" ref="K306">IFERROR(INDEX(Tabledaily[المبلـــــــغ],MATCH(1,(TableDailyJournal[[#This Row],[رقم العملية]]=Tabledaily[رقم العملية])*(TableDailyJournal[[#This Row],[الحساب]]=Tabledaily[الحســاب المديــــن]),0)),0)</f>
        <v>70000</v>
      </c>
      <c r="L306" s="123" cm="1">
        <f t="array" ref="L306">IFERROR(INDEX(Tabledaily[المبلـــــــغ],MATCH(1,(TableDailyJournal[[#This Row],[رقم العملية]]=Tabledaily[رقم العملية])*(TableDailyJournal[[#This Row],[الحساب]]=Tabledaily[الحســاب الدئـــن]),0)),0)</f>
        <v>0</v>
      </c>
      <c r="M306" s="119">
        <f>IFERROR(TableDailyJournal[[#This Row],[المبلغ مدين]]/TableDailyJournal[[#This Row],[سعــــــر
الصـــــرف]],0)</f>
        <v>172.83950617283949</v>
      </c>
      <c r="N306" s="119">
        <f>IFERROR(TableDailyJournal[[#This Row],[المبلغ دائن]]/TableDailyJournal[[#This Row],[سعــــــر
الصـــــرف]],0)</f>
        <v>0</v>
      </c>
      <c r="O306" s="121" t="str">
        <f>INDEX(Tabledaily[المستفيــــــــد],MATCH(TableDailyJournal[[#This Row],[رقم العملية]],Tabledaily[رقم العملية],0))</f>
        <v>الضباط السابقين</v>
      </c>
      <c r="P306" s="121" t="str">
        <f>INDEX(Tabledaily[المــــرجـــــــــع],MATCH(TableDailyJournal[[#This Row],[رقم العملية]],Tabledaily[رقم العملية],0))</f>
        <v>كشف صرف</v>
      </c>
      <c r="Q306" s="121" t="str">
        <f>INDEX(Tabledaily[اســـــــم المــــرجــــع],MATCH(TableDailyJournal[[#This Row],[رقم العملية]],Tabledaily[رقم العملية],0))</f>
        <v>كشف صرف</v>
      </c>
      <c r="R306" s="121">
        <f>INDEX(Tabledaily[رقم المـــــرجـــع],MATCH(TableDailyJournal[[#This Row],[رقم العملية]],Tabledaily[رقم العملية],0))</f>
        <v>0</v>
      </c>
      <c r="S306" s="121" t="str">
        <f>INDEX(Tabledaily[مركـــــــزالتكلفــــــة],MATCH(TableDailyJournal[[#This Row],[رقم العملية]],Tabledaily[رقم العملية],0))</f>
        <v>الفرقة الثالثة</v>
      </c>
      <c r="T306" s="121">
        <f>IFERROR(INDEX(tablecost[رقم المركز],MATCH(TableDailyJournal[[#This Row],[مركـــــــزالتكلفــــــة]],tablecost[الاسم],0)),0)</f>
        <v>1</v>
      </c>
      <c r="U306" s="122">
        <f>IFERROR(DATE(TableDailyJournal[[#This Row],[السنــــة]],TableDailyJournal[[#This Row],[الشهــــر]],TableDailyJournal[[#This Row],[الـــــيوم]]),"01-01-2026")</f>
        <v>46184</v>
      </c>
      <c r="V306" s="126"/>
      <c r="W306" s="58"/>
      <c r="X306" s="58">
        <f>IFERROR(YEAR(TableDailyJournal[[#This Row],[التاريخ]]),"")</f>
        <v>2026</v>
      </c>
      <c r="Y306" s="58">
        <f>IFERROR(MONTH(TableDailyJournal[[#This Row],[التاريخ]]),"")</f>
        <v>6</v>
      </c>
      <c r="Z306" s="58">
        <f>IFERROR(DAY(TableDailyJournal[[#This Row],[التاريخ]]),"")</f>
        <v>11</v>
      </c>
      <c r="AA306"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306" s="121">
        <f>INDEX(Tabledaily[جهة الامر],MATCH(TableDailyJournal[[#This Row],[رقم العملية]],Tabledaily[رقم العملية],0))</f>
        <v>0</v>
      </c>
    </row>
    <row r="307" spans="2:28" ht="45.75" x14ac:dyDescent="0.55000000000000004">
      <c r="B307" s="58">
        <f t="shared" si="9"/>
        <v>303</v>
      </c>
      <c r="C307" s="59" t="s">
        <v>673</v>
      </c>
      <c r="D307" s="60">
        <f>INDEX(Tabledaily[date],MATCH(TableDailyJournal[[#This Row],[رقم العملية]],Tabledaily[رقم العملية],0))</f>
        <v>46184</v>
      </c>
      <c r="E307" s="58" t="str">
        <f>INDEX(Tabledaily[نوع العمليــة],MATCH(TableDailyJournal[[#This Row],[رقم العملية]],Tabledaily[رقم العملية],0))</f>
        <v>قيد عهده</v>
      </c>
      <c r="F307" s="58">
        <f>IFERROR(INDEX(TableJudje[رقم الحساب],MATCH(TableDailyJournal[[#This Row],[الحساب]],TableJudje[اسم الحساب],0)),0)</f>
        <v>11060205</v>
      </c>
      <c r="G307" s="58" t="s">
        <v>513</v>
      </c>
      <c r="H307"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I307" s="60" t="str">
        <f>INDEX(Tabledaily[العملـــة],MATCH(TableDailyJournal[[#This Row],[رقم العملية]],Tabledaily[رقم العملية],0))</f>
        <v>ريال يمني</v>
      </c>
      <c r="J307" s="59">
        <f>IFERROR(INDEX(Tabledaily[سعــــــر
الصـــــرف],MATCH(C307,Tabledaily[رقم العملية],0)),1)</f>
        <v>405</v>
      </c>
      <c r="K307" s="123" cm="1">
        <f t="array" ref="K307">IFERROR(INDEX(Tabledaily[المبلـــــــغ],MATCH(1,(TableDailyJournal[[#This Row],[رقم العملية]]=Tabledaily[رقم العملية])*(TableDailyJournal[[#This Row],[الحساب]]=Tabledaily[الحســاب المديــــن]),0)),0)</f>
        <v>0</v>
      </c>
      <c r="L307" s="123" cm="1">
        <f t="array" ref="L307">IFERROR(INDEX(Tabledaily[المبلـــــــغ],MATCH(1,(TableDailyJournal[[#This Row],[رقم العملية]]=Tabledaily[رقم العملية])*(TableDailyJournal[[#This Row],[الحساب]]=Tabledaily[الحســاب الدئـــن]),0)),0)</f>
        <v>70000</v>
      </c>
      <c r="M307" s="119">
        <f>IFERROR(TableDailyJournal[[#This Row],[المبلغ مدين]]/TableDailyJournal[[#This Row],[سعــــــر
الصـــــرف]],0)</f>
        <v>0</v>
      </c>
      <c r="N307" s="119">
        <f>IFERROR(TableDailyJournal[[#This Row],[المبلغ دائن]]/TableDailyJournal[[#This Row],[سعــــــر
الصـــــرف]],0)</f>
        <v>172.83950617283949</v>
      </c>
      <c r="O307" s="121" t="str">
        <f>INDEX(Tabledaily[المستفيــــــــد],MATCH(TableDailyJournal[[#This Row],[رقم العملية]],Tabledaily[رقم العملية],0))</f>
        <v>الضباط السابقين</v>
      </c>
      <c r="P307" s="121" t="str">
        <f>INDEX(Tabledaily[المــــرجـــــــــع],MATCH(TableDailyJournal[[#This Row],[رقم العملية]],Tabledaily[رقم العملية],0))</f>
        <v>كشف صرف</v>
      </c>
      <c r="Q307" s="121" t="str">
        <f>INDEX(Tabledaily[اســـــــم المــــرجــــع],MATCH(TableDailyJournal[[#This Row],[رقم العملية]],Tabledaily[رقم العملية],0))</f>
        <v>كشف صرف</v>
      </c>
      <c r="R307" s="121">
        <f>INDEX(Tabledaily[رقم المـــــرجـــع],MATCH(TableDailyJournal[[#This Row],[رقم العملية]],Tabledaily[رقم العملية],0))</f>
        <v>0</v>
      </c>
      <c r="S307" s="121" t="str">
        <f>INDEX(Tabledaily[مركـــــــزالتكلفــــــة],MATCH(TableDailyJournal[[#This Row],[رقم العملية]],Tabledaily[رقم العملية],0))</f>
        <v>الفرقة الثالثة</v>
      </c>
      <c r="T307" s="121">
        <f>IFERROR(INDEX(tablecost[رقم المركز],MATCH(TableDailyJournal[[#This Row],[مركـــــــزالتكلفــــــة]],tablecost[الاسم],0)),0)</f>
        <v>1</v>
      </c>
      <c r="U307" s="122">
        <f>IFERROR(DATE(TableDailyJournal[[#This Row],[السنــــة]],TableDailyJournal[[#This Row],[الشهــــر]],TableDailyJournal[[#This Row],[الـــــيوم]]),"01-01-2026")</f>
        <v>46184</v>
      </c>
      <c r="V307" s="126"/>
      <c r="W307" s="58"/>
      <c r="X307" s="58">
        <f>IFERROR(YEAR(TableDailyJournal[[#This Row],[التاريخ]]),"")</f>
        <v>2026</v>
      </c>
      <c r="Y307" s="58">
        <f>IFERROR(MONTH(TableDailyJournal[[#This Row],[التاريخ]]),"")</f>
        <v>6</v>
      </c>
      <c r="Z307" s="58">
        <f>IFERROR(DAY(TableDailyJournal[[#This Row],[التاريخ]]),"")</f>
        <v>11</v>
      </c>
      <c r="AA307"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7 بامر</v>
      </c>
      <c r="AB307" s="121">
        <f>INDEX(Tabledaily[جهة الامر],MATCH(TableDailyJournal[[#This Row],[رقم العملية]],Tabledaily[رقم العملية],0))</f>
        <v>0</v>
      </c>
    </row>
    <row r="308" spans="2:28" ht="45.75" x14ac:dyDescent="0.55000000000000004">
      <c r="B308" s="58">
        <f t="shared" si="9"/>
        <v>304</v>
      </c>
      <c r="C308" s="59" t="s">
        <v>674</v>
      </c>
      <c r="D308" s="60">
        <f>INDEX(Tabledaily[date],MATCH(TableDailyJournal[[#This Row],[رقم العملية]],Tabledaily[رقم العملية],0))</f>
        <v>46184</v>
      </c>
      <c r="E308" s="58" t="str">
        <f>INDEX(Tabledaily[نوع العمليــة],MATCH(TableDailyJournal[[#This Row],[رقم العملية]],Tabledaily[رقم العملية],0))</f>
        <v>قيد عهده</v>
      </c>
      <c r="F308" s="58">
        <f>IFERROR(INDEX(TableJudje[رقم الحساب],MATCH(TableDailyJournal[[#This Row],[الحساب]],TableJudje[اسم الحساب],0)),0)</f>
        <v>31010101</v>
      </c>
      <c r="G308" s="58" t="s">
        <v>111</v>
      </c>
      <c r="H308"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I308" s="60" t="str">
        <f>INDEX(Tabledaily[العملـــة],MATCH(TableDailyJournal[[#This Row],[رقم العملية]],Tabledaily[رقم العملية],0))</f>
        <v>ريال يمني</v>
      </c>
      <c r="J308" s="59">
        <f>IFERROR(INDEX(Tabledaily[سعــــــر
الصـــــرف],MATCH(C308,Tabledaily[رقم العملية],0)),1)</f>
        <v>405</v>
      </c>
      <c r="K308" s="123" cm="1">
        <f t="array" ref="K308">IFERROR(INDEX(Tabledaily[المبلـــــــغ],MATCH(1,(TableDailyJournal[[#This Row],[رقم العملية]]=Tabledaily[رقم العملية])*(TableDailyJournal[[#This Row],[الحساب]]=Tabledaily[الحســاب المديــــن]),0)),0)</f>
        <v>74000</v>
      </c>
      <c r="L308" s="123" cm="1">
        <f t="array" ref="L308">IFERROR(INDEX(Tabledaily[المبلـــــــغ],MATCH(1,(TableDailyJournal[[#This Row],[رقم العملية]]=Tabledaily[رقم العملية])*(TableDailyJournal[[#This Row],[الحساب]]=Tabledaily[الحســاب الدئـــن]),0)),0)</f>
        <v>0</v>
      </c>
      <c r="M308" s="119">
        <f>IFERROR(TableDailyJournal[[#This Row],[المبلغ مدين]]/TableDailyJournal[[#This Row],[سعــــــر
الصـــــرف]],0)</f>
        <v>182.71604938271605</v>
      </c>
      <c r="N308" s="119">
        <f>IFERROR(TableDailyJournal[[#This Row],[المبلغ دائن]]/TableDailyJournal[[#This Row],[سعــــــر
الصـــــرف]],0)</f>
        <v>0</v>
      </c>
      <c r="O308" s="121" t="str">
        <f>INDEX(Tabledaily[المستفيــــــــد],MATCH(TableDailyJournal[[#This Row],[رقم العملية]],Tabledaily[رقم العملية],0))</f>
        <v>اخرون</v>
      </c>
      <c r="P308" s="121" t="str">
        <f>INDEX(Tabledaily[المــــرجـــــــــع],MATCH(TableDailyJournal[[#This Row],[رقم العملية]],Tabledaily[رقم العملية],0))</f>
        <v>كشف صرف</v>
      </c>
      <c r="Q308" s="121" t="str">
        <f>INDEX(Tabledaily[اســـــــم المــــرجــــع],MATCH(TableDailyJournal[[#This Row],[رقم العملية]],Tabledaily[رقم العملية],0))</f>
        <v>كشف صرف</v>
      </c>
      <c r="R308" s="121">
        <f>INDEX(Tabledaily[رقم المـــــرجـــع],MATCH(TableDailyJournal[[#This Row],[رقم العملية]],Tabledaily[رقم العملية],0))</f>
        <v>0</v>
      </c>
      <c r="S308" s="121" t="str">
        <f>INDEX(Tabledaily[مركـــــــزالتكلفــــــة],MATCH(TableDailyJournal[[#This Row],[رقم العملية]],Tabledaily[رقم العملية],0))</f>
        <v>الفرقة الثالثة</v>
      </c>
      <c r="T308" s="121">
        <f>IFERROR(INDEX(tablecost[رقم المركز],MATCH(TableDailyJournal[[#This Row],[مركـــــــزالتكلفــــــة]],tablecost[الاسم],0)),0)</f>
        <v>1</v>
      </c>
      <c r="U308" s="122">
        <f>IFERROR(DATE(TableDailyJournal[[#This Row],[السنــــة]],TableDailyJournal[[#This Row],[الشهــــر]],TableDailyJournal[[#This Row],[الـــــيوم]]),"01-01-2026")</f>
        <v>46184</v>
      </c>
      <c r="V308" s="126"/>
      <c r="W308" s="58"/>
      <c r="X308" s="58">
        <f>IFERROR(YEAR(TableDailyJournal[[#This Row],[التاريخ]]),"")</f>
        <v>2026</v>
      </c>
      <c r="Y308" s="58">
        <f>IFERROR(MONTH(TableDailyJournal[[#This Row],[التاريخ]]),"")</f>
        <v>6</v>
      </c>
      <c r="Z308" s="58">
        <f>IFERROR(DAY(TableDailyJournal[[#This Row],[التاريخ]]),"")</f>
        <v>11</v>
      </c>
      <c r="AA308"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AB308" s="121">
        <f>INDEX(Tabledaily[جهة الامر],MATCH(TableDailyJournal[[#This Row],[رقم العملية]],Tabledaily[رقم العملية],0))</f>
        <v>0</v>
      </c>
    </row>
    <row r="309" spans="2:28" ht="45.75" x14ac:dyDescent="0.55000000000000004">
      <c r="B309" s="58">
        <f t="shared" si="9"/>
        <v>305</v>
      </c>
      <c r="C309" s="59" t="s">
        <v>674</v>
      </c>
      <c r="D309" s="60">
        <f>INDEX(Tabledaily[date],MATCH(TableDailyJournal[[#This Row],[رقم العملية]],Tabledaily[رقم العملية],0))</f>
        <v>46184</v>
      </c>
      <c r="E309" s="58" t="str">
        <f>INDEX(Tabledaily[نوع العمليــة],MATCH(TableDailyJournal[[#This Row],[رقم العملية]],Tabledaily[رقم العملية],0))</f>
        <v>قيد عهده</v>
      </c>
      <c r="F309" s="58">
        <f>IFERROR(INDEX(TableJudje[رقم الحساب],MATCH(TableDailyJournal[[#This Row],[الحساب]],TableJudje[اسم الحساب],0)),0)</f>
        <v>11060205</v>
      </c>
      <c r="G309" s="58" t="s">
        <v>513</v>
      </c>
      <c r="H309"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I309" s="60" t="str">
        <f>INDEX(Tabledaily[العملـــة],MATCH(TableDailyJournal[[#This Row],[رقم العملية]],Tabledaily[رقم العملية],0))</f>
        <v>ريال يمني</v>
      </c>
      <c r="J309" s="59">
        <f>IFERROR(INDEX(Tabledaily[سعــــــر
الصـــــرف],MATCH(C309,Tabledaily[رقم العملية],0)),1)</f>
        <v>405</v>
      </c>
      <c r="K309" s="123" cm="1">
        <f t="array" ref="K309">IFERROR(INDEX(Tabledaily[المبلـــــــغ],MATCH(1,(TableDailyJournal[[#This Row],[رقم العملية]]=Tabledaily[رقم العملية])*(TableDailyJournal[[#This Row],[الحساب]]=Tabledaily[الحســاب المديــــن]),0)),0)</f>
        <v>0</v>
      </c>
      <c r="L309" s="123" cm="1">
        <f t="array" ref="L309">IFERROR(INDEX(Tabledaily[المبلـــــــغ],MATCH(1,(TableDailyJournal[[#This Row],[رقم العملية]]=Tabledaily[رقم العملية])*(TableDailyJournal[[#This Row],[الحساب]]=Tabledaily[الحســاب الدئـــن]),0)),0)</f>
        <v>74000</v>
      </c>
      <c r="M309" s="119">
        <f>IFERROR(TableDailyJournal[[#This Row],[المبلغ مدين]]/TableDailyJournal[[#This Row],[سعــــــر
الصـــــرف]],0)</f>
        <v>0</v>
      </c>
      <c r="N309" s="119">
        <f>IFERROR(TableDailyJournal[[#This Row],[المبلغ دائن]]/TableDailyJournal[[#This Row],[سعــــــر
الصـــــرف]],0)</f>
        <v>182.71604938271605</v>
      </c>
      <c r="O309" s="121" t="str">
        <f>INDEX(Tabledaily[المستفيــــــــد],MATCH(TableDailyJournal[[#This Row],[رقم العملية]],Tabledaily[رقم العملية],0))</f>
        <v>اخرون</v>
      </c>
      <c r="P309" s="121" t="str">
        <f>INDEX(Tabledaily[المــــرجـــــــــع],MATCH(TableDailyJournal[[#This Row],[رقم العملية]],Tabledaily[رقم العملية],0))</f>
        <v>كشف صرف</v>
      </c>
      <c r="Q309" s="121" t="str">
        <f>INDEX(Tabledaily[اســـــــم المــــرجــــع],MATCH(TableDailyJournal[[#This Row],[رقم العملية]],Tabledaily[رقم العملية],0))</f>
        <v>كشف صرف</v>
      </c>
      <c r="R309" s="121">
        <f>INDEX(Tabledaily[رقم المـــــرجـــع],MATCH(TableDailyJournal[[#This Row],[رقم العملية]],Tabledaily[رقم العملية],0))</f>
        <v>0</v>
      </c>
      <c r="S309" s="121" t="str">
        <f>INDEX(Tabledaily[مركـــــــزالتكلفــــــة],MATCH(TableDailyJournal[[#This Row],[رقم العملية]],Tabledaily[رقم العملية],0))</f>
        <v>الفرقة الثالثة</v>
      </c>
      <c r="T309" s="121">
        <f>IFERROR(INDEX(tablecost[رقم المركز],MATCH(TableDailyJournal[[#This Row],[مركـــــــزالتكلفــــــة]],tablecost[الاسم],0)),0)</f>
        <v>1</v>
      </c>
      <c r="U309" s="122">
        <f>IFERROR(DATE(TableDailyJournal[[#This Row],[السنــــة]],TableDailyJournal[[#This Row],[الشهــــر]],TableDailyJournal[[#This Row],[الـــــيوم]]),"01-01-2026")</f>
        <v>46184</v>
      </c>
      <c r="V309" s="126"/>
      <c r="W309" s="58"/>
      <c r="X309" s="58">
        <f>IFERROR(YEAR(TableDailyJournal[[#This Row],[التاريخ]]),"")</f>
        <v>2026</v>
      </c>
      <c r="Y309" s="58">
        <f>IFERROR(MONTH(TableDailyJournal[[#This Row],[التاريخ]]),"")</f>
        <v>6</v>
      </c>
      <c r="Z309" s="58">
        <f>IFERROR(DAY(TableDailyJournal[[#This Row],[التاريخ]]),"")</f>
        <v>11</v>
      </c>
      <c r="AA309"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AB309" s="121">
        <f>INDEX(Tabledaily[جهة الامر],MATCH(TableDailyJournal[[#This Row],[رقم العملية]],Tabledaily[رقم العملية],0))</f>
        <v>0</v>
      </c>
    </row>
    <row r="310" spans="2:28" ht="45.75" x14ac:dyDescent="0.55000000000000004">
      <c r="B310" s="58">
        <f t="shared" si="9"/>
        <v>306</v>
      </c>
      <c r="C310" s="59" t="s">
        <v>675</v>
      </c>
      <c r="D310" s="60">
        <f>INDEX(Tabledaily[date],MATCH(TableDailyJournal[[#This Row],[رقم العملية]],Tabledaily[رقم العملية],0))</f>
        <v>46184</v>
      </c>
      <c r="E310" s="58" t="str">
        <f>INDEX(Tabledaily[نوع العمليــة],MATCH(TableDailyJournal[[#This Row],[رقم العملية]],Tabledaily[رقم العملية],0))</f>
        <v>قيد عهده</v>
      </c>
      <c r="F310" s="58">
        <f>IFERROR(INDEX(TableJudje[رقم الحساب],MATCH(TableDailyJournal[[#This Row],[الحساب]],TableJudje[اسم الحساب],0)),0)</f>
        <v>31010101</v>
      </c>
      <c r="G310" s="58" t="s">
        <v>111</v>
      </c>
      <c r="H310"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I310" s="60" t="str">
        <f>INDEX(Tabledaily[العملـــة],MATCH(TableDailyJournal[[#This Row],[رقم العملية]],Tabledaily[رقم العملية],0))</f>
        <v>ريال يمني</v>
      </c>
      <c r="J310" s="59">
        <f>IFERROR(INDEX(Tabledaily[سعــــــر
الصـــــرف],MATCH(C310,Tabledaily[رقم العملية],0)),1)</f>
        <v>405</v>
      </c>
      <c r="K310" s="123" cm="1">
        <f t="array" ref="K310">IFERROR(INDEX(Tabledaily[المبلـــــــغ],MATCH(1,(TableDailyJournal[[#This Row],[رقم العملية]]=Tabledaily[رقم العملية])*(TableDailyJournal[[#This Row],[الحساب]]=Tabledaily[الحســاب المديــــن]),0)),0)</f>
        <v>25000</v>
      </c>
      <c r="L310" s="123" cm="1">
        <f t="array" ref="L310">IFERROR(INDEX(Tabledaily[المبلـــــــغ],MATCH(1,(TableDailyJournal[[#This Row],[رقم العملية]]=Tabledaily[رقم العملية])*(TableDailyJournal[[#This Row],[الحساب]]=Tabledaily[الحســاب الدئـــن]),0)),0)</f>
        <v>0</v>
      </c>
      <c r="M310" s="119">
        <f>IFERROR(TableDailyJournal[[#This Row],[المبلغ مدين]]/TableDailyJournal[[#This Row],[سعــــــر
الصـــــرف]],0)</f>
        <v>61.728395061728392</v>
      </c>
      <c r="N310" s="119">
        <f>IFERROR(TableDailyJournal[[#This Row],[المبلغ دائن]]/TableDailyJournal[[#This Row],[سعــــــر
الصـــــرف]],0)</f>
        <v>0</v>
      </c>
      <c r="O310" s="121" t="str">
        <f>INDEX(Tabledaily[المستفيــــــــد],MATCH(TableDailyJournal[[#This Row],[رقم العملية]],Tabledaily[رقم العملية],0))</f>
        <v>مرافقي الاركان</v>
      </c>
      <c r="P310" s="121" t="str">
        <f>INDEX(Tabledaily[المــــرجـــــــــع],MATCH(TableDailyJournal[[#This Row],[رقم العملية]],Tabledaily[رقم العملية],0))</f>
        <v>كشف صرف</v>
      </c>
      <c r="Q310" s="121" t="str">
        <f>INDEX(Tabledaily[اســـــــم المــــرجــــع],MATCH(TableDailyJournal[[#This Row],[رقم العملية]],Tabledaily[رقم العملية],0))</f>
        <v>كشف صرف</v>
      </c>
      <c r="R310" s="121">
        <f>INDEX(Tabledaily[رقم المـــــرجـــع],MATCH(TableDailyJournal[[#This Row],[رقم العملية]],Tabledaily[رقم العملية],0))</f>
        <v>0</v>
      </c>
      <c r="S310" s="121" t="str">
        <f>INDEX(Tabledaily[مركـــــــزالتكلفــــــة],MATCH(TableDailyJournal[[#This Row],[رقم العملية]],Tabledaily[رقم العملية],0))</f>
        <v>الفرقة الثالثة</v>
      </c>
      <c r="T310" s="121">
        <f>IFERROR(INDEX(tablecost[رقم المركز],MATCH(TableDailyJournal[[#This Row],[مركـــــــزالتكلفــــــة]],tablecost[الاسم],0)),0)</f>
        <v>1</v>
      </c>
      <c r="U310" s="122">
        <f>IFERROR(DATE(TableDailyJournal[[#This Row],[السنــــة]],TableDailyJournal[[#This Row],[الشهــــر]],TableDailyJournal[[#This Row],[الـــــيوم]]),"01-01-2026")</f>
        <v>46184</v>
      </c>
      <c r="V310" s="126"/>
      <c r="W310" s="58"/>
      <c r="X310" s="58">
        <f>IFERROR(YEAR(TableDailyJournal[[#This Row],[التاريخ]]),"")</f>
        <v>2026</v>
      </c>
      <c r="Y310" s="58">
        <f>IFERROR(MONTH(TableDailyJournal[[#This Row],[التاريخ]]),"")</f>
        <v>6</v>
      </c>
      <c r="Z310" s="58">
        <f>IFERROR(DAY(TableDailyJournal[[#This Row],[التاريخ]]),"")</f>
        <v>11</v>
      </c>
      <c r="AA310"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AB310" s="121">
        <f>INDEX(Tabledaily[جهة الامر],MATCH(TableDailyJournal[[#This Row],[رقم العملية]],Tabledaily[رقم العملية],0))</f>
        <v>0</v>
      </c>
    </row>
    <row r="311" spans="2:28" ht="45.75" x14ac:dyDescent="0.55000000000000004">
      <c r="B311" s="58">
        <f t="shared" si="9"/>
        <v>307</v>
      </c>
      <c r="C311" s="59" t="s">
        <v>675</v>
      </c>
      <c r="D311" s="60">
        <f>INDEX(Tabledaily[date],MATCH(TableDailyJournal[[#This Row],[رقم العملية]],Tabledaily[رقم العملية],0))</f>
        <v>46184</v>
      </c>
      <c r="E311" s="58" t="str">
        <f>INDEX(Tabledaily[نوع العمليــة],MATCH(TableDailyJournal[[#This Row],[رقم العملية]],Tabledaily[رقم العملية],0))</f>
        <v>قيد عهده</v>
      </c>
      <c r="F311" s="58">
        <f>IFERROR(INDEX(TableJudje[رقم الحساب],MATCH(TableDailyJournal[[#This Row],[الحساب]],TableJudje[اسم الحساب],0)),0)</f>
        <v>11060205</v>
      </c>
      <c r="G311" s="58" t="s">
        <v>513</v>
      </c>
      <c r="H311"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I311" s="60" t="str">
        <f>INDEX(Tabledaily[العملـــة],MATCH(TableDailyJournal[[#This Row],[رقم العملية]],Tabledaily[رقم العملية],0))</f>
        <v>ريال يمني</v>
      </c>
      <c r="J311" s="59">
        <f>IFERROR(INDEX(Tabledaily[سعــــــر
الصـــــرف],MATCH(C311,Tabledaily[رقم العملية],0)),1)</f>
        <v>405</v>
      </c>
      <c r="K311" s="123" cm="1">
        <f t="array" ref="K311">IFERROR(INDEX(Tabledaily[المبلـــــــغ],MATCH(1,(TableDailyJournal[[#This Row],[رقم العملية]]=Tabledaily[رقم العملية])*(TableDailyJournal[[#This Row],[الحساب]]=Tabledaily[الحســاب المديــــن]),0)),0)</f>
        <v>0</v>
      </c>
      <c r="L311" s="123" cm="1">
        <f t="array" ref="L311">IFERROR(INDEX(Tabledaily[المبلـــــــغ],MATCH(1,(TableDailyJournal[[#This Row],[رقم العملية]]=Tabledaily[رقم العملية])*(TableDailyJournal[[#This Row],[الحساب]]=Tabledaily[الحســاب الدئـــن]),0)),0)</f>
        <v>25000</v>
      </c>
      <c r="M311" s="119">
        <f>IFERROR(TableDailyJournal[[#This Row],[المبلغ مدين]]/TableDailyJournal[[#This Row],[سعــــــر
الصـــــرف]],0)</f>
        <v>0</v>
      </c>
      <c r="N311" s="119">
        <f>IFERROR(TableDailyJournal[[#This Row],[المبلغ دائن]]/TableDailyJournal[[#This Row],[سعــــــر
الصـــــرف]],0)</f>
        <v>61.728395061728392</v>
      </c>
      <c r="O311" s="121" t="str">
        <f>INDEX(Tabledaily[المستفيــــــــد],MATCH(TableDailyJournal[[#This Row],[رقم العملية]],Tabledaily[رقم العملية],0))</f>
        <v>مرافقي الاركان</v>
      </c>
      <c r="P311" s="121" t="str">
        <f>INDEX(Tabledaily[المــــرجـــــــــع],MATCH(TableDailyJournal[[#This Row],[رقم العملية]],Tabledaily[رقم العملية],0))</f>
        <v>كشف صرف</v>
      </c>
      <c r="Q311" s="121" t="str">
        <f>INDEX(Tabledaily[اســـــــم المــــرجــــع],MATCH(TableDailyJournal[[#This Row],[رقم العملية]],Tabledaily[رقم العملية],0))</f>
        <v>كشف صرف</v>
      </c>
      <c r="R311" s="121">
        <f>INDEX(Tabledaily[رقم المـــــرجـــع],MATCH(TableDailyJournal[[#This Row],[رقم العملية]],Tabledaily[رقم العملية],0))</f>
        <v>0</v>
      </c>
      <c r="S311" s="121" t="str">
        <f>INDEX(Tabledaily[مركـــــــزالتكلفــــــة],MATCH(TableDailyJournal[[#This Row],[رقم العملية]],Tabledaily[رقم العملية],0))</f>
        <v>الفرقة الثالثة</v>
      </c>
      <c r="T311" s="121">
        <f>IFERROR(INDEX(tablecost[رقم المركز],MATCH(TableDailyJournal[[#This Row],[مركـــــــزالتكلفــــــة]],tablecost[الاسم],0)),0)</f>
        <v>1</v>
      </c>
      <c r="U311" s="122">
        <f>IFERROR(DATE(TableDailyJournal[[#This Row],[السنــــة]],TableDailyJournal[[#This Row],[الشهــــر]],TableDailyJournal[[#This Row],[الـــــيوم]]),"01-01-2026")</f>
        <v>46184</v>
      </c>
      <c r="V311" s="126"/>
      <c r="W311" s="58"/>
      <c r="X311" s="58">
        <f>IFERROR(YEAR(TableDailyJournal[[#This Row],[التاريخ]]),"")</f>
        <v>2026</v>
      </c>
      <c r="Y311" s="58">
        <f>IFERROR(MONTH(TableDailyJournal[[#This Row],[التاريخ]]),"")</f>
        <v>6</v>
      </c>
      <c r="Z311" s="58">
        <f>IFERROR(DAY(TableDailyJournal[[#This Row],[التاريخ]]),"")</f>
        <v>11</v>
      </c>
      <c r="AA311"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3 بامر</v>
      </c>
      <c r="AB311" s="121">
        <f>INDEX(Tabledaily[جهة الامر],MATCH(TableDailyJournal[[#This Row],[رقم العملية]],Tabledaily[رقم العملية],0))</f>
        <v>0</v>
      </c>
    </row>
    <row r="312" spans="2:28" ht="45.75" x14ac:dyDescent="0.55000000000000004">
      <c r="B312" s="58">
        <f t="shared" si="9"/>
        <v>308</v>
      </c>
      <c r="C312" s="59" t="s">
        <v>676</v>
      </c>
      <c r="D312" s="60">
        <f>INDEX(Tabledaily[date],MATCH(TableDailyJournal[[#This Row],[رقم العملية]],Tabledaily[رقم العملية],0))</f>
        <v>46184</v>
      </c>
      <c r="E312" s="58" t="str">
        <f>INDEX(Tabledaily[نوع العمليــة],MATCH(TableDailyJournal[[#This Row],[رقم العملية]],Tabledaily[رقم العملية],0))</f>
        <v>قيد عهده</v>
      </c>
      <c r="F312" s="58">
        <f>IFERROR(INDEX(TableJudje[رقم الحساب],MATCH(TableDailyJournal[[#This Row],[الحساب]],TableJudje[اسم الحساب],0)),0)</f>
        <v>31010101</v>
      </c>
      <c r="G312" s="58" t="s">
        <v>111</v>
      </c>
      <c r="H312"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312" s="60" t="str">
        <f>INDEX(Tabledaily[العملـــة],MATCH(TableDailyJournal[[#This Row],[رقم العملية]],Tabledaily[رقم العملية],0))</f>
        <v>ريال يمني</v>
      </c>
      <c r="J312" s="59">
        <f>IFERROR(INDEX(Tabledaily[سعــــــر
الصـــــرف],MATCH(C312,Tabledaily[رقم العملية],0)),1)</f>
        <v>405</v>
      </c>
      <c r="K312" s="123" cm="1">
        <f t="array" ref="K312">IFERROR(INDEX(Tabledaily[المبلـــــــغ],MATCH(1,(TableDailyJournal[[#This Row],[رقم العملية]]=Tabledaily[رقم العملية])*(TableDailyJournal[[#This Row],[الحساب]]=Tabledaily[الحســاب المديــــن]),0)),0)</f>
        <v>28000</v>
      </c>
      <c r="L312" s="123" cm="1">
        <f t="array" ref="L312">IFERROR(INDEX(Tabledaily[المبلـــــــغ],MATCH(1,(TableDailyJournal[[#This Row],[رقم العملية]]=Tabledaily[رقم العملية])*(TableDailyJournal[[#This Row],[الحساب]]=Tabledaily[الحســاب الدئـــن]),0)),0)</f>
        <v>0</v>
      </c>
      <c r="M312" s="119">
        <f>IFERROR(TableDailyJournal[[#This Row],[المبلغ مدين]]/TableDailyJournal[[#This Row],[سعــــــر
الصـــــرف]],0)</f>
        <v>69.135802469135797</v>
      </c>
      <c r="N312" s="119">
        <f>IFERROR(TableDailyJournal[[#This Row],[المبلغ دائن]]/TableDailyJournal[[#This Row],[سعــــــر
الصـــــرف]],0)</f>
        <v>0</v>
      </c>
      <c r="O312" s="121" t="str">
        <f>INDEX(Tabledaily[المستفيــــــــد],MATCH(TableDailyJournal[[#This Row],[رقم العملية]],Tabledaily[رقم العملية],0))</f>
        <v>الاشغال</v>
      </c>
      <c r="P312" s="121" t="str">
        <f>INDEX(Tabledaily[المــــرجـــــــــع],MATCH(TableDailyJournal[[#This Row],[رقم العملية]],Tabledaily[رقم العملية],0))</f>
        <v>كشف صرف</v>
      </c>
      <c r="Q312" s="121" t="str">
        <f>INDEX(Tabledaily[اســـــــم المــــرجــــع],MATCH(TableDailyJournal[[#This Row],[رقم العملية]],Tabledaily[رقم العملية],0))</f>
        <v>كشف صرف</v>
      </c>
      <c r="R312" s="121">
        <f>INDEX(Tabledaily[رقم المـــــرجـــع],MATCH(TableDailyJournal[[#This Row],[رقم العملية]],Tabledaily[رقم العملية],0))</f>
        <v>0</v>
      </c>
      <c r="S312" s="121" t="str">
        <f>INDEX(Tabledaily[مركـــــــزالتكلفــــــة],MATCH(TableDailyJournal[[#This Row],[رقم العملية]],Tabledaily[رقم العملية],0))</f>
        <v>الفرقة الثالثة</v>
      </c>
      <c r="T312" s="121">
        <f>IFERROR(INDEX(tablecost[رقم المركز],MATCH(TableDailyJournal[[#This Row],[مركـــــــزالتكلفــــــة]],tablecost[الاسم],0)),0)</f>
        <v>1</v>
      </c>
      <c r="U312" s="122">
        <f>IFERROR(DATE(TableDailyJournal[[#This Row],[السنــــة]],TableDailyJournal[[#This Row],[الشهــــر]],TableDailyJournal[[#This Row],[الـــــيوم]]),"01-01-2026")</f>
        <v>46184</v>
      </c>
      <c r="V312" s="126"/>
      <c r="W312" s="58"/>
      <c r="X312" s="58">
        <f>IFERROR(YEAR(TableDailyJournal[[#This Row],[التاريخ]]),"")</f>
        <v>2026</v>
      </c>
      <c r="Y312" s="58">
        <f>IFERROR(MONTH(TableDailyJournal[[#This Row],[التاريخ]]),"")</f>
        <v>6</v>
      </c>
      <c r="Z312" s="58">
        <f>IFERROR(DAY(TableDailyJournal[[#This Row],[التاريخ]]),"")</f>
        <v>11</v>
      </c>
      <c r="AA312"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312" s="121">
        <f>INDEX(Tabledaily[جهة الامر],MATCH(TableDailyJournal[[#This Row],[رقم العملية]],Tabledaily[رقم العملية],0))</f>
        <v>0</v>
      </c>
    </row>
    <row r="313" spans="2:28" ht="45.75" x14ac:dyDescent="0.55000000000000004">
      <c r="B313" s="58">
        <f t="shared" si="9"/>
        <v>309</v>
      </c>
      <c r="C313" s="59" t="s">
        <v>676</v>
      </c>
      <c r="D313" s="60">
        <f>INDEX(Tabledaily[date],MATCH(TableDailyJournal[[#This Row],[رقم العملية]],Tabledaily[رقم العملية],0))</f>
        <v>46184</v>
      </c>
      <c r="E313" s="58" t="str">
        <f>INDEX(Tabledaily[نوع العمليــة],MATCH(TableDailyJournal[[#This Row],[رقم العملية]],Tabledaily[رقم العملية],0))</f>
        <v>قيد عهده</v>
      </c>
      <c r="F313" s="58">
        <f>IFERROR(INDEX(TableJudje[رقم الحساب],MATCH(TableDailyJournal[[#This Row],[الحساب]],TableJudje[اسم الحساب],0)),0)</f>
        <v>11060205</v>
      </c>
      <c r="G313" s="58" t="s">
        <v>513</v>
      </c>
      <c r="H313"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313" s="60" t="str">
        <f>INDEX(Tabledaily[العملـــة],MATCH(TableDailyJournal[[#This Row],[رقم العملية]],Tabledaily[رقم العملية],0))</f>
        <v>ريال يمني</v>
      </c>
      <c r="J313" s="59">
        <f>IFERROR(INDEX(Tabledaily[سعــــــر
الصـــــرف],MATCH(C313,Tabledaily[رقم العملية],0)),1)</f>
        <v>405</v>
      </c>
      <c r="K313" s="123" cm="1">
        <f t="array" ref="K313">IFERROR(INDEX(Tabledaily[المبلـــــــغ],MATCH(1,(TableDailyJournal[[#This Row],[رقم العملية]]=Tabledaily[رقم العملية])*(TableDailyJournal[[#This Row],[الحساب]]=Tabledaily[الحســاب المديــــن]),0)),0)</f>
        <v>0</v>
      </c>
      <c r="L313" s="123" cm="1">
        <f t="array" ref="L313">IFERROR(INDEX(Tabledaily[المبلـــــــغ],MATCH(1,(TableDailyJournal[[#This Row],[رقم العملية]]=Tabledaily[رقم العملية])*(TableDailyJournal[[#This Row],[الحساب]]=Tabledaily[الحســاب الدئـــن]),0)),0)</f>
        <v>28000</v>
      </c>
      <c r="M313" s="119">
        <f>IFERROR(TableDailyJournal[[#This Row],[المبلغ مدين]]/TableDailyJournal[[#This Row],[سعــــــر
الصـــــرف]],0)</f>
        <v>0</v>
      </c>
      <c r="N313" s="119">
        <f>IFERROR(TableDailyJournal[[#This Row],[المبلغ دائن]]/TableDailyJournal[[#This Row],[سعــــــر
الصـــــرف]],0)</f>
        <v>69.135802469135797</v>
      </c>
      <c r="O313" s="121" t="str">
        <f>INDEX(Tabledaily[المستفيــــــــد],MATCH(TableDailyJournal[[#This Row],[رقم العملية]],Tabledaily[رقم العملية],0))</f>
        <v>الاشغال</v>
      </c>
      <c r="P313" s="121" t="str">
        <f>INDEX(Tabledaily[المــــرجـــــــــع],MATCH(TableDailyJournal[[#This Row],[رقم العملية]],Tabledaily[رقم العملية],0))</f>
        <v>كشف صرف</v>
      </c>
      <c r="Q313" s="121" t="str">
        <f>INDEX(Tabledaily[اســـــــم المــــرجــــع],MATCH(TableDailyJournal[[#This Row],[رقم العملية]],Tabledaily[رقم العملية],0))</f>
        <v>كشف صرف</v>
      </c>
      <c r="R313" s="121">
        <f>INDEX(Tabledaily[رقم المـــــرجـــع],MATCH(TableDailyJournal[[#This Row],[رقم العملية]],Tabledaily[رقم العملية],0))</f>
        <v>0</v>
      </c>
      <c r="S313" s="121" t="str">
        <f>INDEX(Tabledaily[مركـــــــزالتكلفــــــة],MATCH(TableDailyJournal[[#This Row],[رقم العملية]],Tabledaily[رقم العملية],0))</f>
        <v>الفرقة الثالثة</v>
      </c>
      <c r="T313" s="121">
        <f>IFERROR(INDEX(tablecost[رقم المركز],MATCH(TableDailyJournal[[#This Row],[مركـــــــزالتكلفــــــة]],tablecost[الاسم],0)),0)</f>
        <v>1</v>
      </c>
      <c r="U313" s="122">
        <f>IFERROR(DATE(TableDailyJournal[[#This Row],[السنــــة]],TableDailyJournal[[#This Row],[الشهــــر]],TableDailyJournal[[#This Row],[الـــــيوم]]),"01-01-2026")</f>
        <v>46184</v>
      </c>
      <c r="V313" s="126"/>
      <c r="W313" s="58"/>
      <c r="X313" s="58">
        <f>IFERROR(YEAR(TableDailyJournal[[#This Row],[التاريخ]]),"")</f>
        <v>2026</v>
      </c>
      <c r="Y313" s="58">
        <f>IFERROR(MONTH(TableDailyJournal[[#This Row],[التاريخ]]),"")</f>
        <v>6</v>
      </c>
      <c r="Z313" s="58">
        <f>IFERROR(DAY(TableDailyJournal[[#This Row],[التاريخ]]),"")</f>
        <v>11</v>
      </c>
      <c r="AA313"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313" s="121">
        <f>INDEX(Tabledaily[جهة الامر],MATCH(TableDailyJournal[[#This Row],[رقم العملية]],Tabledaily[رقم العملية],0))</f>
        <v>0</v>
      </c>
    </row>
    <row r="314" spans="2:28" ht="45.75" x14ac:dyDescent="0.55000000000000004">
      <c r="B314" s="58">
        <f t="shared" si="9"/>
        <v>310</v>
      </c>
      <c r="C314" s="59" t="s">
        <v>677</v>
      </c>
      <c r="D314" s="60">
        <f>INDEX(Tabledaily[date],MATCH(TableDailyJournal[[#This Row],[رقم العملية]],Tabledaily[رقم العملية],0))</f>
        <v>46184</v>
      </c>
      <c r="E314" s="58" t="str">
        <f>INDEX(Tabledaily[نوع العمليــة],MATCH(TableDailyJournal[[#This Row],[رقم العملية]],Tabledaily[رقم العملية],0))</f>
        <v>قيد عهده</v>
      </c>
      <c r="F314" s="58">
        <f>IFERROR(INDEX(TableJudje[رقم الحساب],MATCH(TableDailyJournal[[#This Row],[الحساب]],TableJudje[اسم الحساب],0)),0)</f>
        <v>31010101</v>
      </c>
      <c r="G314" s="58" t="s">
        <v>111</v>
      </c>
      <c r="H314" s="61"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I314" s="60" t="str">
        <f>INDEX(Tabledaily[العملـــة],MATCH(TableDailyJournal[[#This Row],[رقم العملية]],Tabledaily[رقم العملية],0))</f>
        <v>ريال يمني</v>
      </c>
      <c r="J314" s="59">
        <f>IFERROR(INDEX(Tabledaily[سعــــــر
الصـــــرف],MATCH(C314,Tabledaily[رقم العملية],0)),1)</f>
        <v>405</v>
      </c>
      <c r="K314" s="123" cm="1">
        <f t="array" ref="K314">IFERROR(INDEX(Tabledaily[المبلـــــــغ],MATCH(1,(TableDailyJournal[[#This Row],[رقم العملية]]=Tabledaily[رقم العملية])*(TableDailyJournal[[#This Row],[الحساب]]=Tabledaily[الحســاب المديــــن]),0)),0)</f>
        <v>156000</v>
      </c>
      <c r="L314" s="123" cm="1">
        <f t="array" ref="L314">IFERROR(INDEX(Tabledaily[المبلـــــــغ],MATCH(1,(TableDailyJournal[[#This Row],[رقم العملية]]=Tabledaily[رقم العملية])*(TableDailyJournal[[#This Row],[الحساب]]=Tabledaily[الحســاب الدئـــن]),0)),0)</f>
        <v>0</v>
      </c>
      <c r="M314" s="119">
        <f>IFERROR(TableDailyJournal[[#This Row],[المبلغ مدين]]/TableDailyJournal[[#This Row],[سعــــــر
الصـــــرف]],0)</f>
        <v>385.18518518518516</v>
      </c>
      <c r="N314" s="119">
        <f>IFERROR(TableDailyJournal[[#This Row],[المبلغ دائن]]/TableDailyJournal[[#This Row],[سعــــــر
الصـــــرف]],0)</f>
        <v>0</v>
      </c>
      <c r="O314" s="121" t="str">
        <f>INDEX(Tabledaily[المستفيــــــــد],MATCH(TableDailyJournal[[#This Row],[رقم العملية]],Tabledaily[رقم العملية],0))</f>
        <v>سرية اللواء السادس</v>
      </c>
      <c r="P314" s="121" t="str">
        <f>INDEX(Tabledaily[المــــرجـــــــــع],MATCH(TableDailyJournal[[#This Row],[رقم العملية]],Tabledaily[رقم العملية],0))</f>
        <v>كشف صرف</v>
      </c>
      <c r="Q314" s="121" t="str">
        <f>INDEX(Tabledaily[اســـــــم المــــرجــــع],MATCH(TableDailyJournal[[#This Row],[رقم العملية]],Tabledaily[رقم العملية],0))</f>
        <v>كشف صرف</v>
      </c>
      <c r="R314" s="121">
        <f>INDEX(Tabledaily[رقم المـــــرجـــع],MATCH(TableDailyJournal[[#This Row],[رقم العملية]],Tabledaily[رقم العملية],0))</f>
        <v>0</v>
      </c>
      <c r="S314" s="121" t="str">
        <f>INDEX(Tabledaily[مركـــــــزالتكلفــــــة],MATCH(TableDailyJournal[[#This Row],[رقم العملية]],Tabledaily[رقم العملية],0))</f>
        <v>الفرقة الثالثة</v>
      </c>
      <c r="T314" s="121">
        <f>IFERROR(INDEX(tablecost[رقم المركز],MATCH(TableDailyJournal[[#This Row],[مركـــــــزالتكلفــــــة]],tablecost[الاسم],0)),0)</f>
        <v>1</v>
      </c>
      <c r="U314" s="122">
        <f>IFERROR(DATE(TableDailyJournal[[#This Row],[السنــــة]],TableDailyJournal[[#This Row],[الشهــــر]],TableDailyJournal[[#This Row],[الـــــيوم]]),"01-01-2026")</f>
        <v>46184</v>
      </c>
      <c r="V314" s="126"/>
      <c r="W314" s="58"/>
      <c r="X314" s="58">
        <f>IFERROR(YEAR(TableDailyJournal[[#This Row],[التاريخ]]),"")</f>
        <v>2026</v>
      </c>
      <c r="Y314" s="58">
        <f>IFERROR(MONTH(TableDailyJournal[[#This Row],[التاريخ]]),"")</f>
        <v>6</v>
      </c>
      <c r="Z314" s="58">
        <f>IFERROR(DAY(TableDailyJournal[[#This Row],[التاريخ]]),"")</f>
        <v>11</v>
      </c>
      <c r="AA314" s="126"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AB314" s="121">
        <f>INDEX(Tabledaily[جهة الامر],MATCH(TableDailyJournal[[#This Row],[رقم العملية]],Tabledaily[رقم العملية],0))</f>
        <v>0</v>
      </c>
    </row>
    <row r="315" spans="2:28" ht="45.75" x14ac:dyDescent="0.55000000000000004">
      <c r="B315" s="58">
        <f t="shared" si="9"/>
        <v>311</v>
      </c>
      <c r="C315" s="59" t="s">
        <v>677</v>
      </c>
      <c r="D315" s="60">
        <f>INDEX(Tabledaily[date],MATCH(TableDailyJournal[[#This Row],[رقم العملية]],Tabledaily[رقم العملية],0))</f>
        <v>46184</v>
      </c>
      <c r="E315" s="58" t="str">
        <f>INDEX(Tabledaily[نوع العمليــة],MATCH(TableDailyJournal[[#This Row],[رقم العملية]],Tabledaily[رقم العملية],0))</f>
        <v>قيد عهده</v>
      </c>
      <c r="F315" s="58">
        <f>IFERROR(INDEX(TableJudje[رقم الحساب],MATCH(TableDailyJournal[[#This Row],[الحساب]],TableJudje[اسم الحساب],0)),0)</f>
        <v>11060205</v>
      </c>
      <c r="G315" s="58" t="s">
        <v>513</v>
      </c>
      <c r="H315" s="61"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I315" s="60" t="str">
        <f>INDEX(Tabledaily[العملـــة],MATCH(TableDailyJournal[[#This Row],[رقم العملية]],Tabledaily[رقم العملية],0))</f>
        <v>ريال يمني</v>
      </c>
      <c r="J315" s="59">
        <f>IFERROR(INDEX(Tabledaily[سعــــــر
الصـــــرف],MATCH(C315,Tabledaily[رقم العملية],0)),1)</f>
        <v>405</v>
      </c>
      <c r="K315" s="123" cm="1">
        <f t="array" ref="K315">IFERROR(INDEX(Tabledaily[المبلـــــــغ],MATCH(1,(TableDailyJournal[[#This Row],[رقم العملية]]=Tabledaily[رقم العملية])*(TableDailyJournal[[#This Row],[الحساب]]=Tabledaily[الحســاب المديــــن]),0)),0)</f>
        <v>0</v>
      </c>
      <c r="L315" s="123" cm="1">
        <f t="array" ref="L315">IFERROR(INDEX(Tabledaily[المبلـــــــغ],MATCH(1,(TableDailyJournal[[#This Row],[رقم العملية]]=Tabledaily[رقم العملية])*(TableDailyJournal[[#This Row],[الحساب]]=Tabledaily[الحســاب الدئـــن]),0)),0)</f>
        <v>156000</v>
      </c>
      <c r="M315" s="119">
        <f>IFERROR(TableDailyJournal[[#This Row],[المبلغ مدين]]/TableDailyJournal[[#This Row],[سعــــــر
الصـــــرف]],0)</f>
        <v>0</v>
      </c>
      <c r="N315" s="119">
        <f>IFERROR(TableDailyJournal[[#This Row],[المبلغ دائن]]/TableDailyJournal[[#This Row],[سعــــــر
الصـــــرف]],0)</f>
        <v>385.18518518518516</v>
      </c>
      <c r="O315" s="121" t="str">
        <f>INDEX(Tabledaily[المستفيــــــــد],MATCH(TableDailyJournal[[#This Row],[رقم العملية]],Tabledaily[رقم العملية],0))</f>
        <v>سرية اللواء السادس</v>
      </c>
      <c r="P315" s="121" t="str">
        <f>INDEX(Tabledaily[المــــرجـــــــــع],MATCH(TableDailyJournal[[#This Row],[رقم العملية]],Tabledaily[رقم العملية],0))</f>
        <v>كشف صرف</v>
      </c>
      <c r="Q315" s="121" t="str">
        <f>INDEX(Tabledaily[اســـــــم المــــرجــــع],MATCH(TableDailyJournal[[#This Row],[رقم العملية]],Tabledaily[رقم العملية],0))</f>
        <v>كشف صرف</v>
      </c>
      <c r="R315" s="121">
        <f>INDEX(Tabledaily[رقم المـــــرجـــع],MATCH(TableDailyJournal[[#This Row],[رقم العملية]],Tabledaily[رقم العملية],0))</f>
        <v>0</v>
      </c>
      <c r="S315" s="121" t="str">
        <f>INDEX(Tabledaily[مركـــــــزالتكلفــــــة],MATCH(TableDailyJournal[[#This Row],[رقم العملية]],Tabledaily[رقم العملية],0))</f>
        <v>الفرقة الثالثة</v>
      </c>
      <c r="T315" s="121">
        <f>IFERROR(INDEX(tablecost[رقم المركز],MATCH(TableDailyJournal[[#This Row],[مركـــــــزالتكلفــــــة]],tablecost[الاسم],0)),0)</f>
        <v>1</v>
      </c>
      <c r="U315" s="122">
        <f>IFERROR(DATE(TableDailyJournal[[#This Row],[السنــــة]],TableDailyJournal[[#This Row],[الشهــــر]],TableDailyJournal[[#This Row],[الـــــيوم]]),"01-01-2026")</f>
        <v>46184</v>
      </c>
      <c r="V315" s="126"/>
      <c r="W315" s="58"/>
      <c r="X315" s="58">
        <f>IFERROR(YEAR(TableDailyJournal[[#This Row],[التاريخ]]),"")</f>
        <v>2026</v>
      </c>
      <c r="Y315" s="58">
        <f>IFERROR(MONTH(TableDailyJournal[[#This Row],[التاريخ]]),"")</f>
        <v>6</v>
      </c>
      <c r="Z315" s="58">
        <f>IFERROR(DAY(TableDailyJournal[[#This Row],[التاريخ]]),"")</f>
        <v>11</v>
      </c>
      <c r="AA315" s="126"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AB315" s="121">
        <f>INDEX(Tabledaily[جهة الامر],MATCH(TableDailyJournal[[#This Row],[رقم العملية]],Tabledaily[رقم العملية],0))</f>
        <v>0</v>
      </c>
    </row>
    <row r="316" spans="2:28" ht="45.75" x14ac:dyDescent="0.55000000000000004">
      <c r="B316" s="58">
        <f t="shared" si="9"/>
        <v>312</v>
      </c>
      <c r="C316" s="59" t="s">
        <v>678</v>
      </c>
      <c r="D316" s="60">
        <f>INDEX(Tabledaily[date],MATCH(TableDailyJournal[[#This Row],[رقم العملية]],Tabledaily[رقم العملية],0))</f>
        <v>46184</v>
      </c>
      <c r="E316" s="58" t="str">
        <f>INDEX(Tabledaily[نوع العمليــة],MATCH(TableDailyJournal[[#This Row],[رقم العملية]],Tabledaily[رقم العملية],0))</f>
        <v>قبض عهدة</v>
      </c>
      <c r="F316" s="58">
        <f>IFERROR(INDEX(TableJudje[رقم الحساب],MATCH(TableDailyJournal[[#This Row],[الحساب]],TableJudje[اسم الحساب],0)),0)</f>
        <v>11060205</v>
      </c>
      <c r="G316" s="58" t="s">
        <v>513</v>
      </c>
      <c r="H316" s="61" t="str">
        <f>INDEX(Tabledaily[المرجع البياني],MATCH(TableDailyJournal[[#This Row],[رقم العملية]],Tabledaily[رقم العملية],0))</f>
        <v>قيـد مقابـل:- (عهدة عبدالحفيظ - عبدالحفيظ - الفرقة الثالثة)  - حواله رقم 26371  شركة المقبولي للصرافة والتحويلات - استلام عهدة بامر</v>
      </c>
      <c r="I316" s="60" t="str">
        <f>INDEX(Tabledaily[العملـــة],MATCH(TableDailyJournal[[#This Row],[رقم العملية]],Tabledaily[رقم العملية],0))</f>
        <v>ريال سعودي</v>
      </c>
      <c r="J316" s="59">
        <f>IFERROR(INDEX(Tabledaily[سعــــــر
الصـــــرف],MATCH(C316,Tabledaily[رقم العملية],0)),1)</f>
        <v>1</v>
      </c>
      <c r="K316" s="123" cm="1">
        <f t="array" ref="K316">IFERROR(INDEX(Tabledaily[المبلـــــــغ],MATCH(1,(TableDailyJournal[[#This Row],[رقم العملية]]=Tabledaily[رقم العملية])*(TableDailyJournal[[#This Row],[الحساب]]=Tabledaily[الحســاب المديــــن]),0)),0)</f>
        <v>9980</v>
      </c>
      <c r="L316" s="123" cm="1">
        <f t="array" ref="L316">IFERROR(INDEX(Tabledaily[المبلـــــــغ],MATCH(1,(TableDailyJournal[[#This Row],[رقم العملية]]=Tabledaily[رقم العملية])*(TableDailyJournal[[#This Row],[الحساب]]=Tabledaily[الحســاب الدئـــن]),0)),0)</f>
        <v>0</v>
      </c>
      <c r="M316" s="119">
        <f>IFERROR(TableDailyJournal[[#This Row],[المبلغ مدين]]/TableDailyJournal[[#This Row],[سعــــــر
الصـــــرف]],0)</f>
        <v>9980</v>
      </c>
      <c r="N316" s="119">
        <f>IFERROR(TableDailyJournal[[#This Row],[المبلغ دائن]]/TableDailyJournal[[#This Row],[سعــــــر
الصـــــرف]],0)</f>
        <v>0</v>
      </c>
      <c r="O316" s="121" t="str">
        <f>INDEX(Tabledaily[المستفيــــــــد],MATCH(TableDailyJournal[[#This Row],[رقم العملية]],Tabledaily[رقم العملية],0))</f>
        <v>عبدالحفيظ</v>
      </c>
      <c r="P316" s="121" t="str">
        <f>INDEX(Tabledaily[المــــرجـــــــــع],MATCH(TableDailyJournal[[#This Row],[رقم العملية]],Tabledaily[رقم العملية],0))</f>
        <v>حواله</v>
      </c>
      <c r="Q316" s="121" t="str">
        <f>INDEX(Tabledaily[اســـــــم المــــرجــــع],MATCH(TableDailyJournal[[#This Row],[رقم العملية]],Tabledaily[رقم العملية],0))</f>
        <v>شركة المقبولي للصرافة والتحويلات</v>
      </c>
      <c r="R316" s="121">
        <f>INDEX(Tabledaily[رقم المـــــرجـــع],MATCH(TableDailyJournal[[#This Row],[رقم العملية]],Tabledaily[رقم العملية],0))</f>
        <v>26371</v>
      </c>
      <c r="S316" s="121" t="str">
        <f>INDEX(Tabledaily[مركـــــــزالتكلفــــــة],MATCH(TableDailyJournal[[#This Row],[رقم العملية]],Tabledaily[رقم العملية],0))</f>
        <v>الفرقة الثالثة</v>
      </c>
      <c r="T316" s="121">
        <f>IFERROR(INDEX(tablecost[رقم المركز],MATCH(TableDailyJournal[[#This Row],[مركـــــــزالتكلفــــــة]],tablecost[الاسم],0)),0)</f>
        <v>1</v>
      </c>
      <c r="U316" s="122">
        <f>IFERROR(DATE(TableDailyJournal[[#This Row],[السنــــة]],TableDailyJournal[[#This Row],[الشهــــر]],TableDailyJournal[[#This Row],[الـــــيوم]]),"01-01-2026")</f>
        <v>46184</v>
      </c>
      <c r="V316" s="126"/>
      <c r="W316" s="58"/>
      <c r="X316" s="58">
        <f>IFERROR(YEAR(TableDailyJournal[[#This Row],[التاريخ]]),"")</f>
        <v>2026</v>
      </c>
      <c r="Y316" s="58">
        <f>IFERROR(MONTH(TableDailyJournal[[#This Row],[التاريخ]]),"")</f>
        <v>6</v>
      </c>
      <c r="Z316" s="58">
        <f>IFERROR(DAY(TableDailyJournal[[#This Row],[التاريخ]]),"")</f>
        <v>11</v>
      </c>
      <c r="AA316" s="126" t="str">
        <f>INDEX(Tabledaily[المرجع البياني],MATCH(TableDailyJournal[[#This Row],[رقم العملية]],Tabledaily[رقم العملية],0))</f>
        <v>قيـد مقابـل:- (عهدة عبدالحفيظ - عبدالحفيظ - الفرقة الثالثة)  - حواله رقم 26371  شركة المقبولي للصرافة والتحويلات - استلام عهدة بامر</v>
      </c>
      <c r="AB316" s="121">
        <f>INDEX(Tabledaily[جهة الامر],MATCH(TableDailyJournal[[#This Row],[رقم العملية]],Tabledaily[رقم العملية],0))</f>
        <v>0</v>
      </c>
    </row>
    <row r="317" spans="2:28" ht="45.75" x14ac:dyDescent="0.55000000000000004">
      <c r="B317" s="58">
        <f t="shared" si="9"/>
        <v>313</v>
      </c>
      <c r="C317" s="59" t="s">
        <v>678</v>
      </c>
      <c r="D317" s="60">
        <f>INDEX(Tabledaily[date],MATCH(TableDailyJournal[[#This Row],[رقم العملية]],Tabledaily[رقم العملية],0))</f>
        <v>46184</v>
      </c>
      <c r="E317" s="58" t="str">
        <f>INDEX(Tabledaily[نوع العمليــة],MATCH(TableDailyJournal[[#This Row],[رقم العملية]],Tabledaily[رقم العملية],0))</f>
        <v>قبض عهدة</v>
      </c>
      <c r="F317" s="58">
        <f>IFERROR(INDEX(TableJudje[رقم الحساب],MATCH(TableDailyJournal[[#This Row],[الحساب]],TableJudje[اسم الحساب],0)),0)</f>
        <v>11010101</v>
      </c>
      <c r="G317" s="58" t="s">
        <v>23</v>
      </c>
      <c r="H317" s="61" t="str">
        <f>INDEX(Tabledaily[المرجع البياني],MATCH(TableDailyJournal[[#This Row],[رقم العملية]],Tabledaily[رقم العملية],0))</f>
        <v>قيـد مقابـل:- (عهدة عبدالحفيظ - عبدالحفيظ - الفرقة الثالثة)  - حواله رقم 26371  شركة المقبولي للصرافة والتحويلات - استلام عهدة بامر</v>
      </c>
      <c r="I317" s="60" t="str">
        <f>INDEX(Tabledaily[العملـــة],MATCH(TableDailyJournal[[#This Row],[رقم العملية]],Tabledaily[رقم العملية],0))</f>
        <v>ريال سعودي</v>
      </c>
      <c r="J317" s="59">
        <f>IFERROR(INDEX(Tabledaily[سعــــــر
الصـــــرف],MATCH(C317,Tabledaily[رقم العملية],0)),1)</f>
        <v>1</v>
      </c>
      <c r="K317" s="123" cm="1">
        <f t="array" ref="K317">IFERROR(INDEX(Tabledaily[المبلـــــــغ],MATCH(1,(TableDailyJournal[[#This Row],[رقم العملية]]=Tabledaily[رقم العملية])*(TableDailyJournal[[#This Row],[الحساب]]=Tabledaily[الحســاب المديــــن]),0)),0)</f>
        <v>0</v>
      </c>
      <c r="L317" s="123" cm="1">
        <f t="array" ref="L317">IFERROR(INDEX(Tabledaily[المبلـــــــغ],MATCH(1,(TableDailyJournal[[#This Row],[رقم العملية]]=Tabledaily[رقم العملية])*(TableDailyJournal[[#This Row],[الحساب]]=Tabledaily[الحســاب الدئـــن]),0)),0)</f>
        <v>9980</v>
      </c>
      <c r="M317" s="119">
        <f>IFERROR(TableDailyJournal[[#This Row],[المبلغ مدين]]/TableDailyJournal[[#This Row],[سعــــــر
الصـــــرف]],0)</f>
        <v>0</v>
      </c>
      <c r="N317" s="119">
        <f>IFERROR(TableDailyJournal[[#This Row],[المبلغ دائن]]/TableDailyJournal[[#This Row],[سعــــــر
الصـــــرف]],0)</f>
        <v>9980</v>
      </c>
      <c r="O317" s="121" t="str">
        <f>INDEX(Tabledaily[المستفيــــــــد],MATCH(TableDailyJournal[[#This Row],[رقم العملية]],Tabledaily[رقم العملية],0))</f>
        <v>عبدالحفيظ</v>
      </c>
      <c r="P317" s="121" t="str">
        <f>INDEX(Tabledaily[المــــرجـــــــــع],MATCH(TableDailyJournal[[#This Row],[رقم العملية]],Tabledaily[رقم العملية],0))</f>
        <v>حواله</v>
      </c>
      <c r="Q317" s="121" t="str">
        <f>INDEX(Tabledaily[اســـــــم المــــرجــــع],MATCH(TableDailyJournal[[#This Row],[رقم العملية]],Tabledaily[رقم العملية],0))</f>
        <v>شركة المقبولي للصرافة والتحويلات</v>
      </c>
      <c r="R317" s="121">
        <f>INDEX(Tabledaily[رقم المـــــرجـــع],MATCH(TableDailyJournal[[#This Row],[رقم العملية]],Tabledaily[رقم العملية],0))</f>
        <v>26371</v>
      </c>
      <c r="S317" s="121" t="str">
        <f>INDEX(Tabledaily[مركـــــــزالتكلفــــــة],MATCH(TableDailyJournal[[#This Row],[رقم العملية]],Tabledaily[رقم العملية],0))</f>
        <v>الفرقة الثالثة</v>
      </c>
      <c r="T317" s="121">
        <f>IFERROR(INDEX(tablecost[رقم المركز],MATCH(TableDailyJournal[[#This Row],[مركـــــــزالتكلفــــــة]],tablecost[الاسم],0)),0)</f>
        <v>1</v>
      </c>
      <c r="U317" s="122">
        <f>IFERROR(DATE(TableDailyJournal[[#This Row],[السنــــة]],TableDailyJournal[[#This Row],[الشهــــر]],TableDailyJournal[[#This Row],[الـــــيوم]]),"01-01-2026")</f>
        <v>46184</v>
      </c>
      <c r="V317" s="126"/>
      <c r="W317" s="58"/>
      <c r="X317" s="58">
        <f>IFERROR(YEAR(TableDailyJournal[[#This Row],[التاريخ]]),"")</f>
        <v>2026</v>
      </c>
      <c r="Y317" s="58">
        <f>IFERROR(MONTH(TableDailyJournal[[#This Row],[التاريخ]]),"")</f>
        <v>6</v>
      </c>
      <c r="Z317" s="58">
        <f>IFERROR(DAY(TableDailyJournal[[#This Row],[التاريخ]]),"")</f>
        <v>11</v>
      </c>
      <c r="AA317" s="126" t="str">
        <f>INDEX(Tabledaily[المرجع البياني],MATCH(TableDailyJournal[[#This Row],[رقم العملية]],Tabledaily[رقم العملية],0))</f>
        <v>قيـد مقابـل:- (عهدة عبدالحفيظ - عبدالحفيظ - الفرقة الثالثة)  - حواله رقم 26371  شركة المقبولي للصرافة والتحويلات - استلام عهدة بامر</v>
      </c>
      <c r="AB317" s="121">
        <f>INDEX(Tabledaily[جهة الامر],MATCH(TableDailyJournal[[#This Row],[رقم العملية]],Tabledaily[رقم العملية],0))</f>
        <v>0</v>
      </c>
    </row>
    <row r="318" spans="2:28" ht="45.75" x14ac:dyDescent="0.55000000000000004">
      <c r="B318" s="58">
        <f t="shared" si="9"/>
        <v>314</v>
      </c>
      <c r="C318" s="59" t="s">
        <v>679</v>
      </c>
      <c r="D318" s="60">
        <f>INDEX(Tabledaily[date],MATCH(TableDailyJournal[[#This Row],[رقم العملية]],Tabledaily[رقم العملية],0))</f>
        <v>46184</v>
      </c>
      <c r="E318" s="58" t="str">
        <f>INDEX(Tabledaily[نوع العمليــة],MATCH(TableDailyJournal[[#This Row],[رقم العملية]],Tabledaily[رقم العملية],0))</f>
        <v>قيد عهده</v>
      </c>
      <c r="F318" s="58">
        <f>IFERROR(INDEX(TableJudje[رقم الحساب],MATCH(TableDailyJournal[[#This Row],[الحساب]],TableJudje[اسم الحساب],0)),0)</f>
        <v>31010135</v>
      </c>
      <c r="G318" s="58" t="s">
        <v>473</v>
      </c>
      <c r="H318" s="61"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للفترة السابقة بامرالمستشار المالي</v>
      </c>
      <c r="I318" s="60" t="str">
        <f>INDEX(Tabledaily[العملـــة],MATCH(TableDailyJournal[[#This Row],[رقم العملية]],Tabledaily[رقم العملية],0))</f>
        <v>ريال يمني</v>
      </c>
      <c r="J318" s="59">
        <f>IFERROR(INDEX(Tabledaily[سعــــــر
الصـــــرف],MATCH(C318,Tabledaily[رقم العملية],0)),1)</f>
        <v>405</v>
      </c>
      <c r="K318" s="123" cm="1">
        <f t="array" ref="K318">IFERROR(INDEX(Tabledaily[المبلـــــــغ],MATCH(1,(TableDailyJournal[[#This Row],[رقم العملية]]=Tabledaily[رقم العملية])*(TableDailyJournal[[#This Row],[الحساب]]=Tabledaily[الحســاب المديــــن]),0)),0)</f>
        <v>200000</v>
      </c>
      <c r="L318" s="123" cm="1">
        <f t="array" ref="L318">IFERROR(INDEX(Tabledaily[المبلـــــــغ],MATCH(1,(TableDailyJournal[[#This Row],[رقم العملية]]=Tabledaily[رقم العملية])*(TableDailyJournal[[#This Row],[الحساب]]=Tabledaily[الحســاب الدئـــن]),0)),0)</f>
        <v>0</v>
      </c>
      <c r="M318" s="119">
        <f>IFERROR(TableDailyJournal[[#This Row],[المبلغ مدين]]/TableDailyJournal[[#This Row],[سعــــــر
الصـــــرف]],0)</f>
        <v>493.82716049382714</v>
      </c>
      <c r="N318" s="119">
        <f>IFERROR(TableDailyJournal[[#This Row],[المبلغ دائن]]/TableDailyJournal[[#This Row],[سعــــــر
الصـــــرف]],0)</f>
        <v>0</v>
      </c>
      <c r="O318" s="121" t="str">
        <f>INDEX(Tabledaily[المستفيــــــــد],MATCH(TableDailyJournal[[#This Row],[رقم العملية]],Tabledaily[رقم العملية],0))</f>
        <v>صالح عبدالله لدحل</v>
      </c>
      <c r="P318" s="121" t="str">
        <f>INDEX(Tabledaily[المــــرجـــــــــع],MATCH(TableDailyJournal[[#This Row],[رقم العملية]],Tabledaily[رقم العملية],0))</f>
        <v>استلام نقدي</v>
      </c>
      <c r="Q318" s="121" t="str">
        <f>INDEX(Tabledaily[اســـــــم المــــرجــــع],MATCH(TableDailyJournal[[#This Row],[رقم العملية]],Tabledaily[رقم العملية],0))</f>
        <v>سند استلام</v>
      </c>
      <c r="R318" s="121">
        <f>INDEX(Tabledaily[رقم المـــــرجـــع],MATCH(TableDailyJournal[[#This Row],[رقم العملية]],Tabledaily[رقم العملية],0))</f>
        <v>0</v>
      </c>
      <c r="S318" s="121" t="str">
        <f>INDEX(Tabledaily[مركـــــــزالتكلفــــــة],MATCH(TableDailyJournal[[#This Row],[رقم العملية]],Tabledaily[رقم العملية],0))</f>
        <v>الفرقة الثالثة</v>
      </c>
      <c r="T318" s="121">
        <f>IFERROR(INDEX(tablecost[رقم المركز],MATCH(TableDailyJournal[[#This Row],[مركـــــــزالتكلفــــــة]],tablecost[الاسم],0)),0)</f>
        <v>1</v>
      </c>
      <c r="U318" s="122">
        <f>IFERROR(DATE(TableDailyJournal[[#This Row],[السنــــة]],TableDailyJournal[[#This Row],[الشهــــر]],TableDailyJournal[[#This Row],[الـــــيوم]]),"01-01-2026")</f>
        <v>46184</v>
      </c>
      <c r="V318" s="126"/>
      <c r="W318" s="58"/>
      <c r="X318" s="58">
        <f>IFERROR(YEAR(TableDailyJournal[[#This Row],[التاريخ]]),"")</f>
        <v>2026</v>
      </c>
      <c r="Y318" s="58">
        <f>IFERROR(MONTH(TableDailyJournal[[#This Row],[التاريخ]]),"")</f>
        <v>6</v>
      </c>
      <c r="Z318" s="58">
        <f>IFERROR(DAY(TableDailyJournal[[#This Row],[التاريخ]]),"")</f>
        <v>11</v>
      </c>
      <c r="AA318" s="126"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للفترة السابقة بامرالمستشار المالي</v>
      </c>
      <c r="AB318" s="121" t="str">
        <f>INDEX(Tabledaily[جهة الامر],MATCH(TableDailyJournal[[#This Row],[رقم العملية]],Tabledaily[رقم العملية],0))</f>
        <v>المستشار المالي</v>
      </c>
    </row>
    <row r="319" spans="2:28" ht="45.75" x14ac:dyDescent="0.55000000000000004">
      <c r="B319" s="58">
        <f t="shared" si="9"/>
        <v>315</v>
      </c>
      <c r="C319" s="59" t="s">
        <v>679</v>
      </c>
      <c r="D319" s="60">
        <f>INDEX(Tabledaily[date],MATCH(TableDailyJournal[[#This Row],[رقم العملية]],Tabledaily[رقم العملية],0))</f>
        <v>46184</v>
      </c>
      <c r="E319" s="58" t="str">
        <f>INDEX(Tabledaily[نوع العمليــة],MATCH(TableDailyJournal[[#This Row],[رقم العملية]],Tabledaily[رقم العملية],0))</f>
        <v>قيد عهده</v>
      </c>
      <c r="F319" s="58">
        <f>IFERROR(INDEX(TableJudje[رقم الحساب],MATCH(TableDailyJournal[[#This Row],[الحساب]],TableJudje[اسم الحساب],0)),0)</f>
        <v>11060205</v>
      </c>
      <c r="G319" s="58" t="s">
        <v>513</v>
      </c>
      <c r="H319" s="61"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للفترة السابقة بامرالمستشار المالي</v>
      </c>
      <c r="I319" s="60" t="str">
        <f>INDEX(Tabledaily[العملـــة],MATCH(TableDailyJournal[[#This Row],[رقم العملية]],Tabledaily[رقم العملية],0))</f>
        <v>ريال يمني</v>
      </c>
      <c r="J319" s="59">
        <f>IFERROR(INDEX(Tabledaily[سعــــــر
الصـــــرف],MATCH(C319,Tabledaily[رقم العملية],0)),1)</f>
        <v>405</v>
      </c>
      <c r="K319" s="123" cm="1">
        <f t="array" ref="K319">IFERROR(INDEX(Tabledaily[المبلـــــــغ],MATCH(1,(TableDailyJournal[[#This Row],[رقم العملية]]=Tabledaily[رقم العملية])*(TableDailyJournal[[#This Row],[الحساب]]=Tabledaily[الحســاب المديــــن]),0)),0)</f>
        <v>0</v>
      </c>
      <c r="L319" s="123" cm="1">
        <f t="array" ref="L319">IFERROR(INDEX(Tabledaily[المبلـــــــغ],MATCH(1,(TableDailyJournal[[#This Row],[رقم العملية]]=Tabledaily[رقم العملية])*(TableDailyJournal[[#This Row],[الحساب]]=Tabledaily[الحســاب الدئـــن]),0)),0)</f>
        <v>200000</v>
      </c>
      <c r="M319" s="119">
        <f>IFERROR(TableDailyJournal[[#This Row],[المبلغ مدين]]/TableDailyJournal[[#This Row],[سعــــــر
الصـــــرف]],0)</f>
        <v>0</v>
      </c>
      <c r="N319" s="119">
        <f>IFERROR(TableDailyJournal[[#This Row],[المبلغ دائن]]/TableDailyJournal[[#This Row],[سعــــــر
الصـــــرف]],0)</f>
        <v>493.82716049382714</v>
      </c>
      <c r="O319" s="121" t="str">
        <f>INDEX(Tabledaily[المستفيــــــــد],MATCH(TableDailyJournal[[#This Row],[رقم العملية]],Tabledaily[رقم العملية],0))</f>
        <v>صالح عبدالله لدحل</v>
      </c>
      <c r="P319" s="121" t="str">
        <f>INDEX(Tabledaily[المــــرجـــــــــع],MATCH(TableDailyJournal[[#This Row],[رقم العملية]],Tabledaily[رقم العملية],0))</f>
        <v>استلام نقدي</v>
      </c>
      <c r="Q319" s="121" t="str">
        <f>INDEX(Tabledaily[اســـــــم المــــرجــــع],MATCH(TableDailyJournal[[#This Row],[رقم العملية]],Tabledaily[رقم العملية],0))</f>
        <v>سند استلام</v>
      </c>
      <c r="R319" s="121">
        <f>INDEX(Tabledaily[رقم المـــــرجـــع],MATCH(TableDailyJournal[[#This Row],[رقم العملية]],Tabledaily[رقم العملية],0))</f>
        <v>0</v>
      </c>
      <c r="S319" s="121" t="str">
        <f>INDEX(Tabledaily[مركـــــــزالتكلفــــــة],MATCH(TableDailyJournal[[#This Row],[رقم العملية]],Tabledaily[رقم العملية],0))</f>
        <v>الفرقة الثالثة</v>
      </c>
      <c r="T319" s="121">
        <f>IFERROR(INDEX(tablecost[رقم المركز],MATCH(TableDailyJournal[[#This Row],[مركـــــــزالتكلفــــــة]],tablecost[الاسم],0)),0)</f>
        <v>1</v>
      </c>
      <c r="U319" s="122">
        <f>IFERROR(DATE(TableDailyJournal[[#This Row],[السنــــة]],TableDailyJournal[[#This Row],[الشهــــر]],TableDailyJournal[[#This Row],[الـــــيوم]]),"01-01-2026")</f>
        <v>46184</v>
      </c>
      <c r="V319" s="126"/>
      <c r="W319" s="58"/>
      <c r="X319" s="58">
        <f>IFERROR(YEAR(TableDailyJournal[[#This Row],[التاريخ]]),"")</f>
        <v>2026</v>
      </c>
      <c r="Y319" s="58">
        <f>IFERROR(MONTH(TableDailyJournal[[#This Row],[التاريخ]]),"")</f>
        <v>6</v>
      </c>
      <c r="Z319" s="58">
        <f>IFERROR(DAY(TableDailyJournal[[#This Row],[التاريخ]]),"")</f>
        <v>11</v>
      </c>
      <c r="AA319" s="126" t="str">
        <f>INDEX(Tabledaily[المرجع البياني],MATCH(TableDailyJournal[[#This Row],[رقم العملية]],Tabledaily[رقم العملية],0))</f>
        <v>قيـد مقابـل:- (اجور يومية - صالح عبدالله لدحل - الفرقة الثالثة)  - استلام نقدي رقم   سند استلام - صرف اجور سائق قاطرة الماء للفترة السابقة بامرالمستشار المالي</v>
      </c>
      <c r="AB319" s="121" t="str">
        <f>INDEX(Tabledaily[جهة الامر],MATCH(TableDailyJournal[[#This Row],[رقم العملية]],Tabledaily[رقم العملية],0))</f>
        <v>المستشار المالي</v>
      </c>
    </row>
    <row r="320" spans="2:28" ht="45.75" x14ac:dyDescent="0.55000000000000004">
      <c r="B320" s="58">
        <f t="shared" si="9"/>
        <v>316</v>
      </c>
      <c r="C320" s="59" t="s">
        <v>681</v>
      </c>
      <c r="D320" s="60">
        <f>INDEX(Tabledaily[date],MATCH(TableDailyJournal[[#This Row],[رقم العملية]],Tabledaily[رقم العملية],0))</f>
        <v>46184</v>
      </c>
      <c r="E320" s="58" t="str">
        <f>INDEX(Tabledaily[نوع العمليــة],MATCH(TableDailyJournal[[#This Row],[رقم العملية]],Tabledaily[رقم العملية],0))</f>
        <v>قيد عهده</v>
      </c>
      <c r="F320" s="58">
        <f>IFERROR(INDEX(TableJudje[رقم الحساب],MATCH(TableDailyJournal[[#This Row],[الحساب]],TableJudje[اسم الحساب],0)),0)</f>
        <v>31010135</v>
      </c>
      <c r="G320" s="58" t="s">
        <v>473</v>
      </c>
      <c r="H320" s="61"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تركيب الخيم في الفرقة  بامرالأركان جمال مسدوس</v>
      </c>
      <c r="I320" s="60" t="str">
        <f>INDEX(Tabledaily[العملـــة],MATCH(TableDailyJournal[[#This Row],[رقم العملية]],Tabledaily[رقم العملية],0))</f>
        <v>ريال يمني</v>
      </c>
      <c r="J320" s="59">
        <f>IFERROR(INDEX(Tabledaily[سعــــــر
الصـــــرف],MATCH(C320,Tabledaily[رقم العملية],0)),1)</f>
        <v>405</v>
      </c>
      <c r="K320" s="123" cm="1">
        <f t="array" ref="K320">IFERROR(INDEX(Tabledaily[المبلـــــــغ],MATCH(1,(TableDailyJournal[[#This Row],[رقم العملية]]=Tabledaily[رقم العملية])*(TableDailyJournal[[#This Row],[الحساب]]=Tabledaily[الحســاب المديــــن]),0)),0)</f>
        <v>100000</v>
      </c>
      <c r="L320" s="123" cm="1">
        <f t="array" ref="L320">IFERROR(INDEX(Tabledaily[المبلـــــــغ],MATCH(1,(TableDailyJournal[[#This Row],[رقم العملية]]=Tabledaily[رقم العملية])*(TableDailyJournal[[#This Row],[الحساب]]=Tabledaily[الحســاب الدئـــن]),0)),0)</f>
        <v>0</v>
      </c>
      <c r="M320" s="119">
        <f>IFERROR(TableDailyJournal[[#This Row],[المبلغ مدين]]/TableDailyJournal[[#This Row],[سعــــــر
الصـــــرف]],0)</f>
        <v>246.91358024691357</v>
      </c>
      <c r="N320" s="119">
        <f>IFERROR(TableDailyJournal[[#This Row],[المبلغ دائن]]/TableDailyJournal[[#This Row],[سعــــــر
الصـــــرف]],0)</f>
        <v>0</v>
      </c>
      <c r="O320" s="121" t="str">
        <f>INDEX(Tabledaily[المستفيــــــــد],MATCH(TableDailyJournal[[#This Row],[رقم العملية]],Tabledaily[رقم العملية],0))</f>
        <v>عمال</v>
      </c>
      <c r="P320" s="121" t="str">
        <f>INDEX(Tabledaily[المــــرجـــــــــع],MATCH(TableDailyJournal[[#This Row],[رقم العملية]],Tabledaily[رقم العملية],0))</f>
        <v>استلام نقدي</v>
      </c>
      <c r="Q320" s="121" t="str">
        <f>INDEX(Tabledaily[اســـــــم المــــرجــــع],MATCH(TableDailyJournal[[#This Row],[رقم العملية]],Tabledaily[رقم العملية],0))</f>
        <v>سند استلام</v>
      </c>
      <c r="R320" s="121">
        <f>INDEX(Tabledaily[رقم المـــــرجـــع],MATCH(TableDailyJournal[[#This Row],[رقم العملية]],Tabledaily[رقم العملية],0))</f>
        <v>0</v>
      </c>
      <c r="S320" s="121" t="str">
        <f>INDEX(Tabledaily[مركـــــــزالتكلفــــــة],MATCH(TableDailyJournal[[#This Row],[رقم العملية]],Tabledaily[رقم العملية],0))</f>
        <v>الفرقة الثالثة</v>
      </c>
      <c r="T320" s="121">
        <f>IFERROR(INDEX(tablecost[رقم المركز],MATCH(TableDailyJournal[[#This Row],[مركـــــــزالتكلفــــــة]],tablecost[الاسم],0)),0)</f>
        <v>1</v>
      </c>
      <c r="U320" s="122">
        <f>IFERROR(DATE(TableDailyJournal[[#This Row],[السنــــة]],TableDailyJournal[[#This Row],[الشهــــر]],TableDailyJournal[[#This Row],[الـــــيوم]]),"01-01-2026")</f>
        <v>46184</v>
      </c>
      <c r="V320" s="126"/>
      <c r="W320" s="58"/>
      <c r="X320" s="58">
        <f>IFERROR(YEAR(TableDailyJournal[[#This Row],[التاريخ]]),"")</f>
        <v>2026</v>
      </c>
      <c r="Y320" s="58">
        <f>IFERROR(MONTH(TableDailyJournal[[#This Row],[التاريخ]]),"")</f>
        <v>6</v>
      </c>
      <c r="Z320" s="58">
        <f>IFERROR(DAY(TableDailyJournal[[#This Row],[التاريخ]]),"")</f>
        <v>11</v>
      </c>
      <c r="AA320" s="126"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تركيب الخيم في الفرقة  بامرالأركان جمال مسدوس</v>
      </c>
      <c r="AB320" s="121" t="str">
        <f>INDEX(Tabledaily[جهة الامر],MATCH(TableDailyJournal[[#This Row],[رقم العملية]],Tabledaily[رقم العملية],0))</f>
        <v>الأركان جمال مسدوس</v>
      </c>
    </row>
    <row r="321" spans="2:28" ht="45.75" x14ac:dyDescent="0.55000000000000004">
      <c r="B321" s="58">
        <f t="shared" si="9"/>
        <v>317</v>
      </c>
      <c r="C321" s="59" t="s">
        <v>681</v>
      </c>
      <c r="D321" s="60">
        <f>INDEX(Tabledaily[date],MATCH(TableDailyJournal[[#This Row],[رقم العملية]],Tabledaily[رقم العملية],0))</f>
        <v>46184</v>
      </c>
      <c r="E321" s="58" t="str">
        <f>INDEX(Tabledaily[نوع العمليــة],MATCH(TableDailyJournal[[#This Row],[رقم العملية]],Tabledaily[رقم العملية],0))</f>
        <v>قيد عهده</v>
      </c>
      <c r="F321" s="58">
        <f>IFERROR(INDEX(TableJudje[رقم الحساب],MATCH(TableDailyJournal[[#This Row],[الحساب]],TableJudje[اسم الحساب],0)),0)</f>
        <v>11060205</v>
      </c>
      <c r="G321" s="58" t="s">
        <v>513</v>
      </c>
      <c r="H321" s="61"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تركيب الخيم في الفرقة  بامرالأركان جمال مسدوس</v>
      </c>
      <c r="I321" s="60" t="str">
        <f>INDEX(Tabledaily[العملـــة],MATCH(TableDailyJournal[[#This Row],[رقم العملية]],Tabledaily[رقم العملية],0))</f>
        <v>ريال يمني</v>
      </c>
      <c r="J321" s="59">
        <f>IFERROR(INDEX(Tabledaily[سعــــــر
الصـــــرف],MATCH(C321,Tabledaily[رقم العملية],0)),1)</f>
        <v>405</v>
      </c>
      <c r="K321" s="123" cm="1">
        <f t="array" ref="K321">IFERROR(INDEX(Tabledaily[المبلـــــــغ],MATCH(1,(TableDailyJournal[[#This Row],[رقم العملية]]=Tabledaily[رقم العملية])*(TableDailyJournal[[#This Row],[الحساب]]=Tabledaily[الحســاب المديــــن]),0)),0)</f>
        <v>0</v>
      </c>
      <c r="L321" s="123" cm="1">
        <f t="array" ref="L321">IFERROR(INDEX(Tabledaily[المبلـــــــغ],MATCH(1,(TableDailyJournal[[#This Row],[رقم العملية]]=Tabledaily[رقم العملية])*(TableDailyJournal[[#This Row],[الحساب]]=Tabledaily[الحســاب الدئـــن]),0)),0)</f>
        <v>100000</v>
      </c>
      <c r="M321" s="119">
        <f>IFERROR(TableDailyJournal[[#This Row],[المبلغ مدين]]/TableDailyJournal[[#This Row],[سعــــــر
الصـــــرف]],0)</f>
        <v>0</v>
      </c>
      <c r="N321" s="119">
        <f>IFERROR(TableDailyJournal[[#This Row],[المبلغ دائن]]/TableDailyJournal[[#This Row],[سعــــــر
الصـــــرف]],0)</f>
        <v>246.91358024691357</v>
      </c>
      <c r="O321" s="121" t="str">
        <f>INDEX(Tabledaily[المستفيــــــــد],MATCH(TableDailyJournal[[#This Row],[رقم العملية]],Tabledaily[رقم العملية],0))</f>
        <v>عمال</v>
      </c>
      <c r="P321" s="121" t="str">
        <f>INDEX(Tabledaily[المــــرجـــــــــع],MATCH(TableDailyJournal[[#This Row],[رقم العملية]],Tabledaily[رقم العملية],0))</f>
        <v>استلام نقدي</v>
      </c>
      <c r="Q321" s="121" t="str">
        <f>INDEX(Tabledaily[اســـــــم المــــرجــــع],MATCH(TableDailyJournal[[#This Row],[رقم العملية]],Tabledaily[رقم العملية],0))</f>
        <v>سند استلام</v>
      </c>
      <c r="R321" s="121">
        <f>INDEX(Tabledaily[رقم المـــــرجـــع],MATCH(TableDailyJournal[[#This Row],[رقم العملية]],Tabledaily[رقم العملية],0))</f>
        <v>0</v>
      </c>
      <c r="S321" s="121" t="str">
        <f>INDEX(Tabledaily[مركـــــــزالتكلفــــــة],MATCH(TableDailyJournal[[#This Row],[رقم العملية]],Tabledaily[رقم العملية],0))</f>
        <v>الفرقة الثالثة</v>
      </c>
      <c r="T321" s="121">
        <f>IFERROR(INDEX(tablecost[رقم المركز],MATCH(TableDailyJournal[[#This Row],[مركـــــــزالتكلفــــــة]],tablecost[الاسم],0)),0)</f>
        <v>1</v>
      </c>
      <c r="U321" s="122">
        <f>IFERROR(DATE(TableDailyJournal[[#This Row],[السنــــة]],TableDailyJournal[[#This Row],[الشهــــر]],TableDailyJournal[[#This Row],[الـــــيوم]]),"01-01-2026")</f>
        <v>46184</v>
      </c>
      <c r="V321" s="126"/>
      <c r="W321" s="58"/>
      <c r="X321" s="58">
        <f>IFERROR(YEAR(TableDailyJournal[[#This Row],[التاريخ]]),"")</f>
        <v>2026</v>
      </c>
      <c r="Y321" s="58">
        <f>IFERROR(MONTH(TableDailyJournal[[#This Row],[التاريخ]]),"")</f>
        <v>6</v>
      </c>
      <c r="Z321" s="58">
        <f>IFERROR(DAY(TableDailyJournal[[#This Row],[التاريخ]]),"")</f>
        <v>11</v>
      </c>
      <c r="AA321" s="126"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تركيب الخيم في الفرقة  بامرالأركان جمال مسدوس</v>
      </c>
      <c r="AB321" s="121" t="str">
        <f>INDEX(Tabledaily[جهة الامر],MATCH(TableDailyJournal[[#This Row],[رقم العملية]],Tabledaily[رقم العملية],0))</f>
        <v>الأركان جمال مسدوس</v>
      </c>
    </row>
    <row r="322" spans="2:28" ht="45.75" x14ac:dyDescent="0.55000000000000004">
      <c r="B322" s="58">
        <f t="shared" si="9"/>
        <v>318</v>
      </c>
      <c r="C322" s="59" t="s">
        <v>684</v>
      </c>
      <c r="D322" s="60">
        <f>INDEX(Tabledaily[date],MATCH(TableDailyJournal[[#This Row],[رقم العملية]],Tabledaily[رقم العملية],0))</f>
        <v>46184</v>
      </c>
      <c r="E322" s="58" t="str">
        <f>INDEX(Tabledaily[نوع العمليــة],MATCH(TableDailyJournal[[#This Row],[رقم العملية]],Tabledaily[رقم العملية],0))</f>
        <v>قيد عهده</v>
      </c>
      <c r="F322" s="58">
        <f>IFERROR(INDEX(TableJudje[رقم الحساب],MATCH(TableDailyJournal[[#This Row],[الحساب]],TableJudje[اسم الحساب],0)),0)</f>
        <v>31010114</v>
      </c>
      <c r="G322" s="58" t="s">
        <v>121</v>
      </c>
      <c r="H322" s="61" t="str">
        <f>INDEX(Tabledaily[المرجع البياني],MATCH(TableDailyJournal[[#This Row],[رقم العملية]],Tabledaily[رقم العملية],0))</f>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v>
      </c>
      <c r="I322" s="60" t="str">
        <f>INDEX(Tabledaily[العملـــة],MATCH(TableDailyJournal[[#This Row],[رقم العملية]],Tabledaily[رقم العملية],0))</f>
        <v>ريال يمني</v>
      </c>
      <c r="J322" s="59">
        <f>IFERROR(INDEX(Tabledaily[سعــــــر
الصـــــرف],MATCH(C322,Tabledaily[رقم العملية],0)),1)</f>
        <v>405</v>
      </c>
      <c r="K322" s="123" cm="1">
        <f t="array" ref="K322">IFERROR(INDEX(Tabledaily[المبلـــــــغ],MATCH(1,(TableDailyJournal[[#This Row],[رقم العملية]]=Tabledaily[رقم العملية])*(TableDailyJournal[[#This Row],[الحساب]]=Tabledaily[الحســاب المديــــن]),0)),0)</f>
        <v>200000</v>
      </c>
      <c r="L322" s="123" cm="1">
        <f t="array" ref="L322">IFERROR(INDEX(Tabledaily[المبلـــــــغ],MATCH(1,(TableDailyJournal[[#This Row],[رقم العملية]]=Tabledaily[رقم العملية])*(TableDailyJournal[[#This Row],[الحساب]]=Tabledaily[الحســاب الدئـــن]),0)),0)</f>
        <v>0</v>
      </c>
      <c r="M322" s="119">
        <f>IFERROR(TableDailyJournal[[#This Row],[المبلغ مدين]]/TableDailyJournal[[#This Row],[سعــــــر
الصـــــرف]],0)</f>
        <v>493.82716049382714</v>
      </c>
      <c r="N322" s="119">
        <f>IFERROR(TableDailyJournal[[#This Row],[المبلغ دائن]]/TableDailyJournal[[#This Row],[سعــــــر
الصـــــرف]],0)</f>
        <v>0</v>
      </c>
      <c r="O322" s="121" t="str">
        <f>INDEX(Tabledaily[المستفيــــــــد],MATCH(TableDailyJournal[[#This Row],[رقم العملية]],Tabledaily[رقم العملية],0))</f>
        <v>فريق دائرة الاعلام</v>
      </c>
      <c r="P322" s="121" t="str">
        <f>INDEX(Tabledaily[المــــرجـــــــــع],MATCH(TableDailyJournal[[#This Row],[رقم العملية]],Tabledaily[رقم العملية],0))</f>
        <v>استلام نقدي</v>
      </c>
      <c r="Q322" s="121" t="str">
        <f>INDEX(Tabledaily[اســـــــم المــــرجــــع],MATCH(TableDailyJournal[[#This Row],[رقم العملية]],Tabledaily[رقم العملية],0))</f>
        <v>سند استلام</v>
      </c>
      <c r="R322" s="121">
        <f>INDEX(Tabledaily[رقم المـــــرجـــع],MATCH(TableDailyJournal[[#This Row],[رقم العملية]],Tabledaily[رقم العملية],0))</f>
        <v>0</v>
      </c>
      <c r="S322" s="121" t="str">
        <f>INDEX(Tabledaily[مركـــــــزالتكلفــــــة],MATCH(TableDailyJournal[[#This Row],[رقم العملية]],Tabledaily[رقم العملية],0))</f>
        <v>الفرقة الثالثة</v>
      </c>
      <c r="T322" s="121">
        <f>IFERROR(INDEX(tablecost[رقم المركز],MATCH(TableDailyJournal[[#This Row],[مركـــــــزالتكلفــــــة]],tablecost[الاسم],0)),0)</f>
        <v>1</v>
      </c>
      <c r="U322" s="122">
        <f>IFERROR(DATE(TableDailyJournal[[#This Row],[السنــــة]],TableDailyJournal[[#This Row],[الشهــــر]],TableDailyJournal[[#This Row],[الـــــيوم]]),"01-01-2026")</f>
        <v>46184</v>
      </c>
      <c r="V322" s="126"/>
      <c r="W322" s="58"/>
      <c r="X322" s="58">
        <f>IFERROR(YEAR(TableDailyJournal[[#This Row],[التاريخ]]),"")</f>
        <v>2026</v>
      </c>
      <c r="Y322" s="58">
        <f>IFERROR(MONTH(TableDailyJournal[[#This Row],[التاريخ]]),"")</f>
        <v>6</v>
      </c>
      <c r="Z322" s="58">
        <f>IFERROR(DAY(TableDailyJournal[[#This Row],[التاريخ]]),"")</f>
        <v>11</v>
      </c>
      <c r="AA322" s="126" t="str">
        <f>INDEX(Tabledaily[المرجع البياني],MATCH(TableDailyJournal[[#This Row],[رقم العملية]],Tabledaily[رقم العملية],0))</f>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v>
      </c>
      <c r="AB322" s="121" t="str">
        <f>INDEX(Tabledaily[جهة الامر],MATCH(TableDailyJournal[[#This Row],[رقم العملية]],Tabledaily[رقم العملية],0))</f>
        <v>القائد</v>
      </c>
    </row>
    <row r="323" spans="2:28" ht="45.75" x14ac:dyDescent="0.55000000000000004">
      <c r="B323" s="58">
        <f t="shared" si="9"/>
        <v>319</v>
      </c>
      <c r="C323" s="59" t="s">
        <v>684</v>
      </c>
      <c r="D323" s="60">
        <f>INDEX(Tabledaily[date],MATCH(TableDailyJournal[[#This Row],[رقم العملية]],Tabledaily[رقم العملية],0))</f>
        <v>46184</v>
      </c>
      <c r="E323" s="58" t="str">
        <f>INDEX(Tabledaily[نوع العمليــة],MATCH(TableDailyJournal[[#This Row],[رقم العملية]],Tabledaily[رقم العملية],0))</f>
        <v>قيد عهده</v>
      </c>
      <c r="F323" s="58">
        <f>IFERROR(INDEX(TableJudje[رقم الحساب],MATCH(TableDailyJournal[[#This Row],[الحساب]],TableJudje[اسم الحساب],0)),0)</f>
        <v>11060205</v>
      </c>
      <c r="G323" s="58" t="s">
        <v>513</v>
      </c>
      <c r="H323" s="61" t="str">
        <f>INDEX(Tabledaily[المرجع البياني],MATCH(TableDailyJournal[[#This Row],[رقم العملية]],Tabledaily[رقم العملية],0))</f>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v>
      </c>
      <c r="I323" s="60" t="str">
        <f>INDEX(Tabledaily[العملـــة],MATCH(TableDailyJournal[[#This Row],[رقم العملية]],Tabledaily[رقم العملية],0))</f>
        <v>ريال يمني</v>
      </c>
      <c r="J323" s="59">
        <f>IFERROR(INDEX(Tabledaily[سعــــــر
الصـــــرف],MATCH(C323,Tabledaily[رقم العملية],0)),1)</f>
        <v>405</v>
      </c>
      <c r="K323" s="123" cm="1">
        <f t="array" ref="K323">IFERROR(INDEX(Tabledaily[المبلـــــــغ],MATCH(1,(TableDailyJournal[[#This Row],[رقم العملية]]=Tabledaily[رقم العملية])*(TableDailyJournal[[#This Row],[الحساب]]=Tabledaily[الحســاب المديــــن]),0)),0)</f>
        <v>0</v>
      </c>
      <c r="L323" s="123" cm="1">
        <f t="array" ref="L323">IFERROR(INDEX(Tabledaily[المبلـــــــغ],MATCH(1,(TableDailyJournal[[#This Row],[رقم العملية]]=Tabledaily[رقم العملية])*(TableDailyJournal[[#This Row],[الحساب]]=Tabledaily[الحســاب الدئـــن]),0)),0)</f>
        <v>200000</v>
      </c>
      <c r="M323" s="119">
        <f>IFERROR(TableDailyJournal[[#This Row],[المبلغ مدين]]/TableDailyJournal[[#This Row],[سعــــــر
الصـــــرف]],0)</f>
        <v>0</v>
      </c>
      <c r="N323" s="119">
        <f>IFERROR(TableDailyJournal[[#This Row],[المبلغ دائن]]/TableDailyJournal[[#This Row],[سعــــــر
الصـــــرف]],0)</f>
        <v>493.82716049382714</v>
      </c>
      <c r="O323" s="121" t="str">
        <f>INDEX(Tabledaily[المستفيــــــــد],MATCH(TableDailyJournal[[#This Row],[رقم العملية]],Tabledaily[رقم العملية],0))</f>
        <v>فريق دائرة الاعلام</v>
      </c>
      <c r="P323" s="121" t="str">
        <f>INDEX(Tabledaily[المــــرجـــــــــع],MATCH(TableDailyJournal[[#This Row],[رقم العملية]],Tabledaily[رقم العملية],0))</f>
        <v>استلام نقدي</v>
      </c>
      <c r="Q323" s="121" t="str">
        <f>INDEX(Tabledaily[اســـــــم المــــرجــــع],MATCH(TableDailyJournal[[#This Row],[رقم العملية]],Tabledaily[رقم العملية],0))</f>
        <v>سند استلام</v>
      </c>
      <c r="R323" s="121">
        <f>INDEX(Tabledaily[رقم المـــــرجـــع],MATCH(TableDailyJournal[[#This Row],[رقم العملية]],Tabledaily[رقم العملية],0))</f>
        <v>0</v>
      </c>
      <c r="S323" s="121" t="str">
        <f>INDEX(Tabledaily[مركـــــــزالتكلفــــــة],MATCH(TableDailyJournal[[#This Row],[رقم العملية]],Tabledaily[رقم العملية],0))</f>
        <v>الفرقة الثالثة</v>
      </c>
      <c r="T323" s="121">
        <f>IFERROR(INDEX(tablecost[رقم المركز],MATCH(TableDailyJournal[[#This Row],[مركـــــــزالتكلفــــــة]],tablecost[الاسم],0)),0)</f>
        <v>1</v>
      </c>
      <c r="U323" s="122">
        <f>IFERROR(DATE(TableDailyJournal[[#This Row],[السنــــة]],TableDailyJournal[[#This Row],[الشهــــر]],TableDailyJournal[[#This Row],[الـــــيوم]]),"01-01-2026")</f>
        <v>46184</v>
      </c>
      <c r="V323" s="126"/>
      <c r="W323" s="58"/>
      <c r="X323" s="58">
        <f>IFERROR(YEAR(TableDailyJournal[[#This Row],[التاريخ]]),"")</f>
        <v>2026</v>
      </c>
      <c r="Y323" s="58">
        <f>IFERROR(MONTH(TableDailyJournal[[#This Row],[التاريخ]]),"")</f>
        <v>6</v>
      </c>
      <c r="Z323" s="58">
        <f>IFERROR(DAY(TableDailyJournal[[#This Row],[التاريخ]]),"")</f>
        <v>11</v>
      </c>
      <c r="AA323" s="126" t="str">
        <f>INDEX(Tabledaily[المرجع البياني],MATCH(TableDailyJournal[[#This Row],[رقم العملية]],Tabledaily[رقم العملية],0))</f>
        <v>قيـد مقابـل:- (مصاريف حوافز ومكافئات  - فريق دائرة الاعلام - الفرقة الثالثة)  - استلام نقدي رقم   سند استلام - صرف مكافئة ل فريق دائرة الاعلام لقوات درع الوطن  بامرالقائد</v>
      </c>
      <c r="AB323" s="121" t="str">
        <f>INDEX(Tabledaily[جهة الامر],MATCH(TableDailyJournal[[#This Row],[رقم العملية]],Tabledaily[رقم العملية],0))</f>
        <v>القائد</v>
      </c>
    </row>
    <row r="324" spans="2:28" ht="45.75" x14ac:dyDescent="0.55000000000000004">
      <c r="B324" s="58">
        <f t="shared" si="9"/>
        <v>320</v>
      </c>
      <c r="C324" s="59" t="s">
        <v>687</v>
      </c>
      <c r="D324" s="60">
        <f>INDEX(Tabledaily[date],MATCH(TableDailyJournal[[#This Row],[رقم العملية]],Tabledaily[رقم العملية],0))</f>
        <v>46184</v>
      </c>
      <c r="E324" s="58" t="str">
        <f>INDEX(Tabledaily[نوع العمليــة],MATCH(TableDailyJournal[[#This Row],[رقم العملية]],Tabledaily[رقم العملية],0))</f>
        <v>قيد عهده</v>
      </c>
      <c r="F324" s="58">
        <f>IFERROR(INDEX(TableJudje[رقم الحساب],MATCH(TableDailyJournal[[#This Row],[الحساب]],TableJudje[اسم الحساب],0)),0)</f>
        <v>31010101</v>
      </c>
      <c r="G324" s="58" t="s">
        <v>111</v>
      </c>
      <c r="H324"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صرفة يومية ليوم 11 بامر</v>
      </c>
      <c r="I324" s="60" t="str">
        <f>INDEX(Tabledaily[العملـــة],MATCH(TableDailyJournal[[#This Row],[رقم العملية]],Tabledaily[رقم العملية],0))</f>
        <v>ريال يمني</v>
      </c>
      <c r="J324" s="59">
        <f>IFERROR(INDEX(Tabledaily[سعــــــر
الصـــــرف],MATCH(C324,Tabledaily[رقم العملية],0)),1)</f>
        <v>405</v>
      </c>
      <c r="K324" s="123" cm="1">
        <f t="array" ref="K324">IFERROR(INDEX(Tabledaily[المبلـــــــغ],MATCH(1,(TableDailyJournal[[#This Row],[رقم العملية]]=Tabledaily[رقم العملية])*(TableDailyJournal[[#This Row],[الحساب]]=Tabledaily[الحســاب المديــــن]),0)),0)</f>
        <v>10000</v>
      </c>
      <c r="L324" s="123" cm="1">
        <f t="array" ref="L324">IFERROR(INDEX(Tabledaily[المبلـــــــغ],MATCH(1,(TableDailyJournal[[#This Row],[رقم العملية]]=Tabledaily[رقم العملية])*(TableDailyJournal[[#This Row],[الحساب]]=Tabledaily[الحســاب الدئـــن]),0)),0)</f>
        <v>0</v>
      </c>
      <c r="M324" s="119">
        <f>IFERROR(TableDailyJournal[[#This Row],[المبلغ مدين]]/TableDailyJournal[[#This Row],[سعــــــر
الصـــــرف]],0)</f>
        <v>24.691358024691358</v>
      </c>
      <c r="N324" s="119">
        <f>IFERROR(TableDailyJournal[[#This Row],[المبلغ دائن]]/TableDailyJournal[[#This Row],[سعــــــر
الصـــــرف]],0)</f>
        <v>0</v>
      </c>
      <c r="O324" s="121" t="str">
        <f>INDEX(Tabledaily[المستفيــــــــد],MATCH(TableDailyJournal[[#This Row],[رقم العملية]],Tabledaily[رقم العملية],0))</f>
        <v>محمد عبدالصمد عبدالله</v>
      </c>
      <c r="P324" s="121" t="str">
        <f>INDEX(Tabledaily[المــــرجـــــــــع],MATCH(TableDailyJournal[[#This Row],[رقم العملية]],Tabledaily[رقم العملية],0))</f>
        <v>استلام نقدي</v>
      </c>
      <c r="Q324" s="121" t="str">
        <f>INDEX(Tabledaily[اســـــــم المــــرجــــع],MATCH(TableDailyJournal[[#This Row],[رقم العملية]],Tabledaily[رقم العملية],0))</f>
        <v>سند استلام</v>
      </c>
      <c r="R324" s="121">
        <f>INDEX(Tabledaily[رقم المـــــرجـــع],MATCH(TableDailyJournal[[#This Row],[رقم العملية]],Tabledaily[رقم العملية],0))</f>
        <v>0</v>
      </c>
      <c r="S324" s="121" t="str">
        <f>INDEX(Tabledaily[مركـــــــزالتكلفــــــة],MATCH(TableDailyJournal[[#This Row],[رقم العملية]],Tabledaily[رقم العملية],0))</f>
        <v>اللواء السادس</v>
      </c>
      <c r="T324" s="121">
        <f>IFERROR(INDEX(tablecost[رقم المركز],MATCH(TableDailyJournal[[#This Row],[مركـــــــزالتكلفــــــة]],tablecost[الاسم],0)),0)</f>
        <v>7</v>
      </c>
      <c r="U324" s="122">
        <f>IFERROR(DATE(TableDailyJournal[[#This Row],[السنــــة]],TableDailyJournal[[#This Row],[الشهــــر]],TableDailyJournal[[#This Row],[الـــــيوم]]),"01-01-2026")</f>
        <v>46184</v>
      </c>
      <c r="V324" s="126"/>
      <c r="W324" s="58"/>
      <c r="X324" s="58">
        <f>IFERROR(YEAR(TableDailyJournal[[#This Row],[التاريخ]]),"")</f>
        <v>2026</v>
      </c>
      <c r="Y324" s="58">
        <f>IFERROR(MONTH(TableDailyJournal[[#This Row],[التاريخ]]),"")</f>
        <v>6</v>
      </c>
      <c r="Z324" s="58">
        <f>IFERROR(DAY(TableDailyJournal[[#This Row],[التاريخ]]),"")</f>
        <v>11</v>
      </c>
      <c r="AA324"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صرفة يومية ليوم 11 بامر</v>
      </c>
      <c r="AB324" s="121">
        <f>INDEX(Tabledaily[جهة الامر],MATCH(TableDailyJournal[[#This Row],[رقم العملية]],Tabledaily[رقم العملية],0))</f>
        <v>0</v>
      </c>
    </row>
    <row r="325" spans="2:28" ht="45.75" x14ac:dyDescent="0.55000000000000004">
      <c r="B325" s="58">
        <f t="shared" si="9"/>
        <v>321</v>
      </c>
      <c r="C325" s="59" t="s">
        <v>687</v>
      </c>
      <c r="D325" s="60">
        <f>INDEX(Tabledaily[date],MATCH(TableDailyJournal[[#This Row],[رقم العملية]],Tabledaily[رقم العملية],0))</f>
        <v>46184</v>
      </c>
      <c r="E325" s="58" t="str">
        <f>INDEX(Tabledaily[نوع العمليــة],MATCH(TableDailyJournal[[#This Row],[رقم العملية]],Tabledaily[رقم العملية],0))</f>
        <v>قيد عهده</v>
      </c>
      <c r="F325" s="58">
        <f>IFERROR(INDEX(TableJudje[رقم الحساب],MATCH(TableDailyJournal[[#This Row],[الحساب]],TableJudje[اسم الحساب],0)),0)</f>
        <v>11060205</v>
      </c>
      <c r="G325" s="58" t="s">
        <v>513</v>
      </c>
      <c r="H325"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صرفة يومية ليوم 11 بامر</v>
      </c>
      <c r="I325" s="60" t="str">
        <f>INDEX(Tabledaily[العملـــة],MATCH(TableDailyJournal[[#This Row],[رقم العملية]],Tabledaily[رقم العملية],0))</f>
        <v>ريال يمني</v>
      </c>
      <c r="J325" s="59">
        <f>IFERROR(INDEX(Tabledaily[سعــــــر
الصـــــرف],MATCH(C325,Tabledaily[رقم العملية],0)),1)</f>
        <v>405</v>
      </c>
      <c r="K325" s="123" cm="1">
        <f t="array" ref="K325">IFERROR(INDEX(Tabledaily[المبلـــــــغ],MATCH(1,(TableDailyJournal[[#This Row],[رقم العملية]]=Tabledaily[رقم العملية])*(TableDailyJournal[[#This Row],[الحساب]]=Tabledaily[الحســاب المديــــن]),0)),0)</f>
        <v>0</v>
      </c>
      <c r="L325" s="123" cm="1">
        <f t="array" ref="L325">IFERROR(INDEX(Tabledaily[المبلـــــــغ],MATCH(1,(TableDailyJournal[[#This Row],[رقم العملية]]=Tabledaily[رقم العملية])*(TableDailyJournal[[#This Row],[الحساب]]=Tabledaily[الحســاب الدئـــن]),0)),0)</f>
        <v>10000</v>
      </c>
      <c r="M325" s="119">
        <f>IFERROR(TableDailyJournal[[#This Row],[المبلغ مدين]]/TableDailyJournal[[#This Row],[سعــــــر
الصـــــرف]],0)</f>
        <v>0</v>
      </c>
      <c r="N325" s="119">
        <f>IFERROR(TableDailyJournal[[#This Row],[المبلغ دائن]]/TableDailyJournal[[#This Row],[سعــــــر
الصـــــرف]],0)</f>
        <v>24.691358024691358</v>
      </c>
      <c r="O325" s="121" t="str">
        <f>INDEX(Tabledaily[المستفيــــــــد],MATCH(TableDailyJournal[[#This Row],[رقم العملية]],Tabledaily[رقم العملية],0))</f>
        <v>محمد عبدالصمد عبدالله</v>
      </c>
      <c r="P325" s="121" t="str">
        <f>INDEX(Tabledaily[المــــرجـــــــــع],MATCH(TableDailyJournal[[#This Row],[رقم العملية]],Tabledaily[رقم العملية],0))</f>
        <v>استلام نقدي</v>
      </c>
      <c r="Q325" s="121" t="str">
        <f>INDEX(Tabledaily[اســـــــم المــــرجــــع],MATCH(TableDailyJournal[[#This Row],[رقم العملية]],Tabledaily[رقم العملية],0))</f>
        <v>سند استلام</v>
      </c>
      <c r="R325" s="121">
        <f>INDEX(Tabledaily[رقم المـــــرجـــع],MATCH(TableDailyJournal[[#This Row],[رقم العملية]],Tabledaily[رقم العملية],0))</f>
        <v>0</v>
      </c>
      <c r="S325" s="121" t="str">
        <f>INDEX(Tabledaily[مركـــــــزالتكلفــــــة],MATCH(TableDailyJournal[[#This Row],[رقم العملية]],Tabledaily[رقم العملية],0))</f>
        <v>اللواء السادس</v>
      </c>
      <c r="T325" s="121">
        <f>IFERROR(INDEX(tablecost[رقم المركز],MATCH(TableDailyJournal[[#This Row],[مركـــــــزالتكلفــــــة]],tablecost[الاسم],0)),0)</f>
        <v>7</v>
      </c>
      <c r="U325" s="122">
        <f>IFERROR(DATE(TableDailyJournal[[#This Row],[السنــــة]],TableDailyJournal[[#This Row],[الشهــــر]],TableDailyJournal[[#This Row],[الـــــيوم]]),"01-01-2026")</f>
        <v>46184</v>
      </c>
      <c r="V325" s="126"/>
      <c r="W325" s="58"/>
      <c r="X325" s="58">
        <f>IFERROR(YEAR(TableDailyJournal[[#This Row],[التاريخ]]),"")</f>
        <v>2026</v>
      </c>
      <c r="Y325" s="58">
        <f>IFERROR(MONTH(TableDailyJournal[[#This Row],[التاريخ]]),"")</f>
        <v>6</v>
      </c>
      <c r="Z325" s="58">
        <f>IFERROR(DAY(TableDailyJournal[[#This Row],[التاريخ]]),"")</f>
        <v>11</v>
      </c>
      <c r="AA325"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صرفة يومية ليوم 11 بامر</v>
      </c>
      <c r="AB325" s="121">
        <f>INDEX(Tabledaily[جهة الامر],MATCH(TableDailyJournal[[#This Row],[رقم العملية]],Tabledaily[رقم العملية],0))</f>
        <v>0</v>
      </c>
    </row>
    <row r="326" spans="2:28" ht="67.5" x14ac:dyDescent="0.55000000000000004">
      <c r="B326" s="58">
        <f t="shared" si="9"/>
        <v>322</v>
      </c>
      <c r="C326" s="59" t="s">
        <v>689</v>
      </c>
      <c r="D326" s="60">
        <f>INDEX(Tabledaily[date],MATCH(TableDailyJournal[[#This Row],[رقم العملية]],Tabledaily[رقم العملية],0))</f>
        <v>46184</v>
      </c>
      <c r="E326" s="58" t="str">
        <f>INDEX(Tabledaily[نوع العمليــة],MATCH(TableDailyJournal[[#This Row],[رقم العملية]],Tabledaily[رقم العملية],0))</f>
        <v>قيد عهده</v>
      </c>
      <c r="F326" s="58">
        <f>IFERROR(INDEX(TableJudje[رقم الحساب],MATCH(TableDailyJournal[[#This Row],[الحساب]],TableJudje[اسم الحساب],0)),0)</f>
        <v>31010103</v>
      </c>
      <c r="G326" s="58" t="s">
        <v>112</v>
      </c>
      <c r="H326" s="61" t="str">
        <f>INDEX(Tabledaily[المرجع البياني],MATCH(TableDailyJournal[[#This Row],[رقم العملية]],Tabledaily[رقم العملية],0))</f>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v>
      </c>
      <c r="I326" s="60" t="str">
        <f>INDEX(Tabledaily[العملـــة],MATCH(TableDailyJournal[[#This Row],[رقم العملية]],Tabledaily[رقم العملية],0))</f>
        <v>ريال يمني</v>
      </c>
      <c r="J326" s="59">
        <f>IFERROR(INDEX(Tabledaily[سعــــــر
الصـــــرف],MATCH(C326,Tabledaily[رقم العملية],0)),1)</f>
        <v>405</v>
      </c>
      <c r="K326" s="123" cm="1">
        <f t="array" ref="K326">IFERROR(INDEX(Tabledaily[المبلـــــــغ],MATCH(1,(TableDailyJournal[[#This Row],[رقم العملية]]=Tabledaily[رقم العملية])*(TableDailyJournal[[#This Row],[الحساب]]=Tabledaily[الحســاب المديــــن]),0)),0)</f>
        <v>70000</v>
      </c>
      <c r="L326" s="123" cm="1">
        <f t="array" ref="L326">IFERROR(INDEX(Tabledaily[المبلـــــــغ],MATCH(1,(TableDailyJournal[[#This Row],[رقم العملية]]=Tabledaily[رقم العملية])*(TableDailyJournal[[#This Row],[الحساب]]=Tabledaily[الحســاب الدئـــن]),0)),0)</f>
        <v>0</v>
      </c>
      <c r="M326" s="119">
        <f>IFERROR(TableDailyJournal[[#This Row],[المبلغ مدين]]/TableDailyJournal[[#This Row],[سعــــــر
الصـــــرف]],0)</f>
        <v>172.83950617283949</v>
      </c>
      <c r="N326" s="119">
        <f>IFERROR(TableDailyJournal[[#This Row],[المبلغ دائن]]/TableDailyJournal[[#This Row],[سعــــــر
الصـــــرف]],0)</f>
        <v>0</v>
      </c>
      <c r="O326" s="121" t="str">
        <f>INDEX(Tabledaily[المستفيــــــــد],MATCH(TableDailyJournal[[#This Row],[رقم العملية]],Tabledaily[رقم العملية],0))</f>
        <v>عبدالمغني عبدالصمد عبدالحميد الصلوي</v>
      </c>
      <c r="P326" s="121" t="str">
        <f>INDEX(Tabledaily[المــــرجـــــــــع],MATCH(TableDailyJournal[[#This Row],[رقم العملية]],Tabledaily[رقم العملية],0))</f>
        <v>استلام نقدي</v>
      </c>
      <c r="Q326" s="121" t="str">
        <f>INDEX(Tabledaily[اســـــــم المــــرجــــع],MATCH(TableDailyJournal[[#This Row],[رقم العملية]],Tabledaily[رقم العملية],0))</f>
        <v>سند استلام</v>
      </c>
      <c r="R326" s="121">
        <f>INDEX(Tabledaily[رقم المـــــرجـــع],MATCH(TableDailyJournal[[#This Row],[رقم العملية]],Tabledaily[رقم العملية],0))</f>
        <v>0</v>
      </c>
      <c r="S326" s="121" t="str">
        <f>INDEX(Tabledaily[مركـــــــزالتكلفــــــة],MATCH(TableDailyJournal[[#This Row],[رقم العملية]],Tabledaily[رقم العملية],0))</f>
        <v>الفرقة الثالثة</v>
      </c>
      <c r="T326" s="121">
        <f>IFERROR(INDEX(tablecost[رقم المركز],MATCH(TableDailyJournal[[#This Row],[مركـــــــزالتكلفــــــة]],tablecost[الاسم],0)),0)</f>
        <v>1</v>
      </c>
      <c r="U326" s="122">
        <f>IFERROR(DATE(TableDailyJournal[[#This Row],[السنــــة]],TableDailyJournal[[#This Row],[الشهــــر]],TableDailyJournal[[#This Row],[الـــــيوم]]),"01-01-2026")</f>
        <v>46184</v>
      </c>
      <c r="V326" s="126"/>
      <c r="W326" s="58"/>
      <c r="X326" s="58">
        <f>IFERROR(YEAR(TableDailyJournal[[#This Row],[التاريخ]]),"")</f>
        <v>2026</v>
      </c>
      <c r="Y326" s="58">
        <f>IFERROR(MONTH(TableDailyJournal[[#This Row],[التاريخ]]),"")</f>
        <v>6</v>
      </c>
      <c r="Z326" s="58">
        <f>IFERROR(DAY(TableDailyJournal[[#This Row],[التاريخ]]),"")</f>
        <v>11</v>
      </c>
      <c r="AA326" s="126" t="str">
        <f>INDEX(Tabledaily[المرجع البياني],MATCH(TableDailyJournal[[#This Row],[رقم العملية]],Tabledaily[رقم العملية],0))</f>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v>
      </c>
      <c r="AB326" s="121" t="str">
        <f>INDEX(Tabledaily[جهة الامر],MATCH(TableDailyJournal[[#This Row],[رقم العملية]],Tabledaily[رقم العملية],0))</f>
        <v>المستشار المالي</v>
      </c>
    </row>
    <row r="327" spans="2:28" ht="67.5" x14ac:dyDescent="0.55000000000000004">
      <c r="B327" s="58">
        <f t="shared" si="9"/>
        <v>323</v>
      </c>
      <c r="C327" s="59" t="s">
        <v>689</v>
      </c>
      <c r="D327" s="60">
        <f>INDEX(Tabledaily[date],MATCH(TableDailyJournal[[#This Row],[رقم العملية]],Tabledaily[رقم العملية],0))</f>
        <v>46184</v>
      </c>
      <c r="E327" s="58" t="str">
        <f>INDEX(Tabledaily[نوع العمليــة],MATCH(TableDailyJournal[[#This Row],[رقم العملية]],Tabledaily[رقم العملية],0))</f>
        <v>قيد عهده</v>
      </c>
      <c r="F327" s="58">
        <f>IFERROR(INDEX(TableJudje[رقم الحساب],MATCH(TableDailyJournal[[#This Row],[الحساب]],TableJudje[اسم الحساب],0)),0)</f>
        <v>11060205</v>
      </c>
      <c r="G327" s="58" t="s">
        <v>513</v>
      </c>
      <c r="H327" s="61" t="str">
        <f>INDEX(Tabledaily[المرجع البياني],MATCH(TableDailyJournal[[#This Row],[رقم العملية]],Tabledaily[رقم العملية],0))</f>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v>
      </c>
      <c r="I327" s="60" t="str">
        <f>INDEX(Tabledaily[العملـــة],MATCH(TableDailyJournal[[#This Row],[رقم العملية]],Tabledaily[رقم العملية],0))</f>
        <v>ريال يمني</v>
      </c>
      <c r="J327" s="59">
        <f>IFERROR(INDEX(Tabledaily[سعــــــر
الصـــــرف],MATCH(C327,Tabledaily[رقم العملية],0)),1)</f>
        <v>405</v>
      </c>
      <c r="K327" s="123" cm="1">
        <f t="array" ref="K327">IFERROR(INDEX(Tabledaily[المبلـــــــغ],MATCH(1,(TableDailyJournal[[#This Row],[رقم العملية]]=Tabledaily[رقم العملية])*(TableDailyJournal[[#This Row],[الحساب]]=Tabledaily[الحســاب المديــــن]),0)),0)</f>
        <v>0</v>
      </c>
      <c r="L327" s="123" cm="1">
        <f t="array" ref="L327">IFERROR(INDEX(Tabledaily[المبلـــــــغ],MATCH(1,(TableDailyJournal[[#This Row],[رقم العملية]]=Tabledaily[رقم العملية])*(TableDailyJournal[[#This Row],[الحساب]]=Tabledaily[الحســاب الدئـــن]),0)),0)</f>
        <v>70000</v>
      </c>
      <c r="M327" s="119">
        <f>IFERROR(TableDailyJournal[[#This Row],[المبلغ مدين]]/TableDailyJournal[[#This Row],[سعــــــر
الصـــــرف]],0)</f>
        <v>0</v>
      </c>
      <c r="N327" s="119">
        <f>IFERROR(TableDailyJournal[[#This Row],[المبلغ دائن]]/TableDailyJournal[[#This Row],[سعــــــر
الصـــــرف]],0)</f>
        <v>172.83950617283949</v>
      </c>
      <c r="O327" s="121" t="str">
        <f>INDEX(Tabledaily[المستفيــــــــد],MATCH(TableDailyJournal[[#This Row],[رقم العملية]],Tabledaily[رقم العملية],0))</f>
        <v>عبدالمغني عبدالصمد عبدالحميد الصلوي</v>
      </c>
      <c r="P327" s="121" t="str">
        <f>INDEX(Tabledaily[المــــرجـــــــــع],MATCH(TableDailyJournal[[#This Row],[رقم العملية]],Tabledaily[رقم العملية],0))</f>
        <v>استلام نقدي</v>
      </c>
      <c r="Q327" s="121" t="str">
        <f>INDEX(Tabledaily[اســـــــم المــــرجــــع],MATCH(TableDailyJournal[[#This Row],[رقم العملية]],Tabledaily[رقم العملية],0))</f>
        <v>سند استلام</v>
      </c>
      <c r="R327" s="121">
        <f>INDEX(Tabledaily[رقم المـــــرجـــع],MATCH(TableDailyJournal[[#This Row],[رقم العملية]],Tabledaily[رقم العملية],0))</f>
        <v>0</v>
      </c>
      <c r="S327" s="121" t="str">
        <f>INDEX(Tabledaily[مركـــــــزالتكلفــــــة],MATCH(TableDailyJournal[[#This Row],[رقم العملية]],Tabledaily[رقم العملية],0))</f>
        <v>الفرقة الثالثة</v>
      </c>
      <c r="T327" s="121">
        <f>IFERROR(INDEX(tablecost[رقم المركز],MATCH(TableDailyJournal[[#This Row],[مركـــــــزالتكلفــــــة]],tablecost[الاسم],0)),0)</f>
        <v>1</v>
      </c>
      <c r="U327" s="122">
        <f>IFERROR(DATE(TableDailyJournal[[#This Row],[السنــــة]],TableDailyJournal[[#This Row],[الشهــــر]],TableDailyJournal[[#This Row],[الـــــيوم]]),"01-01-2026")</f>
        <v>46184</v>
      </c>
      <c r="V327" s="126"/>
      <c r="W327" s="58"/>
      <c r="X327" s="58">
        <f>IFERROR(YEAR(TableDailyJournal[[#This Row],[التاريخ]]),"")</f>
        <v>2026</v>
      </c>
      <c r="Y327" s="58">
        <f>IFERROR(MONTH(TableDailyJournal[[#This Row],[التاريخ]]),"")</f>
        <v>6</v>
      </c>
      <c r="Z327" s="58">
        <f>IFERROR(DAY(TableDailyJournal[[#This Row],[التاريخ]]),"")</f>
        <v>11</v>
      </c>
      <c r="AA327" s="126" t="str">
        <f>INDEX(Tabledaily[المرجع البياني],MATCH(TableDailyJournal[[#This Row],[رقم العملية]],Tabledaily[رقم العملية],0))</f>
        <v>قيـد مقابـل:- (مصاريف طبية وعلاجات  - عبدالمغني عبدالصمد عبدالحميد الصلوي - الفرقة الثالثة)  - استلام نقدي رقم   سند استلام - مصاريف سيارة الاسعاف للنزول الى سيؤون لنقل المصاب عبدالمغني الى اعبر (20 لسائق الاسعاف 50 ركن طبية الفرقة) بامرالمستشار المالي</v>
      </c>
      <c r="AB327" s="121" t="str">
        <f>INDEX(Tabledaily[جهة الامر],MATCH(TableDailyJournal[[#This Row],[رقم العملية]],Tabledaily[رقم العملية],0))</f>
        <v>المستشار المالي</v>
      </c>
    </row>
    <row r="328" spans="2:28" ht="45.75" x14ac:dyDescent="0.55000000000000004">
      <c r="B328" s="58">
        <f t="shared" ref="B328:B359" si="10">ROW()-4</f>
        <v>324</v>
      </c>
      <c r="C328" s="59" t="s">
        <v>691</v>
      </c>
      <c r="D328" s="60">
        <f>INDEX(Tabledaily[date],MATCH(TableDailyJournal[[#This Row],[رقم العملية]],Tabledaily[رقم العملية],0))</f>
        <v>46185</v>
      </c>
      <c r="E328" s="58" t="str">
        <f>INDEX(Tabledaily[نوع العمليــة],MATCH(TableDailyJournal[[#This Row],[رقم العملية]],Tabledaily[رقم العملية],0))</f>
        <v>قيد عهده</v>
      </c>
      <c r="F328" s="58">
        <f>IFERROR(INDEX(TableJudje[رقم الحساب],MATCH(TableDailyJournal[[#This Row],[الحساب]],TableJudje[اسم الحساب],0)),0)</f>
        <v>31010101</v>
      </c>
      <c r="G328" s="58" t="s">
        <v>111</v>
      </c>
      <c r="H328"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328" s="60" t="str">
        <f>INDEX(Tabledaily[العملـــة],MATCH(TableDailyJournal[[#This Row],[رقم العملية]],Tabledaily[رقم العملية],0))</f>
        <v>ريال يمني</v>
      </c>
      <c r="J328" s="59">
        <f>IFERROR(INDEX(Tabledaily[سعــــــر
الصـــــرف],MATCH(C328,Tabledaily[رقم العملية],0)),1)</f>
        <v>405</v>
      </c>
      <c r="K328" s="123" cm="1">
        <f t="array" ref="K328">IFERROR(INDEX(Tabledaily[المبلـــــــغ],MATCH(1,(TableDailyJournal[[#This Row],[رقم العملية]]=Tabledaily[رقم العملية])*(TableDailyJournal[[#This Row],[الحساب]]=Tabledaily[الحســاب المديــــن]),0)),0)</f>
        <v>52000</v>
      </c>
      <c r="L328" s="123" cm="1">
        <f t="array" ref="L328">IFERROR(INDEX(Tabledaily[المبلـــــــغ],MATCH(1,(TableDailyJournal[[#This Row],[رقم العملية]]=Tabledaily[رقم العملية])*(TableDailyJournal[[#This Row],[الحساب]]=Tabledaily[الحســاب الدئـــن]),0)),0)</f>
        <v>0</v>
      </c>
      <c r="M328" s="119">
        <f>IFERROR(TableDailyJournal[[#This Row],[المبلغ مدين]]/TableDailyJournal[[#This Row],[سعــــــر
الصـــــرف]],0)</f>
        <v>128.39506172839506</v>
      </c>
      <c r="N328" s="119">
        <f>IFERROR(TableDailyJournal[[#This Row],[المبلغ دائن]]/TableDailyJournal[[#This Row],[سعــــــر
الصـــــرف]],0)</f>
        <v>0</v>
      </c>
      <c r="O328" s="121" t="str">
        <f>INDEX(Tabledaily[المستفيــــــــد],MATCH(TableDailyJournal[[#This Row],[رقم العملية]],Tabledaily[رقم العملية],0))</f>
        <v>السيطرة والاتصالات</v>
      </c>
      <c r="P328" s="121" t="str">
        <f>INDEX(Tabledaily[المــــرجـــــــــع],MATCH(TableDailyJournal[[#This Row],[رقم العملية]],Tabledaily[رقم العملية],0))</f>
        <v>كشف صرف</v>
      </c>
      <c r="Q328" s="121" t="str">
        <f>INDEX(Tabledaily[اســـــــم المــــرجــــع],MATCH(TableDailyJournal[[#This Row],[رقم العملية]],Tabledaily[رقم العملية],0))</f>
        <v>كشف صرف</v>
      </c>
      <c r="R328" s="121">
        <f>INDEX(Tabledaily[رقم المـــــرجـــع],MATCH(TableDailyJournal[[#This Row],[رقم العملية]],Tabledaily[رقم العملية],0))</f>
        <v>0</v>
      </c>
      <c r="S328" s="121" t="str">
        <f>INDEX(Tabledaily[مركـــــــزالتكلفــــــة],MATCH(TableDailyJournal[[#This Row],[رقم العملية]],Tabledaily[رقم العملية],0))</f>
        <v>الفرقة الثالثة</v>
      </c>
      <c r="T328" s="121">
        <f>IFERROR(INDEX(tablecost[رقم المركز],MATCH(TableDailyJournal[[#This Row],[مركـــــــزالتكلفــــــة]],tablecost[الاسم],0)),0)</f>
        <v>1</v>
      </c>
      <c r="U328" s="122">
        <f>IFERROR(DATE(TableDailyJournal[[#This Row],[السنــــة]],TableDailyJournal[[#This Row],[الشهــــر]],TableDailyJournal[[#This Row],[الـــــيوم]]),"01-01-2026")</f>
        <v>46185</v>
      </c>
      <c r="V328" s="126"/>
      <c r="W328" s="58"/>
      <c r="X328" s="58">
        <f>IFERROR(YEAR(TableDailyJournal[[#This Row],[التاريخ]]),"")</f>
        <v>2026</v>
      </c>
      <c r="Y328" s="58">
        <f>IFERROR(MONTH(TableDailyJournal[[#This Row],[التاريخ]]),"")</f>
        <v>6</v>
      </c>
      <c r="Z328" s="58">
        <f>IFERROR(DAY(TableDailyJournal[[#This Row],[التاريخ]]),"")</f>
        <v>12</v>
      </c>
      <c r="AA328"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328" s="121">
        <f>INDEX(Tabledaily[جهة الامر],MATCH(TableDailyJournal[[#This Row],[رقم العملية]],Tabledaily[رقم العملية],0))</f>
        <v>0</v>
      </c>
    </row>
    <row r="329" spans="2:28" ht="45.75" x14ac:dyDescent="0.55000000000000004">
      <c r="B329" s="58">
        <f t="shared" si="10"/>
        <v>325</v>
      </c>
      <c r="C329" s="59" t="s">
        <v>691</v>
      </c>
      <c r="D329" s="60">
        <f>INDEX(Tabledaily[date],MATCH(TableDailyJournal[[#This Row],[رقم العملية]],Tabledaily[رقم العملية],0))</f>
        <v>46185</v>
      </c>
      <c r="E329" s="58" t="str">
        <f>INDEX(Tabledaily[نوع العمليــة],MATCH(TableDailyJournal[[#This Row],[رقم العملية]],Tabledaily[رقم العملية],0))</f>
        <v>قيد عهده</v>
      </c>
      <c r="F329" s="58">
        <f>IFERROR(INDEX(TableJudje[رقم الحساب],MATCH(TableDailyJournal[[#This Row],[الحساب]],TableJudje[اسم الحساب],0)),0)</f>
        <v>11060205</v>
      </c>
      <c r="G329" s="58" t="s">
        <v>513</v>
      </c>
      <c r="H329"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329" s="60" t="str">
        <f>INDEX(Tabledaily[العملـــة],MATCH(TableDailyJournal[[#This Row],[رقم العملية]],Tabledaily[رقم العملية],0))</f>
        <v>ريال يمني</v>
      </c>
      <c r="J329" s="59">
        <f>IFERROR(INDEX(Tabledaily[سعــــــر
الصـــــرف],MATCH(C329,Tabledaily[رقم العملية],0)),1)</f>
        <v>405</v>
      </c>
      <c r="K329" s="123" cm="1">
        <f t="array" ref="K329">IFERROR(INDEX(Tabledaily[المبلـــــــغ],MATCH(1,(TableDailyJournal[[#This Row],[رقم العملية]]=Tabledaily[رقم العملية])*(TableDailyJournal[[#This Row],[الحساب]]=Tabledaily[الحســاب المديــــن]),0)),0)</f>
        <v>0</v>
      </c>
      <c r="L329" s="123" cm="1">
        <f t="array" ref="L329">IFERROR(INDEX(Tabledaily[المبلـــــــغ],MATCH(1,(TableDailyJournal[[#This Row],[رقم العملية]]=Tabledaily[رقم العملية])*(TableDailyJournal[[#This Row],[الحساب]]=Tabledaily[الحســاب الدئـــن]),0)),0)</f>
        <v>52000</v>
      </c>
      <c r="M329" s="119">
        <f>IFERROR(TableDailyJournal[[#This Row],[المبلغ مدين]]/TableDailyJournal[[#This Row],[سعــــــر
الصـــــرف]],0)</f>
        <v>0</v>
      </c>
      <c r="N329" s="119">
        <f>IFERROR(TableDailyJournal[[#This Row],[المبلغ دائن]]/TableDailyJournal[[#This Row],[سعــــــر
الصـــــرف]],0)</f>
        <v>128.39506172839506</v>
      </c>
      <c r="O329" s="121" t="str">
        <f>INDEX(Tabledaily[المستفيــــــــد],MATCH(TableDailyJournal[[#This Row],[رقم العملية]],Tabledaily[رقم العملية],0))</f>
        <v>السيطرة والاتصالات</v>
      </c>
      <c r="P329" s="121" t="str">
        <f>INDEX(Tabledaily[المــــرجـــــــــع],MATCH(TableDailyJournal[[#This Row],[رقم العملية]],Tabledaily[رقم العملية],0))</f>
        <v>كشف صرف</v>
      </c>
      <c r="Q329" s="121" t="str">
        <f>INDEX(Tabledaily[اســـــــم المــــرجــــع],MATCH(TableDailyJournal[[#This Row],[رقم العملية]],Tabledaily[رقم العملية],0))</f>
        <v>كشف صرف</v>
      </c>
      <c r="R329" s="121">
        <f>INDEX(Tabledaily[رقم المـــــرجـــع],MATCH(TableDailyJournal[[#This Row],[رقم العملية]],Tabledaily[رقم العملية],0))</f>
        <v>0</v>
      </c>
      <c r="S329" s="121" t="str">
        <f>INDEX(Tabledaily[مركـــــــزالتكلفــــــة],MATCH(TableDailyJournal[[#This Row],[رقم العملية]],Tabledaily[رقم العملية],0))</f>
        <v>الفرقة الثالثة</v>
      </c>
      <c r="T329" s="121">
        <f>IFERROR(INDEX(tablecost[رقم المركز],MATCH(TableDailyJournal[[#This Row],[مركـــــــزالتكلفــــــة]],tablecost[الاسم],0)),0)</f>
        <v>1</v>
      </c>
      <c r="U329" s="122">
        <f>IFERROR(DATE(TableDailyJournal[[#This Row],[السنــــة]],TableDailyJournal[[#This Row],[الشهــــر]],TableDailyJournal[[#This Row],[الـــــيوم]]),"01-01-2026")</f>
        <v>46185</v>
      </c>
      <c r="V329" s="126"/>
      <c r="W329" s="58"/>
      <c r="X329" s="58">
        <f>IFERROR(YEAR(TableDailyJournal[[#This Row],[التاريخ]]),"")</f>
        <v>2026</v>
      </c>
      <c r="Y329" s="58">
        <f>IFERROR(MONTH(TableDailyJournal[[#This Row],[التاريخ]]),"")</f>
        <v>6</v>
      </c>
      <c r="Z329" s="58">
        <f>IFERROR(DAY(TableDailyJournal[[#This Row],[التاريخ]]),"")</f>
        <v>12</v>
      </c>
      <c r="AA329"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329" s="121">
        <f>INDEX(Tabledaily[جهة الامر],MATCH(TableDailyJournal[[#This Row],[رقم العملية]],Tabledaily[رقم العملية],0))</f>
        <v>0</v>
      </c>
    </row>
    <row r="330" spans="2:28" ht="45.75" x14ac:dyDescent="0.55000000000000004">
      <c r="B330" s="58">
        <f t="shared" si="10"/>
        <v>326</v>
      </c>
      <c r="C330" s="59" t="s">
        <v>694</v>
      </c>
      <c r="D330" s="60">
        <f>INDEX(Tabledaily[date],MATCH(TableDailyJournal[[#This Row],[رقم العملية]],Tabledaily[رقم العملية],0))</f>
        <v>46185</v>
      </c>
      <c r="E330" s="58" t="str">
        <f>INDEX(Tabledaily[نوع العمليــة],MATCH(TableDailyJournal[[#This Row],[رقم العملية]],Tabledaily[رقم العملية],0))</f>
        <v>قيد عهده</v>
      </c>
      <c r="F330" s="58">
        <f>IFERROR(INDEX(TableJudje[رقم الحساب],MATCH(TableDailyJournal[[#This Row],[الحساب]],TableJudje[اسم الحساب],0)),0)</f>
        <v>31010101</v>
      </c>
      <c r="G330" s="58" t="s">
        <v>111</v>
      </c>
      <c r="H330"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330" s="60" t="str">
        <f>INDEX(Tabledaily[العملـــة],MATCH(TableDailyJournal[[#This Row],[رقم العملية]],Tabledaily[رقم العملية],0))</f>
        <v>ريال يمني</v>
      </c>
      <c r="J330" s="59">
        <f>IFERROR(INDEX(Tabledaily[سعــــــر
الصـــــرف],MATCH(C330,Tabledaily[رقم العملية],0)),1)</f>
        <v>405</v>
      </c>
      <c r="K330" s="123" cm="1">
        <f t="array" ref="K330">IFERROR(INDEX(Tabledaily[المبلـــــــغ],MATCH(1,(TableDailyJournal[[#This Row],[رقم العملية]]=Tabledaily[رقم العملية])*(TableDailyJournal[[#This Row],[الحساب]]=Tabledaily[الحســاب المديــــن]),0)),0)</f>
        <v>116000</v>
      </c>
      <c r="L330" s="123" cm="1">
        <f t="array" ref="L330">IFERROR(INDEX(Tabledaily[المبلـــــــغ],MATCH(1,(TableDailyJournal[[#This Row],[رقم العملية]]=Tabledaily[رقم العملية])*(TableDailyJournal[[#This Row],[الحساب]]=Tabledaily[الحســاب الدئـــن]),0)),0)</f>
        <v>0</v>
      </c>
      <c r="M330" s="119">
        <f>IFERROR(TableDailyJournal[[#This Row],[المبلغ مدين]]/TableDailyJournal[[#This Row],[سعــــــر
الصـــــرف]],0)</f>
        <v>286.41975308641975</v>
      </c>
      <c r="N330" s="119">
        <f>IFERROR(TableDailyJournal[[#This Row],[المبلغ دائن]]/TableDailyJournal[[#This Row],[سعــــــر
الصـــــرف]],0)</f>
        <v>0</v>
      </c>
      <c r="O330" s="121" t="str">
        <f>INDEX(Tabledaily[المستفيــــــــد],MATCH(TableDailyJournal[[#This Row],[رقم العملية]],Tabledaily[رقم العملية],0))</f>
        <v>الامداد</v>
      </c>
      <c r="P330" s="121" t="str">
        <f>INDEX(Tabledaily[المــــرجـــــــــع],MATCH(TableDailyJournal[[#This Row],[رقم العملية]],Tabledaily[رقم العملية],0))</f>
        <v>كشف صرف</v>
      </c>
      <c r="Q330" s="121" t="str">
        <f>INDEX(Tabledaily[اســـــــم المــــرجــــع],MATCH(TableDailyJournal[[#This Row],[رقم العملية]],Tabledaily[رقم العملية],0))</f>
        <v>كشف صرف</v>
      </c>
      <c r="R330" s="121">
        <f>INDEX(Tabledaily[رقم المـــــرجـــع],MATCH(TableDailyJournal[[#This Row],[رقم العملية]],Tabledaily[رقم العملية],0))</f>
        <v>0</v>
      </c>
      <c r="S330" s="121" t="str">
        <f>INDEX(Tabledaily[مركـــــــزالتكلفــــــة],MATCH(TableDailyJournal[[#This Row],[رقم العملية]],Tabledaily[رقم العملية],0))</f>
        <v>الفرقة الثالثة</v>
      </c>
      <c r="T330" s="121">
        <f>IFERROR(INDEX(tablecost[رقم المركز],MATCH(TableDailyJournal[[#This Row],[مركـــــــزالتكلفــــــة]],tablecost[الاسم],0)),0)</f>
        <v>1</v>
      </c>
      <c r="U330" s="122">
        <f>IFERROR(DATE(TableDailyJournal[[#This Row],[السنــــة]],TableDailyJournal[[#This Row],[الشهــــر]],TableDailyJournal[[#This Row],[الـــــيوم]]),"01-01-2026")</f>
        <v>46185</v>
      </c>
      <c r="V330" s="126"/>
      <c r="W330" s="58"/>
      <c r="X330" s="58">
        <f>IFERROR(YEAR(TableDailyJournal[[#This Row],[التاريخ]]),"")</f>
        <v>2026</v>
      </c>
      <c r="Y330" s="58">
        <f>IFERROR(MONTH(TableDailyJournal[[#This Row],[التاريخ]]),"")</f>
        <v>6</v>
      </c>
      <c r="Z330" s="58">
        <f>IFERROR(DAY(TableDailyJournal[[#This Row],[التاريخ]]),"")</f>
        <v>12</v>
      </c>
      <c r="AA330"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330" s="121">
        <f>INDEX(Tabledaily[جهة الامر],MATCH(TableDailyJournal[[#This Row],[رقم العملية]],Tabledaily[رقم العملية],0))</f>
        <v>0</v>
      </c>
    </row>
    <row r="331" spans="2:28" ht="45.75" x14ac:dyDescent="0.55000000000000004">
      <c r="B331" s="58">
        <f t="shared" si="10"/>
        <v>327</v>
      </c>
      <c r="C331" s="59" t="s">
        <v>694</v>
      </c>
      <c r="D331" s="60">
        <f>INDEX(Tabledaily[date],MATCH(TableDailyJournal[[#This Row],[رقم العملية]],Tabledaily[رقم العملية],0))</f>
        <v>46185</v>
      </c>
      <c r="E331" s="58" t="str">
        <f>INDEX(Tabledaily[نوع العمليــة],MATCH(TableDailyJournal[[#This Row],[رقم العملية]],Tabledaily[رقم العملية],0))</f>
        <v>قيد عهده</v>
      </c>
      <c r="F331" s="58">
        <f>IFERROR(INDEX(TableJudje[رقم الحساب],MATCH(TableDailyJournal[[#This Row],[الحساب]],TableJudje[اسم الحساب],0)),0)</f>
        <v>11060205</v>
      </c>
      <c r="G331" s="58" t="s">
        <v>513</v>
      </c>
      <c r="H331"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331" s="60" t="str">
        <f>INDEX(Tabledaily[العملـــة],MATCH(TableDailyJournal[[#This Row],[رقم العملية]],Tabledaily[رقم العملية],0))</f>
        <v>ريال يمني</v>
      </c>
      <c r="J331" s="59">
        <f>IFERROR(INDEX(Tabledaily[سعــــــر
الصـــــرف],MATCH(C331,Tabledaily[رقم العملية],0)),1)</f>
        <v>405</v>
      </c>
      <c r="K331" s="123" cm="1">
        <f t="array" ref="K331">IFERROR(INDEX(Tabledaily[المبلـــــــغ],MATCH(1,(TableDailyJournal[[#This Row],[رقم العملية]]=Tabledaily[رقم العملية])*(TableDailyJournal[[#This Row],[الحساب]]=Tabledaily[الحســاب المديــــن]),0)),0)</f>
        <v>0</v>
      </c>
      <c r="L331" s="123" cm="1">
        <f t="array" ref="L331">IFERROR(INDEX(Tabledaily[المبلـــــــغ],MATCH(1,(TableDailyJournal[[#This Row],[رقم العملية]]=Tabledaily[رقم العملية])*(TableDailyJournal[[#This Row],[الحساب]]=Tabledaily[الحســاب الدئـــن]),0)),0)</f>
        <v>116000</v>
      </c>
      <c r="M331" s="119">
        <f>IFERROR(TableDailyJournal[[#This Row],[المبلغ مدين]]/TableDailyJournal[[#This Row],[سعــــــر
الصـــــرف]],0)</f>
        <v>0</v>
      </c>
      <c r="N331" s="119">
        <f>IFERROR(TableDailyJournal[[#This Row],[المبلغ دائن]]/TableDailyJournal[[#This Row],[سعــــــر
الصـــــرف]],0)</f>
        <v>286.41975308641975</v>
      </c>
      <c r="O331" s="121" t="str">
        <f>INDEX(Tabledaily[المستفيــــــــد],MATCH(TableDailyJournal[[#This Row],[رقم العملية]],Tabledaily[رقم العملية],0))</f>
        <v>الامداد</v>
      </c>
      <c r="P331" s="121" t="str">
        <f>INDEX(Tabledaily[المــــرجـــــــــع],MATCH(TableDailyJournal[[#This Row],[رقم العملية]],Tabledaily[رقم العملية],0))</f>
        <v>كشف صرف</v>
      </c>
      <c r="Q331" s="121" t="str">
        <f>INDEX(Tabledaily[اســـــــم المــــرجــــع],MATCH(TableDailyJournal[[#This Row],[رقم العملية]],Tabledaily[رقم العملية],0))</f>
        <v>كشف صرف</v>
      </c>
      <c r="R331" s="121">
        <f>INDEX(Tabledaily[رقم المـــــرجـــع],MATCH(TableDailyJournal[[#This Row],[رقم العملية]],Tabledaily[رقم العملية],0))</f>
        <v>0</v>
      </c>
      <c r="S331" s="121" t="str">
        <f>INDEX(Tabledaily[مركـــــــزالتكلفــــــة],MATCH(TableDailyJournal[[#This Row],[رقم العملية]],Tabledaily[رقم العملية],0))</f>
        <v>الفرقة الثالثة</v>
      </c>
      <c r="T331" s="121">
        <f>IFERROR(INDEX(tablecost[رقم المركز],MATCH(TableDailyJournal[[#This Row],[مركـــــــزالتكلفــــــة]],tablecost[الاسم],0)),0)</f>
        <v>1</v>
      </c>
      <c r="U331" s="122">
        <f>IFERROR(DATE(TableDailyJournal[[#This Row],[السنــــة]],TableDailyJournal[[#This Row],[الشهــــر]],TableDailyJournal[[#This Row],[الـــــيوم]]),"01-01-2026")</f>
        <v>46185</v>
      </c>
      <c r="V331" s="126"/>
      <c r="W331" s="58"/>
      <c r="X331" s="58">
        <f>IFERROR(YEAR(TableDailyJournal[[#This Row],[التاريخ]]),"")</f>
        <v>2026</v>
      </c>
      <c r="Y331" s="58">
        <f>IFERROR(MONTH(TableDailyJournal[[#This Row],[التاريخ]]),"")</f>
        <v>6</v>
      </c>
      <c r="Z331" s="58">
        <f>IFERROR(DAY(TableDailyJournal[[#This Row],[التاريخ]]),"")</f>
        <v>12</v>
      </c>
      <c r="AA331"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331" s="121">
        <f>INDEX(Tabledaily[جهة الامر],MATCH(TableDailyJournal[[#This Row],[رقم العملية]],Tabledaily[رقم العملية],0))</f>
        <v>0</v>
      </c>
    </row>
    <row r="332" spans="2:28" ht="45.75" x14ac:dyDescent="0.55000000000000004">
      <c r="B332" s="58">
        <f t="shared" si="10"/>
        <v>328</v>
      </c>
      <c r="C332" s="59" t="s">
        <v>695</v>
      </c>
      <c r="D332" s="60">
        <f>INDEX(Tabledaily[date],MATCH(TableDailyJournal[[#This Row],[رقم العملية]],Tabledaily[رقم العملية],0))</f>
        <v>46185</v>
      </c>
      <c r="E332" s="58" t="str">
        <f>INDEX(Tabledaily[نوع العمليــة],MATCH(TableDailyJournal[[#This Row],[رقم العملية]],Tabledaily[رقم العملية],0))</f>
        <v>قيد عهده</v>
      </c>
      <c r="F332" s="58">
        <f>IFERROR(INDEX(TableJudje[رقم الحساب],MATCH(TableDailyJournal[[#This Row],[الحساب]],TableJudje[اسم الحساب],0)),0)</f>
        <v>31010101</v>
      </c>
      <c r="G332" s="58" t="s">
        <v>111</v>
      </c>
      <c r="H332"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332" s="60" t="str">
        <f>INDEX(Tabledaily[العملـــة],MATCH(TableDailyJournal[[#This Row],[رقم العملية]],Tabledaily[رقم العملية],0))</f>
        <v>ريال يمني</v>
      </c>
      <c r="J332" s="59">
        <f>IFERROR(INDEX(Tabledaily[سعــــــر
الصـــــرف],MATCH(C332,Tabledaily[رقم العملية],0)),1)</f>
        <v>405</v>
      </c>
      <c r="K332" s="123" cm="1">
        <f t="array" ref="K332">IFERROR(INDEX(Tabledaily[المبلـــــــغ],MATCH(1,(TableDailyJournal[[#This Row],[رقم العملية]]=Tabledaily[رقم العملية])*(TableDailyJournal[[#This Row],[الحساب]]=Tabledaily[الحســاب المديــــن]),0)),0)</f>
        <v>30000</v>
      </c>
      <c r="L332" s="123" cm="1">
        <f t="array" ref="L332">IFERROR(INDEX(Tabledaily[المبلـــــــغ],MATCH(1,(TableDailyJournal[[#This Row],[رقم العملية]]=Tabledaily[رقم العملية])*(TableDailyJournal[[#This Row],[الحساب]]=Tabledaily[الحســاب الدئـــن]),0)),0)</f>
        <v>0</v>
      </c>
      <c r="M332" s="119">
        <f>IFERROR(TableDailyJournal[[#This Row],[المبلغ مدين]]/TableDailyJournal[[#This Row],[سعــــــر
الصـــــرف]],0)</f>
        <v>74.074074074074076</v>
      </c>
      <c r="N332" s="119">
        <f>IFERROR(TableDailyJournal[[#This Row],[المبلغ دائن]]/TableDailyJournal[[#This Row],[سعــــــر
الصـــــرف]],0)</f>
        <v>0</v>
      </c>
      <c r="O332" s="121" t="str">
        <f>INDEX(Tabledaily[المستفيــــــــد],MATCH(TableDailyJournal[[#This Row],[رقم العملية]],Tabledaily[رقم العملية],0))</f>
        <v>التوجيه</v>
      </c>
      <c r="P332" s="121" t="str">
        <f>INDEX(Tabledaily[المــــرجـــــــــع],MATCH(TableDailyJournal[[#This Row],[رقم العملية]],Tabledaily[رقم العملية],0))</f>
        <v>كشف صرف</v>
      </c>
      <c r="Q332" s="121" t="str">
        <f>INDEX(Tabledaily[اســـــــم المــــرجــــع],MATCH(TableDailyJournal[[#This Row],[رقم العملية]],Tabledaily[رقم العملية],0))</f>
        <v>كشف صرف</v>
      </c>
      <c r="R332" s="121">
        <f>INDEX(Tabledaily[رقم المـــــرجـــع],MATCH(TableDailyJournal[[#This Row],[رقم العملية]],Tabledaily[رقم العملية],0))</f>
        <v>0</v>
      </c>
      <c r="S332" s="121" t="str">
        <f>INDEX(Tabledaily[مركـــــــزالتكلفــــــة],MATCH(TableDailyJournal[[#This Row],[رقم العملية]],Tabledaily[رقم العملية],0))</f>
        <v>الفرقة الثالثة</v>
      </c>
      <c r="T332" s="121">
        <f>IFERROR(INDEX(tablecost[رقم المركز],MATCH(TableDailyJournal[[#This Row],[مركـــــــزالتكلفــــــة]],tablecost[الاسم],0)),0)</f>
        <v>1</v>
      </c>
      <c r="U332" s="122">
        <f>IFERROR(DATE(TableDailyJournal[[#This Row],[السنــــة]],TableDailyJournal[[#This Row],[الشهــــر]],TableDailyJournal[[#This Row],[الـــــيوم]]),"01-01-2026")</f>
        <v>46185</v>
      </c>
      <c r="V332" s="126"/>
      <c r="W332" s="58"/>
      <c r="X332" s="58">
        <f>IFERROR(YEAR(TableDailyJournal[[#This Row],[التاريخ]]),"")</f>
        <v>2026</v>
      </c>
      <c r="Y332" s="58">
        <f>IFERROR(MONTH(TableDailyJournal[[#This Row],[التاريخ]]),"")</f>
        <v>6</v>
      </c>
      <c r="Z332" s="58">
        <f>IFERROR(DAY(TableDailyJournal[[#This Row],[التاريخ]]),"")</f>
        <v>12</v>
      </c>
      <c r="AA332"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332" s="121">
        <f>INDEX(Tabledaily[جهة الامر],MATCH(TableDailyJournal[[#This Row],[رقم العملية]],Tabledaily[رقم العملية],0))</f>
        <v>0</v>
      </c>
    </row>
    <row r="333" spans="2:28" ht="45.75" x14ac:dyDescent="0.55000000000000004">
      <c r="B333" s="58">
        <f t="shared" si="10"/>
        <v>329</v>
      </c>
      <c r="C333" s="59" t="s">
        <v>695</v>
      </c>
      <c r="D333" s="60">
        <f>INDEX(Tabledaily[date],MATCH(TableDailyJournal[[#This Row],[رقم العملية]],Tabledaily[رقم العملية],0))</f>
        <v>46185</v>
      </c>
      <c r="E333" s="58" t="str">
        <f>INDEX(Tabledaily[نوع العمليــة],MATCH(TableDailyJournal[[#This Row],[رقم العملية]],Tabledaily[رقم العملية],0))</f>
        <v>قيد عهده</v>
      </c>
      <c r="F333" s="58">
        <f>IFERROR(INDEX(TableJudje[رقم الحساب],MATCH(TableDailyJournal[[#This Row],[الحساب]],TableJudje[اسم الحساب],0)),0)</f>
        <v>11060205</v>
      </c>
      <c r="G333" s="58" t="s">
        <v>513</v>
      </c>
      <c r="H333"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333" s="60" t="str">
        <f>INDEX(Tabledaily[العملـــة],MATCH(TableDailyJournal[[#This Row],[رقم العملية]],Tabledaily[رقم العملية],0))</f>
        <v>ريال يمني</v>
      </c>
      <c r="J333" s="59">
        <f>IFERROR(INDEX(Tabledaily[سعــــــر
الصـــــرف],MATCH(C333,Tabledaily[رقم العملية],0)),1)</f>
        <v>405</v>
      </c>
      <c r="K333" s="123" cm="1">
        <f t="array" ref="K333">IFERROR(INDEX(Tabledaily[المبلـــــــغ],MATCH(1,(TableDailyJournal[[#This Row],[رقم العملية]]=Tabledaily[رقم العملية])*(TableDailyJournal[[#This Row],[الحساب]]=Tabledaily[الحســاب المديــــن]),0)),0)</f>
        <v>0</v>
      </c>
      <c r="L333" s="123" cm="1">
        <f t="array" ref="L333">IFERROR(INDEX(Tabledaily[المبلـــــــغ],MATCH(1,(TableDailyJournal[[#This Row],[رقم العملية]]=Tabledaily[رقم العملية])*(TableDailyJournal[[#This Row],[الحساب]]=Tabledaily[الحســاب الدئـــن]),0)),0)</f>
        <v>30000</v>
      </c>
      <c r="M333" s="119">
        <f>IFERROR(TableDailyJournal[[#This Row],[المبلغ مدين]]/TableDailyJournal[[#This Row],[سعــــــر
الصـــــرف]],0)</f>
        <v>0</v>
      </c>
      <c r="N333" s="119">
        <f>IFERROR(TableDailyJournal[[#This Row],[المبلغ دائن]]/TableDailyJournal[[#This Row],[سعــــــر
الصـــــرف]],0)</f>
        <v>74.074074074074076</v>
      </c>
      <c r="O333" s="121" t="str">
        <f>INDEX(Tabledaily[المستفيــــــــد],MATCH(TableDailyJournal[[#This Row],[رقم العملية]],Tabledaily[رقم العملية],0))</f>
        <v>التوجيه</v>
      </c>
      <c r="P333" s="121" t="str">
        <f>INDEX(Tabledaily[المــــرجـــــــــع],MATCH(TableDailyJournal[[#This Row],[رقم العملية]],Tabledaily[رقم العملية],0))</f>
        <v>كشف صرف</v>
      </c>
      <c r="Q333" s="121" t="str">
        <f>INDEX(Tabledaily[اســـــــم المــــرجــــع],MATCH(TableDailyJournal[[#This Row],[رقم العملية]],Tabledaily[رقم العملية],0))</f>
        <v>كشف صرف</v>
      </c>
      <c r="R333" s="121">
        <f>INDEX(Tabledaily[رقم المـــــرجـــع],MATCH(TableDailyJournal[[#This Row],[رقم العملية]],Tabledaily[رقم العملية],0))</f>
        <v>0</v>
      </c>
      <c r="S333" s="121" t="str">
        <f>INDEX(Tabledaily[مركـــــــزالتكلفــــــة],MATCH(TableDailyJournal[[#This Row],[رقم العملية]],Tabledaily[رقم العملية],0))</f>
        <v>الفرقة الثالثة</v>
      </c>
      <c r="T333" s="121">
        <f>IFERROR(INDEX(tablecost[رقم المركز],MATCH(TableDailyJournal[[#This Row],[مركـــــــزالتكلفــــــة]],tablecost[الاسم],0)),0)</f>
        <v>1</v>
      </c>
      <c r="U333" s="122">
        <f>IFERROR(DATE(TableDailyJournal[[#This Row],[السنــــة]],TableDailyJournal[[#This Row],[الشهــــر]],TableDailyJournal[[#This Row],[الـــــيوم]]),"01-01-2026")</f>
        <v>46185</v>
      </c>
      <c r="V333" s="126"/>
      <c r="W333" s="58"/>
      <c r="X333" s="58">
        <f>IFERROR(YEAR(TableDailyJournal[[#This Row],[التاريخ]]),"")</f>
        <v>2026</v>
      </c>
      <c r="Y333" s="58">
        <f>IFERROR(MONTH(TableDailyJournal[[#This Row],[التاريخ]]),"")</f>
        <v>6</v>
      </c>
      <c r="Z333" s="58">
        <f>IFERROR(DAY(TableDailyJournal[[#This Row],[التاريخ]]),"")</f>
        <v>12</v>
      </c>
      <c r="AA333"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333" s="121">
        <f>INDEX(Tabledaily[جهة الامر],MATCH(TableDailyJournal[[#This Row],[رقم العملية]],Tabledaily[رقم العملية],0))</f>
        <v>0</v>
      </c>
    </row>
    <row r="334" spans="2:28" ht="45.75" x14ac:dyDescent="0.55000000000000004">
      <c r="B334" s="58">
        <f t="shared" si="10"/>
        <v>330</v>
      </c>
      <c r="C334" s="59" t="s">
        <v>696</v>
      </c>
      <c r="D334" s="60">
        <f>INDEX(Tabledaily[date],MATCH(TableDailyJournal[[#This Row],[رقم العملية]],Tabledaily[رقم العملية],0))</f>
        <v>46185</v>
      </c>
      <c r="E334" s="58" t="str">
        <f>INDEX(Tabledaily[نوع العمليــة],MATCH(TableDailyJournal[[#This Row],[رقم العملية]],Tabledaily[رقم العملية],0))</f>
        <v>قيد عهده</v>
      </c>
      <c r="F334" s="58">
        <f>IFERROR(INDEX(TableJudje[رقم الحساب],MATCH(TableDailyJournal[[#This Row],[الحساب]],TableJudje[اسم الحساب],0)),0)</f>
        <v>31010101</v>
      </c>
      <c r="G334" s="58" t="s">
        <v>111</v>
      </c>
      <c r="H334"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334" s="60" t="str">
        <f>INDEX(Tabledaily[العملـــة],MATCH(TableDailyJournal[[#This Row],[رقم العملية]],Tabledaily[رقم العملية],0))</f>
        <v>ريال يمني</v>
      </c>
      <c r="J334" s="59">
        <f>IFERROR(INDEX(Tabledaily[سعــــــر
الصـــــرف],MATCH(C334,Tabledaily[رقم العملية],0)),1)</f>
        <v>405</v>
      </c>
      <c r="K334" s="123" cm="1">
        <f t="array" ref="K334">IFERROR(INDEX(Tabledaily[المبلـــــــغ],MATCH(1,(TableDailyJournal[[#This Row],[رقم العملية]]=Tabledaily[رقم العملية])*(TableDailyJournal[[#This Row],[الحساب]]=Tabledaily[الحســاب المديــــن]),0)),0)</f>
        <v>30000</v>
      </c>
      <c r="L334" s="123" cm="1">
        <f t="array" ref="L334">IFERROR(INDEX(Tabledaily[المبلـــــــغ],MATCH(1,(TableDailyJournal[[#This Row],[رقم العملية]]=Tabledaily[رقم العملية])*(TableDailyJournal[[#This Row],[الحساب]]=Tabledaily[الحســاب الدئـــن]),0)),0)</f>
        <v>0</v>
      </c>
      <c r="M334" s="119">
        <f>IFERROR(TableDailyJournal[[#This Row],[المبلغ مدين]]/TableDailyJournal[[#This Row],[سعــــــر
الصـــــرف]],0)</f>
        <v>74.074074074074076</v>
      </c>
      <c r="N334" s="119">
        <f>IFERROR(TableDailyJournal[[#This Row],[المبلغ دائن]]/TableDailyJournal[[#This Row],[سعــــــر
الصـــــرف]],0)</f>
        <v>0</v>
      </c>
      <c r="O334" s="121" t="str">
        <f>INDEX(Tabledaily[المستفيــــــــد],MATCH(TableDailyJournal[[#This Row],[رقم العملية]],Tabledaily[رقم العملية],0))</f>
        <v>البشرية و الصراف</v>
      </c>
      <c r="P334" s="121" t="str">
        <f>INDEX(Tabledaily[المــــرجـــــــــع],MATCH(TableDailyJournal[[#This Row],[رقم العملية]],Tabledaily[رقم العملية],0))</f>
        <v>كشف صرف</v>
      </c>
      <c r="Q334" s="121" t="str">
        <f>INDEX(Tabledaily[اســـــــم المــــرجــــع],MATCH(TableDailyJournal[[#This Row],[رقم العملية]],Tabledaily[رقم العملية],0))</f>
        <v>كشف صرف</v>
      </c>
      <c r="R334" s="121">
        <f>INDEX(Tabledaily[رقم المـــــرجـــع],MATCH(TableDailyJournal[[#This Row],[رقم العملية]],Tabledaily[رقم العملية],0))</f>
        <v>0</v>
      </c>
      <c r="S334" s="121" t="str">
        <f>INDEX(Tabledaily[مركـــــــزالتكلفــــــة],MATCH(TableDailyJournal[[#This Row],[رقم العملية]],Tabledaily[رقم العملية],0))</f>
        <v>الفرقة الثالثة</v>
      </c>
      <c r="T334" s="121">
        <f>IFERROR(INDEX(tablecost[رقم المركز],MATCH(TableDailyJournal[[#This Row],[مركـــــــزالتكلفــــــة]],tablecost[الاسم],0)),0)</f>
        <v>1</v>
      </c>
      <c r="U334" s="122">
        <f>IFERROR(DATE(TableDailyJournal[[#This Row],[السنــــة]],TableDailyJournal[[#This Row],[الشهــــر]],TableDailyJournal[[#This Row],[الـــــيوم]]),"01-01-2026")</f>
        <v>46185</v>
      </c>
      <c r="V334" s="126"/>
      <c r="W334" s="58"/>
      <c r="X334" s="58">
        <f>IFERROR(YEAR(TableDailyJournal[[#This Row],[التاريخ]]),"")</f>
        <v>2026</v>
      </c>
      <c r="Y334" s="58">
        <f>IFERROR(MONTH(TableDailyJournal[[#This Row],[التاريخ]]),"")</f>
        <v>6</v>
      </c>
      <c r="Z334" s="58">
        <f>IFERROR(DAY(TableDailyJournal[[#This Row],[التاريخ]]),"")</f>
        <v>12</v>
      </c>
      <c r="AA334"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334" s="121">
        <f>INDEX(Tabledaily[جهة الامر],MATCH(TableDailyJournal[[#This Row],[رقم العملية]],Tabledaily[رقم العملية],0))</f>
        <v>0</v>
      </c>
    </row>
    <row r="335" spans="2:28" ht="45.75" x14ac:dyDescent="0.55000000000000004">
      <c r="B335" s="58">
        <f t="shared" si="10"/>
        <v>331</v>
      </c>
      <c r="C335" s="59" t="s">
        <v>696</v>
      </c>
      <c r="D335" s="60">
        <f>INDEX(Tabledaily[date],MATCH(TableDailyJournal[[#This Row],[رقم العملية]],Tabledaily[رقم العملية],0))</f>
        <v>46185</v>
      </c>
      <c r="E335" s="58" t="str">
        <f>INDEX(Tabledaily[نوع العمليــة],MATCH(TableDailyJournal[[#This Row],[رقم العملية]],Tabledaily[رقم العملية],0))</f>
        <v>قيد عهده</v>
      </c>
      <c r="F335" s="58">
        <f>IFERROR(INDEX(TableJudje[رقم الحساب],MATCH(TableDailyJournal[[#This Row],[الحساب]],TableJudje[اسم الحساب],0)),0)</f>
        <v>11060205</v>
      </c>
      <c r="G335" s="58" t="s">
        <v>513</v>
      </c>
      <c r="H335"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335" s="60" t="str">
        <f>INDEX(Tabledaily[العملـــة],MATCH(TableDailyJournal[[#This Row],[رقم العملية]],Tabledaily[رقم العملية],0))</f>
        <v>ريال يمني</v>
      </c>
      <c r="J335" s="59">
        <f>IFERROR(INDEX(Tabledaily[سعــــــر
الصـــــرف],MATCH(C335,Tabledaily[رقم العملية],0)),1)</f>
        <v>405</v>
      </c>
      <c r="K335" s="123" cm="1">
        <f t="array" ref="K335">IFERROR(INDEX(Tabledaily[المبلـــــــغ],MATCH(1,(TableDailyJournal[[#This Row],[رقم العملية]]=Tabledaily[رقم العملية])*(TableDailyJournal[[#This Row],[الحساب]]=Tabledaily[الحســاب المديــــن]),0)),0)</f>
        <v>0</v>
      </c>
      <c r="L335" s="123" cm="1">
        <f t="array" ref="L335">IFERROR(INDEX(Tabledaily[المبلـــــــغ],MATCH(1,(TableDailyJournal[[#This Row],[رقم العملية]]=Tabledaily[رقم العملية])*(TableDailyJournal[[#This Row],[الحساب]]=Tabledaily[الحســاب الدئـــن]),0)),0)</f>
        <v>30000</v>
      </c>
      <c r="M335" s="119">
        <f>IFERROR(TableDailyJournal[[#This Row],[المبلغ مدين]]/TableDailyJournal[[#This Row],[سعــــــر
الصـــــرف]],0)</f>
        <v>0</v>
      </c>
      <c r="N335" s="119">
        <f>IFERROR(TableDailyJournal[[#This Row],[المبلغ دائن]]/TableDailyJournal[[#This Row],[سعــــــر
الصـــــرف]],0)</f>
        <v>74.074074074074076</v>
      </c>
      <c r="O335" s="121" t="str">
        <f>INDEX(Tabledaily[المستفيــــــــد],MATCH(TableDailyJournal[[#This Row],[رقم العملية]],Tabledaily[رقم العملية],0))</f>
        <v>البشرية و الصراف</v>
      </c>
      <c r="P335" s="121" t="str">
        <f>INDEX(Tabledaily[المــــرجـــــــــع],MATCH(TableDailyJournal[[#This Row],[رقم العملية]],Tabledaily[رقم العملية],0))</f>
        <v>كشف صرف</v>
      </c>
      <c r="Q335" s="121" t="str">
        <f>INDEX(Tabledaily[اســـــــم المــــرجــــع],MATCH(TableDailyJournal[[#This Row],[رقم العملية]],Tabledaily[رقم العملية],0))</f>
        <v>كشف صرف</v>
      </c>
      <c r="R335" s="121">
        <f>INDEX(Tabledaily[رقم المـــــرجـــع],MATCH(TableDailyJournal[[#This Row],[رقم العملية]],Tabledaily[رقم العملية],0))</f>
        <v>0</v>
      </c>
      <c r="S335" s="121" t="str">
        <f>INDEX(Tabledaily[مركـــــــزالتكلفــــــة],MATCH(TableDailyJournal[[#This Row],[رقم العملية]],Tabledaily[رقم العملية],0))</f>
        <v>الفرقة الثالثة</v>
      </c>
      <c r="T335" s="121">
        <f>IFERROR(INDEX(tablecost[رقم المركز],MATCH(TableDailyJournal[[#This Row],[مركـــــــزالتكلفــــــة]],tablecost[الاسم],0)),0)</f>
        <v>1</v>
      </c>
      <c r="U335" s="122">
        <f>IFERROR(DATE(TableDailyJournal[[#This Row],[السنــــة]],TableDailyJournal[[#This Row],[الشهــــر]],TableDailyJournal[[#This Row],[الـــــيوم]]),"01-01-2026")</f>
        <v>46185</v>
      </c>
      <c r="V335" s="126"/>
      <c r="W335" s="58"/>
      <c r="X335" s="58">
        <f>IFERROR(YEAR(TableDailyJournal[[#This Row],[التاريخ]]),"")</f>
        <v>2026</v>
      </c>
      <c r="Y335" s="58">
        <f>IFERROR(MONTH(TableDailyJournal[[#This Row],[التاريخ]]),"")</f>
        <v>6</v>
      </c>
      <c r="Z335" s="58">
        <f>IFERROR(DAY(TableDailyJournal[[#This Row],[التاريخ]]),"")</f>
        <v>12</v>
      </c>
      <c r="AA335"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335" s="121">
        <f>INDEX(Tabledaily[جهة الامر],MATCH(TableDailyJournal[[#This Row],[رقم العملية]],Tabledaily[رقم العملية],0))</f>
        <v>0</v>
      </c>
    </row>
    <row r="336" spans="2:28" ht="45.75" x14ac:dyDescent="0.55000000000000004">
      <c r="B336" s="58">
        <f t="shared" si="10"/>
        <v>332</v>
      </c>
      <c r="C336" s="59" t="s">
        <v>697</v>
      </c>
      <c r="D336" s="60">
        <f>INDEX(Tabledaily[date],MATCH(TableDailyJournal[[#This Row],[رقم العملية]],Tabledaily[رقم العملية],0))</f>
        <v>46185</v>
      </c>
      <c r="E336" s="58" t="str">
        <f>INDEX(Tabledaily[نوع العمليــة],MATCH(TableDailyJournal[[#This Row],[رقم العملية]],Tabledaily[رقم العملية],0))</f>
        <v>قيد عهده</v>
      </c>
      <c r="F336" s="58">
        <f>IFERROR(INDEX(TableJudje[رقم الحساب],MATCH(TableDailyJournal[[#This Row],[الحساب]],TableJudje[اسم الحساب],0)),0)</f>
        <v>31010101</v>
      </c>
      <c r="G336" s="58" t="s">
        <v>111</v>
      </c>
      <c r="H336"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336" s="60" t="str">
        <f>INDEX(Tabledaily[العملـــة],MATCH(TableDailyJournal[[#This Row],[رقم العملية]],Tabledaily[رقم العملية],0))</f>
        <v>ريال يمني</v>
      </c>
      <c r="J336" s="59">
        <f>IFERROR(INDEX(Tabledaily[سعــــــر
الصـــــرف],MATCH(C336,Tabledaily[رقم العملية],0)),1)</f>
        <v>405</v>
      </c>
      <c r="K336" s="123" cm="1">
        <f t="array" ref="K336">IFERROR(INDEX(Tabledaily[المبلـــــــغ],MATCH(1,(TableDailyJournal[[#This Row],[رقم العملية]]=Tabledaily[رقم العملية])*(TableDailyJournal[[#This Row],[الحساب]]=Tabledaily[الحســاب المديــــن]),0)),0)</f>
        <v>65000</v>
      </c>
      <c r="L336" s="123" cm="1">
        <f t="array" ref="L336">IFERROR(INDEX(Tabledaily[المبلـــــــغ],MATCH(1,(TableDailyJournal[[#This Row],[رقم العملية]]=Tabledaily[رقم العملية])*(TableDailyJournal[[#This Row],[الحساب]]=Tabledaily[الحســاب الدئـــن]),0)),0)</f>
        <v>0</v>
      </c>
      <c r="M336" s="119">
        <f>IFERROR(TableDailyJournal[[#This Row],[المبلغ مدين]]/TableDailyJournal[[#This Row],[سعــــــر
الصـــــرف]],0)</f>
        <v>160.49382716049382</v>
      </c>
      <c r="N336" s="119">
        <f>IFERROR(TableDailyJournal[[#This Row],[المبلغ دائن]]/TableDailyJournal[[#This Row],[سعــــــر
الصـــــرف]],0)</f>
        <v>0</v>
      </c>
      <c r="O336" s="121" t="str">
        <f>INDEX(Tabledaily[المستفيــــــــد],MATCH(TableDailyJournal[[#This Row],[رقم العملية]],Tabledaily[رقم العملية],0))</f>
        <v>الاستخبارات</v>
      </c>
      <c r="P336" s="121" t="str">
        <f>INDEX(Tabledaily[المــــرجـــــــــع],MATCH(TableDailyJournal[[#This Row],[رقم العملية]],Tabledaily[رقم العملية],0))</f>
        <v>كشف صرف</v>
      </c>
      <c r="Q336" s="121" t="str">
        <f>INDEX(Tabledaily[اســـــــم المــــرجــــع],MATCH(TableDailyJournal[[#This Row],[رقم العملية]],Tabledaily[رقم العملية],0))</f>
        <v>كشف صرف</v>
      </c>
      <c r="R336" s="121">
        <f>INDEX(Tabledaily[رقم المـــــرجـــع],MATCH(TableDailyJournal[[#This Row],[رقم العملية]],Tabledaily[رقم العملية],0))</f>
        <v>0</v>
      </c>
      <c r="S336" s="121" t="str">
        <f>INDEX(Tabledaily[مركـــــــزالتكلفــــــة],MATCH(TableDailyJournal[[#This Row],[رقم العملية]],Tabledaily[رقم العملية],0))</f>
        <v>الفرقة الثالثة</v>
      </c>
      <c r="T336" s="121">
        <f>IFERROR(INDEX(tablecost[رقم المركز],MATCH(TableDailyJournal[[#This Row],[مركـــــــزالتكلفــــــة]],tablecost[الاسم],0)),0)</f>
        <v>1</v>
      </c>
      <c r="U336" s="122">
        <f>IFERROR(DATE(TableDailyJournal[[#This Row],[السنــــة]],TableDailyJournal[[#This Row],[الشهــــر]],TableDailyJournal[[#This Row],[الـــــيوم]]),"01-01-2026")</f>
        <v>46185</v>
      </c>
      <c r="V336" s="126"/>
      <c r="W336" s="58"/>
      <c r="X336" s="58">
        <f>IFERROR(YEAR(TableDailyJournal[[#This Row],[التاريخ]]),"")</f>
        <v>2026</v>
      </c>
      <c r="Y336" s="58">
        <f>IFERROR(MONTH(TableDailyJournal[[#This Row],[التاريخ]]),"")</f>
        <v>6</v>
      </c>
      <c r="Z336" s="58">
        <f>IFERROR(DAY(TableDailyJournal[[#This Row],[التاريخ]]),"")</f>
        <v>12</v>
      </c>
      <c r="AA336"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336" s="121">
        <f>INDEX(Tabledaily[جهة الامر],MATCH(TableDailyJournal[[#This Row],[رقم العملية]],Tabledaily[رقم العملية],0))</f>
        <v>0</v>
      </c>
    </row>
    <row r="337" spans="2:28" ht="45.75" x14ac:dyDescent="0.55000000000000004">
      <c r="B337" s="58">
        <f t="shared" si="10"/>
        <v>333</v>
      </c>
      <c r="C337" s="59" t="s">
        <v>697</v>
      </c>
      <c r="D337" s="60">
        <f>INDEX(Tabledaily[date],MATCH(TableDailyJournal[[#This Row],[رقم العملية]],Tabledaily[رقم العملية],0))</f>
        <v>46185</v>
      </c>
      <c r="E337" s="58" t="str">
        <f>INDEX(Tabledaily[نوع العمليــة],MATCH(TableDailyJournal[[#This Row],[رقم العملية]],Tabledaily[رقم العملية],0))</f>
        <v>قيد عهده</v>
      </c>
      <c r="F337" s="58">
        <f>IFERROR(INDEX(TableJudje[رقم الحساب],MATCH(TableDailyJournal[[#This Row],[الحساب]],TableJudje[اسم الحساب],0)),0)</f>
        <v>11060205</v>
      </c>
      <c r="G337" s="58" t="s">
        <v>513</v>
      </c>
      <c r="H337"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337" s="60" t="str">
        <f>INDEX(Tabledaily[العملـــة],MATCH(TableDailyJournal[[#This Row],[رقم العملية]],Tabledaily[رقم العملية],0))</f>
        <v>ريال يمني</v>
      </c>
      <c r="J337" s="59">
        <f>IFERROR(INDEX(Tabledaily[سعــــــر
الصـــــرف],MATCH(C337,Tabledaily[رقم العملية],0)),1)</f>
        <v>405</v>
      </c>
      <c r="K337" s="123" cm="1">
        <f t="array" ref="K337">IFERROR(INDEX(Tabledaily[المبلـــــــغ],MATCH(1,(TableDailyJournal[[#This Row],[رقم العملية]]=Tabledaily[رقم العملية])*(TableDailyJournal[[#This Row],[الحساب]]=Tabledaily[الحســاب المديــــن]),0)),0)</f>
        <v>0</v>
      </c>
      <c r="L337" s="123" cm="1">
        <f t="array" ref="L337">IFERROR(INDEX(Tabledaily[المبلـــــــغ],MATCH(1,(TableDailyJournal[[#This Row],[رقم العملية]]=Tabledaily[رقم العملية])*(TableDailyJournal[[#This Row],[الحساب]]=Tabledaily[الحســاب الدئـــن]),0)),0)</f>
        <v>65000</v>
      </c>
      <c r="M337" s="119">
        <f>IFERROR(TableDailyJournal[[#This Row],[المبلغ مدين]]/TableDailyJournal[[#This Row],[سعــــــر
الصـــــرف]],0)</f>
        <v>0</v>
      </c>
      <c r="N337" s="119">
        <f>IFERROR(TableDailyJournal[[#This Row],[المبلغ دائن]]/TableDailyJournal[[#This Row],[سعــــــر
الصـــــرف]],0)</f>
        <v>160.49382716049382</v>
      </c>
      <c r="O337" s="121" t="str">
        <f>INDEX(Tabledaily[المستفيــــــــد],MATCH(TableDailyJournal[[#This Row],[رقم العملية]],Tabledaily[رقم العملية],0))</f>
        <v>الاستخبارات</v>
      </c>
      <c r="P337" s="121" t="str">
        <f>INDEX(Tabledaily[المــــرجـــــــــع],MATCH(TableDailyJournal[[#This Row],[رقم العملية]],Tabledaily[رقم العملية],0))</f>
        <v>كشف صرف</v>
      </c>
      <c r="Q337" s="121" t="str">
        <f>INDEX(Tabledaily[اســـــــم المــــرجــــع],MATCH(TableDailyJournal[[#This Row],[رقم العملية]],Tabledaily[رقم العملية],0))</f>
        <v>كشف صرف</v>
      </c>
      <c r="R337" s="121">
        <f>INDEX(Tabledaily[رقم المـــــرجـــع],MATCH(TableDailyJournal[[#This Row],[رقم العملية]],Tabledaily[رقم العملية],0))</f>
        <v>0</v>
      </c>
      <c r="S337" s="121" t="str">
        <f>INDEX(Tabledaily[مركـــــــزالتكلفــــــة],MATCH(TableDailyJournal[[#This Row],[رقم العملية]],Tabledaily[رقم العملية],0))</f>
        <v>الفرقة الثالثة</v>
      </c>
      <c r="T337" s="121">
        <f>IFERROR(INDEX(tablecost[رقم المركز],MATCH(TableDailyJournal[[#This Row],[مركـــــــزالتكلفــــــة]],tablecost[الاسم],0)),0)</f>
        <v>1</v>
      </c>
      <c r="U337" s="122">
        <f>IFERROR(DATE(TableDailyJournal[[#This Row],[السنــــة]],TableDailyJournal[[#This Row],[الشهــــر]],TableDailyJournal[[#This Row],[الـــــيوم]]),"01-01-2026")</f>
        <v>46185</v>
      </c>
      <c r="V337" s="126"/>
      <c r="W337" s="58"/>
      <c r="X337" s="58">
        <f>IFERROR(YEAR(TableDailyJournal[[#This Row],[التاريخ]]),"")</f>
        <v>2026</v>
      </c>
      <c r="Y337" s="58">
        <f>IFERROR(MONTH(TableDailyJournal[[#This Row],[التاريخ]]),"")</f>
        <v>6</v>
      </c>
      <c r="Z337" s="58">
        <f>IFERROR(DAY(TableDailyJournal[[#This Row],[التاريخ]]),"")</f>
        <v>12</v>
      </c>
      <c r="AA337"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337" s="121">
        <f>INDEX(Tabledaily[جهة الامر],MATCH(TableDailyJournal[[#This Row],[رقم العملية]],Tabledaily[رقم العملية],0))</f>
        <v>0</v>
      </c>
    </row>
    <row r="338" spans="2:28" ht="45.75" x14ac:dyDescent="0.55000000000000004">
      <c r="B338" s="58">
        <f t="shared" si="10"/>
        <v>334</v>
      </c>
      <c r="C338" s="59" t="s">
        <v>698</v>
      </c>
      <c r="D338" s="60">
        <f>INDEX(Tabledaily[date],MATCH(TableDailyJournal[[#This Row],[رقم العملية]],Tabledaily[رقم العملية],0))</f>
        <v>46185</v>
      </c>
      <c r="E338" s="58" t="str">
        <f>INDEX(Tabledaily[نوع العمليــة],MATCH(TableDailyJournal[[#This Row],[رقم العملية]],Tabledaily[رقم العملية],0))</f>
        <v>قيد عهده</v>
      </c>
      <c r="F338" s="58">
        <f>IFERROR(INDEX(TableJudje[رقم الحساب],MATCH(TableDailyJournal[[#This Row],[الحساب]],TableJudje[اسم الحساب],0)),0)</f>
        <v>31010101</v>
      </c>
      <c r="G338" s="58" t="s">
        <v>111</v>
      </c>
      <c r="H338"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338" s="60" t="str">
        <f>INDEX(Tabledaily[العملـــة],MATCH(TableDailyJournal[[#This Row],[رقم العملية]],Tabledaily[رقم العملية],0))</f>
        <v>ريال يمني</v>
      </c>
      <c r="J338" s="59">
        <f>IFERROR(INDEX(Tabledaily[سعــــــر
الصـــــرف],MATCH(C338,Tabledaily[رقم العملية],0)),1)</f>
        <v>405</v>
      </c>
      <c r="K338" s="123" cm="1">
        <f t="array" ref="K338">IFERROR(INDEX(Tabledaily[المبلـــــــغ],MATCH(1,(TableDailyJournal[[#This Row],[رقم العملية]]=Tabledaily[رقم العملية])*(TableDailyJournal[[#This Row],[الحساب]]=Tabledaily[الحســاب المديــــن]),0)),0)</f>
        <v>45000</v>
      </c>
      <c r="L338" s="123" cm="1">
        <f t="array" ref="L338">IFERROR(INDEX(Tabledaily[المبلـــــــغ],MATCH(1,(TableDailyJournal[[#This Row],[رقم العملية]]=Tabledaily[رقم العملية])*(TableDailyJournal[[#This Row],[الحساب]]=Tabledaily[الحســاب الدئـــن]),0)),0)</f>
        <v>0</v>
      </c>
      <c r="M338" s="119">
        <f>IFERROR(TableDailyJournal[[#This Row],[المبلغ مدين]]/TableDailyJournal[[#This Row],[سعــــــر
الصـــــرف]],0)</f>
        <v>111.11111111111111</v>
      </c>
      <c r="N338" s="119">
        <f>IFERROR(TableDailyJournal[[#This Row],[المبلغ دائن]]/TableDailyJournal[[#This Row],[سعــــــر
الصـــــرف]],0)</f>
        <v>0</v>
      </c>
      <c r="O338" s="121" t="str">
        <f>INDEX(Tabledaily[المستفيــــــــد],MATCH(TableDailyJournal[[#This Row],[رقم العملية]],Tabledaily[رقم العملية],0))</f>
        <v>المدفعية</v>
      </c>
      <c r="P338" s="121" t="str">
        <f>INDEX(Tabledaily[المــــرجـــــــــع],MATCH(TableDailyJournal[[#This Row],[رقم العملية]],Tabledaily[رقم العملية],0))</f>
        <v>كشف صرف</v>
      </c>
      <c r="Q338" s="121" t="str">
        <f>INDEX(Tabledaily[اســـــــم المــــرجــــع],MATCH(TableDailyJournal[[#This Row],[رقم العملية]],Tabledaily[رقم العملية],0))</f>
        <v>كشف صرف</v>
      </c>
      <c r="R338" s="121">
        <f>INDEX(Tabledaily[رقم المـــــرجـــع],MATCH(TableDailyJournal[[#This Row],[رقم العملية]],Tabledaily[رقم العملية],0))</f>
        <v>0</v>
      </c>
      <c r="S338" s="121" t="str">
        <f>INDEX(Tabledaily[مركـــــــزالتكلفــــــة],MATCH(TableDailyJournal[[#This Row],[رقم العملية]],Tabledaily[رقم العملية],0))</f>
        <v>الفرقة الثالثة</v>
      </c>
      <c r="T338" s="121">
        <f>IFERROR(INDEX(tablecost[رقم المركز],MATCH(TableDailyJournal[[#This Row],[مركـــــــزالتكلفــــــة]],tablecost[الاسم],0)),0)</f>
        <v>1</v>
      </c>
      <c r="U338" s="122">
        <f>IFERROR(DATE(TableDailyJournal[[#This Row],[السنــــة]],TableDailyJournal[[#This Row],[الشهــــر]],TableDailyJournal[[#This Row],[الـــــيوم]]),"01-01-2026")</f>
        <v>46185</v>
      </c>
      <c r="V338" s="126"/>
      <c r="W338" s="58"/>
      <c r="X338" s="58">
        <f>IFERROR(YEAR(TableDailyJournal[[#This Row],[التاريخ]]),"")</f>
        <v>2026</v>
      </c>
      <c r="Y338" s="58">
        <f>IFERROR(MONTH(TableDailyJournal[[#This Row],[التاريخ]]),"")</f>
        <v>6</v>
      </c>
      <c r="Z338" s="58">
        <f>IFERROR(DAY(TableDailyJournal[[#This Row],[التاريخ]]),"")</f>
        <v>12</v>
      </c>
      <c r="AA338"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338" s="121">
        <f>INDEX(Tabledaily[جهة الامر],MATCH(TableDailyJournal[[#This Row],[رقم العملية]],Tabledaily[رقم العملية],0))</f>
        <v>0</v>
      </c>
    </row>
    <row r="339" spans="2:28" ht="45.75" x14ac:dyDescent="0.55000000000000004">
      <c r="B339" s="58">
        <f t="shared" si="10"/>
        <v>335</v>
      </c>
      <c r="C339" s="59" t="s">
        <v>698</v>
      </c>
      <c r="D339" s="60">
        <f>INDEX(Tabledaily[date],MATCH(TableDailyJournal[[#This Row],[رقم العملية]],Tabledaily[رقم العملية],0))</f>
        <v>46185</v>
      </c>
      <c r="E339" s="58" t="str">
        <f>INDEX(Tabledaily[نوع العمليــة],MATCH(TableDailyJournal[[#This Row],[رقم العملية]],Tabledaily[رقم العملية],0))</f>
        <v>قيد عهده</v>
      </c>
      <c r="F339" s="58">
        <f>IFERROR(INDEX(TableJudje[رقم الحساب],MATCH(TableDailyJournal[[#This Row],[الحساب]],TableJudje[اسم الحساب],0)),0)</f>
        <v>11060205</v>
      </c>
      <c r="G339" s="58" t="s">
        <v>513</v>
      </c>
      <c r="H339"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339" s="60" t="str">
        <f>INDEX(Tabledaily[العملـــة],MATCH(TableDailyJournal[[#This Row],[رقم العملية]],Tabledaily[رقم العملية],0))</f>
        <v>ريال يمني</v>
      </c>
      <c r="J339" s="59">
        <f>IFERROR(INDEX(Tabledaily[سعــــــر
الصـــــرف],MATCH(C339,Tabledaily[رقم العملية],0)),1)</f>
        <v>405</v>
      </c>
      <c r="K339" s="123" cm="1">
        <f t="array" ref="K339">IFERROR(INDEX(Tabledaily[المبلـــــــغ],MATCH(1,(TableDailyJournal[[#This Row],[رقم العملية]]=Tabledaily[رقم العملية])*(TableDailyJournal[[#This Row],[الحساب]]=Tabledaily[الحســاب المديــــن]),0)),0)</f>
        <v>0</v>
      </c>
      <c r="L339" s="123" cm="1">
        <f t="array" ref="L339">IFERROR(INDEX(Tabledaily[المبلـــــــغ],MATCH(1,(TableDailyJournal[[#This Row],[رقم العملية]]=Tabledaily[رقم العملية])*(TableDailyJournal[[#This Row],[الحساب]]=Tabledaily[الحســاب الدئـــن]),0)),0)</f>
        <v>45000</v>
      </c>
      <c r="M339" s="119">
        <f>IFERROR(TableDailyJournal[[#This Row],[المبلغ مدين]]/TableDailyJournal[[#This Row],[سعــــــر
الصـــــرف]],0)</f>
        <v>0</v>
      </c>
      <c r="N339" s="119">
        <f>IFERROR(TableDailyJournal[[#This Row],[المبلغ دائن]]/TableDailyJournal[[#This Row],[سعــــــر
الصـــــرف]],0)</f>
        <v>111.11111111111111</v>
      </c>
      <c r="O339" s="121" t="str">
        <f>INDEX(Tabledaily[المستفيــــــــد],MATCH(TableDailyJournal[[#This Row],[رقم العملية]],Tabledaily[رقم العملية],0))</f>
        <v>المدفعية</v>
      </c>
      <c r="P339" s="121" t="str">
        <f>INDEX(Tabledaily[المــــرجـــــــــع],MATCH(TableDailyJournal[[#This Row],[رقم العملية]],Tabledaily[رقم العملية],0))</f>
        <v>كشف صرف</v>
      </c>
      <c r="Q339" s="121" t="str">
        <f>INDEX(Tabledaily[اســـــــم المــــرجــــع],MATCH(TableDailyJournal[[#This Row],[رقم العملية]],Tabledaily[رقم العملية],0))</f>
        <v>كشف صرف</v>
      </c>
      <c r="R339" s="121">
        <f>INDEX(Tabledaily[رقم المـــــرجـــع],MATCH(TableDailyJournal[[#This Row],[رقم العملية]],Tabledaily[رقم العملية],0))</f>
        <v>0</v>
      </c>
      <c r="S339" s="121" t="str">
        <f>INDEX(Tabledaily[مركـــــــزالتكلفــــــة],MATCH(TableDailyJournal[[#This Row],[رقم العملية]],Tabledaily[رقم العملية],0))</f>
        <v>الفرقة الثالثة</v>
      </c>
      <c r="T339" s="121">
        <f>IFERROR(INDEX(tablecost[رقم المركز],MATCH(TableDailyJournal[[#This Row],[مركـــــــزالتكلفــــــة]],tablecost[الاسم],0)),0)</f>
        <v>1</v>
      </c>
      <c r="U339" s="122">
        <f>IFERROR(DATE(TableDailyJournal[[#This Row],[السنــــة]],TableDailyJournal[[#This Row],[الشهــــر]],TableDailyJournal[[#This Row],[الـــــيوم]]),"01-01-2026")</f>
        <v>46185</v>
      </c>
      <c r="V339" s="126"/>
      <c r="W339" s="58"/>
      <c r="X339" s="58">
        <f>IFERROR(YEAR(TableDailyJournal[[#This Row],[التاريخ]]),"")</f>
        <v>2026</v>
      </c>
      <c r="Y339" s="58">
        <f>IFERROR(MONTH(TableDailyJournal[[#This Row],[التاريخ]]),"")</f>
        <v>6</v>
      </c>
      <c r="Z339" s="58">
        <f>IFERROR(DAY(TableDailyJournal[[#This Row],[التاريخ]]),"")</f>
        <v>12</v>
      </c>
      <c r="AA339"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339" s="121">
        <f>INDEX(Tabledaily[جهة الامر],MATCH(TableDailyJournal[[#This Row],[رقم العملية]],Tabledaily[رقم العملية],0))</f>
        <v>0</v>
      </c>
    </row>
    <row r="340" spans="2:28" ht="45.75" x14ac:dyDescent="0.55000000000000004">
      <c r="B340" s="58">
        <f t="shared" si="10"/>
        <v>336</v>
      </c>
      <c r="C340" s="59" t="s">
        <v>700</v>
      </c>
      <c r="D340" s="60">
        <f>INDEX(Tabledaily[date],MATCH(TableDailyJournal[[#This Row],[رقم العملية]],Tabledaily[رقم العملية],0))</f>
        <v>46185</v>
      </c>
      <c r="E340" s="58" t="str">
        <f>INDEX(Tabledaily[نوع العمليــة],MATCH(TableDailyJournal[[#This Row],[رقم العملية]],Tabledaily[رقم العملية],0))</f>
        <v>قيد عهده</v>
      </c>
      <c r="F340" s="58">
        <f>IFERROR(INDEX(TableJudje[رقم الحساب],MATCH(TableDailyJournal[[#This Row],[الحساب]],TableJudje[اسم الحساب],0)),0)</f>
        <v>31010101</v>
      </c>
      <c r="G340" s="58" t="s">
        <v>111</v>
      </c>
      <c r="H340"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340" s="60" t="str">
        <f>INDEX(Tabledaily[العملـــة],MATCH(TableDailyJournal[[#This Row],[رقم العملية]],Tabledaily[رقم العملية],0))</f>
        <v>ريال يمني</v>
      </c>
      <c r="J340" s="59">
        <f>IFERROR(INDEX(Tabledaily[سعــــــر
الصـــــرف],MATCH(C340,Tabledaily[رقم العملية],0)),1)</f>
        <v>405</v>
      </c>
      <c r="K340" s="123" cm="1">
        <f t="array" ref="K340">IFERROR(INDEX(Tabledaily[المبلـــــــغ],MATCH(1,(TableDailyJournal[[#This Row],[رقم العملية]]=Tabledaily[رقم العملية])*(TableDailyJournal[[#This Row],[الحساب]]=Tabledaily[الحســاب المديــــن]),0)),0)</f>
        <v>95000</v>
      </c>
      <c r="L340" s="123" cm="1">
        <f t="array" ref="L340">IFERROR(INDEX(Tabledaily[المبلـــــــغ],MATCH(1,(TableDailyJournal[[#This Row],[رقم العملية]]=Tabledaily[رقم العملية])*(TableDailyJournal[[#This Row],[الحساب]]=Tabledaily[الحســاب الدئـــن]),0)),0)</f>
        <v>0</v>
      </c>
      <c r="M340" s="119">
        <f>IFERROR(TableDailyJournal[[#This Row],[المبلغ مدين]]/TableDailyJournal[[#This Row],[سعــــــر
الصـــــرف]],0)</f>
        <v>234.5679012345679</v>
      </c>
      <c r="N340" s="119">
        <f>IFERROR(TableDailyJournal[[#This Row],[المبلغ دائن]]/TableDailyJournal[[#This Row],[سعــــــر
الصـــــرف]],0)</f>
        <v>0</v>
      </c>
      <c r="O340" s="121" t="str">
        <f>INDEX(Tabledaily[المستفيــــــــد],MATCH(TableDailyJournal[[#This Row],[رقم العملية]],Tabledaily[رقم العملية],0))</f>
        <v>المستشارين والمساعدين</v>
      </c>
      <c r="P340" s="121" t="str">
        <f>INDEX(Tabledaily[المــــرجـــــــــع],MATCH(TableDailyJournal[[#This Row],[رقم العملية]],Tabledaily[رقم العملية],0))</f>
        <v>كشف صرف</v>
      </c>
      <c r="Q340" s="121" t="str">
        <f>INDEX(Tabledaily[اســـــــم المــــرجــــع],MATCH(TableDailyJournal[[#This Row],[رقم العملية]],Tabledaily[رقم العملية],0))</f>
        <v>كشف صرف</v>
      </c>
      <c r="R340" s="121">
        <f>INDEX(Tabledaily[رقم المـــــرجـــع],MATCH(TableDailyJournal[[#This Row],[رقم العملية]],Tabledaily[رقم العملية],0))</f>
        <v>0</v>
      </c>
      <c r="S340" s="121" t="str">
        <f>INDEX(Tabledaily[مركـــــــزالتكلفــــــة],MATCH(TableDailyJournal[[#This Row],[رقم العملية]],Tabledaily[رقم العملية],0))</f>
        <v>الفرقة الثالثة</v>
      </c>
      <c r="T340" s="121">
        <f>IFERROR(INDEX(tablecost[رقم المركز],MATCH(TableDailyJournal[[#This Row],[مركـــــــزالتكلفــــــة]],tablecost[الاسم],0)),0)</f>
        <v>1</v>
      </c>
      <c r="U340" s="122">
        <f>IFERROR(DATE(TableDailyJournal[[#This Row],[السنــــة]],TableDailyJournal[[#This Row],[الشهــــر]],TableDailyJournal[[#This Row],[الـــــيوم]]),"01-01-2026")</f>
        <v>46185</v>
      </c>
      <c r="V340" s="126"/>
      <c r="W340" s="58"/>
      <c r="X340" s="58">
        <f>IFERROR(YEAR(TableDailyJournal[[#This Row],[التاريخ]]),"")</f>
        <v>2026</v>
      </c>
      <c r="Y340" s="58">
        <f>IFERROR(MONTH(TableDailyJournal[[#This Row],[التاريخ]]),"")</f>
        <v>6</v>
      </c>
      <c r="Z340" s="58">
        <f>IFERROR(DAY(TableDailyJournal[[#This Row],[التاريخ]]),"")</f>
        <v>12</v>
      </c>
      <c r="AA340"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340" s="121">
        <f>INDEX(Tabledaily[جهة الامر],MATCH(TableDailyJournal[[#This Row],[رقم العملية]],Tabledaily[رقم العملية],0))</f>
        <v>0</v>
      </c>
    </row>
    <row r="341" spans="2:28" ht="45.75" x14ac:dyDescent="0.55000000000000004">
      <c r="B341" s="58">
        <f t="shared" si="10"/>
        <v>337</v>
      </c>
      <c r="C341" s="59" t="s">
        <v>700</v>
      </c>
      <c r="D341" s="60">
        <f>INDEX(Tabledaily[date],MATCH(TableDailyJournal[[#This Row],[رقم العملية]],Tabledaily[رقم العملية],0))</f>
        <v>46185</v>
      </c>
      <c r="E341" s="58" t="str">
        <f>INDEX(Tabledaily[نوع العمليــة],MATCH(TableDailyJournal[[#This Row],[رقم العملية]],Tabledaily[رقم العملية],0))</f>
        <v>قيد عهده</v>
      </c>
      <c r="F341" s="58">
        <f>IFERROR(INDEX(TableJudje[رقم الحساب],MATCH(TableDailyJournal[[#This Row],[الحساب]],TableJudje[اسم الحساب],0)),0)</f>
        <v>11060205</v>
      </c>
      <c r="G341" s="58" t="s">
        <v>513</v>
      </c>
      <c r="H341"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341" s="60" t="str">
        <f>INDEX(Tabledaily[العملـــة],MATCH(TableDailyJournal[[#This Row],[رقم العملية]],Tabledaily[رقم العملية],0))</f>
        <v>ريال يمني</v>
      </c>
      <c r="J341" s="59">
        <f>IFERROR(INDEX(Tabledaily[سعــــــر
الصـــــرف],MATCH(C341,Tabledaily[رقم العملية],0)),1)</f>
        <v>405</v>
      </c>
      <c r="K341" s="123" cm="1">
        <f t="array" ref="K341">IFERROR(INDEX(Tabledaily[المبلـــــــغ],MATCH(1,(TableDailyJournal[[#This Row],[رقم العملية]]=Tabledaily[رقم العملية])*(TableDailyJournal[[#This Row],[الحساب]]=Tabledaily[الحســاب المديــــن]),0)),0)</f>
        <v>0</v>
      </c>
      <c r="L341" s="123" cm="1">
        <f t="array" ref="L341">IFERROR(INDEX(Tabledaily[المبلـــــــغ],MATCH(1,(TableDailyJournal[[#This Row],[رقم العملية]]=Tabledaily[رقم العملية])*(TableDailyJournal[[#This Row],[الحساب]]=Tabledaily[الحســاب الدئـــن]),0)),0)</f>
        <v>95000</v>
      </c>
      <c r="M341" s="119">
        <f>IFERROR(TableDailyJournal[[#This Row],[المبلغ مدين]]/TableDailyJournal[[#This Row],[سعــــــر
الصـــــرف]],0)</f>
        <v>0</v>
      </c>
      <c r="N341" s="119">
        <f>IFERROR(TableDailyJournal[[#This Row],[المبلغ دائن]]/TableDailyJournal[[#This Row],[سعــــــر
الصـــــرف]],0)</f>
        <v>234.5679012345679</v>
      </c>
      <c r="O341" s="121" t="str">
        <f>INDEX(Tabledaily[المستفيــــــــد],MATCH(TableDailyJournal[[#This Row],[رقم العملية]],Tabledaily[رقم العملية],0))</f>
        <v>المستشارين والمساعدين</v>
      </c>
      <c r="P341" s="121" t="str">
        <f>INDEX(Tabledaily[المــــرجـــــــــع],MATCH(TableDailyJournal[[#This Row],[رقم العملية]],Tabledaily[رقم العملية],0))</f>
        <v>كشف صرف</v>
      </c>
      <c r="Q341" s="121" t="str">
        <f>INDEX(Tabledaily[اســـــــم المــــرجــــع],MATCH(TableDailyJournal[[#This Row],[رقم العملية]],Tabledaily[رقم العملية],0))</f>
        <v>كشف صرف</v>
      </c>
      <c r="R341" s="121">
        <f>INDEX(Tabledaily[رقم المـــــرجـــع],MATCH(TableDailyJournal[[#This Row],[رقم العملية]],Tabledaily[رقم العملية],0))</f>
        <v>0</v>
      </c>
      <c r="S341" s="121" t="str">
        <f>INDEX(Tabledaily[مركـــــــزالتكلفــــــة],MATCH(TableDailyJournal[[#This Row],[رقم العملية]],Tabledaily[رقم العملية],0))</f>
        <v>الفرقة الثالثة</v>
      </c>
      <c r="T341" s="121">
        <f>IFERROR(INDEX(tablecost[رقم المركز],MATCH(TableDailyJournal[[#This Row],[مركـــــــزالتكلفــــــة]],tablecost[الاسم],0)),0)</f>
        <v>1</v>
      </c>
      <c r="U341" s="122">
        <f>IFERROR(DATE(TableDailyJournal[[#This Row],[السنــــة]],TableDailyJournal[[#This Row],[الشهــــر]],TableDailyJournal[[#This Row],[الـــــيوم]]),"01-01-2026")</f>
        <v>46185</v>
      </c>
      <c r="V341" s="126"/>
      <c r="W341" s="58"/>
      <c r="X341" s="58">
        <f>IFERROR(YEAR(TableDailyJournal[[#This Row],[التاريخ]]),"")</f>
        <v>2026</v>
      </c>
      <c r="Y341" s="58">
        <f>IFERROR(MONTH(TableDailyJournal[[#This Row],[التاريخ]]),"")</f>
        <v>6</v>
      </c>
      <c r="Z341" s="58">
        <f>IFERROR(DAY(TableDailyJournal[[#This Row],[التاريخ]]),"")</f>
        <v>12</v>
      </c>
      <c r="AA341"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341" s="121">
        <f>INDEX(Tabledaily[جهة الامر],MATCH(TableDailyJournal[[#This Row],[رقم العملية]],Tabledaily[رقم العملية],0))</f>
        <v>0</v>
      </c>
    </row>
    <row r="342" spans="2:28" ht="45.75" x14ac:dyDescent="0.55000000000000004">
      <c r="B342" s="58">
        <f t="shared" si="10"/>
        <v>338</v>
      </c>
      <c r="C342" s="59" t="s">
        <v>701</v>
      </c>
      <c r="D342" s="60">
        <f>INDEX(Tabledaily[date],MATCH(TableDailyJournal[[#This Row],[رقم العملية]],Tabledaily[رقم العملية],0))</f>
        <v>46185</v>
      </c>
      <c r="E342" s="58" t="str">
        <f>INDEX(Tabledaily[نوع العمليــة],MATCH(TableDailyJournal[[#This Row],[رقم العملية]],Tabledaily[رقم العملية],0))</f>
        <v>قيد عهده</v>
      </c>
      <c r="F342" s="58">
        <f>IFERROR(INDEX(TableJudje[رقم الحساب],MATCH(TableDailyJournal[[#This Row],[الحساب]],TableJudje[اسم الحساب],0)),0)</f>
        <v>31010101</v>
      </c>
      <c r="G342" s="58" t="s">
        <v>111</v>
      </c>
      <c r="H342"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342" s="60" t="str">
        <f>INDEX(Tabledaily[العملـــة],MATCH(TableDailyJournal[[#This Row],[رقم العملية]],Tabledaily[رقم العملية],0))</f>
        <v>ريال يمني</v>
      </c>
      <c r="J342" s="59">
        <f>IFERROR(INDEX(Tabledaily[سعــــــر
الصـــــرف],MATCH(C342,Tabledaily[رقم العملية],0)),1)</f>
        <v>405</v>
      </c>
      <c r="K342" s="123" cm="1">
        <f t="array" ref="K342">IFERROR(INDEX(Tabledaily[المبلـــــــغ],MATCH(1,(TableDailyJournal[[#This Row],[رقم العملية]]=Tabledaily[رقم العملية])*(TableDailyJournal[[#This Row],[الحساب]]=Tabledaily[الحســاب المديــــن]),0)),0)</f>
        <v>14000</v>
      </c>
      <c r="L342" s="123" cm="1">
        <f t="array" ref="L342">IFERROR(INDEX(Tabledaily[المبلـــــــغ],MATCH(1,(TableDailyJournal[[#This Row],[رقم العملية]]=Tabledaily[رقم العملية])*(TableDailyJournal[[#This Row],[الحساب]]=Tabledaily[الحســاب الدئـــن]),0)),0)</f>
        <v>0</v>
      </c>
      <c r="M342" s="119">
        <f>IFERROR(TableDailyJournal[[#This Row],[المبلغ مدين]]/TableDailyJournal[[#This Row],[سعــــــر
الصـــــرف]],0)</f>
        <v>34.567901234567898</v>
      </c>
      <c r="N342" s="119">
        <f>IFERROR(TableDailyJournal[[#This Row],[المبلغ دائن]]/TableDailyJournal[[#This Row],[سعــــــر
الصـــــرف]],0)</f>
        <v>0</v>
      </c>
      <c r="O342" s="121" t="str">
        <f>INDEX(Tabledaily[المستفيــــــــد],MATCH(TableDailyJournal[[#This Row],[رقم العملية]],Tabledaily[رقم العملية],0))</f>
        <v>الطبية والمحاسبين</v>
      </c>
      <c r="P342" s="121" t="str">
        <f>INDEX(Tabledaily[المــــرجـــــــــع],MATCH(TableDailyJournal[[#This Row],[رقم العملية]],Tabledaily[رقم العملية],0))</f>
        <v>كشف صرف</v>
      </c>
      <c r="Q342" s="121" t="str">
        <f>INDEX(Tabledaily[اســـــــم المــــرجــــع],MATCH(TableDailyJournal[[#This Row],[رقم العملية]],Tabledaily[رقم العملية],0))</f>
        <v>كشف صرف</v>
      </c>
      <c r="R342" s="121">
        <f>INDEX(Tabledaily[رقم المـــــرجـــع],MATCH(TableDailyJournal[[#This Row],[رقم العملية]],Tabledaily[رقم العملية],0))</f>
        <v>0</v>
      </c>
      <c r="S342" s="121" t="str">
        <f>INDEX(Tabledaily[مركـــــــزالتكلفــــــة],MATCH(TableDailyJournal[[#This Row],[رقم العملية]],Tabledaily[رقم العملية],0))</f>
        <v>الفرقة الثالثة</v>
      </c>
      <c r="T342" s="121">
        <f>IFERROR(INDEX(tablecost[رقم المركز],MATCH(TableDailyJournal[[#This Row],[مركـــــــزالتكلفــــــة]],tablecost[الاسم],0)),0)</f>
        <v>1</v>
      </c>
      <c r="U342" s="122">
        <f>IFERROR(DATE(TableDailyJournal[[#This Row],[السنــــة]],TableDailyJournal[[#This Row],[الشهــــر]],TableDailyJournal[[#This Row],[الـــــيوم]]),"01-01-2026")</f>
        <v>46185</v>
      </c>
      <c r="V342" s="126"/>
      <c r="W342" s="58"/>
      <c r="X342" s="58">
        <f>IFERROR(YEAR(TableDailyJournal[[#This Row],[التاريخ]]),"")</f>
        <v>2026</v>
      </c>
      <c r="Y342" s="58">
        <f>IFERROR(MONTH(TableDailyJournal[[#This Row],[التاريخ]]),"")</f>
        <v>6</v>
      </c>
      <c r="Z342" s="58">
        <f>IFERROR(DAY(TableDailyJournal[[#This Row],[التاريخ]]),"")</f>
        <v>12</v>
      </c>
      <c r="AA342"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342" s="121">
        <f>INDEX(Tabledaily[جهة الامر],MATCH(TableDailyJournal[[#This Row],[رقم العملية]],Tabledaily[رقم العملية],0))</f>
        <v>0</v>
      </c>
    </row>
    <row r="343" spans="2:28" ht="45.75" x14ac:dyDescent="0.55000000000000004">
      <c r="B343" s="58">
        <f t="shared" si="10"/>
        <v>339</v>
      </c>
      <c r="C343" s="59" t="s">
        <v>701</v>
      </c>
      <c r="D343" s="60">
        <f>INDEX(Tabledaily[date],MATCH(TableDailyJournal[[#This Row],[رقم العملية]],Tabledaily[رقم العملية],0))</f>
        <v>46185</v>
      </c>
      <c r="E343" s="58" t="str">
        <f>INDEX(Tabledaily[نوع العمليــة],MATCH(TableDailyJournal[[#This Row],[رقم العملية]],Tabledaily[رقم العملية],0))</f>
        <v>قيد عهده</v>
      </c>
      <c r="F343" s="58">
        <f>IFERROR(INDEX(TableJudje[رقم الحساب],MATCH(TableDailyJournal[[#This Row],[الحساب]],TableJudje[اسم الحساب],0)),0)</f>
        <v>11060205</v>
      </c>
      <c r="G343" s="58" t="s">
        <v>513</v>
      </c>
      <c r="H343"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343" s="60" t="str">
        <f>INDEX(Tabledaily[العملـــة],MATCH(TableDailyJournal[[#This Row],[رقم العملية]],Tabledaily[رقم العملية],0))</f>
        <v>ريال يمني</v>
      </c>
      <c r="J343" s="59">
        <f>IFERROR(INDEX(Tabledaily[سعــــــر
الصـــــرف],MATCH(C343,Tabledaily[رقم العملية],0)),1)</f>
        <v>405</v>
      </c>
      <c r="K343" s="123" cm="1">
        <f t="array" ref="K343">IFERROR(INDEX(Tabledaily[المبلـــــــغ],MATCH(1,(TableDailyJournal[[#This Row],[رقم العملية]]=Tabledaily[رقم العملية])*(TableDailyJournal[[#This Row],[الحساب]]=Tabledaily[الحســاب المديــــن]),0)),0)</f>
        <v>0</v>
      </c>
      <c r="L343" s="123" cm="1">
        <f t="array" ref="L343">IFERROR(INDEX(Tabledaily[المبلـــــــغ],MATCH(1,(TableDailyJournal[[#This Row],[رقم العملية]]=Tabledaily[رقم العملية])*(TableDailyJournal[[#This Row],[الحساب]]=Tabledaily[الحســاب الدئـــن]),0)),0)</f>
        <v>14000</v>
      </c>
      <c r="M343" s="119">
        <f>IFERROR(TableDailyJournal[[#This Row],[المبلغ مدين]]/TableDailyJournal[[#This Row],[سعــــــر
الصـــــرف]],0)</f>
        <v>0</v>
      </c>
      <c r="N343" s="119">
        <f>IFERROR(TableDailyJournal[[#This Row],[المبلغ دائن]]/TableDailyJournal[[#This Row],[سعــــــر
الصـــــرف]],0)</f>
        <v>34.567901234567898</v>
      </c>
      <c r="O343" s="121" t="str">
        <f>INDEX(Tabledaily[المستفيــــــــد],MATCH(TableDailyJournal[[#This Row],[رقم العملية]],Tabledaily[رقم العملية],0))</f>
        <v>الطبية والمحاسبين</v>
      </c>
      <c r="P343" s="121" t="str">
        <f>INDEX(Tabledaily[المــــرجـــــــــع],MATCH(TableDailyJournal[[#This Row],[رقم العملية]],Tabledaily[رقم العملية],0))</f>
        <v>كشف صرف</v>
      </c>
      <c r="Q343" s="121" t="str">
        <f>INDEX(Tabledaily[اســـــــم المــــرجــــع],MATCH(TableDailyJournal[[#This Row],[رقم العملية]],Tabledaily[رقم العملية],0))</f>
        <v>كشف صرف</v>
      </c>
      <c r="R343" s="121">
        <f>INDEX(Tabledaily[رقم المـــــرجـــع],MATCH(TableDailyJournal[[#This Row],[رقم العملية]],Tabledaily[رقم العملية],0))</f>
        <v>0</v>
      </c>
      <c r="S343" s="121" t="str">
        <f>INDEX(Tabledaily[مركـــــــزالتكلفــــــة],MATCH(TableDailyJournal[[#This Row],[رقم العملية]],Tabledaily[رقم العملية],0))</f>
        <v>الفرقة الثالثة</v>
      </c>
      <c r="T343" s="121">
        <f>IFERROR(INDEX(tablecost[رقم المركز],MATCH(TableDailyJournal[[#This Row],[مركـــــــزالتكلفــــــة]],tablecost[الاسم],0)),0)</f>
        <v>1</v>
      </c>
      <c r="U343" s="122">
        <f>IFERROR(DATE(TableDailyJournal[[#This Row],[السنــــة]],TableDailyJournal[[#This Row],[الشهــــر]],TableDailyJournal[[#This Row],[الـــــيوم]]),"01-01-2026")</f>
        <v>46185</v>
      </c>
      <c r="V343" s="126"/>
      <c r="W343" s="58"/>
      <c r="X343" s="58">
        <f>IFERROR(YEAR(TableDailyJournal[[#This Row],[التاريخ]]),"")</f>
        <v>2026</v>
      </c>
      <c r="Y343" s="58">
        <f>IFERROR(MONTH(TableDailyJournal[[#This Row],[التاريخ]]),"")</f>
        <v>6</v>
      </c>
      <c r="Z343" s="58">
        <f>IFERROR(DAY(TableDailyJournal[[#This Row],[التاريخ]]),"")</f>
        <v>12</v>
      </c>
      <c r="AA343"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343" s="121">
        <f>INDEX(Tabledaily[جهة الامر],MATCH(TableDailyJournal[[#This Row],[رقم العملية]],Tabledaily[رقم العملية],0))</f>
        <v>0</v>
      </c>
    </row>
    <row r="344" spans="2:28" ht="45.75" x14ac:dyDescent="0.55000000000000004">
      <c r="B344" s="58">
        <f t="shared" si="10"/>
        <v>340</v>
      </c>
      <c r="C344" s="59" t="s">
        <v>702</v>
      </c>
      <c r="D344" s="60">
        <f>INDEX(Tabledaily[date],MATCH(TableDailyJournal[[#This Row],[رقم العملية]],Tabledaily[رقم العملية],0))</f>
        <v>46185</v>
      </c>
      <c r="E344" s="58" t="str">
        <f>INDEX(Tabledaily[نوع العمليــة],MATCH(TableDailyJournal[[#This Row],[رقم العملية]],Tabledaily[رقم العملية],0))</f>
        <v>قيد عهده</v>
      </c>
      <c r="F344" s="58">
        <f>IFERROR(INDEX(TableJudje[رقم الحساب],MATCH(TableDailyJournal[[#This Row],[الحساب]],TableJudje[اسم الحساب],0)),0)</f>
        <v>31010101</v>
      </c>
      <c r="G344" s="58" t="s">
        <v>111</v>
      </c>
      <c r="H344"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9 بامر</v>
      </c>
      <c r="I344" s="60" t="str">
        <f>INDEX(Tabledaily[العملـــة],MATCH(TableDailyJournal[[#This Row],[رقم العملية]],Tabledaily[رقم العملية],0))</f>
        <v>ريال يمني</v>
      </c>
      <c r="J344" s="59">
        <f>IFERROR(INDEX(Tabledaily[سعــــــر
الصـــــرف],MATCH(C344,Tabledaily[رقم العملية],0)),1)</f>
        <v>405</v>
      </c>
      <c r="K344" s="123" cm="1">
        <f t="array" ref="K344">IFERROR(INDEX(Tabledaily[المبلـــــــغ],MATCH(1,(TableDailyJournal[[#This Row],[رقم العملية]]=Tabledaily[رقم العملية])*(TableDailyJournal[[#This Row],[الحساب]]=Tabledaily[الحســاب المديــــن]),0)),0)</f>
        <v>90000</v>
      </c>
      <c r="L344" s="123" cm="1">
        <f t="array" ref="L344">IFERROR(INDEX(Tabledaily[المبلـــــــغ],MATCH(1,(TableDailyJournal[[#This Row],[رقم العملية]]=Tabledaily[رقم العملية])*(TableDailyJournal[[#This Row],[الحساب]]=Tabledaily[الحســاب الدئـــن]),0)),0)</f>
        <v>0</v>
      </c>
      <c r="M344" s="119">
        <f>IFERROR(TableDailyJournal[[#This Row],[المبلغ مدين]]/TableDailyJournal[[#This Row],[سعــــــر
الصـــــرف]],0)</f>
        <v>222.22222222222223</v>
      </c>
      <c r="N344" s="119">
        <f>IFERROR(TableDailyJournal[[#This Row],[المبلغ دائن]]/TableDailyJournal[[#This Row],[سعــــــر
الصـــــرف]],0)</f>
        <v>0</v>
      </c>
      <c r="O344" s="121" t="str">
        <f>INDEX(Tabledaily[المستفيــــــــد],MATCH(TableDailyJournal[[#This Row],[رقم العملية]],Tabledaily[رقم العملية],0))</f>
        <v>الضباط السابقين</v>
      </c>
      <c r="P344" s="121" t="str">
        <f>INDEX(Tabledaily[المــــرجـــــــــع],MATCH(TableDailyJournal[[#This Row],[رقم العملية]],Tabledaily[رقم العملية],0))</f>
        <v>كشف صرف</v>
      </c>
      <c r="Q344" s="121" t="str">
        <f>INDEX(Tabledaily[اســـــــم المــــرجــــع],MATCH(TableDailyJournal[[#This Row],[رقم العملية]],Tabledaily[رقم العملية],0))</f>
        <v>كشف صرف</v>
      </c>
      <c r="R344" s="121">
        <f>INDEX(Tabledaily[رقم المـــــرجـــع],MATCH(TableDailyJournal[[#This Row],[رقم العملية]],Tabledaily[رقم العملية],0))</f>
        <v>0</v>
      </c>
      <c r="S344" s="121" t="str">
        <f>INDEX(Tabledaily[مركـــــــزالتكلفــــــة],MATCH(TableDailyJournal[[#This Row],[رقم العملية]],Tabledaily[رقم العملية],0))</f>
        <v>الفرقة الثالثة</v>
      </c>
      <c r="T344" s="121">
        <f>IFERROR(INDEX(tablecost[رقم المركز],MATCH(TableDailyJournal[[#This Row],[مركـــــــزالتكلفــــــة]],tablecost[الاسم],0)),0)</f>
        <v>1</v>
      </c>
      <c r="U344" s="122">
        <f>IFERROR(DATE(TableDailyJournal[[#This Row],[السنــــة]],TableDailyJournal[[#This Row],[الشهــــر]],TableDailyJournal[[#This Row],[الـــــيوم]]),"01-01-2026")</f>
        <v>46185</v>
      </c>
      <c r="V344" s="126"/>
      <c r="W344" s="58"/>
      <c r="X344" s="58">
        <f>IFERROR(YEAR(TableDailyJournal[[#This Row],[التاريخ]]),"")</f>
        <v>2026</v>
      </c>
      <c r="Y344" s="58">
        <f>IFERROR(MONTH(TableDailyJournal[[#This Row],[التاريخ]]),"")</f>
        <v>6</v>
      </c>
      <c r="Z344" s="58">
        <f>IFERROR(DAY(TableDailyJournal[[#This Row],[التاريخ]]),"")</f>
        <v>12</v>
      </c>
      <c r="AA344"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9 بامر</v>
      </c>
      <c r="AB344" s="121">
        <f>INDEX(Tabledaily[جهة الامر],MATCH(TableDailyJournal[[#This Row],[رقم العملية]],Tabledaily[رقم العملية],0))</f>
        <v>0</v>
      </c>
    </row>
    <row r="345" spans="2:28" ht="45.75" x14ac:dyDescent="0.55000000000000004">
      <c r="B345" s="58">
        <f t="shared" si="10"/>
        <v>341</v>
      </c>
      <c r="C345" s="59" t="s">
        <v>702</v>
      </c>
      <c r="D345" s="60">
        <f>INDEX(Tabledaily[date],MATCH(TableDailyJournal[[#This Row],[رقم العملية]],Tabledaily[رقم العملية],0))</f>
        <v>46185</v>
      </c>
      <c r="E345" s="58" t="str">
        <f>INDEX(Tabledaily[نوع العمليــة],MATCH(TableDailyJournal[[#This Row],[رقم العملية]],Tabledaily[رقم العملية],0))</f>
        <v>قيد عهده</v>
      </c>
      <c r="F345" s="58">
        <f>IFERROR(INDEX(TableJudje[رقم الحساب],MATCH(TableDailyJournal[[#This Row],[الحساب]],TableJudje[اسم الحساب],0)),0)</f>
        <v>11060205</v>
      </c>
      <c r="G345" s="58" t="s">
        <v>513</v>
      </c>
      <c r="H345"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9 بامر</v>
      </c>
      <c r="I345" s="60" t="str">
        <f>INDEX(Tabledaily[العملـــة],MATCH(TableDailyJournal[[#This Row],[رقم العملية]],Tabledaily[رقم العملية],0))</f>
        <v>ريال يمني</v>
      </c>
      <c r="J345" s="59">
        <f>IFERROR(INDEX(Tabledaily[سعــــــر
الصـــــرف],MATCH(C345,Tabledaily[رقم العملية],0)),1)</f>
        <v>405</v>
      </c>
      <c r="K345" s="123" cm="1">
        <f t="array" ref="K345">IFERROR(INDEX(Tabledaily[المبلـــــــغ],MATCH(1,(TableDailyJournal[[#This Row],[رقم العملية]]=Tabledaily[رقم العملية])*(TableDailyJournal[[#This Row],[الحساب]]=Tabledaily[الحســاب المديــــن]),0)),0)</f>
        <v>0</v>
      </c>
      <c r="L345" s="123" cm="1">
        <f t="array" ref="L345">IFERROR(INDEX(Tabledaily[المبلـــــــغ],MATCH(1,(TableDailyJournal[[#This Row],[رقم العملية]]=Tabledaily[رقم العملية])*(TableDailyJournal[[#This Row],[الحساب]]=Tabledaily[الحســاب الدئـــن]),0)),0)</f>
        <v>90000</v>
      </c>
      <c r="M345" s="119">
        <f>IFERROR(TableDailyJournal[[#This Row],[المبلغ مدين]]/TableDailyJournal[[#This Row],[سعــــــر
الصـــــرف]],0)</f>
        <v>0</v>
      </c>
      <c r="N345" s="119">
        <f>IFERROR(TableDailyJournal[[#This Row],[المبلغ دائن]]/TableDailyJournal[[#This Row],[سعــــــر
الصـــــرف]],0)</f>
        <v>222.22222222222223</v>
      </c>
      <c r="O345" s="121" t="str">
        <f>INDEX(Tabledaily[المستفيــــــــد],MATCH(TableDailyJournal[[#This Row],[رقم العملية]],Tabledaily[رقم العملية],0))</f>
        <v>الضباط السابقين</v>
      </c>
      <c r="P345" s="121" t="str">
        <f>INDEX(Tabledaily[المــــرجـــــــــع],MATCH(TableDailyJournal[[#This Row],[رقم العملية]],Tabledaily[رقم العملية],0))</f>
        <v>كشف صرف</v>
      </c>
      <c r="Q345" s="121" t="str">
        <f>INDEX(Tabledaily[اســـــــم المــــرجــــع],MATCH(TableDailyJournal[[#This Row],[رقم العملية]],Tabledaily[رقم العملية],0))</f>
        <v>كشف صرف</v>
      </c>
      <c r="R345" s="121">
        <f>INDEX(Tabledaily[رقم المـــــرجـــع],MATCH(TableDailyJournal[[#This Row],[رقم العملية]],Tabledaily[رقم العملية],0))</f>
        <v>0</v>
      </c>
      <c r="S345" s="121" t="str">
        <f>INDEX(Tabledaily[مركـــــــزالتكلفــــــة],MATCH(TableDailyJournal[[#This Row],[رقم العملية]],Tabledaily[رقم العملية],0))</f>
        <v>الفرقة الثالثة</v>
      </c>
      <c r="T345" s="121">
        <f>IFERROR(INDEX(tablecost[رقم المركز],MATCH(TableDailyJournal[[#This Row],[مركـــــــزالتكلفــــــة]],tablecost[الاسم],0)),0)</f>
        <v>1</v>
      </c>
      <c r="U345" s="122">
        <f>IFERROR(DATE(TableDailyJournal[[#This Row],[السنــــة]],TableDailyJournal[[#This Row],[الشهــــر]],TableDailyJournal[[#This Row],[الـــــيوم]]),"01-01-2026")</f>
        <v>46185</v>
      </c>
      <c r="V345" s="126"/>
      <c r="W345" s="58"/>
      <c r="X345" s="58">
        <f>IFERROR(YEAR(TableDailyJournal[[#This Row],[التاريخ]]),"")</f>
        <v>2026</v>
      </c>
      <c r="Y345" s="58">
        <f>IFERROR(MONTH(TableDailyJournal[[#This Row],[التاريخ]]),"")</f>
        <v>6</v>
      </c>
      <c r="Z345" s="58">
        <f>IFERROR(DAY(TableDailyJournal[[#This Row],[التاريخ]]),"")</f>
        <v>12</v>
      </c>
      <c r="AA345"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9 بامر</v>
      </c>
      <c r="AB345" s="121">
        <f>INDEX(Tabledaily[جهة الامر],MATCH(TableDailyJournal[[#This Row],[رقم العملية]],Tabledaily[رقم العملية],0))</f>
        <v>0</v>
      </c>
    </row>
    <row r="346" spans="2:28" ht="45.75" x14ac:dyDescent="0.55000000000000004">
      <c r="B346" s="58">
        <f t="shared" si="10"/>
        <v>342</v>
      </c>
      <c r="C346" s="59" t="s">
        <v>704</v>
      </c>
      <c r="D346" s="60">
        <f>INDEX(Tabledaily[date],MATCH(TableDailyJournal[[#This Row],[رقم العملية]],Tabledaily[رقم العملية],0))</f>
        <v>46185</v>
      </c>
      <c r="E346" s="58" t="str">
        <f>INDEX(Tabledaily[نوع العمليــة],MATCH(TableDailyJournal[[#This Row],[رقم العملية]],Tabledaily[رقم العملية],0))</f>
        <v>قيد عهده</v>
      </c>
      <c r="F346" s="58">
        <f>IFERROR(INDEX(TableJudje[رقم الحساب],MATCH(TableDailyJournal[[#This Row],[الحساب]],TableJudje[اسم الحساب],0)),0)</f>
        <v>31010101</v>
      </c>
      <c r="G346" s="58" t="s">
        <v>111</v>
      </c>
      <c r="H346"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I346" s="60" t="str">
        <f>INDEX(Tabledaily[العملـــة],MATCH(TableDailyJournal[[#This Row],[رقم العملية]],Tabledaily[رقم العملية],0))</f>
        <v>ريال يمني</v>
      </c>
      <c r="J346" s="59">
        <f>IFERROR(INDEX(Tabledaily[سعــــــر
الصـــــرف],MATCH(C346,Tabledaily[رقم العملية],0)),1)</f>
        <v>405</v>
      </c>
      <c r="K346" s="123" cm="1">
        <f t="array" ref="K346">IFERROR(INDEX(Tabledaily[المبلـــــــغ],MATCH(1,(TableDailyJournal[[#This Row],[رقم العملية]]=Tabledaily[رقم العملية])*(TableDailyJournal[[#This Row],[الحساب]]=Tabledaily[الحســاب المديــــن]),0)),0)</f>
        <v>70000</v>
      </c>
      <c r="L346" s="123" cm="1">
        <f t="array" ref="L346">IFERROR(INDEX(Tabledaily[المبلـــــــغ],MATCH(1,(TableDailyJournal[[#This Row],[رقم العملية]]=Tabledaily[رقم العملية])*(TableDailyJournal[[#This Row],[الحساب]]=Tabledaily[الحســاب الدئـــن]),0)),0)</f>
        <v>0</v>
      </c>
      <c r="M346" s="119">
        <f>IFERROR(TableDailyJournal[[#This Row],[المبلغ مدين]]/TableDailyJournal[[#This Row],[سعــــــر
الصـــــرف]],0)</f>
        <v>172.83950617283949</v>
      </c>
      <c r="N346" s="119">
        <f>IFERROR(TableDailyJournal[[#This Row],[المبلغ دائن]]/TableDailyJournal[[#This Row],[سعــــــر
الصـــــرف]],0)</f>
        <v>0</v>
      </c>
      <c r="O346" s="121" t="str">
        <f>INDEX(Tabledaily[المستفيــــــــد],MATCH(TableDailyJournal[[#This Row],[رقم العملية]],Tabledaily[رقم العملية],0))</f>
        <v>اخرون</v>
      </c>
      <c r="P346" s="121" t="str">
        <f>INDEX(Tabledaily[المــــرجـــــــــع],MATCH(TableDailyJournal[[#This Row],[رقم العملية]],Tabledaily[رقم العملية],0))</f>
        <v>كشف صرف</v>
      </c>
      <c r="Q346" s="121" t="str">
        <f>INDEX(Tabledaily[اســـــــم المــــرجــــع],MATCH(TableDailyJournal[[#This Row],[رقم العملية]],Tabledaily[رقم العملية],0))</f>
        <v>كشف صرف</v>
      </c>
      <c r="R346" s="121">
        <f>INDEX(Tabledaily[رقم المـــــرجـــع],MATCH(TableDailyJournal[[#This Row],[رقم العملية]],Tabledaily[رقم العملية],0))</f>
        <v>0</v>
      </c>
      <c r="S346" s="121" t="str">
        <f>INDEX(Tabledaily[مركـــــــزالتكلفــــــة],MATCH(TableDailyJournal[[#This Row],[رقم العملية]],Tabledaily[رقم العملية],0))</f>
        <v>الفرقة الثالثة</v>
      </c>
      <c r="T346" s="121">
        <f>IFERROR(INDEX(tablecost[رقم المركز],MATCH(TableDailyJournal[[#This Row],[مركـــــــزالتكلفــــــة]],tablecost[الاسم],0)),0)</f>
        <v>1</v>
      </c>
      <c r="U346" s="122">
        <f>IFERROR(DATE(TableDailyJournal[[#This Row],[السنــــة]],TableDailyJournal[[#This Row],[الشهــــر]],TableDailyJournal[[#This Row],[الـــــيوم]]),"01-01-2026")</f>
        <v>46185</v>
      </c>
      <c r="V346" s="126"/>
      <c r="W346" s="58"/>
      <c r="X346" s="58">
        <f>IFERROR(YEAR(TableDailyJournal[[#This Row],[التاريخ]]),"")</f>
        <v>2026</v>
      </c>
      <c r="Y346" s="58">
        <f>IFERROR(MONTH(TableDailyJournal[[#This Row],[التاريخ]]),"")</f>
        <v>6</v>
      </c>
      <c r="Z346" s="58">
        <f>IFERROR(DAY(TableDailyJournal[[#This Row],[التاريخ]]),"")</f>
        <v>12</v>
      </c>
      <c r="AA346"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AB346" s="121">
        <f>INDEX(Tabledaily[جهة الامر],MATCH(TableDailyJournal[[#This Row],[رقم العملية]],Tabledaily[رقم العملية],0))</f>
        <v>0</v>
      </c>
    </row>
    <row r="347" spans="2:28" ht="45.75" x14ac:dyDescent="0.55000000000000004">
      <c r="B347" s="58">
        <f t="shared" si="10"/>
        <v>343</v>
      </c>
      <c r="C347" s="59" t="s">
        <v>704</v>
      </c>
      <c r="D347" s="60">
        <f>INDEX(Tabledaily[date],MATCH(TableDailyJournal[[#This Row],[رقم العملية]],Tabledaily[رقم العملية],0))</f>
        <v>46185</v>
      </c>
      <c r="E347" s="58" t="str">
        <f>INDEX(Tabledaily[نوع العمليــة],MATCH(TableDailyJournal[[#This Row],[رقم العملية]],Tabledaily[رقم العملية],0))</f>
        <v>قيد عهده</v>
      </c>
      <c r="F347" s="58">
        <f>IFERROR(INDEX(TableJudje[رقم الحساب],MATCH(TableDailyJournal[[#This Row],[الحساب]],TableJudje[اسم الحساب],0)),0)</f>
        <v>11060205</v>
      </c>
      <c r="G347" s="58" t="s">
        <v>513</v>
      </c>
      <c r="H347"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I347" s="60" t="str">
        <f>INDEX(Tabledaily[العملـــة],MATCH(TableDailyJournal[[#This Row],[رقم العملية]],Tabledaily[رقم العملية],0))</f>
        <v>ريال يمني</v>
      </c>
      <c r="J347" s="59">
        <f>IFERROR(INDEX(Tabledaily[سعــــــر
الصـــــرف],MATCH(C347,Tabledaily[رقم العملية],0)),1)</f>
        <v>405</v>
      </c>
      <c r="K347" s="123" cm="1">
        <f t="array" ref="K347">IFERROR(INDEX(Tabledaily[المبلـــــــغ],MATCH(1,(TableDailyJournal[[#This Row],[رقم العملية]]=Tabledaily[رقم العملية])*(TableDailyJournal[[#This Row],[الحساب]]=Tabledaily[الحســاب المديــــن]),0)),0)</f>
        <v>0</v>
      </c>
      <c r="L347" s="123" cm="1">
        <f t="array" ref="L347">IFERROR(INDEX(Tabledaily[المبلـــــــغ],MATCH(1,(TableDailyJournal[[#This Row],[رقم العملية]]=Tabledaily[رقم العملية])*(TableDailyJournal[[#This Row],[الحساب]]=Tabledaily[الحســاب الدئـــن]),0)),0)</f>
        <v>70000</v>
      </c>
      <c r="M347" s="119">
        <f>IFERROR(TableDailyJournal[[#This Row],[المبلغ مدين]]/TableDailyJournal[[#This Row],[سعــــــر
الصـــــرف]],0)</f>
        <v>0</v>
      </c>
      <c r="N347" s="119">
        <f>IFERROR(TableDailyJournal[[#This Row],[المبلغ دائن]]/TableDailyJournal[[#This Row],[سعــــــر
الصـــــرف]],0)</f>
        <v>172.83950617283949</v>
      </c>
      <c r="O347" s="121" t="str">
        <f>INDEX(Tabledaily[المستفيــــــــد],MATCH(TableDailyJournal[[#This Row],[رقم العملية]],Tabledaily[رقم العملية],0))</f>
        <v>اخرون</v>
      </c>
      <c r="P347" s="121" t="str">
        <f>INDEX(Tabledaily[المــــرجـــــــــع],MATCH(TableDailyJournal[[#This Row],[رقم العملية]],Tabledaily[رقم العملية],0))</f>
        <v>كشف صرف</v>
      </c>
      <c r="Q347" s="121" t="str">
        <f>INDEX(Tabledaily[اســـــــم المــــرجــــع],MATCH(TableDailyJournal[[#This Row],[رقم العملية]],Tabledaily[رقم العملية],0))</f>
        <v>كشف صرف</v>
      </c>
      <c r="R347" s="121">
        <f>INDEX(Tabledaily[رقم المـــــرجـــع],MATCH(TableDailyJournal[[#This Row],[رقم العملية]],Tabledaily[رقم العملية],0))</f>
        <v>0</v>
      </c>
      <c r="S347" s="121" t="str">
        <f>INDEX(Tabledaily[مركـــــــزالتكلفــــــة],MATCH(TableDailyJournal[[#This Row],[رقم العملية]],Tabledaily[رقم العملية],0))</f>
        <v>الفرقة الثالثة</v>
      </c>
      <c r="T347" s="121">
        <f>IFERROR(INDEX(tablecost[رقم المركز],MATCH(TableDailyJournal[[#This Row],[مركـــــــزالتكلفــــــة]],tablecost[الاسم],0)),0)</f>
        <v>1</v>
      </c>
      <c r="U347" s="122">
        <f>IFERROR(DATE(TableDailyJournal[[#This Row],[السنــــة]],TableDailyJournal[[#This Row],[الشهــــر]],TableDailyJournal[[#This Row],[الـــــيوم]]),"01-01-2026")</f>
        <v>46185</v>
      </c>
      <c r="V347" s="126"/>
      <c r="W347" s="58"/>
      <c r="X347" s="58">
        <f>IFERROR(YEAR(TableDailyJournal[[#This Row],[التاريخ]]),"")</f>
        <v>2026</v>
      </c>
      <c r="Y347" s="58">
        <f>IFERROR(MONTH(TableDailyJournal[[#This Row],[التاريخ]]),"")</f>
        <v>6</v>
      </c>
      <c r="Z347" s="58">
        <f>IFERROR(DAY(TableDailyJournal[[#This Row],[التاريخ]]),"")</f>
        <v>12</v>
      </c>
      <c r="AA347"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AB347" s="121">
        <f>INDEX(Tabledaily[جهة الامر],MATCH(TableDailyJournal[[#This Row],[رقم العملية]],Tabledaily[رقم العملية],0))</f>
        <v>0</v>
      </c>
    </row>
    <row r="348" spans="2:28" ht="45.75" x14ac:dyDescent="0.55000000000000004">
      <c r="B348" s="58">
        <f t="shared" si="10"/>
        <v>344</v>
      </c>
      <c r="C348" s="59" t="s">
        <v>706</v>
      </c>
      <c r="D348" s="60">
        <f>INDEX(Tabledaily[date],MATCH(TableDailyJournal[[#This Row],[رقم العملية]],Tabledaily[رقم العملية],0))</f>
        <v>46185</v>
      </c>
      <c r="E348" s="58" t="str">
        <f>INDEX(Tabledaily[نوع العمليــة],MATCH(TableDailyJournal[[#This Row],[رقم العملية]],Tabledaily[رقم العملية],0))</f>
        <v>قيد عهده</v>
      </c>
      <c r="F348" s="58">
        <f>IFERROR(INDEX(TableJudje[رقم الحساب],MATCH(TableDailyJournal[[#This Row],[الحساب]],TableJudje[اسم الحساب],0)),0)</f>
        <v>31010101</v>
      </c>
      <c r="G348" s="58" t="s">
        <v>111</v>
      </c>
      <c r="H348"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348" s="60" t="str">
        <f>INDEX(Tabledaily[العملـــة],MATCH(TableDailyJournal[[#This Row],[رقم العملية]],Tabledaily[رقم العملية],0))</f>
        <v>ريال يمني</v>
      </c>
      <c r="J348" s="59">
        <f>IFERROR(INDEX(Tabledaily[سعــــــر
الصـــــرف],MATCH(C348,Tabledaily[رقم العملية],0)),1)</f>
        <v>405</v>
      </c>
      <c r="K348" s="123" cm="1">
        <f t="array" ref="K348">IFERROR(INDEX(Tabledaily[المبلـــــــغ],MATCH(1,(TableDailyJournal[[#This Row],[رقم العملية]]=Tabledaily[رقم العملية])*(TableDailyJournal[[#This Row],[الحساب]]=Tabledaily[الحســاب المديــــن]),0)),0)</f>
        <v>25000</v>
      </c>
      <c r="L348" s="123" cm="1">
        <f t="array" ref="L348">IFERROR(INDEX(Tabledaily[المبلـــــــغ],MATCH(1,(TableDailyJournal[[#This Row],[رقم العملية]]=Tabledaily[رقم العملية])*(TableDailyJournal[[#This Row],[الحساب]]=Tabledaily[الحســاب الدئـــن]),0)),0)</f>
        <v>0</v>
      </c>
      <c r="M348" s="119">
        <f>IFERROR(TableDailyJournal[[#This Row],[المبلغ مدين]]/TableDailyJournal[[#This Row],[سعــــــر
الصـــــرف]],0)</f>
        <v>61.728395061728392</v>
      </c>
      <c r="N348" s="119">
        <f>IFERROR(TableDailyJournal[[#This Row],[المبلغ دائن]]/TableDailyJournal[[#This Row],[سعــــــر
الصـــــرف]],0)</f>
        <v>0</v>
      </c>
      <c r="O348" s="121" t="str">
        <f>INDEX(Tabledaily[المستفيــــــــد],MATCH(TableDailyJournal[[#This Row],[رقم العملية]],Tabledaily[رقم العملية],0))</f>
        <v>مرافقي الاركان</v>
      </c>
      <c r="P348" s="121" t="str">
        <f>INDEX(Tabledaily[المــــرجـــــــــع],MATCH(TableDailyJournal[[#This Row],[رقم العملية]],Tabledaily[رقم العملية],0))</f>
        <v>كشف صرف</v>
      </c>
      <c r="Q348" s="121" t="str">
        <f>INDEX(Tabledaily[اســـــــم المــــرجــــع],MATCH(TableDailyJournal[[#This Row],[رقم العملية]],Tabledaily[رقم العملية],0))</f>
        <v>كشف صرف</v>
      </c>
      <c r="R348" s="121">
        <f>INDEX(Tabledaily[رقم المـــــرجـــع],MATCH(TableDailyJournal[[#This Row],[رقم العملية]],Tabledaily[رقم العملية],0))</f>
        <v>0</v>
      </c>
      <c r="S348" s="121" t="str">
        <f>INDEX(Tabledaily[مركـــــــزالتكلفــــــة],MATCH(TableDailyJournal[[#This Row],[رقم العملية]],Tabledaily[رقم العملية],0))</f>
        <v>الفرقة الثالثة</v>
      </c>
      <c r="T348" s="121">
        <f>IFERROR(INDEX(tablecost[رقم المركز],MATCH(TableDailyJournal[[#This Row],[مركـــــــزالتكلفــــــة]],tablecost[الاسم],0)),0)</f>
        <v>1</v>
      </c>
      <c r="U348" s="122">
        <f>IFERROR(DATE(TableDailyJournal[[#This Row],[السنــــة]],TableDailyJournal[[#This Row],[الشهــــر]],TableDailyJournal[[#This Row],[الـــــيوم]]),"01-01-2026")</f>
        <v>46185</v>
      </c>
      <c r="V348" s="126"/>
      <c r="W348" s="58"/>
      <c r="X348" s="58">
        <f>IFERROR(YEAR(TableDailyJournal[[#This Row],[التاريخ]]),"")</f>
        <v>2026</v>
      </c>
      <c r="Y348" s="58">
        <f>IFERROR(MONTH(TableDailyJournal[[#This Row],[التاريخ]]),"")</f>
        <v>6</v>
      </c>
      <c r="Z348" s="58">
        <f>IFERROR(DAY(TableDailyJournal[[#This Row],[التاريخ]]),"")</f>
        <v>12</v>
      </c>
      <c r="AA348"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348" s="121">
        <f>INDEX(Tabledaily[جهة الامر],MATCH(TableDailyJournal[[#This Row],[رقم العملية]],Tabledaily[رقم العملية],0))</f>
        <v>0</v>
      </c>
    </row>
    <row r="349" spans="2:28" ht="45.75" x14ac:dyDescent="0.55000000000000004">
      <c r="B349" s="58">
        <f t="shared" si="10"/>
        <v>345</v>
      </c>
      <c r="C349" s="59" t="s">
        <v>706</v>
      </c>
      <c r="D349" s="60">
        <f>INDEX(Tabledaily[date],MATCH(TableDailyJournal[[#This Row],[رقم العملية]],Tabledaily[رقم العملية],0))</f>
        <v>46185</v>
      </c>
      <c r="E349" s="58" t="str">
        <f>INDEX(Tabledaily[نوع العمليــة],MATCH(TableDailyJournal[[#This Row],[رقم العملية]],Tabledaily[رقم العملية],0))</f>
        <v>قيد عهده</v>
      </c>
      <c r="F349" s="58">
        <f>IFERROR(INDEX(TableJudje[رقم الحساب],MATCH(TableDailyJournal[[#This Row],[الحساب]],TableJudje[اسم الحساب],0)),0)</f>
        <v>11060205</v>
      </c>
      <c r="G349" s="58" t="s">
        <v>513</v>
      </c>
      <c r="H349"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349" s="60" t="str">
        <f>INDEX(Tabledaily[العملـــة],MATCH(TableDailyJournal[[#This Row],[رقم العملية]],Tabledaily[رقم العملية],0))</f>
        <v>ريال يمني</v>
      </c>
      <c r="J349" s="59">
        <f>IFERROR(INDEX(Tabledaily[سعــــــر
الصـــــرف],MATCH(C349,Tabledaily[رقم العملية],0)),1)</f>
        <v>405</v>
      </c>
      <c r="K349" s="123" cm="1">
        <f t="array" ref="K349">IFERROR(INDEX(Tabledaily[المبلـــــــغ],MATCH(1,(TableDailyJournal[[#This Row],[رقم العملية]]=Tabledaily[رقم العملية])*(TableDailyJournal[[#This Row],[الحساب]]=Tabledaily[الحســاب المديــــن]),0)),0)</f>
        <v>0</v>
      </c>
      <c r="L349" s="123" cm="1">
        <f t="array" ref="L349">IFERROR(INDEX(Tabledaily[المبلـــــــغ],MATCH(1,(TableDailyJournal[[#This Row],[رقم العملية]]=Tabledaily[رقم العملية])*(TableDailyJournal[[#This Row],[الحساب]]=Tabledaily[الحســاب الدئـــن]),0)),0)</f>
        <v>25000</v>
      </c>
      <c r="M349" s="119">
        <f>IFERROR(TableDailyJournal[[#This Row],[المبلغ مدين]]/TableDailyJournal[[#This Row],[سعــــــر
الصـــــرف]],0)</f>
        <v>0</v>
      </c>
      <c r="N349" s="119">
        <f>IFERROR(TableDailyJournal[[#This Row],[المبلغ دائن]]/TableDailyJournal[[#This Row],[سعــــــر
الصـــــرف]],0)</f>
        <v>61.728395061728392</v>
      </c>
      <c r="O349" s="121" t="str">
        <f>INDEX(Tabledaily[المستفيــــــــد],MATCH(TableDailyJournal[[#This Row],[رقم العملية]],Tabledaily[رقم العملية],0))</f>
        <v>مرافقي الاركان</v>
      </c>
      <c r="P349" s="121" t="str">
        <f>INDEX(Tabledaily[المــــرجـــــــــع],MATCH(TableDailyJournal[[#This Row],[رقم العملية]],Tabledaily[رقم العملية],0))</f>
        <v>كشف صرف</v>
      </c>
      <c r="Q349" s="121" t="str">
        <f>INDEX(Tabledaily[اســـــــم المــــرجــــع],MATCH(TableDailyJournal[[#This Row],[رقم العملية]],Tabledaily[رقم العملية],0))</f>
        <v>كشف صرف</v>
      </c>
      <c r="R349" s="121">
        <f>INDEX(Tabledaily[رقم المـــــرجـــع],MATCH(TableDailyJournal[[#This Row],[رقم العملية]],Tabledaily[رقم العملية],0))</f>
        <v>0</v>
      </c>
      <c r="S349" s="121" t="str">
        <f>INDEX(Tabledaily[مركـــــــزالتكلفــــــة],MATCH(TableDailyJournal[[#This Row],[رقم العملية]],Tabledaily[رقم العملية],0))</f>
        <v>الفرقة الثالثة</v>
      </c>
      <c r="T349" s="121">
        <f>IFERROR(INDEX(tablecost[رقم المركز],MATCH(TableDailyJournal[[#This Row],[مركـــــــزالتكلفــــــة]],tablecost[الاسم],0)),0)</f>
        <v>1</v>
      </c>
      <c r="U349" s="122">
        <f>IFERROR(DATE(TableDailyJournal[[#This Row],[السنــــة]],TableDailyJournal[[#This Row],[الشهــــر]],TableDailyJournal[[#This Row],[الـــــيوم]]),"01-01-2026")</f>
        <v>46185</v>
      </c>
      <c r="V349" s="126"/>
      <c r="W349" s="58"/>
      <c r="X349" s="58">
        <f>IFERROR(YEAR(TableDailyJournal[[#This Row],[التاريخ]]),"")</f>
        <v>2026</v>
      </c>
      <c r="Y349" s="58">
        <f>IFERROR(MONTH(TableDailyJournal[[#This Row],[التاريخ]]),"")</f>
        <v>6</v>
      </c>
      <c r="Z349" s="58">
        <f>IFERROR(DAY(TableDailyJournal[[#This Row],[التاريخ]]),"")</f>
        <v>12</v>
      </c>
      <c r="AA349"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349" s="121">
        <f>INDEX(Tabledaily[جهة الامر],MATCH(TableDailyJournal[[#This Row],[رقم العملية]],Tabledaily[رقم العملية],0))</f>
        <v>0</v>
      </c>
    </row>
    <row r="350" spans="2:28" ht="67.5" x14ac:dyDescent="0.55000000000000004">
      <c r="B350" s="58">
        <f t="shared" si="10"/>
        <v>346</v>
      </c>
      <c r="C350" s="59" t="s">
        <v>708</v>
      </c>
      <c r="D350" s="60">
        <f>INDEX(Tabledaily[date],MATCH(TableDailyJournal[[#This Row],[رقم العملية]],Tabledaily[رقم العملية],0))</f>
        <v>46185</v>
      </c>
      <c r="E350" s="58" t="str">
        <f>INDEX(Tabledaily[نوع العمليــة],MATCH(TableDailyJournal[[#This Row],[رقم العملية]],Tabledaily[رقم العملية],0))</f>
        <v>قيد عهده</v>
      </c>
      <c r="F350" s="58">
        <f>IFERROR(INDEX(TableJudje[رقم الحساب],MATCH(TableDailyJournal[[#This Row],[الحساب]],TableJudje[اسم الحساب],0)),0)</f>
        <v>31010101</v>
      </c>
      <c r="G350" s="58" t="s">
        <v>111</v>
      </c>
      <c r="H350"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350" s="60" t="str">
        <f>INDEX(Tabledaily[العملـــة],MATCH(TableDailyJournal[[#This Row],[رقم العملية]],Tabledaily[رقم العملية],0))</f>
        <v>ريال يمني</v>
      </c>
      <c r="J350" s="59">
        <f>IFERROR(INDEX(Tabledaily[سعــــــر
الصـــــرف],MATCH(C350,Tabledaily[رقم العملية],0)),1)</f>
        <v>405</v>
      </c>
      <c r="K350" s="123" cm="1">
        <f t="array" ref="K350">IFERROR(INDEX(Tabledaily[المبلـــــــغ],MATCH(1,(TableDailyJournal[[#This Row],[رقم العملية]]=Tabledaily[رقم العملية])*(TableDailyJournal[[#This Row],[الحساب]]=Tabledaily[الحســاب المديــــن]),0)),0)</f>
        <v>18000</v>
      </c>
      <c r="L350" s="123" cm="1">
        <f t="array" ref="L350">IFERROR(INDEX(Tabledaily[المبلـــــــغ],MATCH(1,(TableDailyJournal[[#This Row],[رقم العملية]]=Tabledaily[رقم العملية])*(TableDailyJournal[[#This Row],[الحساب]]=Tabledaily[الحســاب الدئـــن]),0)),0)</f>
        <v>0</v>
      </c>
      <c r="M350" s="119">
        <f>IFERROR(TableDailyJournal[[#This Row],[المبلغ مدين]]/TableDailyJournal[[#This Row],[سعــــــر
الصـــــرف]],0)</f>
        <v>44.444444444444443</v>
      </c>
      <c r="N350" s="119">
        <f>IFERROR(TableDailyJournal[[#This Row],[المبلغ دائن]]/TableDailyJournal[[#This Row],[سعــــــر
الصـــــرف]],0)</f>
        <v>0</v>
      </c>
      <c r="O350" s="121" t="str">
        <f>INDEX(Tabledaily[المستفيــــــــد],MATCH(TableDailyJournal[[#This Row],[رقم العملية]],Tabledaily[رقم العملية],0))</f>
        <v>افراد طقم اللواء السابع مرافقين</v>
      </c>
      <c r="P350" s="121" t="str">
        <f>INDEX(Tabledaily[المــــرجـــــــــع],MATCH(TableDailyJournal[[#This Row],[رقم العملية]],Tabledaily[رقم العملية],0))</f>
        <v>كشف صرف</v>
      </c>
      <c r="Q350" s="121" t="str">
        <f>INDEX(Tabledaily[اســـــــم المــــرجــــع],MATCH(TableDailyJournal[[#This Row],[رقم العملية]],Tabledaily[رقم العملية],0))</f>
        <v>كشف صرف</v>
      </c>
      <c r="R350" s="121">
        <f>INDEX(Tabledaily[رقم المـــــرجـــع],MATCH(TableDailyJournal[[#This Row],[رقم العملية]],Tabledaily[رقم العملية],0))</f>
        <v>0</v>
      </c>
      <c r="S350" s="121" t="str">
        <f>INDEX(Tabledaily[مركـــــــزالتكلفــــــة],MATCH(TableDailyJournal[[#This Row],[رقم العملية]],Tabledaily[رقم العملية],0))</f>
        <v>الفرقة الثالثة</v>
      </c>
      <c r="T350" s="121">
        <f>IFERROR(INDEX(tablecost[رقم المركز],MATCH(TableDailyJournal[[#This Row],[مركـــــــزالتكلفــــــة]],tablecost[الاسم],0)),0)</f>
        <v>1</v>
      </c>
      <c r="U350" s="122">
        <f>IFERROR(DATE(TableDailyJournal[[#This Row],[السنــــة]],TableDailyJournal[[#This Row],[الشهــــر]],TableDailyJournal[[#This Row],[الـــــيوم]]),"01-01-2026")</f>
        <v>46185</v>
      </c>
      <c r="V350" s="126"/>
      <c r="W350" s="58"/>
      <c r="X350" s="58">
        <f>IFERROR(YEAR(TableDailyJournal[[#This Row],[التاريخ]]),"")</f>
        <v>2026</v>
      </c>
      <c r="Y350" s="58">
        <f>IFERROR(MONTH(TableDailyJournal[[#This Row],[التاريخ]]),"")</f>
        <v>6</v>
      </c>
      <c r="Z350" s="58">
        <f>IFERROR(DAY(TableDailyJournal[[#This Row],[التاريخ]]),"")</f>
        <v>12</v>
      </c>
      <c r="AA350"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350" s="121">
        <f>INDEX(Tabledaily[جهة الامر],MATCH(TableDailyJournal[[#This Row],[رقم العملية]],Tabledaily[رقم العملية],0))</f>
        <v>0</v>
      </c>
    </row>
    <row r="351" spans="2:28" ht="67.5" x14ac:dyDescent="0.55000000000000004">
      <c r="B351" s="58">
        <f t="shared" si="10"/>
        <v>347</v>
      </c>
      <c r="C351" s="59" t="s">
        <v>708</v>
      </c>
      <c r="D351" s="60">
        <f>INDEX(Tabledaily[date],MATCH(TableDailyJournal[[#This Row],[رقم العملية]],Tabledaily[رقم العملية],0))</f>
        <v>46185</v>
      </c>
      <c r="E351" s="58" t="str">
        <f>INDEX(Tabledaily[نوع العمليــة],MATCH(TableDailyJournal[[#This Row],[رقم العملية]],Tabledaily[رقم العملية],0))</f>
        <v>قيد عهده</v>
      </c>
      <c r="F351" s="58">
        <f>IFERROR(INDEX(TableJudje[رقم الحساب],MATCH(TableDailyJournal[[#This Row],[الحساب]],TableJudje[اسم الحساب],0)),0)</f>
        <v>11060205</v>
      </c>
      <c r="G351" s="58" t="s">
        <v>513</v>
      </c>
      <c r="H351"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351" s="60" t="str">
        <f>INDEX(Tabledaily[العملـــة],MATCH(TableDailyJournal[[#This Row],[رقم العملية]],Tabledaily[رقم العملية],0))</f>
        <v>ريال يمني</v>
      </c>
      <c r="J351" s="59">
        <f>IFERROR(INDEX(Tabledaily[سعــــــر
الصـــــرف],MATCH(C351,Tabledaily[رقم العملية],0)),1)</f>
        <v>405</v>
      </c>
      <c r="K351" s="123" cm="1">
        <f t="array" ref="K351">IFERROR(INDEX(Tabledaily[المبلـــــــغ],MATCH(1,(TableDailyJournal[[#This Row],[رقم العملية]]=Tabledaily[رقم العملية])*(TableDailyJournal[[#This Row],[الحساب]]=Tabledaily[الحســاب المديــــن]),0)),0)</f>
        <v>0</v>
      </c>
      <c r="L351" s="123" cm="1">
        <f t="array" ref="L351">IFERROR(INDEX(Tabledaily[المبلـــــــغ],MATCH(1,(TableDailyJournal[[#This Row],[رقم العملية]]=Tabledaily[رقم العملية])*(TableDailyJournal[[#This Row],[الحساب]]=Tabledaily[الحســاب الدئـــن]),0)),0)</f>
        <v>18000</v>
      </c>
      <c r="M351" s="119">
        <f>IFERROR(TableDailyJournal[[#This Row],[المبلغ مدين]]/TableDailyJournal[[#This Row],[سعــــــر
الصـــــرف]],0)</f>
        <v>0</v>
      </c>
      <c r="N351" s="119">
        <f>IFERROR(TableDailyJournal[[#This Row],[المبلغ دائن]]/TableDailyJournal[[#This Row],[سعــــــر
الصـــــرف]],0)</f>
        <v>44.444444444444443</v>
      </c>
      <c r="O351" s="121" t="str">
        <f>INDEX(Tabledaily[المستفيــــــــد],MATCH(TableDailyJournal[[#This Row],[رقم العملية]],Tabledaily[رقم العملية],0))</f>
        <v>افراد طقم اللواء السابع مرافقين</v>
      </c>
      <c r="P351" s="121" t="str">
        <f>INDEX(Tabledaily[المــــرجـــــــــع],MATCH(TableDailyJournal[[#This Row],[رقم العملية]],Tabledaily[رقم العملية],0))</f>
        <v>كشف صرف</v>
      </c>
      <c r="Q351" s="121" t="str">
        <f>INDEX(Tabledaily[اســـــــم المــــرجــــع],MATCH(TableDailyJournal[[#This Row],[رقم العملية]],Tabledaily[رقم العملية],0))</f>
        <v>كشف صرف</v>
      </c>
      <c r="R351" s="121">
        <f>INDEX(Tabledaily[رقم المـــــرجـــع],MATCH(TableDailyJournal[[#This Row],[رقم العملية]],Tabledaily[رقم العملية],0))</f>
        <v>0</v>
      </c>
      <c r="S351" s="121" t="str">
        <f>INDEX(Tabledaily[مركـــــــزالتكلفــــــة],MATCH(TableDailyJournal[[#This Row],[رقم العملية]],Tabledaily[رقم العملية],0))</f>
        <v>الفرقة الثالثة</v>
      </c>
      <c r="T351" s="121">
        <f>IFERROR(INDEX(tablecost[رقم المركز],MATCH(TableDailyJournal[[#This Row],[مركـــــــزالتكلفــــــة]],tablecost[الاسم],0)),0)</f>
        <v>1</v>
      </c>
      <c r="U351" s="122">
        <f>IFERROR(DATE(TableDailyJournal[[#This Row],[السنــــة]],TableDailyJournal[[#This Row],[الشهــــر]],TableDailyJournal[[#This Row],[الـــــيوم]]),"01-01-2026")</f>
        <v>46185</v>
      </c>
      <c r="V351" s="126"/>
      <c r="W351" s="58"/>
      <c r="X351" s="58">
        <f>IFERROR(YEAR(TableDailyJournal[[#This Row],[التاريخ]]),"")</f>
        <v>2026</v>
      </c>
      <c r="Y351" s="58">
        <f>IFERROR(MONTH(TableDailyJournal[[#This Row],[التاريخ]]),"")</f>
        <v>6</v>
      </c>
      <c r="Z351" s="58">
        <f>IFERROR(DAY(TableDailyJournal[[#This Row],[التاريخ]]),"")</f>
        <v>12</v>
      </c>
      <c r="AA351"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351" s="121">
        <f>INDEX(Tabledaily[جهة الامر],MATCH(TableDailyJournal[[#This Row],[رقم العملية]],Tabledaily[رقم العملية],0))</f>
        <v>0</v>
      </c>
    </row>
    <row r="352" spans="2:28" ht="45.75" x14ac:dyDescent="0.55000000000000004">
      <c r="B352" s="58">
        <f t="shared" si="10"/>
        <v>348</v>
      </c>
      <c r="C352" s="59" t="s">
        <v>710</v>
      </c>
      <c r="D352" s="60">
        <f>INDEX(Tabledaily[date],MATCH(TableDailyJournal[[#This Row],[رقم العملية]],Tabledaily[رقم العملية],0))</f>
        <v>46185</v>
      </c>
      <c r="E352" s="58" t="str">
        <f>INDEX(Tabledaily[نوع العمليــة],MATCH(TableDailyJournal[[#This Row],[رقم العملية]],Tabledaily[رقم العملية],0))</f>
        <v>قيد عهده</v>
      </c>
      <c r="F352" s="58">
        <f>IFERROR(INDEX(TableJudje[رقم الحساب],MATCH(TableDailyJournal[[#This Row],[الحساب]],TableJudje[اسم الحساب],0)),0)</f>
        <v>31010101</v>
      </c>
      <c r="G352" s="58" t="s">
        <v>111</v>
      </c>
      <c r="H352"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352" s="60" t="str">
        <f>INDEX(Tabledaily[العملـــة],MATCH(TableDailyJournal[[#This Row],[رقم العملية]],Tabledaily[رقم العملية],0))</f>
        <v>ريال يمني</v>
      </c>
      <c r="J352" s="59">
        <f>IFERROR(INDEX(Tabledaily[سعــــــر
الصـــــرف],MATCH(C352,Tabledaily[رقم العملية],0)),1)</f>
        <v>405</v>
      </c>
      <c r="K352" s="123" cm="1">
        <f t="array" ref="K352">IFERROR(INDEX(Tabledaily[المبلـــــــغ],MATCH(1,(TableDailyJournal[[#This Row],[رقم العملية]]=Tabledaily[رقم العملية])*(TableDailyJournal[[#This Row],[الحساب]]=Tabledaily[الحســاب المديــــن]),0)),0)</f>
        <v>28000</v>
      </c>
      <c r="L352" s="123" cm="1">
        <f t="array" ref="L352">IFERROR(INDEX(Tabledaily[المبلـــــــغ],MATCH(1,(TableDailyJournal[[#This Row],[رقم العملية]]=Tabledaily[رقم العملية])*(TableDailyJournal[[#This Row],[الحساب]]=Tabledaily[الحســاب الدئـــن]),0)),0)</f>
        <v>0</v>
      </c>
      <c r="M352" s="119">
        <f>IFERROR(TableDailyJournal[[#This Row],[المبلغ مدين]]/TableDailyJournal[[#This Row],[سعــــــر
الصـــــرف]],0)</f>
        <v>69.135802469135797</v>
      </c>
      <c r="N352" s="119">
        <f>IFERROR(TableDailyJournal[[#This Row],[المبلغ دائن]]/TableDailyJournal[[#This Row],[سعــــــر
الصـــــرف]],0)</f>
        <v>0</v>
      </c>
      <c r="O352" s="121" t="str">
        <f>INDEX(Tabledaily[المستفيــــــــد],MATCH(TableDailyJournal[[#This Row],[رقم العملية]],Tabledaily[رقم العملية],0))</f>
        <v>الاشغال</v>
      </c>
      <c r="P352" s="121" t="str">
        <f>INDEX(Tabledaily[المــــرجـــــــــع],MATCH(TableDailyJournal[[#This Row],[رقم العملية]],Tabledaily[رقم العملية],0))</f>
        <v>كشف صرف</v>
      </c>
      <c r="Q352" s="121" t="str">
        <f>INDEX(Tabledaily[اســـــــم المــــرجــــع],MATCH(TableDailyJournal[[#This Row],[رقم العملية]],Tabledaily[رقم العملية],0))</f>
        <v>كشف صرف</v>
      </c>
      <c r="R352" s="121">
        <f>INDEX(Tabledaily[رقم المـــــرجـــع],MATCH(TableDailyJournal[[#This Row],[رقم العملية]],Tabledaily[رقم العملية],0))</f>
        <v>0</v>
      </c>
      <c r="S352" s="121" t="str">
        <f>INDEX(Tabledaily[مركـــــــزالتكلفــــــة],MATCH(TableDailyJournal[[#This Row],[رقم العملية]],Tabledaily[رقم العملية],0))</f>
        <v>الفرقة الثالثة</v>
      </c>
      <c r="T352" s="121">
        <f>IFERROR(INDEX(tablecost[رقم المركز],MATCH(TableDailyJournal[[#This Row],[مركـــــــزالتكلفــــــة]],tablecost[الاسم],0)),0)</f>
        <v>1</v>
      </c>
      <c r="U352" s="122">
        <f>IFERROR(DATE(TableDailyJournal[[#This Row],[السنــــة]],TableDailyJournal[[#This Row],[الشهــــر]],TableDailyJournal[[#This Row],[الـــــيوم]]),"01-01-2026")</f>
        <v>46185</v>
      </c>
      <c r="V352" s="126"/>
      <c r="W352" s="58"/>
      <c r="X352" s="58">
        <f>IFERROR(YEAR(TableDailyJournal[[#This Row],[التاريخ]]),"")</f>
        <v>2026</v>
      </c>
      <c r="Y352" s="58">
        <f>IFERROR(MONTH(TableDailyJournal[[#This Row],[التاريخ]]),"")</f>
        <v>6</v>
      </c>
      <c r="Z352" s="58">
        <f>IFERROR(DAY(TableDailyJournal[[#This Row],[التاريخ]]),"")</f>
        <v>12</v>
      </c>
      <c r="AA352"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352" s="121">
        <f>INDEX(Tabledaily[جهة الامر],MATCH(TableDailyJournal[[#This Row],[رقم العملية]],Tabledaily[رقم العملية],0))</f>
        <v>0</v>
      </c>
    </row>
    <row r="353" spans="2:28" ht="45.75" x14ac:dyDescent="0.55000000000000004">
      <c r="B353" s="58">
        <f t="shared" si="10"/>
        <v>349</v>
      </c>
      <c r="C353" s="59" t="s">
        <v>710</v>
      </c>
      <c r="D353" s="60">
        <f>INDEX(Tabledaily[date],MATCH(TableDailyJournal[[#This Row],[رقم العملية]],Tabledaily[رقم العملية],0))</f>
        <v>46185</v>
      </c>
      <c r="E353" s="58" t="str">
        <f>INDEX(Tabledaily[نوع العمليــة],MATCH(TableDailyJournal[[#This Row],[رقم العملية]],Tabledaily[رقم العملية],0))</f>
        <v>قيد عهده</v>
      </c>
      <c r="F353" s="58">
        <f>IFERROR(INDEX(TableJudje[رقم الحساب],MATCH(TableDailyJournal[[#This Row],[الحساب]],TableJudje[اسم الحساب],0)),0)</f>
        <v>11060205</v>
      </c>
      <c r="G353" s="58" t="s">
        <v>513</v>
      </c>
      <c r="H353"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353" s="60" t="str">
        <f>INDEX(Tabledaily[العملـــة],MATCH(TableDailyJournal[[#This Row],[رقم العملية]],Tabledaily[رقم العملية],0))</f>
        <v>ريال يمني</v>
      </c>
      <c r="J353" s="59">
        <f>IFERROR(INDEX(Tabledaily[سعــــــر
الصـــــرف],MATCH(C353,Tabledaily[رقم العملية],0)),1)</f>
        <v>405</v>
      </c>
      <c r="K353" s="123" cm="1">
        <f t="array" ref="K353">IFERROR(INDEX(Tabledaily[المبلـــــــغ],MATCH(1,(TableDailyJournal[[#This Row],[رقم العملية]]=Tabledaily[رقم العملية])*(TableDailyJournal[[#This Row],[الحساب]]=Tabledaily[الحســاب المديــــن]),0)),0)</f>
        <v>0</v>
      </c>
      <c r="L353" s="123" cm="1">
        <f t="array" ref="L353">IFERROR(INDEX(Tabledaily[المبلـــــــغ],MATCH(1,(TableDailyJournal[[#This Row],[رقم العملية]]=Tabledaily[رقم العملية])*(TableDailyJournal[[#This Row],[الحساب]]=Tabledaily[الحســاب الدئـــن]),0)),0)</f>
        <v>28000</v>
      </c>
      <c r="M353" s="119">
        <f>IFERROR(TableDailyJournal[[#This Row],[المبلغ مدين]]/TableDailyJournal[[#This Row],[سعــــــر
الصـــــرف]],0)</f>
        <v>0</v>
      </c>
      <c r="N353" s="119">
        <f>IFERROR(TableDailyJournal[[#This Row],[المبلغ دائن]]/TableDailyJournal[[#This Row],[سعــــــر
الصـــــرف]],0)</f>
        <v>69.135802469135797</v>
      </c>
      <c r="O353" s="121" t="str">
        <f>INDEX(Tabledaily[المستفيــــــــد],MATCH(TableDailyJournal[[#This Row],[رقم العملية]],Tabledaily[رقم العملية],0))</f>
        <v>الاشغال</v>
      </c>
      <c r="P353" s="121" t="str">
        <f>INDEX(Tabledaily[المــــرجـــــــــع],MATCH(TableDailyJournal[[#This Row],[رقم العملية]],Tabledaily[رقم العملية],0))</f>
        <v>كشف صرف</v>
      </c>
      <c r="Q353" s="121" t="str">
        <f>INDEX(Tabledaily[اســـــــم المــــرجــــع],MATCH(TableDailyJournal[[#This Row],[رقم العملية]],Tabledaily[رقم العملية],0))</f>
        <v>كشف صرف</v>
      </c>
      <c r="R353" s="121">
        <f>INDEX(Tabledaily[رقم المـــــرجـــع],MATCH(TableDailyJournal[[#This Row],[رقم العملية]],Tabledaily[رقم العملية],0))</f>
        <v>0</v>
      </c>
      <c r="S353" s="121" t="str">
        <f>INDEX(Tabledaily[مركـــــــزالتكلفــــــة],MATCH(TableDailyJournal[[#This Row],[رقم العملية]],Tabledaily[رقم العملية],0))</f>
        <v>الفرقة الثالثة</v>
      </c>
      <c r="T353" s="121">
        <f>IFERROR(INDEX(tablecost[رقم المركز],MATCH(TableDailyJournal[[#This Row],[مركـــــــزالتكلفــــــة]],tablecost[الاسم],0)),0)</f>
        <v>1</v>
      </c>
      <c r="U353" s="122">
        <f>IFERROR(DATE(TableDailyJournal[[#This Row],[السنــــة]],TableDailyJournal[[#This Row],[الشهــــر]],TableDailyJournal[[#This Row],[الـــــيوم]]),"01-01-2026")</f>
        <v>46185</v>
      </c>
      <c r="V353" s="126"/>
      <c r="W353" s="58"/>
      <c r="X353" s="58">
        <f>IFERROR(YEAR(TableDailyJournal[[#This Row],[التاريخ]]),"")</f>
        <v>2026</v>
      </c>
      <c r="Y353" s="58">
        <f>IFERROR(MONTH(TableDailyJournal[[#This Row],[التاريخ]]),"")</f>
        <v>6</v>
      </c>
      <c r="Z353" s="58">
        <f>IFERROR(DAY(TableDailyJournal[[#This Row],[التاريخ]]),"")</f>
        <v>12</v>
      </c>
      <c r="AA353"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353" s="121">
        <f>INDEX(Tabledaily[جهة الامر],MATCH(TableDailyJournal[[#This Row],[رقم العملية]],Tabledaily[رقم العملية],0))</f>
        <v>0</v>
      </c>
    </row>
    <row r="354" spans="2:28" ht="45.75" x14ac:dyDescent="0.55000000000000004">
      <c r="B354" s="58">
        <f t="shared" si="10"/>
        <v>350</v>
      </c>
      <c r="C354" s="59" t="s">
        <v>711</v>
      </c>
      <c r="D354" s="60">
        <f>INDEX(Tabledaily[date],MATCH(TableDailyJournal[[#This Row],[رقم العملية]],Tabledaily[رقم العملية],0))</f>
        <v>46185</v>
      </c>
      <c r="E354" s="58" t="str">
        <f>INDEX(Tabledaily[نوع العمليــة],MATCH(TableDailyJournal[[#This Row],[رقم العملية]],Tabledaily[رقم العملية],0))</f>
        <v>قيد عهده</v>
      </c>
      <c r="F354" s="58">
        <f>IFERROR(INDEX(TableJudje[رقم الحساب],MATCH(TableDailyJournal[[#This Row],[الحساب]],TableJudje[اسم الحساب],0)),0)</f>
        <v>31010101</v>
      </c>
      <c r="G354" s="58" t="s">
        <v>111</v>
      </c>
      <c r="H354"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37 بامر</v>
      </c>
      <c r="I354" s="60" t="str">
        <f>INDEX(Tabledaily[العملـــة],MATCH(TableDailyJournal[[#This Row],[رقم العملية]],Tabledaily[رقم العملية],0))</f>
        <v>ريال يمني</v>
      </c>
      <c r="J354" s="59">
        <f>IFERROR(INDEX(Tabledaily[سعــــــر
الصـــــرف],MATCH(C354,Tabledaily[رقم العملية],0)),1)</f>
        <v>405</v>
      </c>
      <c r="K354" s="123" cm="1">
        <f t="array" ref="K354">IFERROR(INDEX(Tabledaily[المبلـــــــغ],MATCH(1,(TableDailyJournal[[#This Row],[رقم العملية]]=Tabledaily[رقم العملية])*(TableDailyJournal[[#This Row],[الحساب]]=Tabledaily[الحســاب المديــــن]),0)),0)</f>
        <v>148000</v>
      </c>
      <c r="L354" s="123" cm="1">
        <f t="array" ref="L354">IFERROR(INDEX(Tabledaily[المبلـــــــغ],MATCH(1,(TableDailyJournal[[#This Row],[رقم العملية]]=Tabledaily[رقم العملية])*(TableDailyJournal[[#This Row],[الحساب]]=Tabledaily[الحســاب الدئـــن]),0)),0)</f>
        <v>0</v>
      </c>
      <c r="M354" s="119">
        <f>IFERROR(TableDailyJournal[[#This Row],[المبلغ مدين]]/TableDailyJournal[[#This Row],[سعــــــر
الصـــــرف]],0)</f>
        <v>365.4320987654321</v>
      </c>
      <c r="N354" s="119">
        <f>IFERROR(TableDailyJournal[[#This Row],[المبلغ دائن]]/TableDailyJournal[[#This Row],[سعــــــر
الصـــــرف]],0)</f>
        <v>0</v>
      </c>
      <c r="O354" s="121" t="str">
        <f>INDEX(Tabledaily[المستفيــــــــد],MATCH(TableDailyJournal[[#This Row],[رقم العملية]],Tabledaily[رقم العملية],0))</f>
        <v>سرية اللواء السادس</v>
      </c>
      <c r="P354" s="121" t="str">
        <f>INDEX(Tabledaily[المــــرجـــــــــع],MATCH(TableDailyJournal[[#This Row],[رقم العملية]],Tabledaily[رقم العملية],0))</f>
        <v>كشف صرف</v>
      </c>
      <c r="Q354" s="121" t="str">
        <f>INDEX(Tabledaily[اســـــــم المــــرجــــع],MATCH(TableDailyJournal[[#This Row],[رقم العملية]],Tabledaily[رقم العملية],0))</f>
        <v>كشف صرف</v>
      </c>
      <c r="R354" s="121">
        <f>INDEX(Tabledaily[رقم المـــــرجـــع],MATCH(TableDailyJournal[[#This Row],[رقم العملية]],Tabledaily[رقم العملية],0))</f>
        <v>0</v>
      </c>
      <c r="S354" s="121" t="str">
        <f>INDEX(Tabledaily[مركـــــــزالتكلفــــــة],MATCH(TableDailyJournal[[#This Row],[رقم العملية]],Tabledaily[رقم العملية],0))</f>
        <v>اللواء السادس</v>
      </c>
      <c r="T354" s="121">
        <f>IFERROR(INDEX(tablecost[رقم المركز],MATCH(TableDailyJournal[[#This Row],[مركـــــــزالتكلفــــــة]],tablecost[الاسم],0)),0)</f>
        <v>7</v>
      </c>
      <c r="U354" s="122">
        <f>IFERROR(DATE(TableDailyJournal[[#This Row],[السنــــة]],TableDailyJournal[[#This Row],[الشهــــر]],TableDailyJournal[[#This Row],[الـــــيوم]]),"01-01-2026")</f>
        <v>46185</v>
      </c>
      <c r="V354" s="126"/>
      <c r="W354" s="58"/>
      <c r="X354" s="58">
        <f>IFERROR(YEAR(TableDailyJournal[[#This Row],[التاريخ]]),"")</f>
        <v>2026</v>
      </c>
      <c r="Y354" s="58">
        <f>IFERROR(MONTH(TableDailyJournal[[#This Row],[التاريخ]]),"")</f>
        <v>6</v>
      </c>
      <c r="Z354" s="58">
        <f>IFERROR(DAY(TableDailyJournal[[#This Row],[التاريخ]]),"")</f>
        <v>12</v>
      </c>
      <c r="AA354"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37 بامر</v>
      </c>
      <c r="AB354" s="121">
        <f>INDEX(Tabledaily[جهة الامر],MATCH(TableDailyJournal[[#This Row],[رقم العملية]],Tabledaily[رقم العملية],0))</f>
        <v>0</v>
      </c>
    </row>
    <row r="355" spans="2:28" ht="45.75" x14ac:dyDescent="0.55000000000000004">
      <c r="B355" s="58">
        <f t="shared" si="10"/>
        <v>351</v>
      </c>
      <c r="C355" s="59" t="s">
        <v>711</v>
      </c>
      <c r="D355" s="60">
        <f>INDEX(Tabledaily[date],MATCH(TableDailyJournal[[#This Row],[رقم العملية]],Tabledaily[رقم العملية],0))</f>
        <v>46185</v>
      </c>
      <c r="E355" s="58" t="str">
        <f>INDEX(Tabledaily[نوع العمليــة],MATCH(TableDailyJournal[[#This Row],[رقم العملية]],Tabledaily[رقم العملية],0))</f>
        <v>قيد عهده</v>
      </c>
      <c r="F355" s="58">
        <f>IFERROR(INDEX(TableJudje[رقم الحساب],MATCH(TableDailyJournal[[#This Row],[الحساب]],TableJudje[اسم الحساب],0)),0)</f>
        <v>11060205</v>
      </c>
      <c r="G355" s="58" t="s">
        <v>513</v>
      </c>
      <c r="H355"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37 بامر</v>
      </c>
      <c r="I355" s="60" t="str">
        <f>INDEX(Tabledaily[العملـــة],MATCH(TableDailyJournal[[#This Row],[رقم العملية]],Tabledaily[رقم العملية],0))</f>
        <v>ريال يمني</v>
      </c>
      <c r="J355" s="59">
        <f>IFERROR(INDEX(Tabledaily[سعــــــر
الصـــــرف],MATCH(C355,Tabledaily[رقم العملية],0)),1)</f>
        <v>405</v>
      </c>
      <c r="K355" s="123" cm="1">
        <f t="array" ref="K355">IFERROR(INDEX(Tabledaily[المبلـــــــغ],MATCH(1,(TableDailyJournal[[#This Row],[رقم العملية]]=Tabledaily[رقم العملية])*(TableDailyJournal[[#This Row],[الحساب]]=Tabledaily[الحســاب المديــــن]),0)),0)</f>
        <v>0</v>
      </c>
      <c r="L355" s="123" cm="1">
        <f t="array" ref="L355">IFERROR(INDEX(Tabledaily[المبلـــــــغ],MATCH(1,(TableDailyJournal[[#This Row],[رقم العملية]]=Tabledaily[رقم العملية])*(TableDailyJournal[[#This Row],[الحساب]]=Tabledaily[الحســاب الدئـــن]),0)),0)</f>
        <v>148000</v>
      </c>
      <c r="M355" s="119">
        <f>IFERROR(TableDailyJournal[[#This Row],[المبلغ مدين]]/TableDailyJournal[[#This Row],[سعــــــر
الصـــــرف]],0)</f>
        <v>0</v>
      </c>
      <c r="N355" s="119">
        <f>IFERROR(TableDailyJournal[[#This Row],[المبلغ دائن]]/TableDailyJournal[[#This Row],[سعــــــر
الصـــــرف]],0)</f>
        <v>365.4320987654321</v>
      </c>
      <c r="O355" s="121" t="str">
        <f>INDEX(Tabledaily[المستفيــــــــد],MATCH(TableDailyJournal[[#This Row],[رقم العملية]],Tabledaily[رقم العملية],0))</f>
        <v>سرية اللواء السادس</v>
      </c>
      <c r="P355" s="121" t="str">
        <f>INDEX(Tabledaily[المــــرجـــــــــع],MATCH(TableDailyJournal[[#This Row],[رقم العملية]],Tabledaily[رقم العملية],0))</f>
        <v>كشف صرف</v>
      </c>
      <c r="Q355" s="121" t="str">
        <f>INDEX(Tabledaily[اســـــــم المــــرجــــع],MATCH(TableDailyJournal[[#This Row],[رقم العملية]],Tabledaily[رقم العملية],0))</f>
        <v>كشف صرف</v>
      </c>
      <c r="R355" s="121">
        <f>INDEX(Tabledaily[رقم المـــــرجـــع],MATCH(TableDailyJournal[[#This Row],[رقم العملية]],Tabledaily[رقم العملية],0))</f>
        <v>0</v>
      </c>
      <c r="S355" s="121" t="str">
        <f>INDEX(Tabledaily[مركـــــــزالتكلفــــــة],MATCH(TableDailyJournal[[#This Row],[رقم العملية]],Tabledaily[رقم العملية],0))</f>
        <v>اللواء السادس</v>
      </c>
      <c r="T355" s="121">
        <f>IFERROR(INDEX(tablecost[رقم المركز],MATCH(TableDailyJournal[[#This Row],[مركـــــــزالتكلفــــــة]],tablecost[الاسم],0)),0)</f>
        <v>7</v>
      </c>
      <c r="U355" s="122">
        <f>IFERROR(DATE(TableDailyJournal[[#This Row],[السنــــة]],TableDailyJournal[[#This Row],[الشهــــر]],TableDailyJournal[[#This Row],[الـــــيوم]]),"01-01-2026")</f>
        <v>46185</v>
      </c>
      <c r="V355" s="126"/>
      <c r="W355" s="58"/>
      <c r="X355" s="58">
        <f>IFERROR(YEAR(TableDailyJournal[[#This Row],[التاريخ]]),"")</f>
        <v>2026</v>
      </c>
      <c r="Y355" s="58">
        <f>IFERROR(MONTH(TableDailyJournal[[#This Row],[التاريخ]]),"")</f>
        <v>6</v>
      </c>
      <c r="Z355" s="58">
        <f>IFERROR(DAY(TableDailyJournal[[#This Row],[التاريخ]]),"")</f>
        <v>12</v>
      </c>
      <c r="AA355"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37 بامر</v>
      </c>
      <c r="AB355" s="121">
        <f>INDEX(Tabledaily[جهة الامر],MATCH(TableDailyJournal[[#This Row],[رقم العملية]],Tabledaily[رقم العملية],0))</f>
        <v>0</v>
      </c>
    </row>
    <row r="356" spans="2:28" ht="45.75" x14ac:dyDescent="0.55000000000000004">
      <c r="B356" s="58">
        <f t="shared" si="10"/>
        <v>352</v>
      </c>
      <c r="C356" s="59" t="s">
        <v>713</v>
      </c>
      <c r="D356" s="60">
        <f>INDEX(Tabledaily[date],MATCH(TableDailyJournal[[#This Row],[رقم العملية]],Tabledaily[رقم العملية],0))</f>
        <v>46185</v>
      </c>
      <c r="E356" s="58" t="str">
        <f>INDEX(Tabledaily[نوع العمليــة],MATCH(TableDailyJournal[[#This Row],[رقم العملية]],Tabledaily[رقم العملية],0))</f>
        <v>قيد عهده</v>
      </c>
      <c r="F356" s="58">
        <f>IFERROR(INDEX(TableJudje[رقم الحساب],MATCH(TableDailyJournal[[#This Row],[الحساب]],TableJudje[اسم الحساب],0)),0)</f>
        <v>31010135</v>
      </c>
      <c r="G356" s="58" t="s">
        <v>473</v>
      </c>
      <c r="H356" s="61" t="str">
        <f>INDEX(Tabledaily[المرجع البياني],MATCH(TableDailyJournal[[#This Row],[رقم العملية]],Tabledaily[رقم العملية],0))</f>
        <v>قيـد مقابـل:- (اجور يومية - عمال - الفرقة الثالثة)  - استلام نقدي رقم   سند استلام - صرف اجور 5 عمال انزال الخيم الى مستودعات الامداد بامرمدير  مكتب القائد</v>
      </c>
      <c r="I356" s="60" t="str">
        <f>INDEX(Tabledaily[العملـــة],MATCH(TableDailyJournal[[#This Row],[رقم العملية]],Tabledaily[رقم العملية],0))</f>
        <v>ريال يمني</v>
      </c>
      <c r="J356" s="59">
        <f>IFERROR(INDEX(Tabledaily[سعــــــر
الصـــــرف],MATCH(C356,Tabledaily[رقم العملية],0)),1)</f>
        <v>405</v>
      </c>
      <c r="K356" s="123" cm="1">
        <f t="array" ref="K356">IFERROR(INDEX(Tabledaily[المبلـــــــغ],MATCH(1,(TableDailyJournal[[#This Row],[رقم العملية]]=Tabledaily[رقم العملية])*(TableDailyJournal[[#This Row],[الحساب]]=Tabledaily[الحســاب المديــــن]),0)),0)</f>
        <v>25000</v>
      </c>
      <c r="L356" s="123" cm="1">
        <f t="array" ref="L356">IFERROR(INDEX(Tabledaily[المبلـــــــغ],MATCH(1,(TableDailyJournal[[#This Row],[رقم العملية]]=Tabledaily[رقم العملية])*(TableDailyJournal[[#This Row],[الحساب]]=Tabledaily[الحســاب الدئـــن]),0)),0)</f>
        <v>0</v>
      </c>
      <c r="M356" s="119">
        <f>IFERROR(TableDailyJournal[[#This Row],[المبلغ مدين]]/TableDailyJournal[[#This Row],[سعــــــر
الصـــــرف]],0)</f>
        <v>61.728395061728392</v>
      </c>
      <c r="N356" s="119">
        <f>IFERROR(TableDailyJournal[[#This Row],[المبلغ دائن]]/TableDailyJournal[[#This Row],[سعــــــر
الصـــــرف]],0)</f>
        <v>0</v>
      </c>
      <c r="O356" s="121" t="str">
        <f>INDEX(Tabledaily[المستفيــــــــد],MATCH(TableDailyJournal[[#This Row],[رقم العملية]],Tabledaily[رقم العملية],0))</f>
        <v>عمال</v>
      </c>
      <c r="P356" s="121" t="str">
        <f>INDEX(Tabledaily[المــــرجـــــــــع],MATCH(TableDailyJournal[[#This Row],[رقم العملية]],Tabledaily[رقم العملية],0))</f>
        <v>استلام نقدي</v>
      </c>
      <c r="Q356" s="121" t="str">
        <f>INDEX(Tabledaily[اســـــــم المــــرجــــع],MATCH(TableDailyJournal[[#This Row],[رقم العملية]],Tabledaily[رقم العملية],0))</f>
        <v>سند استلام</v>
      </c>
      <c r="R356" s="121">
        <f>INDEX(Tabledaily[رقم المـــــرجـــع],MATCH(TableDailyJournal[[#This Row],[رقم العملية]],Tabledaily[رقم العملية],0))</f>
        <v>0</v>
      </c>
      <c r="S356" s="121" t="str">
        <f>INDEX(Tabledaily[مركـــــــزالتكلفــــــة],MATCH(TableDailyJournal[[#This Row],[رقم العملية]],Tabledaily[رقم العملية],0))</f>
        <v>الفرقة الثالثة</v>
      </c>
      <c r="T356" s="121">
        <f>IFERROR(INDEX(tablecost[رقم المركز],MATCH(TableDailyJournal[[#This Row],[مركـــــــزالتكلفــــــة]],tablecost[الاسم],0)),0)</f>
        <v>1</v>
      </c>
      <c r="U356" s="122">
        <f>IFERROR(DATE(TableDailyJournal[[#This Row],[السنــــة]],TableDailyJournal[[#This Row],[الشهــــر]],TableDailyJournal[[#This Row],[الـــــيوم]]),"01-01-2026")</f>
        <v>46185</v>
      </c>
      <c r="V356" s="126"/>
      <c r="W356" s="58"/>
      <c r="X356" s="58">
        <f>IFERROR(YEAR(TableDailyJournal[[#This Row],[التاريخ]]),"")</f>
        <v>2026</v>
      </c>
      <c r="Y356" s="58">
        <f>IFERROR(MONTH(TableDailyJournal[[#This Row],[التاريخ]]),"")</f>
        <v>6</v>
      </c>
      <c r="Z356" s="58">
        <f>IFERROR(DAY(TableDailyJournal[[#This Row],[التاريخ]]),"")</f>
        <v>12</v>
      </c>
      <c r="AA356" s="126" t="str">
        <f>INDEX(Tabledaily[المرجع البياني],MATCH(TableDailyJournal[[#This Row],[رقم العملية]],Tabledaily[رقم العملية],0))</f>
        <v>قيـد مقابـل:- (اجور يومية - عمال - الفرقة الثالثة)  - استلام نقدي رقم   سند استلام - صرف اجور 5 عمال انزال الخيم الى مستودعات الامداد بامرمدير  مكتب القائد</v>
      </c>
      <c r="AB356" s="121" t="str">
        <f>INDEX(Tabledaily[جهة الامر],MATCH(TableDailyJournal[[#This Row],[رقم العملية]],Tabledaily[رقم العملية],0))</f>
        <v>مدير  مكتب القائد</v>
      </c>
    </row>
    <row r="357" spans="2:28" ht="45.75" x14ac:dyDescent="0.55000000000000004">
      <c r="B357" s="58">
        <f t="shared" si="10"/>
        <v>353</v>
      </c>
      <c r="C357" s="59" t="s">
        <v>713</v>
      </c>
      <c r="D357" s="60">
        <f>INDEX(Tabledaily[date],MATCH(TableDailyJournal[[#This Row],[رقم العملية]],Tabledaily[رقم العملية],0))</f>
        <v>46185</v>
      </c>
      <c r="E357" s="58" t="str">
        <f>INDEX(Tabledaily[نوع العمليــة],MATCH(TableDailyJournal[[#This Row],[رقم العملية]],Tabledaily[رقم العملية],0))</f>
        <v>قيد عهده</v>
      </c>
      <c r="F357" s="58">
        <f>IFERROR(INDEX(TableJudje[رقم الحساب],MATCH(TableDailyJournal[[#This Row],[الحساب]],TableJudje[اسم الحساب],0)),0)</f>
        <v>11060205</v>
      </c>
      <c r="G357" s="58" t="s">
        <v>513</v>
      </c>
      <c r="H357" s="61" t="str">
        <f>INDEX(Tabledaily[المرجع البياني],MATCH(TableDailyJournal[[#This Row],[رقم العملية]],Tabledaily[رقم العملية],0))</f>
        <v>قيـد مقابـل:- (اجور يومية - عمال - الفرقة الثالثة)  - استلام نقدي رقم   سند استلام - صرف اجور 5 عمال انزال الخيم الى مستودعات الامداد بامرمدير  مكتب القائد</v>
      </c>
      <c r="I357" s="60" t="str">
        <f>INDEX(Tabledaily[العملـــة],MATCH(TableDailyJournal[[#This Row],[رقم العملية]],Tabledaily[رقم العملية],0))</f>
        <v>ريال يمني</v>
      </c>
      <c r="J357" s="59">
        <f>IFERROR(INDEX(Tabledaily[سعــــــر
الصـــــرف],MATCH(C357,Tabledaily[رقم العملية],0)),1)</f>
        <v>405</v>
      </c>
      <c r="K357" s="123" cm="1">
        <f t="array" ref="K357">IFERROR(INDEX(Tabledaily[المبلـــــــغ],MATCH(1,(TableDailyJournal[[#This Row],[رقم العملية]]=Tabledaily[رقم العملية])*(TableDailyJournal[[#This Row],[الحساب]]=Tabledaily[الحســاب المديــــن]),0)),0)</f>
        <v>0</v>
      </c>
      <c r="L357" s="123" cm="1">
        <f t="array" ref="L357">IFERROR(INDEX(Tabledaily[المبلـــــــغ],MATCH(1,(TableDailyJournal[[#This Row],[رقم العملية]]=Tabledaily[رقم العملية])*(TableDailyJournal[[#This Row],[الحساب]]=Tabledaily[الحســاب الدئـــن]),0)),0)</f>
        <v>25000</v>
      </c>
      <c r="M357" s="119">
        <f>IFERROR(TableDailyJournal[[#This Row],[المبلغ مدين]]/TableDailyJournal[[#This Row],[سعــــــر
الصـــــرف]],0)</f>
        <v>0</v>
      </c>
      <c r="N357" s="119">
        <f>IFERROR(TableDailyJournal[[#This Row],[المبلغ دائن]]/TableDailyJournal[[#This Row],[سعــــــر
الصـــــرف]],0)</f>
        <v>61.728395061728392</v>
      </c>
      <c r="O357" s="121" t="str">
        <f>INDEX(Tabledaily[المستفيــــــــد],MATCH(TableDailyJournal[[#This Row],[رقم العملية]],Tabledaily[رقم العملية],0))</f>
        <v>عمال</v>
      </c>
      <c r="P357" s="121" t="str">
        <f>INDEX(Tabledaily[المــــرجـــــــــع],MATCH(TableDailyJournal[[#This Row],[رقم العملية]],Tabledaily[رقم العملية],0))</f>
        <v>استلام نقدي</v>
      </c>
      <c r="Q357" s="121" t="str">
        <f>INDEX(Tabledaily[اســـــــم المــــرجــــع],MATCH(TableDailyJournal[[#This Row],[رقم العملية]],Tabledaily[رقم العملية],0))</f>
        <v>سند استلام</v>
      </c>
      <c r="R357" s="121">
        <f>INDEX(Tabledaily[رقم المـــــرجـــع],MATCH(TableDailyJournal[[#This Row],[رقم العملية]],Tabledaily[رقم العملية],0))</f>
        <v>0</v>
      </c>
      <c r="S357" s="121" t="str">
        <f>INDEX(Tabledaily[مركـــــــزالتكلفــــــة],MATCH(TableDailyJournal[[#This Row],[رقم العملية]],Tabledaily[رقم العملية],0))</f>
        <v>الفرقة الثالثة</v>
      </c>
      <c r="T357" s="121">
        <f>IFERROR(INDEX(tablecost[رقم المركز],MATCH(TableDailyJournal[[#This Row],[مركـــــــزالتكلفــــــة]],tablecost[الاسم],0)),0)</f>
        <v>1</v>
      </c>
      <c r="U357" s="122">
        <f>IFERROR(DATE(TableDailyJournal[[#This Row],[السنــــة]],TableDailyJournal[[#This Row],[الشهــــر]],TableDailyJournal[[#This Row],[الـــــيوم]]),"01-01-2026")</f>
        <v>46185</v>
      </c>
      <c r="V357" s="126"/>
      <c r="W357" s="58"/>
      <c r="X357" s="58">
        <f>IFERROR(YEAR(TableDailyJournal[[#This Row],[التاريخ]]),"")</f>
        <v>2026</v>
      </c>
      <c r="Y357" s="58">
        <f>IFERROR(MONTH(TableDailyJournal[[#This Row],[التاريخ]]),"")</f>
        <v>6</v>
      </c>
      <c r="Z357" s="58">
        <f>IFERROR(DAY(TableDailyJournal[[#This Row],[التاريخ]]),"")</f>
        <v>12</v>
      </c>
      <c r="AA357" s="126" t="str">
        <f>INDEX(Tabledaily[المرجع البياني],MATCH(TableDailyJournal[[#This Row],[رقم العملية]],Tabledaily[رقم العملية],0))</f>
        <v>قيـد مقابـل:- (اجور يومية - عمال - الفرقة الثالثة)  - استلام نقدي رقم   سند استلام - صرف اجور 5 عمال انزال الخيم الى مستودعات الامداد بامرمدير  مكتب القائد</v>
      </c>
      <c r="AB357" s="121" t="str">
        <f>INDEX(Tabledaily[جهة الامر],MATCH(TableDailyJournal[[#This Row],[رقم العملية]],Tabledaily[رقم العملية],0))</f>
        <v>مدير  مكتب القائد</v>
      </c>
    </row>
    <row r="358" spans="2:28" ht="45.75" x14ac:dyDescent="0.55000000000000004">
      <c r="B358" s="58">
        <f t="shared" si="10"/>
        <v>354</v>
      </c>
      <c r="C358" s="59" t="s">
        <v>715</v>
      </c>
      <c r="D358" s="60">
        <f>INDEX(Tabledaily[date],MATCH(TableDailyJournal[[#This Row],[رقم العملية]],Tabledaily[رقم العملية],0))</f>
        <v>46185</v>
      </c>
      <c r="E358" s="58" t="str">
        <f>INDEX(Tabledaily[نوع العمليــة],MATCH(TableDailyJournal[[#This Row],[رقم العملية]],Tabledaily[رقم العملية],0))</f>
        <v>قيد عهده</v>
      </c>
      <c r="F358" s="58">
        <f>IFERROR(INDEX(TableJudje[رقم الحساب],MATCH(TableDailyJournal[[#This Row],[الحساب]],TableJudje[اسم الحساب],0)),0)</f>
        <v>31010101</v>
      </c>
      <c r="G358" s="58" t="s">
        <v>111</v>
      </c>
      <c r="H358"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12 بامر</v>
      </c>
      <c r="I358" s="60" t="str">
        <f>INDEX(Tabledaily[العملـــة],MATCH(TableDailyJournal[[#This Row],[رقم العملية]],Tabledaily[رقم العملية],0))</f>
        <v>ريال يمني</v>
      </c>
      <c r="J358" s="59">
        <f>IFERROR(INDEX(Tabledaily[سعــــــر
الصـــــرف],MATCH(C358,Tabledaily[رقم العملية],0)),1)</f>
        <v>405</v>
      </c>
      <c r="K358" s="123" cm="1">
        <f t="array" ref="K358">IFERROR(INDEX(Tabledaily[المبلـــــــغ],MATCH(1,(TableDailyJournal[[#This Row],[رقم العملية]]=Tabledaily[رقم العملية])*(TableDailyJournal[[#This Row],[الحساب]]=Tabledaily[الحســاب المديــــن]),0)),0)</f>
        <v>10000</v>
      </c>
      <c r="L358" s="123" cm="1">
        <f t="array" ref="L358">IFERROR(INDEX(Tabledaily[المبلـــــــغ],MATCH(1,(TableDailyJournal[[#This Row],[رقم العملية]]=Tabledaily[رقم العملية])*(TableDailyJournal[[#This Row],[الحساب]]=Tabledaily[الحســاب الدئـــن]),0)),0)</f>
        <v>0</v>
      </c>
      <c r="M358" s="119">
        <f>IFERROR(TableDailyJournal[[#This Row],[المبلغ مدين]]/TableDailyJournal[[#This Row],[سعــــــر
الصـــــرف]],0)</f>
        <v>24.691358024691358</v>
      </c>
      <c r="N358" s="119">
        <f>IFERROR(TableDailyJournal[[#This Row],[المبلغ دائن]]/TableDailyJournal[[#This Row],[سعــــــر
الصـــــرف]],0)</f>
        <v>0</v>
      </c>
      <c r="O358" s="121" t="str">
        <f>INDEX(Tabledaily[المستفيــــــــد],MATCH(TableDailyJournal[[#This Row],[رقم العملية]],Tabledaily[رقم العملية],0))</f>
        <v>محمد عبدالصمد عبدالله</v>
      </c>
      <c r="P358" s="121" t="str">
        <f>INDEX(Tabledaily[المــــرجـــــــــع],MATCH(TableDailyJournal[[#This Row],[رقم العملية]],Tabledaily[رقم العملية],0))</f>
        <v>استلام نقدي</v>
      </c>
      <c r="Q358" s="121" t="str">
        <f>INDEX(Tabledaily[اســـــــم المــــرجــــع],MATCH(TableDailyJournal[[#This Row],[رقم العملية]],Tabledaily[رقم العملية],0))</f>
        <v>سند استلام</v>
      </c>
      <c r="R358" s="121">
        <f>INDEX(Tabledaily[رقم المـــــرجـــع],MATCH(TableDailyJournal[[#This Row],[رقم العملية]],Tabledaily[رقم العملية],0))</f>
        <v>0</v>
      </c>
      <c r="S358" s="121" t="str">
        <f>INDEX(Tabledaily[مركـــــــزالتكلفــــــة],MATCH(TableDailyJournal[[#This Row],[رقم العملية]],Tabledaily[رقم العملية],0))</f>
        <v>اللواء السادس</v>
      </c>
      <c r="T358" s="121">
        <f>IFERROR(INDEX(tablecost[رقم المركز],MATCH(TableDailyJournal[[#This Row],[مركـــــــزالتكلفــــــة]],tablecost[الاسم],0)),0)</f>
        <v>7</v>
      </c>
      <c r="U358" s="122">
        <f>IFERROR(DATE(TableDailyJournal[[#This Row],[السنــــة]],TableDailyJournal[[#This Row],[الشهــــر]],TableDailyJournal[[#This Row],[الـــــيوم]]),"01-01-2026")</f>
        <v>46185</v>
      </c>
      <c r="V358" s="126"/>
      <c r="W358" s="58"/>
      <c r="X358" s="58">
        <f>IFERROR(YEAR(TableDailyJournal[[#This Row],[التاريخ]]),"")</f>
        <v>2026</v>
      </c>
      <c r="Y358" s="58">
        <f>IFERROR(MONTH(TableDailyJournal[[#This Row],[التاريخ]]),"")</f>
        <v>6</v>
      </c>
      <c r="Z358" s="58">
        <f>IFERROR(DAY(TableDailyJournal[[#This Row],[التاريخ]]),"")</f>
        <v>12</v>
      </c>
      <c r="AA358"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12 بامر</v>
      </c>
      <c r="AB358" s="121">
        <f>INDEX(Tabledaily[جهة الامر],MATCH(TableDailyJournal[[#This Row],[رقم العملية]],Tabledaily[رقم العملية],0))</f>
        <v>0</v>
      </c>
    </row>
    <row r="359" spans="2:28" ht="45.75" x14ac:dyDescent="0.55000000000000004">
      <c r="B359" s="58">
        <f t="shared" si="10"/>
        <v>355</v>
      </c>
      <c r="C359" s="59" t="s">
        <v>715</v>
      </c>
      <c r="D359" s="60">
        <f>INDEX(Tabledaily[date],MATCH(TableDailyJournal[[#This Row],[رقم العملية]],Tabledaily[رقم العملية],0))</f>
        <v>46185</v>
      </c>
      <c r="E359" s="58" t="str">
        <f>INDEX(Tabledaily[نوع العمليــة],MATCH(TableDailyJournal[[#This Row],[رقم العملية]],Tabledaily[رقم العملية],0))</f>
        <v>قيد عهده</v>
      </c>
      <c r="F359" s="58">
        <f>IFERROR(INDEX(TableJudje[رقم الحساب],MATCH(TableDailyJournal[[#This Row],[الحساب]],TableJudje[اسم الحساب],0)),0)</f>
        <v>11060205</v>
      </c>
      <c r="G359" s="58" t="s">
        <v>513</v>
      </c>
      <c r="H359"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12 بامر</v>
      </c>
      <c r="I359" s="60" t="str">
        <f>INDEX(Tabledaily[العملـــة],MATCH(TableDailyJournal[[#This Row],[رقم العملية]],Tabledaily[رقم العملية],0))</f>
        <v>ريال يمني</v>
      </c>
      <c r="J359" s="59">
        <f>IFERROR(INDEX(Tabledaily[سعــــــر
الصـــــرف],MATCH(C359,Tabledaily[رقم العملية],0)),1)</f>
        <v>405</v>
      </c>
      <c r="K359" s="123" cm="1">
        <f t="array" ref="K359">IFERROR(INDEX(Tabledaily[المبلـــــــغ],MATCH(1,(TableDailyJournal[[#This Row],[رقم العملية]]=Tabledaily[رقم العملية])*(TableDailyJournal[[#This Row],[الحساب]]=Tabledaily[الحســاب المديــــن]),0)),0)</f>
        <v>0</v>
      </c>
      <c r="L359" s="123" cm="1">
        <f t="array" ref="L359">IFERROR(INDEX(Tabledaily[المبلـــــــغ],MATCH(1,(TableDailyJournal[[#This Row],[رقم العملية]]=Tabledaily[رقم العملية])*(TableDailyJournal[[#This Row],[الحساب]]=Tabledaily[الحســاب الدئـــن]),0)),0)</f>
        <v>10000</v>
      </c>
      <c r="M359" s="119">
        <f>IFERROR(TableDailyJournal[[#This Row],[المبلغ مدين]]/TableDailyJournal[[#This Row],[سعــــــر
الصـــــرف]],0)</f>
        <v>0</v>
      </c>
      <c r="N359" s="119">
        <f>IFERROR(TableDailyJournal[[#This Row],[المبلغ دائن]]/TableDailyJournal[[#This Row],[سعــــــر
الصـــــرف]],0)</f>
        <v>24.691358024691358</v>
      </c>
      <c r="O359" s="121" t="str">
        <f>INDEX(Tabledaily[المستفيــــــــد],MATCH(TableDailyJournal[[#This Row],[رقم العملية]],Tabledaily[رقم العملية],0))</f>
        <v>محمد عبدالصمد عبدالله</v>
      </c>
      <c r="P359" s="121" t="str">
        <f>INDEX(Tabledaily[المــــرجـــــــــع],MATCH(TableDailyJournal[[#This Row],[رقم العملية]],Tabledaily[رقم العملية],0))</f>
        <v>استلام نقدي</v>
      </c>
      <c r="Q359" s="121" t="str">
        <f>INDEX(Tabledaily[اســـــــم المــــرجــــع],MATCH(TableDailyJournal[[#This Row],[رقم العملية]],Tabledaily[رقم العملية],0))</f>
        <v>سند استلام</v>
      </c>
      <c r="R359" s="121">
        <f>INDEX(Tabledaily[رقم المـــــرجـــع],MATCH(TableDailyJournal[[#This Row],[رقم العملية]],Tabledaily[رقم العملية],0))</f>
        <v>0</v>
      </c>
      <c r="S359" s="121" t="str">
        <f>INDEX(Tabledaily[مركـــــــزالتكلفــــــة],MATCH(TableDailyJournal[[#This Row],[رقم العملية]],Tabledaily[رقم العملية],0))</f>
        <v>اللواء السادس</v>
      </c>
      <c r="T359" s="121">
        <f>IFERROR(INDEX(tablecost[رقم المركز],MATCH(TableDailyJournal[[#This Row],[مركـــــــزالتكلفــــــة]],tablecost[الاسم],0)),0)</f>
        <v>7</v>
      </c>
      <c r="U359" s="122">
        <f>IFERROR(DATE(TableDailyJournal[[#This Row],[السنــــة]],TableDailyJournal[[#This Row],[الشهــــر]],TableDailyJournal[[#This Row],[الـــــيوم]]),"01-01-2026")</f>
        <v>46185</v>
      </c>
      <c r="V359" s="126"/>
      <c r="W359" s="58"/>
      <c r="X359" s="58">
        <f>IFERROR(YEAR(TableDailyJournal[[#This Row],[التاريخ]]),"")</f>
        <v>2026</v>
      </c>
      <c r="Y359" s="58">
        <f>IFERROR(MONTH(TableDailyJournal[[#This Row],[التاريخ]]),"")</f>
        <v>6</v>
      </c>
      <c r="Z359" s="58">
        <f>IFERROR(DAY(TableDailyJournal[[#This Row],[التاريخ]]),"")</f>
        <v>12</v>
      </c>
      <c r="AA359"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12 بامر</v>
      </c>
      <c r="AB359" s="121">
        <f>INDEX(Tabledaily[جهة الامر],MATCH(TableDailyJournal[[#This Row],[رقم العملية]],Tabledaily[رقم العملية],0))</f>
        <v>0</v>
      </c>
    </row>
    <row r="360" spans="2:28" ht="45.75" x14ac:dyDescent="0.55000000000000004">
      <c r="B360" s="58">
        <f t="shared" ref="B360:B391" si="11">ROW()-4</f>
        <v>356</v>
      </c>
      <c r="C360" s="59" t="s">
        <v>717</v>
      </c>
      <c r="D360" s="60">
        <f>INDEX(Tabledaily[date],MATCH(TableDailyJournal[[#This Row],[رقم العملية]],Tabledaily[رقم العملية],0))</f>
        <v>46186</v>
      </c>
      <c r="E360" s="58" t="str">
        <f>INDEX(Tabledaily[نوع العمليــة],MATCH(TableDailyJournal[[#This Row],[رقم العملية]],Tabledaily[رقم العملية],0))</f>
        <v>قبض عهدة</v>
      </c>
      <c r="F360" s="58">
        <f>IFERROR(INDEX(TableJudje[رقم الحساب],MATCH(TableDailyJournal[[#This Row],[الحساب]],TableJudje[اسم الحساب],0)),0)</f>
        <v>11060205</v>
      </c>
      <c r="G360" s="58" t="s">
        <v>513</v>
      </c>
      <c r="H360" s="61" t="str">
        <f>INDEX(Tabledaily[المرجع البياني],MATCH(TableDailyJournal[[#This Row],[رقم العملية]],Tabledaily[رقم العملية],0))</f>
        <v>قيـد مقابـل:- (عهدة عبدالحفيظ - عبدالحفيظ - الفرقة الثالثة)  - حواله رقم 26718  شركة المقبولي للصرافة والتحويلات - استلام عهدة بامر</v>
      </c>
      <c r="I360" s="60" t="str">
        <f>INDEX(Tabledaily[العملـــة],MATCH(TableDailyJournal[[#This Row],[رقم العملية]],Tabledaily[رقم العملية],0))</f>
        <v>ريال سعودي</v>
      </c>
      <c r="J360" s="59">
        <f>IFERROR(INDEX(Tabledaily[سعــــــر
الصـــــرف],MATCH(C360,Tabledaily[رقم العملية],0)),1)</f>
        <v>1</v>
      </c>
      <c r="K360" s="123" cm="1">
        <f t="array" ref="K360">IFERROR(INDEX(Tabledaily[المبلـــــــغ],MATCH(1,(TableDailyJournal[[#This Row],[رقم العملية]]=Tabledaily[رقم العملية])*(TableDailyJournal[[#This Row],[الحساب]]=Tabledaily[الحســاب المديــــن]),0)),0)</f>
        <v>14970</v>
      </c>
      <c r="L360" s="123" cm="1">
        <f t="array" ref="L360">IFERROR(INDEX(Tabledaily[المبلـــــــغ],MATCH(1,(TableDailyJournal[[#This Row],[رقم العملية]]=Tabledaily[رقم العملية])*(TableDailyJournal[[#This Row],[الحساب]]=Tabledaily[الحســاب الدئـــن]),0)),0)</f>
        <v>0</v>
      </c>
      <c r="M360" s="119">
        <f>IFERROR(TableDailyJournal[[#This Row],[المبلغ مدين]]/TableDailyJournal[[#This Row],[سعــــــر
الصـــــرف]],0)</f>
        <v>14970</v>
      </c>
      <c r="N360" s="119">
        <f>IFERROR(TableDailyJournal[[#This Row],[المبلغ دائن]]/TableDailyJournal[[#This Row],[سعــــــر
الصـــــرف]],0)</f>
        <v>0</v>
      </c>
      <c r="O360" s="121" t="str">
        <f>INDEX(Tabledaily[المستفيــــــــد],MATCH(TableDailyJournal[[#This Row],[رقم العملية]],Tabledaily[رقم العملية],0))</f>
        <v>عبدالحفيظ</v>
      </c>
      <c r="P360" s="121" t="str">
        <f>INDEX(Tabledaily[المــــرجـــــــــع],MATCH(TableDailyJournal[[#This Row],[رقم العملية]],Tabledaily[رقم العملية],0))</f>
        <v>حواله</v>
      </c>
      <c r="Q360" s="121" t="str">
        <f>INDEX(Tabledaily[اســـــــم المــــرجــــع],MATCH(TableDailyJournal[[#This Row],[رقم العملية]],Tabledaily[رقم العملية],0))</f>
        <v>شركة المقبولي للصرافة والتحويلات</v>
      </c>
      <c r="R360" s="121">
        <f>INDEX(Tabledaily[رقم المـــــرجـــع],MATCH(TableDailyJournal[[#This Row],[رقم العملية]],Tabledaily[رقم العملية],0))</f>
        <v>26718</v>
      </c>
      <c r="S360" s="121" t="str">
        <f>INDEX(Tabledaily[مركـــــــزالتكلفــــــة],MATCH(TableDailyJournal[[#This Row],[رقم العملية]],Tabledaily[رقم العملية],0))</f>
        <v>الفرقة الثالثة</v>
      </c>
      <c r="T360" s="121">
        <f>IFERROR(INDEX(tablecost[رقم المركز],MATCH(TableDailyJournal[[#This Row],[مركـــــــزالتكلفــــــة]],tablecost[الاسم],0)),0)</f>
        <v>1</v>
      </c>
      <c r="U360" s="122">
        <f>IFERROR(DATE(TableDailyJournal[[#This Row],[السنــــة]],TableDailyJournal[[#This Row],[الشهــــر]],TableDailyJournal[[#This Row],[الـــــيوم]]),"01-01-2026")</f>
        <v>46186</v>
      </c>
      <c r="V360" s="126"/>
      <c r="W360" s="58"/>
      <c r="X360" s="58">
        <f>IFERROR(YEAR(TableDailyJournal[[#This Row],[التاريخ]]),"")</f>
        <v>2026</v>
      </c>
      <c r="Y360" s="58">
        <f>IFERROR(MONTH(TableDailyJournal[[#This Row],[التاريخ]]),"")</f>
        <v>6</v>
      </c>
      <c r="Z360" s="58">
        <f>IFERROR(DAY(TableDailyJournal[[#This Row],[التاريخ]]),"")</f>
        <v>13</v>
      </c>
      <c r="AA360" s="126" t="str">
        <f>INDEX(Tabledaily[المرجع البياني],MATCH(TableDailyJournal[[#This Row],[رقم العملية]],Tabledaily[رقم العملية],0))</f>
        <v>قيـد مقابـل:- (عهدة عبدالحفيظ - عبدالحفيظ - الفرقة الثالثة)  - حواله رقم 26718  شركة المقبولي للصرافة والتحويلات - استلام عهدة بامر</v>
      </c>
      <c r="AB360" s="121">
        <f>INDEX(Tabledaily[جهة الامر],MATCH(TableDailyJournal[[#This Row],[رقم العملية]],Tabledaily[رقم العملية],0))</f>
        <v>0</v>
      </c>
    </row>
    <row r="361" spans="2:28" ht="45.75" x14ac:dyDescent="0.55000000000000004">
      <c r="B361" s="58">
        <f t="shared" si="11"/>
        <v>357</v>
      </c>
      <c r="C361" s="59" t="s">
        <v>717</v>
      </c>
      <c r="D361" s="60">
        <f>INDEX(Tabledaily[date],MATCH(TableDailyJournal[[#This Row],[رقم العملية]],Tabledaily[رقم العملية],0))</f>
        <v>46186</v>
      </c>
      <c r="E361" s="58" t="str">
        <f>INDEX(Tabledaily[نوع العمليــة],MATCH(TableDailyJournal[[#This Row],[رقم العملية]],Tabledaily[رقم العملية],0))</f>
        <v>قبض عهدة</v>
      </c>
      <c r="F361" s="58">
        <f>IFERROR(INDEX(TableJudje[رقم الحساب],MATCH(TableDailyJournal[[#This Row],[الحساب]],TableJudje[اسم الحساب],0)),0)</f>
        <v>11010101</v>
      </c>
      <c r="G361" s="58" t="s">
        <v>23</v>
      </c>
      <c r="H361" s="61" t="str">
        <f>INDEX(Tabledaily[المرجع البياني],MATCH(TableDailyJournal[[#This Row],[رقم العملية]],Tabledaily[رقم العملية],0))</f>
        <v>قيـد مقابـل:- (عهدة عبدالحفيظ - عبدالحفيظ - الفرقة الثالثة)  - حواله رقم 26718  شركة المقبولي للصرافة والتحويلات - استلام عهدة بامر</v>
      </c>
      <c r="I361" s="60" t="str">
        <f>INDEX(Tabledaily[العملـــة],MATCH(TableDailyJournal[[#This Row],[رقم العملية]],Tabledaily[رقم العملية],0))</f>
        <v>ريال سعودي</v>
      </c>
      <c r="J361" s="59">
        <f>IFERROR(INDEX(Tabledaily[سعــــــر
الصـــــرف],MATCH(C361,Tabledaily[رقم العملية],0)),1)</f>
        <v>1</v>
      </c>
      <c r="K361" s="123" cm="1">
        <f t="array" ref="K361">IFERROR(INDEX(Tabledaily[المبلـــــــغ],MATCH(1,(TableDailyJournal[[#This Row],[رقم العملية]]=Tabledaily[رقم العملية])*(TableDailyJournal[[#This Row],[الحساب]]=Tabledaily[الحســاب المديــــن]),0)),0)</f>
        <v>0</v>
      </c>
      <c r="L361" s="123" cm="1">
        <f t="array" ref="L361">IFERROR(INDEX(Tabledaily[المبلـــــــغ],MATCH(1,(TableDailyJournal[[#This Row],[رقم العملية]]=Tabledaily[رقم العملية])*(TableDailyJournal[[#This Row],[الحساب]]=Tabledaily[الحســاب الدئـــن]),0)),0)</f>
        <v>14970</v>
      </c>
      <c r="M361" s="119">
        <f>IFERROR(TableDailyJournal[[#This Row],[المبلغ مدين]]/TableDailyJournal[[#This Row],[سعــــــر
الصـــــرف]],0)</f>
        <v>0</v>
      </c>
      <c r="N361" s="119">
        <f>IFERROR(TableDailyJournal[[#This Row],[المبلغ دائن]]/TableDailyJournal[[#This Row],[سعــــــر
الصـــــرف]],0)</f>
        <v>14970</v>
      </c>
      <c r="O361" s="121" t="str">
        <f>INDEX(Tabledaily[المستفيــــــــد],MATCH(TableDailyJournal[[#This Row],[رقم العملية]],Tabledaily[رقم العملية],0))</f>
        <v>عبدالحفيظ</v>
      </c>
      <c r="P361" s="121" t="str">
        <f>INDEX(Tabledaily[المــــرجـــــــــع],MATCH(TableDailyJournal[[#This Row],[رقم العملية]],Tabledaily[رقم العملية],0))</f>
        <v>حواله</v>
      </c>
      <c r="Q361" s="121" t="str">
        <f>INDEX(Tabledaily[اســـــــم المــــرجــــع],MATCH(TableDailyJournal[[#This Row],[رقم العملية]],Tabledaily[رقم العملية],0))</f>
        <v>شركة المقبولي للصرافة والتحويلات</v>
      </c>
      <c r="R361" s="121">
        <f>INDEX(Tabledaily[رقم المـــــرجـــع],MATCH(TableDailyJournal[[#This Row],[رقم العملية]],Tabledaily[رقم العملية],0))</f>
        <v>26718</v>
      </c>
      <c r="S361" s="121" t="str">
        <f>INDEX(Tabledaily[مركـــــــزالتكلفــــــة],MATCH(TableDailyJournal[[#This Row],[رقم العملية]],Tabledaily[رقم العملية],0))</f>
        <v>الفرقة الثالثة</v>
      </c>
      <c r="T361" s="121">
        <f>IFERROR(INDEX(tablecost[رقم المركز],MATCH(TableDailyJournal[[#This Row],[مركـــــــزالتكلفــــــة]],tablecost[الاسم],0)),0)</f>
        <v>1</v>
      </c>
      <c r="U361" s="122">
        <f>IFERROR(DATE(TableDailyJournal[[#This Row],[السنــــة]],TableDailyJournal[[#This Row],[الشهــــر]],TableDailyJournal[[#This Row],[الـــــيوم]]),"01-01-2026")</f>
        <v>46186</v>
      </c>
      <c r="V361" s="126"/>
      <c r="W361" s="58"/>
      <c r="X361" s="58">
        <f>IFERROR(YEAR(TableDailyJournal[[#This Row],[التاريخ]]),"")</f>
        <v>2026</v>
      </c>
      <c r="Y361" s="58">
        <f>IFERROR(MONTH(TableDailyJournal[[#This Row],[التاريخ]]),"")</f>
        <v>6</v>
      </c>
      <c r="Z361" s="58">
        <f>IFERROR(DAY(TableDailyJournal[[#This Row],[التاريخ]]),"")</f>
        <v>13</v>
      </c>
      <c r="AA361" s="126" t="str">
        <f>INDEX(Tabledaily[المرجع البياني],MATCH(TableDailyJournal[[#This Row],[رقم العملية]],Tabledaily[رقم العملية],0))</f>
        <v>قيـد مقابـل:- (عهدة عبدالحفيظ - عبدالحفيظ - الفرقة الثالثة)  - حواله رقم 26718  شركة المقبولي للصرافة والتحويلات - استلام عهدة بامر</v>
      </c>
      <c r="AB361" s="121">
        <f>INDEX(Tabledaily[جهة الامر],MATCH(TableDailyJournal[[#This Row],[رقم العملية]],Tabledaily[رقم العملية],0))</f>
        <v>0</v>
      </c>
    </row>
    <row r="362" spans="2:28" ht="45.75" x14ac:dyDescent="0.55000000000000004">
      <c r="B362" s="58">
        <f t="shared" si="11"/>
        <v>358</v>
      </c>
      <c r="C362" s="59" t="s">
        <v>719</v>
      </c>
      <c r="D362" s="60">
        <f>INDEX(Tabledaily[date],MATCH(TableDailyJournal[[#This Row],[رقم العملية]],Tabledaily[رقم العملية],0))</f>
        <v>46186</v>
      </c>
      <c r="E362" s="58" t="str">
        <f>INDEX(Tabledaily[نوع العمليــة],MATCH(TableDailyJournal[[#This Row],[رقم العملية]],Tabledaily[رقم العملية],0))</f>
        <v>قيد عهده</v>
      </c>
      <c r="F362" s="58">
        <f>IFERROR(INDEX(TableJudje[رقم الحساب],MATCH(TableDailyJournal[[#This Row],[الحساب]],TableJudje[اسم الحساب],0)),0)</f>
        <v>31010101</v>
      </c>
      <c r="G362" s="58" t="s">
        <v>111</v>
      </c>
      <c r="H362"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362" s="60" t="str">
        <f>INDEX(Tabledaily[العملـــة],MATCH(TableDailyJournal[[#This Row],[رقم العملية]],Tabledaily[رقم العملية],0))</f>
        <v>ريال يمني</v>
      </c>
      <c r="J362" s="59">
        <f>IFERROR(INDEX(Tabledaily[سعــــــر
الصـــــرف],MATCH(C362,Tabledaily[رقم العملية],0)),1)</f>
        <v>405</v>
      </c>
      <c r="K362" s="123" cm="1">
        <f t="array" ref="K362">IFERROR(INDEX(Tabledaily[المبلـــــــغ],MATCH(1,(TableDailyJournal[[#This Row],[رقم العملية]]=Tabledaily[رقم العملية])*(TableDailyJournal[[#This Row],[الحساب]]=Tabledaily[الحســاب المديــــن]),0)),0)</f>
        <v>52000</v>
      </c>
      <c r="L362" s="123" cm="1">
        <f t="array" ref="L362">IFERROR(INDEX(Tabledaily[المبلـــــــغ],MATCH(1,(TableDailyJournal[[#This Row],[رقم العملية]]=Tabledaily[رقم العملية])*(TableDailyJournal[[#This Row],[الحساب]]=Tabledaily[الحســاب الدئـــن]),0)),0)</f>
        <v>0</v>
      </c>
      <c r="M362" s="119">
        <f>IFERROR(TableDailyJournal[[#This Row],[المبلغ مدين]]/TableDailyJournal[[#This Row],[سعــــــر
الصـــــرف]],0)</f>
        <v>128.39506172839506</v>
      </c>
      <c r="N362" s="119">
        <f>IFERROR(TableDailyJournal[[#This Row],[المبلغ دائن]]/TableDailyJournal[[#This Row],[سعــــــر
الصـــــرف]],0)</f>
        <v>0</v>
      </c>
      <c r="O362" s="121" t="str">
        <f>INDEX(Tabledaily[المستفيــــــــد],MATCH(TableDailyJournal[[#This Row],[رقم العملية]],Tabledaily[رقم العملية],0))</f>
        <v>السيطرة والاتصالات</v>
      </c>
      <c r="P362" s="121" t="str">
        <f>INDEX(Tabledaily[المــــرجـــــــــع],MATCH(TableDailyJournal[[#This Row],[رقم العملية]],Tabledaily[رقم العملية],0))</f>
        <v>كشف صرف</v>
      </c>
      <c r="Q362" s="121" t="str">
        <f>INDEX(Tabledaily[اســـــــم المــــرجــــع],MATCH(TableDailyJournal[[#This Row],[رقم العملية]],Tabledaily[رقم العملية],0))</f>
        <v>كشف صرف</v>
      </c>
      <c r="R362" s="121">
        <f>INDEX(Tabledaily[رقم المـــــرجـــع],MATCH(TableDailyJournal[[#This Row],[رقم العملية]],Tabledaily[رقم العملية],0))</f>
        <v>0</v>
      </c>
      <c r="S362" s="121" t="str">
        <f>INDEX(Tabledaily[مركـــــــزالتكلفــــــة],MATCH(TableDailyJournal[[#This Row],[رقم العملية]],Tabledaily[رقم العملية],0))</f>
        <v>الفرقة الثالثة</v>
      </c>
      <c r="T362" s="121">
        <f>IFERROR(INDEX(tablecost[رقم المركز],MATCH(TableDailyJournal[[#This Row],[مركـــــــزالتكلفــــــة]],tablecost[الاسم],0)),0)</f>
        <v>1</v>
      </c>
      <c r="U362" s="122">
        <f>IFERROR(DATE(TableDailyJournal[[#This Row],[السنــــة]],TableDailyJournal[[#This Row],[الشهــــر]],TableDailyJournal[[#This Row],[الـــــيوم]]),"01-01-2026")</f>
        <v>46186</v>
      </c>
      <c r="V362" s="126"/>
      <c r="W362" s="58"/>
      <c r="X362" s="58">
        <f>IFERROR(YEAR(TableDailyJournal[[#This Row],[التاريخ]]),"")</f>
        <v>2026</v>
      </c>
      <c r="Y362" s="58">
        <f>IFERROR(MONTH(TableDailyJournal[[#This Row],[التاريخ]]),"")</f>
        <v>6</v>
      </c>
      <c r="Z362" s="58">
        <f>IFERROR(DAY(TableDailyJournal[[#This Row],[التاريخ]]),"")</f>
        <v>13</v>
      </c>
      <c r="AA362"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362" s="121">
        <f>INDEX(Tabledaily[جهة الامر],MATCH(TableDailyJournal[[#This Row],[رقم العملية]],Tabledaily[رقم العملية],0))</f>
        <v>0</v>
      </c>
    </row>
    <row r="363" spans="2:28" ht="45.75" x14ac:dyDescent="0.55000000000000004">
      <c r="B363" s="58">
        <f t="shared" si="11"/>
        <v>359</v>
      </c>
      <c r="C363" s="59" t="s">
        <v>719</v>
      </c>
      <c r="D363" s="60">
        <f>INDEX(Tabledaily[date],MATCH(TableDailyJournal[[#This Row],[رقم العملية]],Tabledaily[رقم العملية],0))</f>
        <v>46186</v>
      </c>
      <c r="E363" s="58" t="str">
        <f>INDEX(Tabledaily[نوع العمليــة],MATCH(TableDailyJournal[[#This Row],[رقم العملية]],Tabledaily[رقم العملية],0))</f>
        <v>قيد عهده</v>
      </c>
      <c r="F363" s="58">
        <f>IFERROR(INDEX(TableJudje[رقم الحساب],MATCH(TableDailyJournal[[#This Row],[الحساب]],TableJudje[اسم الحساب],0)),0)</f>
        <v>11060205</v>
      </c>
      <c r="G363" s="58" t="s">
        <v>513</v>
      </c>
      <c r="H363"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363" s="60" t="str">
        <f>INDEX(Tabledaily[العملـــة],MATCH(TableDailyJournal[[#This Row],[رقم العملية]],Tabledaily[رقم العملية],0))</f>
        <v>ريال يمني</v>
      </c>
      <c r="J363" s="59">
        <f>IFERROR(INDEX(Tabledaily[سعــــــر
الصـــــرف],MATCH(C363,Tabledaily[رقم العملية],0)),1)</f>
        <v>405</v>
      </c>
      <c r="K363" s="123" cm="1">
        <f t="array" ref="K363">IFERROR(INDEX(Tabledaily[المبلـــــــغ],MATCH(1,(TableDailyJournal[[#This Row],[رقم العملية]]=Tabledaily[رقم العملية])*(TableDailyJournal[[#This Row],[الحساب]]=Tabledaily[الحســاب المديــــن]),0)),0)</f>
        <v>0</v>
      </c>
      <c r="L363" s="123" cm="1">
        <f t="array" ref="L363">IFERROR(INDEX(Tabledaily[المبلـــــــغ],MATCH(1,(TableDailyJournal[[#This Row],[رقم العملية]]=Tabledaily[رقم العملية])*(TableDailyJournal[[#This Row],[الحساب]]=Tabledaily[الحســاب الدئـــن]),0)),0)</f>
        <v>52000</v>
      </c>
      <c r="M363" s="119">
        <f>IFERROR(TableDailyJournal[[#This Row],[المبلغ مدين]]/TableDailyJournal[[#This Row],[سعــــــر
الصـــــرف]],0)</f>
        <v>0</v>
      </c>
      <c r="N363" s="119">
        <f>IFERROR(TableDailyJournal[[#This Row],[المبلغ دائن]]/TableDailyJournal[[#This Row],[سعــــــر
الصـــــرف]],0)</f>
        <v>128.39506172839506</v>
      </c>
      <c r="O363" s="121" t="str">
        <f>INDEX(Tabledaily[المستفيــــــــد],MATCH(TableDailyJournal[[#This Row],[رقم العملية]],Tabledaily[رقم العملية],0))</f>
        <v>السيطرة والاتصالات</v>
      </c>
      <c r="P363" s="121" t="str">
        <f>INDEX(Tabledaily[المــــرجـــــــــع],MATCH(TableDailyJournal[[#This Row],[رقم العملية]],Tabledaily[رقم العملية],0))</f>
        <v>كشف صرف</v>
      </c>
      <c r="Q363" s="121" t="str">
        <f>INDEX(Tabledaily[اســـــــم المــــرجــــع],MATCH(TableDailyJournal[[#This Row],[رقم العملية]],Tabledaily[رقم العملية],0))</f>
        <v>كشف صرف</v>
      </c>
      <c r="R363" s="121">
        <f>INDEX(Tabledaily[رقم المـــــرجـــع],MATCH(TableDailyJournal[[#This Row],[رقم العملية]],Tabledaily[رقم العملية],0))</f>
        <v>0</v>
      </c>
      <c r="S363" s="121" t="str">
        <f>INDEX(Tabledaily[مركـــــــزالتكلفــــــة],MATCH(TableDailyJournal[[#This Row],[رقم العملية]],Tabledaily[رقم العملية],0))</f>
        <v>الفرقة الثالثة</v>
      </c>
      <c r="T363" s="121">
        <f>IFERROR(INDEX(tablecost[رقم المركز],MATCH(TableDailyJournal[[#This Row],[مركـــــــزالتكلفــــــة]],tablecost[الاسم],0)),0)</f>
        <v>1</v>
      </c>
      <c r="U363" s="122">
        <f>IFERROR(DATE(TableDailyJournal[[#This Row],[السنــــة]],TableDailyJournal[[#This Row],[الشهــــر]],TableDailyJournal[[#This Row],[الـــــيوم]]),"01-01-2026")</f>
        <v>46186</v>
      </c>
      <c r="V363" s="126"/>
      <c r="W363" s="58"/>
      <c r="X363" s="58">
        <f>IFERROR(YEAR(TableDailyJournal[[#This Row],[التاريخ]]),"")</f>
        <v>2026</v>
      </c>
      <c r="Y363" s="58">
        <f>IFERROR(MONTH(TableDailyJournal[[#This Row],[التاريخ]]),"")</f>
        <v>6</v>
      </c>
      <c r="Z363" s="58">
        <f>IFERROR(DAY(TableDailyJournal[[#This Row],[التاريخ]]),"")</f>
        <v>13</v>
      </c>
      <c r="AA363"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363" s="121">
        <f>INDEX(Tabledaily[جهة الامر],MATCH(TableDailyJournal[[#This Row],[رقم العملية]],Tabledaily[رقم العملية],0))</f>
        <v>0</v>
      </c>
    </row>
    <row r="364" spans="2:28" ht="45.75" x14ac:dyDescent="0.55000000000000004">
      <c r="B364" s="58">
        <f t="shared" si="11"/>
        <v>360</v>
      </c>
      <c r="C364" s="59" t="s">
        <v>720</v>
      </c>
      <c r="D364" s="60">
        <f>INDEX(Tabledaily[date],MATCH(TableDailyJournal[[#This Row],[رقم العملية]],Tabledaily[رقم العملية],0))</f>
        <v>46186</v>
      </c>
      <c r="E364" s="58" t="str">
        <f>INDEX(Tabledaily[نوع العمليــة],MATCH(TableDailyJournal[[#This Row],[رقم العملية]],Tabledaily[رقم العملية],0))</f>
        <v>قيد عهده</v>
      </c>
      <c r="F364" s="58">
        <f>IFERROR(INDEX(TableJudje[رقم الحساب],MATCH(TableDailyJournal[[#This Row],[الحساب]],TableJudje[اسم الحساب],0)),0)</f>
        <v>31010101</v>
      </c>
      <c r="G364" s="58" t="s">
        <v>111</v>
      </c>
      <c r="H364"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364" s="60" t="str">
        <f>INDEX(Tabledaily[العملـــة],MATCH(TableDailyJournal[[#This Row],[رقم العملية]],Tabledaily[رقم العملية],0))</f>
        <v>ريال يمني</v>
      </c>
      <c r="J364" s="59">
        <f>IFERROR(INDEX(Tabledaily[سعــــــر
الصـــــرف],MATCH(C364,Tabledaily[رقم العملية],0)),1)</f>
        <v>405</v>
      </c>
      <c r="K364" s="123" cm="1">
        <f t="array" ref="K364">IFERROR(INDEX(Tabledaily[المبلـــــــغ],MATCH(1,(TableDailyJournal[[#This Row],[رقم العملية]]=Tabledaily[رقم العملية])*(TableDailyJournal[[#This Row],[الحساب]]=Tabledaily[الحســاب المديــــن]),0)),0)</f>
        <v>30000</v>
      </c>
      <c r="L364" s="123" cm="1">
        <f t="array" ref="L364">IFERROR(INDEX(Tabledaily[المبلـــــــغ],MATCH(1,(TableDailyJournal[[#This Row],[رقم العملية]]=Tabledaily[رقم العملية])*(TableDailyJournal[[#This Row],[الحساب]]=Tabledaily[الحســاب الدئـــن]),0)),0)</f>
        <v>0</v>
      </c>
      <c r="M364" s="119">
        <f>IFERROR(TableDailyJournal[[#This Row],[المبلغ مدين]]/TableDailyJournal[[#This Row],[سعــــــر
الصـــــرف]],0)</f>
        <v>74.074074074074076</v>
      </c>
      <c r="N364" s="119">
        <f>IFERROR(TableDailyJournal[[#This Row],[المبلغ دائن]]/TableDailyJournal[[#This Row],[سعــــــر
الصـــــرف]],0)</f>
        <v>0</v>
      </c>
      <c r="O364" s="121" t="str">
        <f>INDEX(Tabledaily[المستفيــــــــد],MATCH(TableDailyJournal[[#This Row],[رقم العملية]],Tabledaily[رقم العملية],0))</f>
        <v>التوجيه</v>
      </c>
      <c r="P364" s="121" t="str">
        <f>INDEX(Tabledaily[المــــرجـــــــــع],MATCH(TableDailyJournal[[#This Row],[رقم العملية]],Tabledaily[رقم العملية],0))</f>
        <v>كشف صرف</v>
      </c>
      <c r="Q364" s="121" t="str">
        <f>INDEX(Tabledaily[اســـــــم المــــرجــــع],MATCH(TableDailyJournal[[#This Row],[رقم العملية]],Tabledaily[رقم العملية],0))</f>
        <v>كشف صرف</v>
      </c>
      <c r="R364" s="121">
        <f>INDEX(Tabledaily[رقم المـــــرجـــع],MATCH(TableDailyJournal[[#This Row],[رقم العملية]],Tabledaily[رقم العملية],0))</f>
        <v>0</v>
      </c>
      <c r="S364" s="121" t="str">
        <f>INDEX(Tabledaily[مركـــــــزالتكلفــــــة],MATCH(TableDailyJournal[[#This Row],[رقم العملية]],Tabledaily[رقم العملية],0))</f>
        <v>الفرقة الثالثة</v>
      </c>
      <c r="T364" s="121">
        <f>IFERROR(INDEX(tablecost[رقم المركز],MATCH(TableDailyJournal[[#This Row],[مركـــــــزالتكلفــــــة]],tablecost[الاسم],0)),0)</f>
        <v>1</v>
      </c>
      <c r="U364" s="122">
        <f>IFERROR(DATE(TableDailyJournal[[#This Row],[السنــــة]],TableDailyJournal[[#This Row],[الشهــــر]],TableDailyJournal[[#This Row],[الـــــيوم]]),"01-01-2026")</f>
        <v>46186</v>
      </c>
      <c r="V364" s="126"/>
      <c r="W364" s="58"/>
      <c r="X364" s="58">
        <f>IFERROR(YEAR(TableDailyJournal[[#This Row],[التاريخ]]),"")</f>
        <v>2026</v>
      </c>
      <c r="Y364" s="58">
        <f>IFERROR(MONTH(TableDailyJournal[[#This Row],[التاريخ]]),"")</f>
        <v>6</v>
      </c>
      <c r="Z364" s="58">
        <f>IFERROR(DAY(TableDailyJournal[[#This Row],[التاريخ]]),"")</f>
        <v>13</v>
      </c>
      <c r="AA364"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364" s="121">
        <f>INDEX(Tabledaily[جهة الامر],MATCH(TableDailyJournal[[#This Row],[رقم العملية]],Tabledaily[رقم العملية],0))</f>
        <v>0</v>
      </c>
    </row>
    <row r="365" spans="2:28" ht="45.75" x14ac:dyDescent="0.55000000000000004">
      <c r="B365" s="58">
        <f t="shared" si="11"/>
        <v>361</v>
      </c>
      <c r="C365" s="59" t="s">
        <v>720</v>
      </c>
      <c r="D365" s="60">
        <f>INDEX(Tabledaily[date],MATCH(TableDailyJournal[[#This Row],[رقم العملية]],Tabledaily[رقم العملية],0))</f>
        <v>46186</v>
      </c>
      <c r="E365" s="58" t="str">
        <f>INDEX(Tabledaily[نوع العمليــة],MATCH(TableDailyJournal[[#This Row],[رقم العملية]],Tabledaily[رقم العملية],0))</f>
        <v>قيد عهده</v>
      </c>
      <c r="F365" s="58">
        <f>IFERROR(INDEX(TableJudje[رقم الحساب],MATCH(TableDailyJournal[[#This Row],[الحساب]],TableJudje[اسم الحساب],0)),0)</f>
        <v>11060205</v>
      </c>
      <c r="G365" s="58" t="s">
        <v>513</v>
      </c>
      <c r="H365"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365" s="60" t="str">
        <f>INDEX(Tabledaily[العملـــة],MATCH(TableDailyJournal[[#This Row],[رقم العملية]],Tabledaily[رقم العملية],0))</f>
        <v>ريال يمني</v>
      </c>
      <c r="J365" s="59">
        <f>IFERROR(INDEX(Tabledaily[سعــــــر
الصـــــرف],MATCH(C365,Tabledaily[رقم العملية],0)),1)</f>
        <v>405</v>
      </c>
      <c r="K365" s="123" cm="1">
        <f t="array" ref="K365">IFERROR(INDEX(Tabledaily[المبلـــــــغ],MATCH(1,(TableDailyJournal[[#This Row],[رقم العملية]]=Tabledaily[رقم العملية])*(TableDailyJournal[[#This Row],[الحساب]]=Tabledaily[الحســاب المديــــن]),0)),0)</f>
        <v>0</v>
      </c>
      <c r="L365" s="123" cm="1">
        <f t="array" ref="L365">IFERROR(INDEX(Tabledaily[المبلـــــــغ],MATCH(1,(TableDailyJournal[[#This Row],[رقم العملية]]=Tabledaily[رقم العملية])*(TableDailyJournal[[#This Row],[الحساب]]=Tabledaily[الحســاب الدئـــن]),0)),0)</f>
        <v>30000</v>
      </c>
      <c r="M365" s="119">
        <f>IFERROR(TableDailyJournal[[#This Row],[المبلغ مدين]]/TableDailyJournal[[#This Row],[سعــــــر
الصـــــرف]],0)</f>
        <v>0</v>
      </c>
      <c r="N365" s="119">
        <f>IFERROR(TableDailyJournal[[#This Row],[المبلغ دائن]]/TableDailyJournal[[#This Row],[سعــــــر
الصـــــرف]],0)</f>
        <v>74.074074074074076</v>
      </c>
      <c r="O365" s="121" t="str">
        <f>INDEX(Tabledaily[المستفيــــــــد],MATCH(TableDailyJournal[[#This Row],[رقم العملية]],Tabledaily[رقم العملية],0))</f>
        <v>التوجيه</v>
      </c>
      <c r="P365" s="121" t="str">
        <f>INDEX(Tabledaily[المــــرجـــــــــع],MATCH(TableDailyJournal[[#This Row],[رقم العملية]],Tabledaily[رقم العملية],0))</f>
        <v>كشف صرف</v>
      </c>
      <c r="Q365" s="121" t="str">
        <f>INDEX(Tabledaily[اســـــــم المــــرجــــع],MATCH(TableDailyJournal[[#This Row],[رقم العملية]],Tabledaily[رقم العملية],0))</f>
        <v>كشف صرف</v>
      </c>
      <c r="R365" s="121">
        <f>INDEX(Tabledaily[رقم المـــــرجـــع],MATCH(TableDailyJournal[[#This Row],[رقم العملية]],Tabledaily[رقم العملية],0))</f>
        <v>0</v>
      </c>
      <c r="S365" s="121" t="str">
        <f>INDEX(Tabledaily[مركـــــــزالتكلفــــــة],MATCH(TableDailyJournal[[#This Row],[رقم العملية]],Tabledaily[رقم العملية],0))</f>
        <v>الفرقة الثالثة</v>
      </c>
      <c r="T365" s="121">
        <f>IFERROR(INDEX(tablecost[رقم المركز],MATCH(TableDailyJournal[[#This Row],[مركـــــــزالتكلفــــــة]],tablecost[الاسم],0)),0)</f>
        <v>1</v>
      </c>
      <c r="U365" s="122">
        <f>IFERROR(DATE(TableDailyJournal[[#This Row],[السنــــة]],TableDailyJournal[[#This Row],[الشهــــر]],TableDailyJournal[[#This Row],[الـــــيوم]]),"01-01-2026")</f>
        <v>46186</v>
      </c>
      <c r="V365" s="126"/>
      <c r="W365" s="58"/>
      <c r="X365" s="58">
        <f>IFERROR(YEAR(TableDailyJournal[[#This Row],[التاريخ]]),"")</f>
        <v>2026</v>
      </c>
      <c r="Y365" s="58">
        <f>IFERROR(MONTH(TableDailyJournal[[#This Row],[التاريخ]]),"")</f>
        <v>6</v>
      </c>
      <c r="Z365" s="58">
        <f>IFERROR(DAY(TableDailyJournal[[#This Row],[التاريخ]]),"")</f>
        <v>13</v>
      </c>
      <c r="AA365"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365" s="121">
        <f>INDEX(Tabledaily[جهة الامر],MATCH(TableDailyJournal[[#This Row],[رقم العملية]],Tabledaily[رقم العملية],0))</f>
        <v>0</v>
      </c>
    </row>
    <row r="366" spans="2:28" ht="45.75" x14ac:dyDescent="0.55000000000000004">
      <c r="B366" s="58">
        <f t="shared" si="11"/>
        <v>362</v>
      </c>
      <c r="C366" s="59" t="s">
        <v>721</v>
      </c>
      <c r="D366" s="60">
        <f>INDEX(Tabledaily[date],MATCH(TableDailyJournal[[#This Row],[رقم العملية]],Tabledaily[رقم العملية],0))</f>
        <v>46186</v>
      </c>
      <c r="E366" s="58" t="str">
        <f>INDEX(Tabledaily[نوع العمليــة],MATCH(TableDailyJournal[[#This Row],[رقم العملية]],Tabledaily[رقم العملية],0))</f>
        <v>قيد عهده</v>
      </c>
      <c r="F366" s="58">
        <f>IFERROR(INDEX(TableJudje[رقم الحساب],MATCH(TableDailyJournal[[#This Row],[الحساب]],TableJudje[اسم الحساب],0)),0)</f>
        <v>31010101</v>
      </c>
      <c r="G366" s="58" t="s">
        <v>111</v>
      </c>
      <c r="H366"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366" s="60" t="str">
        <f>INDEX(Tabledaily[العملـــة],MATCH(TableDailyJournal[[#This Row],[رقم العملية]],Tabledaily[رقم العملية],0))</f>
        <v>ريال يمني</v>
      </c>
      <c r="J366" s="59">
        <f>IFERROR(INDEX(Tabledaily[سعــــــر
الصـــــرف],MATCH(C366,Tabledaily[رقم العملية],0)),1)</f>
        <v>405</v>
      </c>
      <c r="K366" s="123" cm="1">
        <f t="array" ref="K366">IFERROR(INDEX(Tabledaily[المبلـــــــغ],MATCH(1,(TableDailyJournal[[#This Row],[رقم العملية]]=Tabledaily[رقم العملية])*(TableDailyJournal[[#This Row],[الحساب]]=Tabledaily[الحســاب المديــــن]),0)),0)</f>
        <v>116000</v>
      </c>
      <c r="L366" s="123" cm="1">
        <f t="array" ref="L366">IFERROR(INDEX(Tabledaily[المبلـــــــغ],MATCH(1,(TableDailyJournal[[#This Row],[رقم العملية]]=Tabledaily[رقم العملية])*(TableDailyJournal[[#This Row],[الحساب]]=Tabledaily[الحســاب الدئـــن]),0)),0)</f>
        <v>0</v>
      </c>
      <c r="M366" s="119">
        <f>IFERROR(TableDailyJournal[[#This Row],[المبلغ مدين]]/TableDailyJournal[[#This Row],[سعــــــر
الصـــــرف]],0)</f>
        <v>286.41975308641975</v>
      </c>
      <c r="N366" s="119">
        <f>IFERROR(TableDailyJournal[[#This Row],[المبلغ دائن]]/TableDailyJournal[[#This Row],[سعــــــر
الصـــــرف]],0)</f>
        <v>0</v>
      </c>
      <c r="O366" s="121" t="str">
        <f>INDEX(Tabledaily[المستفيــــــــد],MATCH(TableDailyJournal[[#This Row],[رقم العملية]],Tabledaily[رقم العملية],0))</f>
        <v>الامداد</v>
      </c>
      <c r="P366" s="121" t="str">
        <f>INDEX(Tabledaily[المــــرجـــــــــع],MATCH(TableDailyJournal[[#This Row],[رقم العملية]],Tabledaily[رقم العملية],0))</f>
        <v>كشف صرف</v>
      </c>
      <c r="Q366" s="121" t="str">
        <f>INDEX(Tabledaily[اســـــــم المــــرجــــع],MATCH(TableDailyJournal[[#This Row],[رقم العملية]],Tabledaily[رقم العملية],0))</f>
        <v>كشف صرف</v>
      </c>
      <c r="R366" s="121">
        <f>INDEX(Tabledaily[رقم المـــــرجـــع],MATCH(TableDailyJournal[[#This Row],[رقم العملية]],Tabledaily[رقم العملية],0))</f>
        <v>0</v>
      </c>
      <c r="S366" s="121" t="str">
        <f>INDEX(Tabledaily[مركـــــــزالتكلفــــــة],MATCH(TableDailyJournal[[#This Row],[رقم العملية]],Tabledaily[رقم العملية],0))</f>
        <v>الفرقة الثالثة</v>
      </c>
      <c r="T366" s="121">
        <f>IFERROR(INDEX(tablecost[رقم المركز],MATCH(TableDailyJournal[[#This Row],[مركـــــــزالتكلفــــــة]],tablecost[الاسم],0)),0)</f>
        <v>1</v>
      </c>
      <c r="U366" s="122">
        <f>IFERROR(DATE(TableDailyJournal[[#This Row],[السنــــة]],TableDailyJournal[[#This Row],[الشهــــر]],TableDailyJournal[[#This Row],[الـــــيوم]]),"01-01-2026")</f>
        <v>46186</v>
      </c>
      <c r="V366" s="126"/>
      <c r="W366" s="58"/>
      <c r="X366" s="58">
        <f>IFERROR(YEAR(TableDailyJournal[[#This Row],[التاريخ]]),"")</f>
        <v>2026</v>
      </c>
      <c r="Y366" s="58">
        <f>IFERROR(MONTH(TableDailyJournal[[#This Row],[التاريخ]]),"")</f>
        <v>6</v>
      </c>
      <c r="Z366" s="58">
        <f>IFERROR(DAY(TableDailyJournal[[#This Row],[التاريخ]]),"")</f>
        <v>13</v>
      </c>
      <c r="AA366"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366" s="121">
        <f>INDEX(Tabledaily[جهة الامر],MATCH(TableDailyJournal[[#This Row],[رقم العملية]],Tabledaily[رقم العملية],0))</f>
        <v>0</v>
      </c>
    </row>
    <row r="367" spans="2:28" ht="45.75" x14ac:dyDescent="0.55000000000000004">
      <c r="B367" s="58">
        <f t="shared" si="11"/>
        <v>363</v>
      </c>
      <c r="C367" s="59" t="s">
        <v>721</v>
      </c>
      <c r="D367" s="60">
        <f>INDEX(Tabledaily[date],MATCH(TableDailyJournal[[#This Row],[رقم العملية]],Tabledaily[رقم العملية],0))</f>
        <v>46186</v>
      </c>
      <c r="E367" s="58" t="str">
        <f>INDEX(Tabledaily[نوع العمليــة],MATCH(TableDailyJournal[[#This Row],[رقم العملية]],Tabledaily[رقم العملية],0))</f>
        <v>قيد عهده</v>
      </c>
      <c r="F367" s="58">
        <f>IFERROR(INDEX(TableJudje[رقم الحساب],MATCH(TableDailyJournal[[#This Row],[الحساب]],TableJudje[اسم الحساب],0)),0)</f>
        <v>11060205</v>
      </c>
      <c r="G367" s="58" t="s">
        <v>513</v>
      </c>
      <c r="H367"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367" s="60" t="str">
        <f>INDEX(Tabledaily[العملـــة],MATCH(TableDailyJournal[[#This Row],[رقم العملية]],Tabledaily[رقم العملية],0))</f>
        <v>ريال يمني</v>
      </c>
      <c r="J367" s="59">
        <f>IFERROR(INDEX(Tabledaily[سعــــــر
الصـــــرف],MATCH(C367,Tabledaily[رقم العملية],0)),1)</f>
        <v>405</v>
      </c>
      <c r="K367" s="123" cm="1">
        <f t="array" ref="K367">IFERROR(INDEX(Tabledaily[المبلـــــــغ],MATCH(1,(TableDailyJournal[[#This Row],[رقم العملية]]=Tabledaily[رقم العملية])*(TableDailyJournal[[#This Row],[الحساب]]=Tabledaily[الحســاب المديــــن]),0)),0)</f>
        <v>0</v>
      </c>
      <c r="L367" s="123" cm="1">
        <f t="array" ref="L367">IFERROR(INDEX(Tabledaily[المبلـــــــغ],MATCH(1,(TableDailyJournal[[#This Row],[رقم العملية]]=Tabledaily[رقم العملية])*(TableDailyJournal[[#This Row],[الحساب]]=Tabledaily[الحســاب الدئـــن]),0)),0)</f>
        <v>116000</v>
      </c>
      <c r="M367" s="119">
        <f>IFERROR(TableDailyJournal[[#This Row],[المبلغ مدين]]/TableDailyJournal[[#This Row],[سعــــــر
الصـــــرف]],0)</f>
        <v>0</v>
      </c>
      <c r="N367" s="119">
        <f>IFERROR(TableDailyJournal[[#This Row],[المبلغ دائن]]/TableDailyJournal[[#This Row],[سعــــــر
الصـــــرف]],0)</f>
        <v>286.41975308641975</v>
      </c>
      <c r="O367" s="121" t="str">
        <f>INDEX(Tabledaily[المستفيــــــــد],MATCH(TableDailyJournal[[#This Row],[رقم العملية]],Tabledaily[رقم العملية],0))</f>
        <v>الامداد</v>
      </c>
      <c r="P367" s="121" t="str">
        <f>INDEX(Tabledaily[المــــرجـــــــــع],MATCH(TableDailyJournal[[#This Row],[رقم العملية]],Tabledaily[رقم العملية],0))</f>
        <v>كشف صرف</v>
      </c>
      <c r="Q367" s="121" t="str">
        <f>INDEX(Tabledaily[اســـــــم المــــرجــــع],MATCH(TableDailyJournal[[#This Row],[رقم العملية]],Tabledaily[رقم العملية],0))</f>
        <v>كشف صرف</v>
      </c>
      <c r="R367" s="121">
        <f>INDEX(Tabledaily[رقم المـــــرجـــع],MATCH(TableDailyJournal[[#This Row],[رقم العملية]],Tabledaily[رقم العملية],0))</f>
        <v>0</v>
      </c>
      <c r="S367" s="121" t="str">
        <f>INDEX(Tabledaily[مركـــــــزالتكلفــــــة],MATCH(TableDailyJournal[[#This Row],[رقم العملية]],Tabledaily[رقم العملية],0))</f>
        <v>الفرقة الثالثة</v>
      </c>
      <c r="T367" s="121">
        <f>IFERROR(INDEX(tablecost[رقم المركز],MATCH(TableDailyJournal[[#This Row],[مركـــــــزالتكلفــــــة]],tablecost[الاسم],0)),0)</f>
        <v>1</v>
      </c>
      <c r="U367" s="122">
        <f>IFERROR(DATE(TableDailyJournal[[#This Row],[السنــــة]],TableDailyJournal[[#This Row],[الشهــــر]],TableDailyJournal[[#This Row],[الـــــيوم]]),"01-01-2026")</f>
        <v>46186</v>
      </c>
      <c r="V367" s="126"/>
      <c r="W367" s="58"/>
      <c r="X367" s="58">
        <f>IFERROR(YEAR(TableDailyJournal[[#This Row],[التاريخ]]),"")</f>
        <v>2026</v>
      </c>
      <c r="Y367" s="58">
        <f>IFERROR(MONTH(TableDailyJournal[[#This Row],[التاريخ]]),"")</f>
        <v>6</v>
      </c>
      <c r="Z367" s="58">
        <f>IFERROR(DAY(TableDailyJournal[[#This Row],[التاريخ]]),"")</f>
        <v>13</v>
      </c>
      <c r="AA367"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367" s="121">
        <f>INDEX(Tabledaily[جهة الامر],MATCH(TableDailyJournal[[#This Row],[رقم العملية]],Tabledaily[رقم العملية],0))</f>
        <v>0</v>
      </c>
    </row>
    <row r="368" spans="2:28" ht="45.75" x14ac:dyDescent="0.55000000000000004">
      <c r="B368" s="58">
        <f t="shared" si="11"/>
        <v>364</v>
      </c>
      <c r="C368" s="59" t="s">
        <v>722</v>
      </c>
      <c r="D368" s="60">
        <f>INDEX(Tabledaily[date],MATCH(TableDailyJournal[[#This Row],[رقم العملية]],Tabledaily[رقم العملية],0))</f>
        <v>46186</v>
      </c>
      <c r="E368" s="58" t="str">
        <f>INDEX(Tabledaily[نوع العمليــة],MATCH(TableDailyJournal[[#This Row],[رقم العملية]],Tabledaily[رقم العملية],0))</f>
        <v>قيد عهده</v>
      </c>
      <c r="F368" s="58">
        <f>IFERROR(INDEX(TableJudje[رقم الحساب],MATCH(TableDailyJournal[[#This Row],[الحساب]],TableJudje[اسم الحساب],0)),0)</f>
        <v>31010101</v>
      </c>
      <c r="G368" s="58" t="s">
        <v>111</v>
      </c>
      <c r="H368"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368" s="60" t="str">
        <f>INDEX(Tabledaily[العملـــة],MATCH(TableDailyJournal[[#This Row],[رقم العملية]],Tabledaily[رقم العملية],0))</f>
        <v>ريال يمني</v>
      </c>
      <c r="J368" s="59">
        <f>IFERROR(INDEX(Tabledaily[سعــــــر
الصـــــرف],MATCH(C368,Tabledaily[رقم العملية],0)),1)</f>
        <v>405</v>
      </c>
      <c r="K368" s="123" cm="1">
        <f t="array" ref="K368">IFERROR(INDEX(Tabledaily[المبلـــــــغ],MATCH(1,(TableDailyJournal[[#This Row],[رقم العملية]]=Tabledaily[رقم العملية])*(TableDailyJournal[[#This Row],[الحساب]]=Tabledaily[الحســاب المديــــن]),0)),0)</f>
        <v>15000</v>
      </c>
      <c r="L368" s="123" cm="1">
        <f t="array" ref="L368">IFERROR(INDEX(Tabledaily[المبلـــــــغ],MATCH(1,(TableDailyJournal[[#This Row],[رقم العملية]]=Tabledaily[رقم العملية])*(TableDailyJournal[[#This Row],[الحساب]]=Tabledaily[الحســاب الدئـــن]),0)),0)</f>
        <v>0</v>
      </c>
      <c r="M368" s="119">
        <f>IFERROR(TableDailyJournal[[#This Row],[المبلغ مدين]]/TableDailyJournal[[#This Row],[سعــــــر
الصـــــرف]],0)</f>
        <v>37.037037037037038</v>
      </c>
      <c r="N368" s="119">
        <f>IFERROR(TableDailyJournal[[#This Row],[المبلغ دائن]]/TableDailyJournal[[#This Row],[سعــــــر
الصـــــرف]],0)</f>
        <v>0</v>
      </c>
      <c r="O368" s="121" t="str">
        <f>INDEX(Tabledaily[المستفيــــــــد],MATCH(TableDailyJournal[[#This Row],[رقم العملية]],Tabledaily[رقم العملية],0))</f>
        <v>البشرية و الصراف</v>
      </c>
      <c r="P368" s="121" t="str">
        <f>INDEX(Tabledaily[المــــرجـــــــــع],MATCH(TableDailyJournal[[#This Row],[رقم العملية]],Tabledaily[رقم العملية],0))</f>
        <v>كشف صرف</v>
      </c>
      <c r="Q368" s="121" t="str">
        <f>INDEX(Tabledaily[اســـــــم المــــرجــــع],MATCH(TableDailyJournal[[#This Row],[رقم العملية]],Tabledaily[رقم العملية],0))</f>
        <v>كشف صرف</v>
      </c>
      <c r="R368" s="121">
        <f>INDEX(Tabledaily[رقم المـــــرجـــع],MATCH(TableDailyJournal[[#This Row],[رقم العملية]],Tabledaily[رقم العملية],0))</f>
        <v>0</v>
      </c>
      <c r="S368" s="121" t="str">
        <f>INDEX(Tabledaily[مركـــــــزالتكلفــــــة],MATCH(TableDailyJournal[[#This Row],[رقم العملية]],Tabledaily[رقم العملية],0))</f>
        <v>الفرقة الثالثة</v>
      </c>
      <c r="T368" s="121">
        <f>IFERROR(INDEX(tablecost[رقم المركز],MATCH(TableDailyJournal[[#This Row],[مركـــــــزالتكلفــــــة]],tablecost[الاسم],0)),0)</f>
        <v>1</v>
      </c>
      <c r="U368" s="122">
        <f>IFERROR(DATE(TableDailyJournal[[#This Row],[السنــــة]],TableDailyJournal[[#This Row],[الشهــــر]],TableDailyJournal[[#This Row],[الـــــيوم]]),"01-01-2026")</f>
        <v>46186</v>
      </c>
      <c r="V368" s="126"/>
      <c r="W368" s="58"/>
      <c r="X368" s="58">
        <f>IFERROR(YEAR(TableDailyJournal[[#This Row],[التاريخ]]),"")</f>
        <v>2026</v>
      </c>
      <c r="Y368" s="58">
        <f>IFERROR(MONTH(TableDailyJournal[[#This Row],[التاريخ]]),"")</f>
        <v>6</v>
      </c>
      <c r="Z368" s="58">
        <f>IFERROR(DAY(TableDailyJournal[[#This Row],[التاريخ]]),"")</f>
        <v>13</v>
      </c>
      <c r="AA368"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368" s="121">
        <f>INDEX(Tabledaily[جهة الامر],MATCH(TableDailyJournal[[#This Row],[رقم العملية]],Tabledaily[رقم العملية],0))</f>
        <v>0</v>
      </c>
    </row>
    <row r="369" spans="2:28" ht="45.75" x14ac:dyDescent="0.55000000000000004">
      <c r="B369" s="58">
        <f t="shared" si="11"/>
        <v>365</v>
      </c>
      <c r="C369" s="59" t="s">
        <v>722</v>
      </c>
      <c r="D369" s="60">
        <f>INDEX(Tabledaily[date],MATCH(TableDailyJournal[[#This Row],[رقم العملية]],Tabledaily[رقم العملية],0))</f>
        <v>46186</v>
      </c>
      <c r="E369" s="58" t="str">
        <f>INDEX(Tabledaily[نوع العمليــة],MATCH(TableDailyJournal[[#This Row],[رقم العملية]],Tabledaily[رقم العملية],0))</f>
        <v>قيد عهده</v>
      </c>
      <c r="F369" s="58">
        <f>IFERROR(INDEX(TableJudje[رقم الحساب],MATCH(TableDailyJournal[[#This Row],[الحساب]],TableJudje[اسم الحساب],0)),0)</f>
        <v>11060205</v>
      </c>
      <c r="G369" s="58" t="s">
        <v>513</v>
      </c>
      <c r="H369"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369" s="60" t="str">
        <f>INDEX(Tabledaily[العملـــة],MATCH(TableDailyJournal[[#This Row],[رقم العملية]],Tabledaily[رقم العملية],0))</f>
        <v>ريال يمني</v>
      </c>
      <c r="J369" s="59">
        <f>IFERROR(INDEX(Tabledaily[سعــــــر
الصـــــرف],MATCH(C369,Tabledaily[رقم العملية],0)),1)</f>
        <v>405</v>
      </c>
      <c r="K369" s="123" cm="1">
        <f t="array" ref="K369">IFERROR(INDEX(Tabledaily[المبلـــــــغ],MATCH(1,(TableDailyJournal[[#This Row],[رقم العملية]]=Tabledaily[رقم العملية])*(TableDailyJournal[[#This Row],[الحساب]]=Tabledaily[الحســاب المديــــن]),0)),0)</f>
        <v>0</v>
      </c>
      <c r="L369" s="123" cm="1">
        <f t="array" ref="L369">IFERROR(INDEX(Tabledaily[المبلـــــــغ],MATCH(1,(TableDailyJournal[[#This Row],[رقم العملية]]=Tabledaily[رقم العملية])*(TableDailyJournal[[#This Row],[الحساب]]=Tabledaily[الحســاب الدئـــن]),0)),0)</f>
        <v>15000</v>
      </c>
      <c r="M369" s="119">
        <f>IFERROR(TableDailyJournal[[#This Row],[المبلغ مدين]]/TableDailyJournal[[#This Row],[سعــــــر
الصـــــرف]],0)</f>
        <v>0</v>
      </c>
      <c r="N369" s="119">
        <f>IFERROR(TableDailyJournal[[#This Row],[المبلغ دائن]]/TableDailyJournal[[#This Row],[سعــــــر
الصـــــرف]],0)</f>
        <v>37.037037037037038</v>
      </c>
      <c r="O369" s="121" t="str">
        <f>INDEX(Tabledaily[المستفيــــــــد],MATCH(TableDailyJournal[[#This Row],[رقم العملية]],Tabledaily[رقم العملية],0))</f>
        <v>البشرية و الصراف</v>
      </c>
      <c r="P369" s="121" t="str">
        <f>INDEX(Tabledaily[المــــرجـــــــــع],MATCH(TableDailyJournal[[#This Row],[رقم العملية]],Tabledaily[رقم العملية],0))</f>
        <v>كشف صرف</v>
      </c>
      <c r="Q369" s="121" t="str">
        <f>INDEX(Tabledaily[اســـــــم المــــرجــــع],MATCH(TableDailyJournal[[#This Row],[رقم العملية]],Tabledaily[رقم العملية],0))</f>
        <v>كشف صرف</v>
      </c>
      <c r="R369" s="121">
        <f>INDEX(Tabledaily[رقم المـــــرجـــع],MATCH(TableDailyJournal[[#This Row],[رقم العملية]],Tabledaily[رقم العملية],0))</f>
        <v>0</v>
      </c>
      <c r="S369" s="121" t="str">
        <f>INDEX(Tabledaily[مركـــــــزالتكلفــــــة],MATCH(TableDailyJournal[[#This Row],[رقم العملية]],Tabledaily[رقم العملية],0))</f>
        <v>الفرقة الثالثة</v>
      </c>
      <c r="T369" s="121">
        <f>IFERROR(INDEX(tablecost[رقم المركز],MATCH(TableDailyJournal[[#This Row],[مركـــــــزالتكلفــــــة]],tablecost[الاسم],0)),0)</f>
        <v>1</v>
      </c>
      <c r="U369" s="122">
        <f>IFERROR(DATE(TableDailyJournal[[#This Row],[السنــــة]],TableDailyJournal[[#This Row],[الشهــــر]],TableDailyJournal[[#This Row],[الـــــيوم]]),"01-01-2026")</f>
        <v>46186</v>
      </c>
      <c r="V369" s="126"/>
      <c r="W369" s="58"/>
      <c r="X369" s="58">
        <f>IFERROR(YEAR(TableDailyJournal[[#This Row],[التاريخ]]),"")</f>
        <v>2026</v>
      </c>
      <c r="Y369" s="58">
        <f>IFERROR(MONTH(TableDailyJournal[[#This Row],[التاريخ]]),"")</f>
        <v>6</v>
      </c>
      <c r="Z369" s="58">
        <f>IFERROR(DAY(TableDailyJournal[[#This Row],[التاريخ]]),"")</f>
        <v>13</v>
      </c>
      <c r="AA369"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369" s="121">
        <f>INDEX(Tabledaily[جهة الامر],MATCH(TableDailyJournal[[#This Row],[رقم العملية]],Tabledaily[رقم العملية],0))</f>
        <v>0</v>
      </c>
    </row>
    <row r="370" spans="2:28" ht="45.75" x14ac:dyDescent="0.55000000000000004">
      <c r="B370" s="58">
        <f t="shared" si="11"/>
        <v>366</v>
      </c>
      <c r="C370" s="59" t="s">
        <v>723</v>
      </c>
      <c r="D370" s="60">
        <f>INDEX(Tabledaily[date],MATCH(TableDailyJournal[[#This Row],[رقم العملية]],Tabledaily[رقم العملية],0))</f>
        <v>46186</v>
      </c>
      <c r="E370" s="58" t="str">
        <f>INDEX(Tabledaily[نوع العمليــة],MATCH(TableDailyJournal[[#This Row],[رقم العملية]],Tabledaily[رقم العملية],0))</f>
        <v>قيد عهده</v>
      </c>
      <c r="F370" s="58">
        <f>IFERROR(INDEX(TableJudje[رقم الحساب],MATCH(TableDailyJournal[[#This Row],[الحساب]],TableJudje[اسم الحساب],0)),0)</f>
        <v>31010101</v>
      </c>
      <c r="G370" s="58" t="s">
        <v>111</v>
      </c>
      <c r="H370"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370" s="60" t="str">
        <f>INDEX(Tabledaily[العملـــة],MATCH(TableDailyJournal[[#This Row],[رقم العملية]],Tabledaily[رقم العملية],0))</f>
        <v>ريال يمني</v>
      </c>
      <c r="J370" s="59">
        <f>IFERROR(INDEX(Tabledaily[سعــــــر
الصـــــرف],MATCH(C370,Tabledaily[رقم العملية],0)),1)</f>
        <v>405</v>
      </c>
      <c r="K370" s="123" cm="1">
        <f t="array" ref="K370">IFERROR(INDEX(Tabledaily[المبلـــــــغ],MATCH(1,(TableDailyJournal[[#This Row],[رقم العملية]]=Tabledaily[رقم العملية])*(TableDailyJournal[[#This Row],[الحساب]]=Tabledaily[الحســاب المديــــن]),0)),0)</f>
        <v>65000</v>
      </c>
      <c r="L370" s="123" cm="1">
        <f t="array" ref="L370">IFERROR(INDEX(Tabledaily[المبلـــــــغ],MATCH(1,(TableDailyJournal[[#This Row],[رقم العملية]]=Tabledaily[رقم العملية])*(TableDailyJournal[[#This Row],[الحساب]]=Tabledaily[الحســاب الدئـــن]),0)),0)</f>
        <v>0</v>
      </c>
      <c r="M370" s="119">
        <f>IFERROR(TableDailyJournal[[#This Row],[المبلغ مدين]]/TableDailyJournal[[#This Row],[سعــــــر
الصـــــرف]],0)</f>
        <v>160.49382716049382</v>
      </c>
      <c r="N370" s="119">
        <f>IFERROR(TableDailyJournal[[#This Row],[المبلغ دائن]]/TableDailyJournal[[#This Row],[سعــــــر
الصـــــرف]],0)</f>
        <v>0</v>
      </c>
      <c r="O370" s="121" t="str">
        <f>INDEX(Tabledaily[المستفيــــــــد],MATCH(TableDailyJournal[[#This Row],[رقم العملية]],Tabledaily[رقم العملية],0))</f>
        <v>الاستخبارات</v>
      </c>
      <c r="P370" s="121" t="str">
        <f>INDEX(Tabledaily[المــــرجـــــــــع],MATCH(TableDailyJournal[[#This Row],[رقم العملية]],Tabledaily[رقم العملية],0))</f>
        <v>كشف صرف</v>
      </c>
      <c r="Q370" s="121" t="str">
        <f>INDEX(Tabledaily[اســـــــم المــــرجــــع],MATCH(TableDailyJournal[[#This Row],[رقم العملية]],Tabledaily[رقم العملية],0))</f>
        <v>كشف صرف</v>
      </c>
      <c r="R370" s="121">
        <f>INDEX(Tabledaily[رقم المـــــرجـــع],MATCH(TableDailyJournal[[#This Row],[رقم العملية]],Tabledaily[رقم العملية],0))</f>
        <v>0</v>
      </c>
      <c r="S370" s="121" t="str">
        <f>INDEX(Tabledaily[مركـــــــزالتكلفــــــة],MATCH(TableDailyJournal[[#This Row],[رقم العملية]],Tabledaily[رقم العملية],0))</f>
        <v>الفرقة الثالثة</v>
      </c>
      <c r="T370" s="121">
        <f>IFERROR(INDEX(tablecost[رقم المركز],MATCH(TableDailyJournal[[#This Row],[مركـــــــزالتكلفــــــة]],tablecost[الاسم],0)),0)</f>
        <v>1</v>
      </c>
      <c r="U370" s="122">
        <f>IFERROR(DATE(TableDailyJournal[[#This Row],[السنــــة]],TableDailyJournal[[#This Row],[الشهــــر]],TableDailyJournal[[#This Row],[الـــــيوم]]),"01-01-2026")</f>
        <v>46186</v>
      </c>
      <c r="V370" s="126"/>
      <c r="W370" s="58"/>
      <c r="X370" s="58">
        <f>IFERROR(YEAR(TableDailyJournal[[#This Row],[التاريخ]]),"")</f>
        <v>2026</v>
      </c>
      <c r="Y370" s="58">
        <f>IFERROR(MONTH(TableDailyJournal[[#This Row],[التاريخ]]),"")</f>
        <v>6</v>
      </c>
      <c r="Z370" s="58">
        <f>IFERROR(DAY(TableDailyJournal[[#This Row],[التاريخ]]),"")</f>
        <v>13</v>
      </c>
      <c r="AA370"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370" s="121">
        <f>INDEX(Tabledaily[جهة الامر],MATCH(TableDailyJournal[[#This Row],[رقم العملية]],Tabledaily[رقم العملية],0))</f>
        <v>0</v>
      </c>
    </row>
    <row r="371" spans="2:28" ht="45.75" x14ac:dyDescent="0.55000000000000004">
      <c r="B371" s="58">
        <f t="shared" si="11"/>
        <v>367</v>
      </c>
      <c r="C371" s="59" t="s">
        <v>723</v>
      </c>
      <c r="D371" s="60">
        <f>INDEX(Tabledaily[date],MATCH(TableDailyJournal[[#This Row],[رقم العملية]],Tabledaily[رقم العملية],0))</f>
        <v>46186</v>
      </c>
      <c r="E371" s="58" t="str">
        <f>INDEX(Tabledaily[نوع العمليــة],MATCH(TableDailyJournal[[#This Row],[رقم العملية]],Tabledaily[رقم العملية],0))</f>
        <v>قيد عهده</v>
      </c>
      <c r="F371" s="58">
        <f>IFERROR(INDEX(TableJudje[رقم الحساب],MATCH(TableDailyJournal[[#This Row],[الحساب]],TableJudje[اسم الحساب],0)),0)</f>
        <v>11060205</v>
      </c>
      <c r="G371" s="58" t="s">
        <v>513</v>
      </c>
      <c r="H371"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371" s="60" t="str">
        <f>INDEX(Tabledaily[العملـــة],MATCH(TableDailyJournal[[#This Row],[رقم العملية]],Tabledaily[رقم العملية],0))</f>
        <v>ريال يمني</v>
      </c>
      <c r="J371" s="59">
        <f>IFERROR(INDEX(Tabledaily[سعــــــر
الصـــــرف],MATCH(C371,Tabledaily[رقم العملية],0)),1)</f>
        <v>405</v>
      </c>
      <c r="K371" s="123" cm="1">
        <f t="array" ref="K371">IFERROR(INDEX(Tabledaily[المبلـــــــغ],MATCH(1,(TableDailyJournal[[#This Row],[رقم العملية]]=Tabledaily[رقم العملية])*(TableDailyJournal[[#This Row],[الحساب]]=Tabledaily[الحســاب المديــــن]),0)),0)</f>
        <v>0</v>
      </c>
      <c r="L371" s="123" cm="1">
        <f t="array" ref="L371">IFERROR(INDEX(Tabledaily[المبلـــــــغ],MATCH(1,(TableDailyJournal[[#This Row],[رقم العملية]]=Tabledaily[رقم العملية])*(TableDailyJournal[[#This Row],[الحساب]]=Tabledaily[الحســاب الدئـــن]),0)),0)</f>
        <v>65000</v>
      </c>
      <c r="M371" s="119">
        <f>IFERROR(TableDailyJournal[[#This Row],[المبلغ مدين]]/TableDailyJournal[[#This Row],[سعــــــر
الصـــــرف]],0)</f>
        <v>0</v>
      </c>
      <c r="N371" s="119">
        <f>IFERROR(TableDailyJournal[[#This Row],[المبلغ دائن]]/TableDailyJournal[[#This Row],[سعــــــر
الصـــــرف]],0)</f>
        <v>160.49382716049382</v>
      </c>
      <c r="O371" s="121" t="str">
        <f>INDEX(Tabledaily[المستفيــــــــد],MATCH(TableDailyJournal[[#This Row],[رقم العملية]],Tabledaily[رقم العملية],0))</f>
        <v>الاستخبارات</v>
      </c>
      <c r="P371" s="121" t="str">
        <f>INDEX(Tabledaily[المــــرجـــــــــع],MATCH(TableDailyJournal[[#This Row],[رقم العملية]],Tabledaily[رقم العملية],0))</f>
        <v>كشف صرف</v>
      </c>
      <c r="Q371" s="121" t="str">
        <f>INDEX(Tabledaily[اســـــــم المــــرجــــع],MATCH(TableDailyJournal[[#This Row],[رقم العملية]],Tabledaily[رقم العملية],0))</f>
        <v>كشف صرف</v>
      </c>
      <c r="R371" s="121">
        <f>INDEX(Tabledaily[رقم المـــــرجـــع],MATCH(TableDailyJournal[[#This Row],[رقم العملية]],Tabledaily[رقم العملية],0))</f>
        <v>0</v>
      </c>
      <c r="S371" s="121" t="str">
        <f>INDEX(Tabledaily[مركـــــــزالتكلفــــــة],MATCH(TableDailyJournal[[#This Row],[رقم العملية]],Tabledaily[رقم العملية],0))</f>
        <v>الفرقة الثالثة</v>
      </c>
      <c r="T371" s="121">
        <f>IFERROR(INDEX(tablecost[رقم المركز],MATCH(TableDailyJournal[[#This Row],[مركـــــــزالتكلفــــــة]],tablecost[الاسم],0)),0)</f>
        <v>1</v>
      </c>
      <c r="U371" s="122">
        <f>IFERROR(DATE(TableDailyJournal[[#This Row],[السنــــة]],TableDailyJournal[[#This Row],[الشهــــر]],TableDailyJournal[[#This Row],[الـــــيوم]]),"01-01-2026")</f>
        <v>46186</v>
      </c>
      <c r="V371" s="126"/>
      <c r="W371" s="58"/>
      <c r="X371" s="58">
        <f>IFERROR(YEAR(TableDailyJournal[[#This Row],[التاريخ]]),"")</f>
        <v>2026</v>
      </c>
      <c r="Y371" s="58">
        <f>IFERROR(MONTH(TableDailyJournal[[#This Row],[التاريخ]]),"")</f>
        <v>6</v>
      </c>
      <c r="Z371" s="58">
        <f>IFERROR(DAY(TableDailyJournal[[#This Row],[التاريخ]]),"")</f>
        <v>13</v>
      </c>
      <c r="AA371"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371" s="121">
        <f>INDEX(Tabledaily[جهة الامر],MATCH(TableDailyJournal[[#This Row],[رقم العملية]],Tabledaily[رقم العملية],0))</f>
        <v>0</v>
      </c>
    </row>
    <row r="372" spans="2:28" ht="45.75" x14ac:dyDescent="0.55000000000000004">
      <c r="B372" s="58">
        <f t="shared" si="11"/>
        <v>368</v>
      </c>
      <c r="C372" s="59" t="s">
        <v>724</v>
      </c>
      <c r="D372" s="60">
        <f>INDEX(Tabledaily[date],MATCH(TableDailyJournal[[#This Row],[رقم العملية]],Tabledaily[رقم العملية],0))</f>
        <v>46186</v>
      </c>
      <c r="E372" s="58" t="str">
        <f>INDEX(Tabledaily[نوع العمليــة],MATCH(TableDailyJournal[[#This Row],[رقم العملية]],Tabledaily[رقم العملية],0))</f>
        <v>قيد عهده</v>
      </c>
      <c r="F372" s="58">
        <f>IFERROR(INDEX(TableJudje[رقم الحساب],MATCH(TableDailyJournal[[#This Row],[الحساب]],TableJudje[اسم الحساب],0)),0)</f>
        <v>31010101</v>
      </c>
      <c r="G372" s="58" t="s">
        <v>111</v>
      </c>
      <c r="H372"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372" s="60" t="str">
        <f>INDEX(Tabledaily[العملـــة],MATCH(TableDailyJournal[[#This Row],[رقم العملية]],Tabledaily[رقم العملية],0))</f>
        <v>ريال يمني</v>
      </c>
      <c r="J372" s="59">
        <f>IFERROR(INDEX(Tabledaily[سعــــــر
الصـــــرف],MATCH(C372,Tabledaily[رقم العملية],0)),1)</f>
        <v>405</v>
      </c>
      <c r="K372" s="123" cm="1">
        <f t="array" ref="K372">IFERROR(INDEX(Tabledaily[المبلـــــــغ],MATCH(1,(TableDailyJournal[[#This Row],[رقم العملية]]=Tabledaily[رقم العملية])*(TableDailyJournal[[#This Row],[الحساب]]=Tabledaily[الحســاب المديــــن]),0)),0)</f>
        <v>45000</v>
      </c>
      <c r="L372" s="123" cm="1">
        <f t="array" ref="L372">IFERROR(INDEX(Tabledaily[المبلـــــــغ],MATCH(1,(TableDailyJournal[[#This Row],[رقم العملية]]=Tabledaily[رقم العملية])*(TableDailyJournal[[#This Row],[الحساب]]=Tabledaily[الحســاب الدئـــن]),0)),0)</f>
        <v>0</v>
      </c>
      <c r="M372" s="119">
        <f>IFERROR(TableDailyJournal[[#This Row],[المبلغ مدين]]/TableDailyJournal[[#This Row],[سعــــــر
الصـــــرف]],0)</f>
        <v>111.11111111111111</v>
      </c>
      <c r="N372" s="119">
        <f>IFERROR(TableDailyJournal[[#This Row],[المبلغ دائن]]/TableDailyJournal[[#This Row],[سعــــــر
الصـــــرف]],0)</f>
        <v>0</v>
      </c>
      <c r="O372" s="121" t="str">
        <f>INDEX(Tabledaily[المستفيــــــــد],MATCH(TableDailyJournal[[#This Row],[رقم العملية]],Tabledaily[رقم العملية],0))</f>
        <v>المدفعية</v>
      </c>
      <c r="P372" s="121" t="str">
        <f>INDEX(Tabledaily[المــــرجـــــــــع],MATCH(TableDailyJournal[[#This Row],[رقم العملية]],Tabledaily[رقم العملية],0))</f>
        <v>كشف صرف</v>
      </c>
      <c r="Q372" s="121" t="str">
        <f>INDEX(Tabledaily[اســـــــم المــــرجــــع],MATCH(TableDailyJournal[[#This Row],[رقم العملية]],Tabledaily[رقم العملية],0))</f>
        <v>كشف صرف</v>
      </c>
      <c r="R372" s="121">
        <f>INDEX(Tabledaily[رقم المـــــرجـــع],MATCH(TableDailyJournal[[#This Row],[رقم العملية]],Tabledaily[رقم العملية],0))</f>
        <v>0</v>
      </c>
      <c r="S372" s="121" t="str">
        <f>INDEX(Tabledaily[مركـــــــزالتكلفــــــة],MATCH(TableDailyJournal[[#This Row],[رقم العملية]],Tabledaily[رقم العملية],0))</f>
        <v>الفرقة الثالثة</v>
      </c>
      <c r="T372" s="121">
        <f>IFERROR(INDEX(tablecost[رقم المركز],MATCH(TableDailyJournal[[#This Row],[مركـــــــزالتكلفــــــة]],tablecost[الاسم],0)),0)</f>
        <v>1</v>
      </c>
      <c r="U372" s="122">
        <f>IFERROR(DATE(TableDailyJournal[[#This Row],[السنــــة]],TableDailyJournal[[#This Row],[الشهــــر]],TableDailyJournal[[#This Row],[الـــــيوم]]),"01-01-2026")</f>
        <v>46186</v>
      </c>
      <c r="V372" s="126"/>
      <c r="W372" s="58"/>
      <c r="X372" s="58">
        <f>IFERROR(YEAR(TableDailyJournal[[#This Row],[التاريخ]]),"")</f>
        <v>2026</v>
      </c>
      <c r="Y372" s="58">
        <f>IFERROR(MONTH(TableDailyJournal[[#This Row],[التاريخ]]),"")</f>
        <v>6</v>
      </c>
      <c r="Z372" s="58">
        <f>IFERROR(DAY(TableDailyJournal[[#This Row],[التاريخ]]),"")</f>
        <v>13</v>
      </c>
      <c r="AA372"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372" s="121">
        <f>INDEX(Tabledaily[جهة الامر],MATCH(TableDailyJournal[[#This Row],[رقم العملية]],Tabledaily[رقم العملية],0))</f>
        <v>0</v>
      </c>
    </row>
    <row r="373" spans="2:28" ht="45.75" x14ac:dyDescent="0.55000000000000004">
      <c r="B373" s="58">
        <f t="shared" si="11"/>
        <v>369</v>
      </c>
      <c r="C373" s="59" t="s">
        <v>724</v>
      </c>
      <c r="D373" s="60">
        <f>INDEX(Tabledaily[date],MATCH(TableDailyJournal[[#This Row],[رقم العملية]],Tabledaily[رقم العملية],0))</f>
        <v>46186</v>
      </c>
      <c r="E373" s="58" t="str">
        <f>INDEX(Tabledaily[نوع العمليــة],MATCH(TableDailyJournal[[#This Row],[رقم العملية]],Tabledaily[رقم العملية],0))</f>
        <v>قيد عهده</v>
      </c>
      <c r="F373" s="58">
        <f>IFERROR(INDEX(TableJudje[رقم الحساب],MATCH(TableDailyJournal[[#This Row],[الحساب]],TableJudje[اسم الحساب],0)),0)</f>
        <v>11060205</v>
      </c>
      <c r="G373" s="58" t="s">
        <v>513</v>
      </c>
      <c r="H373"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373" s="60" t="str">
        <f>INDEX(Tabledaily[العملـــة],MATCH(TableDailyJournal[[#This Row],[رقم العملية]],Tabledaily[رقم العملية],0))</f>
        <v>ريال يمني</v>
      </c>
      <c r="J373" s="59">
        <f>IFERROR(INDEX(Tabledaily[سعــــــر
الصـــــرف],MATCH(C373,Tabledaily[رقم العملية],0)),1)</f>
        <v>405</v>
      </c>
      <c r="K373" s="123" cm="1">
        <f t="array" ref="K373">IFERROR(INDEX(Tabledaily[المبلـــــــغ],MATCH(1,(TableDailyJournal[[#This Row],[رقم العملية]]=Tabledaily[رقم العملية])*(TableDailyJournal[[#This Row],[الحساب]]=Tabledaily[الحســاب المديــــن]),0)),0)</f>
        <v>0</v>
      </c>
      <c r="L373" s="123" cm="1">
        <f t="array" ref="L373">IFERROR(INDEX(Tabledaily[المبلـــــــغ],MATCH(1,(TableDailyJournal[[#This Row],[رقم العملية]]=Tabledaily[رقم العملية])*(TableDailyJournal[[#This Row],[الحساب]]=Tabledaily[الحســاب الدئـــن]),0)),0)</f>
        <v>45000</v>
      </c>
      <c r="M373" s="119">
        <f>IFERROR(TableDailyJournal[[#This Row],[المبلغ مدين]]/TableDailyJournal[[#This Row],[سعــــــر
الصـــــرف]],0)</f>
        <v>0</v>
      </c>
      <c r="N373" s="119">
        <f>IFERROR(TableDailyJournal[[#This Row],[المبلغ دائن]]/TableDailyJournal[[#This Row],[سعــــــر
الصـــــرف]],0)</f>
        <v>111.11111111111111</v>
      </c>
      <c r="O373" s="121" t="str">
        <f>INDEX(Tabledaily[المستفيــــــــد],MATCH(TableDailyJournal[[#This Row],[رقم العملية]],Tabledaily[رقم العملية],0))</f>
        <v>المدفعية</v>
      </c>
      <c r="P373" s="121" t="str">
        <f>INDEX(Tabledaily[المــــرجـــــــــع],MATCH(TableDailyJournal[[#This Row],[رقم العملية]],Tabledaily[رقم العملية],0))</f>
        <v>كشف صرف</v>
      </c>
      <c r="Q373" s="121" t="str">
        <f>INDEX(Tabledaily[اســـــــم المــــرجــــع],MATCH(TableDailyJournal[[#This Row],[رقم العملية]],Tabledaily[رقم العملية],0))</f>
        <v>كشف صرف</v>
      </c>
      <c r="R373" s="121">
        <f>INDEX(Tabledaily[رقم المـــــرجـــع],MATCH(TableDailyJournal[[#This Row],[رقم العملية]],Tabledaily[رقم العملية],0))</f>
        <v>0</v>
      </c>
      <c r="S373" s="121" t="str">
        <f>INDEX(Tabledaily[مركـــــــزالتكلفــــــة],MATCH(TableDailyJournal[[#This Row],[رقم العملية]],Tabledaily[رقم العملية],0))</f>
        <v>الفرقة الثالثة</v>
      </c>
      <c r="T373" s="121">
        <f>IFERROR(INDEX(tablecost[رقم المركز],MATCH(TableDailyJournal[[#This Row],[مركـــــــزالتكلفــــــة]],tablecost[الاسم],0)),0)</f>
        <v>1</v>
      </c>
      <c r="U373" s="122">
        <f>IFERROR(DATE(TableDailyJournal[[#This Row],[السنــــة]],TableDailyJournal[[#This Row],[الشهــــر]],TableDailyJournal[[#This Row],[الـــــيوم]]),"01-01-2026")</f>
        <v>46186</v>
      </c>
      <c r="V373" s="126"/>
      <c r="W373" s="58"/>
      <c r="X373" s="58">
        <f>IFERROR(YEAR(TableDailyJournal[[#This Row],[التاريخ]]),"")</f>
        <v>2026</v>
      </c>
      <c r="Y373" s="58">
        <f>IFERROR(MONTH(TableDailyJournal[[#This Row],[التاريخ]]),"")</f>
        <v>6</v>
      </c>
      <c r="Z373" s="58">
        <f>IFERROR(DAY(TableDailyJournal[[#This Row],[التاريخ]]),"")</f>
        <v>13</v>
      </c>
      <c r="AA373"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373" s="121">
        <f>INDEX(Tabledaily[جهة الامر],MATCH(TableDailyJournal[[#This Row],[رقم العملية]],Tabledaily[رقم العملية],0))</f>
        <v>0</v>
      </c>
    </row>
    <row r="374" spans="2:28" ht="45.75" x14ac:dyDescent="0.55000000000000004">
      <c r="B374" s="58">
        <f t="shared" si="11"/>
        <v>370</v>
      </c>
      <c r="C374" s="59" t="s">
        <v>725</v>
      </c>
      <c r="D374" s="60">
        <f>INDEX(Tabledaily[date],MATCH(TableDailyJournal[[#This Row],[رقم العملية]],Tabledaily[رقم العملية],0))</f>
        <v>46186</v>
      </c>
      <c r="E374" s="58" t="str">
        <f>INDEX(Tabledaily[نوع العمليــة],MATCH(TableDailyJournal[[#This Row],[رقم العملية]],Tabledaily[رقم العملية],0))</f>
        <v>قيد عهده</v>
      </c>
      <c r="F374" s="58">
        <f>IFERROR(INDEX(TableJudje[رقم الحساب],MATCH(TableDailyJournal[[#This Row],[الحساب]],TableJudje[اسم الحساب],0)),0)</f>
        <v>31010101</v>
      </c>
      <c r="G374" s="58" t="s">
        <v>111</v>
      </c>
      <c r="H374"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I374" s="60" t="str">
        <f>INDEX(Tabledaily[العملـــة],MATCH(TableDailyJournal[[#This Row],[رقم العملية]],Tabledaily[رقم العملية],0))</f>
        <v>ريال يمني</v>
      </c>
      <c r="J374" s="59">
        <f>IFERROR(INDEX(Tabledaily[سعــــــر
الصـــــرف],MATCH(C374,Tabledaily[رقم العملية],0)),1)</f>
        <v>405</v>
      </c>
      <c r="K374" s="123" cm="1">
        <f t="array" ref="K374">IFERROR(INDEX(Tabledaily[المبلـــــــغ],MATCH(1,(TableDailyJournal[[#This Row],[رقم العملية]]=Tabledaily[رقم العملية])*(TableDailyJournal[[#This Row],[الحساب]]=Tabledaily[الحســاب المديــــن]),0)),0)</f>
        <v>75000</v>
      </c>
      <c r="L374" s="123" cm="1">
        <f t="array" ref="L374">IFERROR(INDEX(Tabledaily[المبلـــــــغ],MATCH(1,(TableDailyJournal[[#This Row],[رقم العملية]]=Tabledaily[رقم العملية])*(TableDailyJournal[[#This Row],[الحساب]]=Tabledaily[الحســاب الدئـــن]),0)),0)</f>
        <v>0</v>
      </c>
      <c r="M374" s="119">
        <f>IFERROR(TableDailyJournal[[#This Row],[المبلغ مدين]]/TableDailyJournal[[#This Row],[سعــــــر
الصـــــرف]],0)</f>
        <v>185.18518518518519</v>
      </c>
      <c r="N374" s="119">
        <f>IFERROR(TableDailyJournal[[#This Row],[المبلغ دائن]]/TableDailyJournal[[#This Row],[سعــــــر
الصـــــرف]],0)</f>
        <v>0</v>
      </c>
      <c r="O374" s="121" t="str">
        <f>INDEX(Tabledaily[المستفيــــــــد],MATCH(TableDailyJournal[[#This Row],[رقم العملية]],Tabledaily[رقم العملية],0))</f>
        <v>المستشارين والمساعدين</v>
      </c>
      <c r="P374" s="121" t="str">
        <f>INDEX(Tabledaily[المــــرجـــــــــع],MATCH(TableDailyJournal[[#This Row],[رقم العملية]],Tabledaily[رقم العملية],0))</f>
        <v>كشف صرف</v>
      </c>
      <c r="Q374" s="121" t="str">
        <f>INDEX(Tabledaily[اســـــــم المــــرجــــع],MATCH(TableDailyJournal[[#This Row],[رقم العملية]],Tabledaily[رقم العملية],0))</f>
        <v>كشف صرف</v>
      </c>
      <c r="R374" s="121">
        <f>INDEX(Tabledaily[رقم المـــــرجـــع],MATCH(TableDailyJournal[[#This Row],[رقم العملية]],Tabledaily[رقم العملية],0))</f>
        <v>0</v>
      </c>
      <c r="S374" s="121" t="str">
        <f>INDEX(Tabledaily[مركـــــــزالتكلفــــــة],MATCH(TableDailyJournal[[#This Row],[رقم العملية]],Tabledaily[رقم العملية],0))</f>
        <v>الفرقة الثالثة</v>
      </c>
      <c r="T374" s="121">
        <f>IFERROR(INDEX(tablecost[رقم المركز],MATCH(TableDailyJournal[[#This Row],[مركـــــــزالتكلفــــــة]],tablecost[الاسم],0)),0)</f>
        <v>1</v>
      </c>
      <c r="U374" s="122">
        <f>IFERROR(DATE(TableDailyJournal[[#This Row],[السنــــة]],TableDailyJournal[[#This Row],[الشهــــر]],TableDailyJournal[[#This Row],[الـــــيوم]]),"01-01-2026")</f>
        <v>46186</v>
      </c>
      <c r="V374" s="126"/>
      <c r="W374" s="58"/>
      <c r="X374" s="58">
        <f>IFERROR(YEAR(TableDailyJournal[[#This Row],[التاريخ]]),"")</f>
        <v>2026</v>
      </c>
      <c r="Y374" s="58">
        <f>IFERROR(MONTH(TableDailyJournal[[#This Row],[التاريخ]]),"")</f>
        <v>6</v>
      </c>
      <c r="Z374" s="58">
        <f>IFERROR(DAY(TableDailyJournal[[#This Row],[التاريخ]]),"")</f>
        <v>13</v>
      </c>
      <c r="AA374"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AB374" s="121">
        <f>INDEX(Tabledaily[جهة الامر],MATCH(TableDailyJournal[[#This Row],[رقم العملية]],Tabledaily[رقم العملية],0))</f>
        <v>0</v>
      </c>
    </row>
    <row r="375" spans="2:28" ht="45.75" x14ac:dyDescent="0.55000000000000004">
      <c r="B375" s="58">
        <f t="shared" si="11"/>
        <v>371</v>
      </c>
      <c r="C375" s="59" t="s">
        <v>725</v>
      </c>
      <c r="D375" s="60">
        <f>INDEX(Tabledaily[date],MATCH(TableDailyJournal[[#This Row],[رقم العملية]],Tabledaily[رقم العملية],0))</f>
        <v>46186</v>
      </c>
      <c r="E375" s="58" t="str">
        <f>INDEX(Tabledaily[نوع العمليــة],MATCH(TableDailyJournal[[#This Row],[رقم العملية]],Tabledaily[رقم العملية],0))</f>
        <v>قيد عهده</v>
      </c>
      <c r="F375" s="58">
        <f>IFERROR(INDEX(TableJudje[رقم الحساب],MATCH(TableDailyJournal[[#This Row],[الحساب]],TableJudje[اسم الحساب],0)),0)</f>
        <v>11060205</v>
      </c>
      <c r="G375" s="58" t="s">
        <v>513</v>
      </c>
      <c r="H375"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I375" s="60" t="str">
        <f>INDEX(Tabledaily[العملـــة],MATCH(TableDailyJournal[[#This Row],[رقم العملية]],Tabledaily[رقم العملية],0))</f>
        <v>ريال يمني</v>
      </c>
      <c r="J375" s="59">
        <f>IFERROR(INDEX(Tabledaily[سعــــــر
الصـــــرف],MATCH(C375,Tabledaily[رقم العملية],0)),1)</f>
        <v>405</v>
      </c>
      <c r="K375" s="123" cm="1">
        <f t="array" ref="K375">IFERROR(INDEX(Tabledaily[المبلـــــــغ],MATCH(1,(TableDailyJournal[[#This Row],[رقم العملية]]=Tabledaily[رقم العملية])*(TableDailyJournal[[#This Row],[الحساب]]=Tabledaily[الحســاب المديــــن]),0)),0)</f>
        <v>0</v>
      </c>
      <c r="L375" s="123" cm="1">
        <f t="array" ref="L375">IFERROR(INDEX(Tabledaily[المبلـــــــغ],MATCH(1,(TableDailyJournal[[#This Row],[رقم العملية]]=Tabledaily[رقم العملية])*(TableDailyJournal[[#This Row],[الحساب]]=Tabledaily[الحســاب الدئـــن]),0)),0)</f>
        <v>75000</v>
      </c>
      <c r="M375" s="119">
        <f>IFERROR(TableDailyJournal[[#This Row],[المبلغ مدين]]/TableDailyJournal[[#This Row],[سعــــــر
الصـــــرف]],0)</f>
        <v>0</v>
      </c>
      <c r="N375" s="119">
        <f>IFERROR(TableDailyJournal[[#This Row],[المبلغ دائن]]/TableDailyJournal[[#This Row],[سعــــــر
الصـــــرف]],0)</f>
        <v>185.18518518518519</v>
      </c>
      <c r="O375" s="121" t="str">
        <f>INDEX(Tabledaily[المستفيــــــــد],MATCH(TableDailyJournal[[#This Row],[رقم العملية]],Tabledaily[رقم العملية],0))</f>
        <v>المستشارين والمساعدين</v>
      </c>
      <c r="P375" s="121" t="str">
        <f>INDEX(Tabledaily[المــــرجـــــــــع],MATCH(TableDailyJournal[[#This Row],[رقم العملية]],Tabledaily[رقم العملية],0))</f>
        <v>كشف صرف</v>
      </c>
      <c r="Q375" s="121" t="str">
        <f>INDEX(Tabledaily[اســـــــم المــــرجــــع],MATCH(TableDailyJournal[[#This Row],[رقم العملية]],Tabledaily[رقم العملية],0))</f>
        <v>كشف صرف</v>
      </c>
      <c r="R375" s="121">
        <f>INDEX(Tabledaily[رقم المـــــرجـــع],MATCH(TableDailyJournal[[#This Row],[رقم العملية]],Tabledaily[رقم العملية],0))</f>
        <v>0</v>
      </c>
      <c r="S375" s="121" t="str">
        <f>INDEX(Tabledaily[مركـــــــزالتكلفــــــة],MATCH(TableDailyJournal[[#This Row],[رقم العملية]],Tabledaily[رقم العملية],0))</f>
        <v>الفرقة الثالثة</v>
      </c>
      <c r="T375" s="121">
        <f>IFERROR(INDEX(tablecost[رقم المركز],MATCH(TableDailyJournal[[#This Row],[مركـــــــزالتكلفــــــة]],tablecost[الاسم],0)),0)</f>
        <v>1</v>
      </c>
      <c r="U375" s="122">
        <f>IFERROR(DATE(TableDailyJournal[[#This Row],[السنــــة]],TableDailyJournal[[#This Row],[الشهــــر]],TableDailyJournal[[#This Row],[الـــــيوم]]),"01-01-2026")</f>
        <v>46186</v>
      </c>
      <c r="V375" s="126"/>
      <c r="W375" s="58"/>
      <c r="X375" s="58">
        <f>IFERROR(YEAR(TableDailyJournal[[#This Row],[التاريخ]]),"")</f>
        <v>2026</v>
      </c>
      <c r="Y375" s="58">
        <f>IFERROR(MONTH(TableDailyJournal[[#This Row],[التاريخ]]),"")</f>
        <v>6</v>
      </c>
      <c r="Z375" s="58">
        <f>IFERROR(DAY(TableDailyJournal[[#This Row],[التاريخ]]),"")</f>
        <v>13</v>
      </c>
      <c r="AA375"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7 بامر</v>
      </c>
      <c r="AB375" s="121">
        <f>INDEX(Tabledaily[جهة الامر],MATCH(TableDailyJournal[[#This Row],[رقم العملية]],Tabledaily[رقم العملية],0))</f>
        <v>0</v>
      </c>
    </row>
    <row r="376" spans="2:28" ht="45.75" x14ac:dyDescent="0.55000000000000004">
      <c r="B376" s="58">
        <f t="shared" si="11"/>
        <v>372</v>
      </c>
      <c r="C376" s="59" t="s">
        <v>726</v>
      </c>
      <c r="D376" s="60">
        <f>INDEX(Tabledaily[date],MATCH(TableDailyJournal[[#This Row],[رقم العملية]],Tabledaily[رقم العملية],0))</f>
        <v>46186</v>
      </c>
      <c r="E376" s="58" t="str">
        <f>INDEX(Tabledaily[نوع العمليــة],MATCH(TableDailyJournal[[#This Row],[رقم العملية]],Tabledaily[رقم العملية],0))</f>
        <v>قيد عهده</v>
      </c>
      <c r="F376" s="58">
        <f>IFERROR(INDEX(TableJudje[رقم الحساب],MATCH(TableDailyJournal[[#This Row],[الحساب]],TableJudje[اسم الحساب],0)),0)</f>
        <v>31010101</v>
      </c>
      <c r="G376" s="58" t="s">
        <v>111</v>
      </c>
      <c r="H376"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376" s="60" t="str">
        <f>INDEX(Tabledaily[العملـــة],MATCH(TableDailyJournal[[#This Row],[رقم العملية]],Tabledaily[رقم العملية],0))</f>
        <v>ريال يمني</v>
      </c>
      <c r="J376" s="59">
        <f>IFERROR(INDEX(Tabledaily[سعــــــر
الصـــــرف],MATCH(C376,Tabledaily[رقم العملية],0)),1)</f>
        <v>405</v>
      </c>
      <c r="K376" s="123" cm="1">
        <f t="array" ref="K376">IFERROR(INDEX(Tabledaily[المبلـــــــغ],MATCH(1,(TableDailyJournal[[#This Row],[رقم العملية]]=Tabledaily[رقم العملية])*(TableDailyJournal[[#This Row],[الحساب]]=Tabledaily[الحســاب المديــــن]),0)),0)</f>
        <v>14000</v>
      </c>
      <c r="L376" s="123" cm="1">
        <f t="array" ref="L376">IFERROR(INDEX(Tabledaily[المبلـــــــغ],MATCH(1,(TableDailyJournal[[#This Row],[رقم العملية]]=Tabledaily[رقم العملية])*(TableDailyJournal[[#This Row],[الحساب]]=Tabledaily[الحســاب الدئـــن]),0)),0)</f>
        <v>0</v>
      </c>
      <c r="M376" s="119">
        <f>IFERROR(TableDailyJournal[[#This Row],[المبلغ مدين]]/TableDailyJournal[[#This Row],[سعــــــر
الصـــــرف]],0)</f>
        <v>34.567901234567898</v>
      </c>
      <c r="N376" s="119">
        <f>IFERROR(TableDailyJournal[[#This Row],[المبلغ دائن]]/TableDailyJournal[[#This Row],[سعــــــر
الصـــــرف]],0)</f>
        <v>0</v>
      </c>
      <c r="O376" s="121" t="str">
        <f>INDEX(Tabledaily[المستفيــــــــد],MATCH(TableDailyJournal[[#This Row],[رقم العملية]],Tabledaily[رقم العملية],0))</f>
        <v>الطبية والمحاسبين</v>
      </c>
      <c r="P376" s="121" t="str">
        <f>INDEX(Tabledaily[المــــرجـــــــــع],MATCH(TableDailyJournal[[#This Row],[رقم العملية]],Tabledaily[رقم العملية],0))</f>
        <v>كشف صرف</v>
      </c>
      <c r="Q376" s="121" t="str">
        <f>INDEX(Tabledaily[اســـــــم المــــرجــــع],MATCH(TableDailyJournal[[#This Row],[رقم العملية]],Tabledaily[رقم العملية],0))</f>
        <v>كشف صرف</v>
      </c>
      <c r="R376" s="121">
        <f>INDEX(Tabledaily[رقم المـــــرجـــع],MATCH(TableDailyJournal[[#This Row],[رقم العملية]],Tabledaily[رقم العملية],0))</f>
        <v>0</v>
      </c>
      <c r="S376" s="121" t="str">
        <f>INDEX(Tabledaily[مركـــــــزالتكلفــــــة],MATCH(TableDailyJournal[[#This Row],[رقم العملية]],Tabledaily[رقم العملية],0))</f>
        <v>الفرقة الثالثة</v>
      </c>
      <c r="T376" s="121">
        <f>IFERROR(INDEX(tablecost[رقم المركز],MATCH(TableDailyJournal[[#This Row],[مركـــــــزالتكلفــــــة]],tablecost[الاسم],0)),0)</f>
        <v>1</v>
      </c>
      <c r="U376" s="122">
        <f>IFERROR(DATE(TableDailyJournal[[#This Row],[السنــــة]],TableDailyJournal[[#This Row],[الشهــــر]],TableDailyJournal[[#This Row],[الـــــيوم]]),"01-01-2026")</f>
        <v>46186</v>
      </c>
      <c r="V376" s="126"/>
      <c r="W376" s="58"/>
      <c r="X376" s="58">
        <f>IFERROR(YEAR(TableDailyJournal[[#This Row],[التاريخ]]),"")</f>
        <v>2026</v>
      </c>
      <c r="Y376" s="58">
        <f>IFERROR(MONTH(TableDailyJournal[[#This Row],[التاريخ]]),"")</f>
        <v>6</v>
      </c>
      <c r="Z376" s="58">
        <f>IFERROR(DAY(TableDailyJournal[[#This Row],[التاريخ]]),"")</f>
        <v>13</v>
      </c>
      <c r="AA376"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376" s="121">
        <f>INDEX(Tabledaily[جهة الامر],MATCH(TableDailyJournal[[#This Row],[رقم العملية]],Tabledaily[رقم العملية],0))</f>
        <v>0</v>
      </c>
    </row>
    <row r="377" spans="2:28" ht="45.75" x14ac:dyDescent="0.55000000000000004">
      <c r="B377" s="58">
        <f t="shared" si="11"/>
        <v>373</v>
      </c>
      <c r="C377" s="59" t="s">
        <v>726</v>
      </c>
      <c r="D377" s="60">
        <f>INDEX(Tabledaily[date],MATCH(TableDailyJournal[[#This Row],[رقم العملية]],Tabledaily[رقم العملية],0))</f>
        <v>46186</v>
      </c>
      <c r="E377" s="58" t="str">
        <f>INDEX(Tabledaily[نوع العمليــة],MATCH(TableDailyJournal[[#This Row],[رقم العملية]],Tabledaily[رقم العملية],0))</f>
        <v>قيد عهده</v>
      </c>
      <c r="F377" s="58">
        <f>IFERROR(INDEX(TableJudje[رقم الحساب],MATCH(TableDailyJournal[[#This Row],[الحساب]],TableJudje[اسم الحساب],0)),0)</f>
        <v>11060205</v>
      </c>
      <c r="G377" s="58" t="s">
        <v>513</v>
      </c>
      <c r="H377"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377" s="60" t="str">
        <f>INDEX(Tabledaily[العملـــة],MATCH(TableDailyJournal[[#This Row],[رقم العملية]],Tabledaily[رقم العملية],0))</f>
        <v>ريال يمني</v>
      </c>
      <c r="J377" s="59">
        <f>IFERROR(INDEX(Tabledaily[سعــــــر
الصـــــرف],MATCH(C377,Tabledaily[رقم العملية],0)),1)</f>
        <v>405</v>
      </c>
      <c r="K377" s="123" cm="1">
        <f t="array" ref="K377">IFERROR(INDEX(Tabledaily[المبلـــــــغ],MATCH(1,(TableDailyJournal[[#This Row],[رقم العملية]]=Tabledaily[رقم العملية])*(TableDailyJournal[[#This Row],[الحساب]]=Tabledaily[الحســاب المديــــن]),0)),0)</f>
        <v>0</v>
      </c>
      <c r="L377" s="123" cm="1">
        <f t="array" ref="L377">IFERROR(INDEX(Tabledaily[المبلـــــــغ],MATCH(1,(TableDailyJournal[[#This Row],[رقم العملية]]=Tabledaily[رقم العملية])*(TableDailyJournal[[#This Row],[الحساب]]=Tabledaily[الحســاب الدئـــن]),0)),0)</f>
        <v>14000</v>
      </c>
      <c r="M377" s="119">
        <f>IFERROR(TableDailyJournal[[#This Row],[المبلغ مدين]]/TableDailyJournal[[#This Row],[سعــــــر
الصـــــرف]],0)</f>
        <v>0</v>
      </c>
      <c r="N377" s="119">
        <f>IFERROR(TableDailyJournal[[#This Row],[المبلغ دائن]]/TableDailyJournal[[#This Row],[سعــــــر
الصـــــرف]],0)</f>
        <v>34.567901234567898</v>
      </c>
      <c r="O377" s="121" t="str">
        <f>INDEX(Tabledaily[المستفيــــــــد],MATCH(TableDailyJournal[[#This Row],[رقم العملية]],Tabledaily[رقم العملية],0))</f>
        <v>الطبية والمحاسبين</v>
      </c>
      <c r="P377" s="121" t="str">
        <f>INDEX(Tabledaily[المــــرجـــــــــع],MATCH(TableDailyJournal[[#This Row],[رقم العملية]],Tabledaily[رقم العملية],0))</f>
        <v>كشف صرف</v>
      </c>
      <c r="Q377" s="121" t="str">
        <f>INDEX(Tabledaily[اســـــــم المــــرجــــع],MATCH(TableDailyJournal[[#This Row],[رقم العملية]],Tabledaily[رقم العملية],0))</f>
        <v>كشف صرف</v>
      </c>
      <c r="R377" s="121">
        <f>INDEX(Tabledaily[رقم المـــــرجـــع],MATCH(TableDailyJournal[[#This Row],[رقم العملية]],Tabledaily[رقم العملية],0))</f>
        <v>0</v>
      </c>
      <c r="S377" s="121" t="str">
        <f>INDEX(Tabledaily[مركـــــــزالتكلفــــــة],MATCH(TableDailyJournal[[#This Row],[رقم العملية]],Tabledaily[رقم العملية],0))</f>
        <v>الفرقة الثالثة</v>
      </c>
      <c r="T377" s="121">
        <f>IFERROR(INDEX(tablecost[رقم المركز],MATCH(TableDailyJournal[[#This Row],[مركـــــــزالتكلفــــــة]],tablecost[الاسم],0)),0)</f>
        <v>1</v>
      </c>
      <c r="U377" s="122">
        <f>IFERROR(DATE(TableDailyJournal[[#This Row],[السنــــة]],TableDailyJournal[[#This Row],[الشهــــر]],TableDailyJournal[[#This Row],[الـــــيوم]]),"01-01-2026")</f>
        <v>46186</v>
      </c>
      <c r="V377" s="126"/>
      <c r="W377" s="58"/>
      <c r="X377" s="58">
        <f>IFERROR(YEAR(TableDailyJournal[[#This Row],[التاريخ]]),"")</f>
        <v>2026</v>
      </c>
      <c r="Y377" s="58">
        <f>IFERROR(MONTH(TableDailyJournal[[#This Row],[التاريخ]]),"")</f>
        <v>6</v>
      </c>
      <c r="Z377" s="58">
        <f>IFERROR(DAY(TableDailyJournal[[#This Row],[التاريخ]]),"")</f>
        <v>13</v>
      </c>
      <c r="AA377"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377" s="121">
        <f>INDEX(Tabledaily[جهة الامر],MATCH(TableDailyJournal[[#This Row],[رقم العملية]],Tabledaily[رقم العملية],0))</f>
        <v>0</v>
      </c>
    </row>
    <row r="378" spans="2:28" ht="45.75" x14ac:dyDescent="0.55000000000000004">
      <c r="B378" s="58">
        <f t="shared" si="11"/>
        <v>374</v>
      </c>
      <c r="C378" s="59" t="s">
        <v>727</v>
      </c>
      <c r="D378" s="60">
        <f>INDEX(Tabledaily[date],MATCH(TableDailyJournal[[#This Row],[رقم العملية]],Tabledaily[رقم العملية],0))</f>
        <v>46186</v>
      </c>
      <c r="E378" s="58" t="str">
        <f>INDEX(Tabledaily[نوع العمليــة],MATCH(TableDailyJournal[[#This Row],[رقم العملية]],Tabledaily[رقم العملية],0))</f>
        <v>قيد عهده</v>
      </c>
      <c r="F378" s="58">
        <f>IFERROR(INDEX(TableJudje[رقم الحساب],MATCH(TableDailyJournal[[#This Row],[الحساب]],TableJudje[اسم الحساب],0)),0)</f>
        <v>31010101</v>
      </c>
      <c r="G378" s="58" t="s">
        <v>111</v>
      </c>
      <c r="H378"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I378" s="60" t="str">
        <f>INDEX(Tabledaily[العملـــة],MATCH(TableDailyJournal[[#This Row],[رقم العملية]],Tabledaily[رقم العملية],0))</f>
        <v>ريال يمني</v>
      </c>
      <c r="J378" s="59">
        <f>IFERROR(INDEX(Tabledaily[سعــــــر
الصـــــرف],MATCH(C378,Tabledaily[رقم العملية],0)),1)</f>
        <v>405</v>
      </c>
      <c r="K378" s="123" cm="1">
        <f t="array" ref="K378">IFERROR(INDEX(Tabledaily[المبلـــــــغ],MATCH(1,(TableDailyJournal[[#This Row],[رقم العملية]]=Tabledaily[رقم العملية])*(TableDailyJournal[[#This Row],[الحساب]]=Tabledaily[الحســاب المديــــن]),0)),0)</f>
        <v>100000</v>
      </c>
      <c r="L378" s="123" cm="1">
        <f t="array" ref="L378">IFERROR(INDEX(Tabledaily[المبلـــــــغ],MATCH(1,(TableDailyJournal[[#This Row],[رقم العملية]]=Tabledaily[رقم العملية])*(TableDailyJournal[[#This Row],[الحساب]]=Tabledaily[الحســاب الدئـــن]),0)),0)</f>
        <v>0</v>
      </c>
      <c r="M378" s="119">
        <f>IFERROR(TableDailyJournal[[#This Row],[المبلغ مدين]]/TableDailyJournal[[#This Row],[سعــــــر
الصـــــرف]],0)</f>
        <v>246.91358024691357</v>
      </c>
      <c r="N378" s="119">
        <f>IFERROR(TableDailyJournal[[#This Row],[المبلغ دائن]]/TableDailyJournal[[#This Row],[سعــــــر
الصـــــرف]],0)</f>
        <v>0</v>
      </c>
      <c r="O378" s="121" t="str">
        <f>INDEX(Tabledaily[المستفيــــــــد],MATCH(TableDailyJournal[[#This Row],[رقم العملية]],Tabledaily[رقم العملية],0))</f>
        <v>الضباط السابقين</v>
      </c>
      <c r="P378" s="121" t="str">
        <f>INDEX(Tabledaily[المــــرجـــــــــع],MATCH(TableDailyJournal[[#This Row],[رقم العملية]],Tabledaily[رقم العملية],0))</f>
        <v>كشف صرف</v>
      </c>
      <c r="Q378" s="121" t="str">
        <f>INDEX(Tabledaily[اســـــــم المــــرجــــع],MATCH(TableDailyJournal[[#This Row],[رقم العملية]],Tabledaily[رقم العملية],0))</f>
        <v>كشف صرف</v>
      </c>
      <c r="R378" s="121">
        <f>INDEX(Tabledaily[رقم المـــــرجـــع],MATCH(TableDailyJournal[[#This Row],[رقم العملية]],Tabledaily[رقم العملية],0))</f>
        <v>0</v>
      </c>
      <c r="S378" s="121" t="str">
        <f>INDEX(Tabledaily[مركـــــــزالتكلفــــــة],MATCH(TableDailyJournal[[#This Row],[رقم العملية]],Tabledaily[رقم العملية],0))</f>
        <v>الفرقة الثالثة</v>
      </c>
      <c r="T378" s="121">
        <f>IFERROR(INDEX(tablecost[رقم المركز],MATCH(TableDailyJournal[[#This Row],[مركـــــــزالتكلفــــــة]],tablecost[الاسم],0)),0)</f>
        <v>1</v>
      </c>
      <c r="U378" s="122">
        <f>IFERROR(DATE(TableDailyJournal[[#This Row],[السنــــة]],TableDailyJournal[[#This Row],[الشهــــر]],TableDailyJournal[[#This Row],[الـــــيوم]]),"01-01-2026")</f>
        <v>46186</v>
      </c>
      <c r="V378" s="126"/>
      <c r="W378" s="58"/>
      <c r="X378" s="58">
        <f>IFERROR(YEAR(TableDailyJournal[[#This Row],[التاريخ]]),"")</f>
        <v>2026</v>
      </c>
      <c r="Y378" s="58">
        <f>IFERROR(MONTH(TableDailyJournal[[#This Row],[التاريخ]]),"")</f>
        <v>6</v>
      </c>
      <c r="Z378" s="58">
        <f>IFERROR(DAY(TableDailyJournal[[#This Row],[التاريخ]]),"")</f>
        <v>13</v>
      </c>
      <c r="AA378"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AB378" s="121">
        <f>INDEX(Tabledaily[جهة الامر],MATCH(TableDailyJournal[[#This Row],[رقم العملية]],Tabledaily[رقم العملية],0))</f>
        <v>0</v>
      </c>
    </row>
    <row r="379" spans="2:28" ht="45.75" x14ac:dyDescent="0.55000000000000004">
      <c r="B379" s="58">
        <f t="shared" si="11"/>
        <v>375</v>
      </c>
      <c r="C379" s="59" t="s">
        <v>727</v>
      </c>
      <c r="D379" s="60">
        <f>INDEX(Tabledaily[date],MATCH(TableDailyJournal[[#This Row],[رقم العملية]],Tabledaily[رقم العملية],0))</f>
        <v>46186</v>
      </c>
      <c r="E379" s="58" t="str">
        <f>INDEX(Tabledaily[نوع العمليــة],MATCH(TableDailyJournal[[#This Row],[رقم العملية]],Tabledaily[رقم العملية],0))</f>
        <v>قيد عهده</v>
      </c>
      <c r="F379" s="58">
        <f>IFERROR(INDEX(TableJudje[رقم الحساب],MATCH(TableDailyJournal[[#This Row],[الحساب]],TableJudje[اسم الحساب],0)),0)</f>
        <v>11060205</v>
      </c>
      <c r="G379" s="58" t="s">
        <v>513</v>
      </c>
      <c r="H379"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I379" s="60" t="str">
        <f>INDEX(Tabledaily[العملـــة],MATCH(TableDailyJournal[[#This Row],[رقم العملية]],Tabledaily[رقم العملية],0))</f>
        <v>ريال يمني</v>
      </c>
      <c r="J379" s="59">
        <f>IFERROR(INDEX(Tabledaily[سعــــــر
الصـــــرف],MATCH(C379,Tabledaily[رقم العملية],0)),1)</f>
        <v>405</v>
      </c>
      <c r="K379" s="123" cm="1">
        <f t="array" ref="K379">IFERROR(INDEX(Tabledaily[المبلـــــــغ],MATCH(1,(TableDailyJournal[[#This Row],[رقم العملية]]=Tabledaily[رقم العملية])*(TableDailyJournal[[#This Row],[الحساب]]=Tabledaily[الحســاب المديــــن]),0)),0)</f>
        <v>0</v>
      </c>
      <c r="L379" s="123" cm="1">
        <f t="array" ref="L379">IFERROR(INDEX(Tabledaily[المبلـــــــغ],MATCH(1,(TableDailyJournal[[#This Row],[رقم العملية]]=Tabledaily[رقم العملية])*(TableDailyJournal[[#This Row],[الحساب]]=Tabledaily[الحســاب الدئـــن]),0)),0)</f>
        <v>100000</v>
      </c>
      <c r="M379" s="119">
        <f>IFERROR(TableDailyJournal[[#This Row],[المبلغ مدين]]/TableDailyJournal[[#This Row],[سعــــــر
الصـــــرف]],0)</f>
        <v>0</v>
      </c>
      <c r="N379" s="119">
        <f>IFERROR(TableDailyJournal[[#This Row],[المبلغ دائن]]/TableDailyJournal[[#This Row],[سعــــــر
الصـــــرف]],0)</f>
        <v>246.91358024691357</v>
      </c>
      <c r="O379" s="121" t="str">
        <f>INDEX(Tabledaily[المستفيــــــــد],MATCH(TableDailyJournal[[#This Row],[رقم العملية]],Tabledaily[رقم العملية],0))</f>
        <v>الضباط السابقين</v>
      </c>
      <c r="P379" s="121" t="str">
        <f>INDEX(Tabledaily[المــــرجـــــــــع],MATCH(TableDailyJournal[[#This Row],[رقم العملية]],Tabledaily[رقم العملية],0))</f>
        <v>كشف صرف</v>
      </c>
      <c r="Q379" s="121" t="str">
        <f>INDEX(Tabledaily[اســـــــم المــــرجــــع],MATCH(TableDailyJournal[[#This Row],[رقم العملية]],Tabledaily[رقم العملية],0))</f>
        <v>كشف صرف</v>
      </c>
      <c r="R379" s="121">
        <f>INDEX(Tabledaily[رقم المـــــرجـــع],MATCH(TableDailyJournal[[#This Row],[رقم العملية]],Tabledaily[رقم العملية],0))</f>
        <v>0</v>
      </c>
      <c r="S379" s="121" t="str">
        <f>INDEX(Tabledaily[مركـــــــزالتكلفــــــة],MATCH(TableDailyJournal[[#This Row],[رقم العملية]],Tabledaily[رقم العملية],0))</f>
        <v>الفرقة الثالثة</v>
      </c>
      <c r="T379" s="121">
        <f>IFERROR(INDEX(tablecost[رقم المركز],MATCH(TableDailyJournal[[#This Row],[مركـــــــزالتكلفــــــة]],tablecost[الاسم],0)),0)</f>
        <v>1</v>
      </c>
      <c r="U379" s="122">
        <f>IFERROR(DATE(TableDailyJournal[[#This Row],[السنــــة]],TableDailyJournal[[#This Row],[الشهــــر]],TableDailyJournal[[#This Row],[الـــــيوم]]),"01-01-2026")</f>
        <v>46186</v>
      </c>
      <c r="V379" s="126"/>
      <c r="W379" s="58"/>
      <c r="X379" s="58">
        <f>IFERROR(YEAR(TableDailyJournal[[#This Row],[التاريخ]]),"")</f>
        <v>2026</v>
      </c>
      <c r="Y379" s="58">
        <f>IFERROR(MONTH(TableDailyJournal[[#This Row],[التاريخ]]),"")</f>
        <v>6</v>
      </c>
      <c r="Z379" s="58">
        <f>IFERROR(DAY(TableDailyJournal[[#This Row],[التاريخ]]),"")</f>
        <v>13</v>
      </c>
      <c r="AA379"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AB379" s="121">
        <f>INDEX(Tabledaily[جهة الامر],MATCH(TableDailyJournal[[#This Row],[رقم العملية]],Tabledaily[رقم العملية],0))</f>
        <v>0</v>
      </c>
    </row>
    <row r="380" spans="2:28" ht="45.75" x14ac:dyDescent="0.55000000000000004">
      <c r="B380" s="58">
        <f t="shared" si="11"/>
        <v>376</v>
      </c>
      <c r="C380" s="59" t="s">
        <v>729</v>
      </c>
      <c r="D380" s="60">
        <f>INDEX(Tabledaily[date],MATCH(TableDailyJournal[[#This Row],[رقم العملية]],Tabledaily[رقم العملية],0))</f>
        <v>46186</v>
      </c>
      <c r="E380" s="58" t="str">
        <f>INDEX(Tabledaily[نوع العمليــة],MATCH(TableDailyJournal[[#This Row],[رقم العملية]],Tabledaily[رقم العملية],0))</f>
        <v>قيد عهده</v>
      </c>
      <c r="F380" s="58">
        <f>IFERROR(INDEX(TableJudje[رقم الحساب],MATCH(TableDailyJournal[[#This Row],[الحساب]],TableJudje[اسم الحساب],0)),0)</f>
        <v>31010101</v>
      </c>
      <c r="G380" s="58" t="s">
        <v>111</v>
      </c>
      <c r="H380"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I380" s="60" t="str">
        <f>INDEX(Tabledaily[العملـــة],MATCH(TableDailyJournal[[#This Row],[رقم العملية]],Tabledaily[رقم العملية],0))</f>
        <v>ريال يمني</v>
      </c>
      <c r="J380" s="59">
        <f>IFERROR(INDEX(Tabledaily[سعــــــر
الصـــــرف],MATCH(C380,Tabledaily[رقم العملية],0)),1)</f>
        <v>405</v>
      </c>
      <c r="K380" s="123" cm="1">
        <f t="array" ref="K380">IFERROR(INDEX(Tabledaily[المبلـــــــغ],MATCH(1,(TableDailyJournal[[#This Row],[رقم العملية]]=Tabledaily[رقم العملية])*(TableDailyJournal[[#This Row],[الحساب]]=Tabledaily[الحســاب المديــــن]),0)),0)</f>
        <v>74000</v>
      </c>
      <c r="L380" s="123" cm="1">
        <f t="array" ref="L380">IFERROR(INDEX(Tabledaily[المبلـــــــغ],MATCH(1,(TableDailyJournal[[#This Row],[رقم العملية]]=Tabledaily[رقم العملية])*(TableDailyJournal[[#This Row],[الحساب]]=Tabledaily[الحســاب الدئـــن]),0)),0)</f>
        <v>0</v>
      </c>
      <c r="M380" s="119">
        <f>IFERROR(TableDailyJournal[[#This Row],[المبلغ مدين]]/TableDailyJournal[[#This Row],[سعــــــر
الصـــــرف]],0)</f>
        <v>182.71604938271605</v>
      </c>
      <c r="N380" s="119">
        <f>IFERROR(TableDailyJournal[[#This Row],[المبلغ دائن]]/TableDailyJournal[[#This Row],[سعــــــر
الصـــــرف]],0)</f>
        <v>0</v>
      </c>
      <c r="O380" s="121" t="str">
        <f>INDEX(Tabledaily[المستفيــــــــد],MATCH(TableDailyJournal[[#This Row],[رقم العملية]],Tabledaily[رقم العملية],0))</f>
        <v>اخرون</v>
      </c>
      <c r="P380" s="121" t="str">
        <f>INDEX(Tabledaily[المــــرجـــــــــع],MATCH(TableDailyJournal[[#This Row],[رقم العملية]],Tabledaily[رقم العملية],0))</f>
        <v>كشف صرف</v>
      </c>
      <c r="Q380" s="121" t="str">
        <f>INDEX(Tabledaily[اســـــــم المــــرجــــع],MATCH(TableDailyJournal[[#This Row],[رقم العملية]],Tabledaily[رقم العملية],0))</f>
        <v>كشف صرف</v>
      </c>
      <c r="R380" s="121">
        <f>INDEX(Tabledaily[رقم المـــــرجـــع],MATCH(TableDailyJournal[[#This Row],[رقم العملية]],Tabledaily[رقم العملية],0))</f>
        <v>0</v>
      </c>
      <c r="S380" s="121" t="str">
        <f>INDEX(Tabledaily[مركـــــــزالتكلفــــــة],MATCH(TableDailyJournal[[#This Row],[رقم العملية]],Tabledaily[رقم العملية],0))</f>
        <v>الفرقة الثالثة</v>
      </c>
      <c r="T380" s="121">
        <f>IFERROR(INDEX(tablecost[رقم المركز],MATCH(TableDailyJournal[[#This Row],[مركـــــــزالتكلفــــــة]],tablecost[الاسم],0)),0)</f>
        <v>1</v>
      </c>
      <c r="U380" s="122">
        <f>IFERROR(DATE(TableDailyJournal[[#This Row],[السنــــة]],TableDailyJournal[[#This Row],[الشهــــر]],TableDailyJournal[[#This Row],[الـــــيوم]]),"01-01-2026")</f>
        <v>46186</v>
      </c>
      <c r="V380" s="126"/>
      <c r="W380" s="58"/>
      <c r="X380" s="58">
        <f>IFERROR(YEAR(TableDailyJournal[[#This Row],[التاريخ]]),"")</f>
        <v>2026</v>
      </c>
      <c r="Y380" s="58">
        <f>IFERROR(MONTH(TableDailyJournal[[#This Row],[التاريخ]]),"")</f>
        <v>6</v>
      </c>
      <c r="Z380" s="58">
        <f>IFERROR(DAY(TableDailyJournal[[#This Row],[التاريخ]]),"")</f>
        <v>13</v>
      </c>
      <c r="AA380"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AB380" s="121">
        <f>INDEX(Tabledaily[جهة الامر],MATCH(TableDailyJournal[[#This Row],[رقم العملية]],Tabledaily[رقم العملية],0))</f>
        <v>0</v>
      </c>
    </row>
    <row r="381" spans="2:28" ht="45.75" x14ac:dyDescent="0.55000000000000004">
      <c r="B381" s="58">
        <f t="shared" si="11"/>
        <v>377</v>
      </c>
      <c r="C381" s="59" t="s">
        <v>729</v>
      </c>
      <c r="D381" s="60">
        <f>INDEX(Tabledaily[date],MATCH(TableDailyJournal[[#This Row],[رقم العملية]],Tabledaily[رقم العملية],0))</f>
        <v>46186</v>
      </c>
      <c r="E381" s="58" t="str">
        <f>INDEX(Tabledaily[نوع العمليــة],MATCH(TableDailyJournal[[#This Row],[رقم العملية]],Tabledaily[رقم العملية],0))</f>
        <v>قيد عهده</v>
      </c>
      <c r="F381" s="58">
        <f>IFERROR(INDEX(TableJudje[رقم الحساب],MATCH(TableDailyJournal[[#This Row],[الحساب]],TableJudje[اسم الحساب],0)),0)</f>
        <v>11060205</v>
      </c>
      <c r="G381" s="58" t="s">
        <v>513</v>
      </c>
      <c r="H381"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I381" s="60" t="str">
        <f>INDEX(Tabledaily[العملـــة],MATCH(TableDailyJournal[[#This Row],[رقم العملية]],Tabledaily[رقم العملية],0))</f>
        <v>ريال يمني</v>
      </c>
      <c r="J381" s="59">
        <f>IFERROR(INDEX(Tabledaily[سعــــــر
الصـــــرف],MATCH(C381,Tabledaily[رقم العملية],0)),1)</f>
        <v>405</v>
      </c>
      <c r="K381" s="123" cm="1">
        <f t="array" ref="K381">IFERROR(INDEX(Tabledaily[المبلـــــــغ],MATCH(1,(TableDailyJournal[[#This Row],[رقم العملية]]=Tabledaily[رقم العملية])*(TableDailyJournal[[#This Row],[الحساب]]=Tabledaily[الحســاب المديــــن]),0)),0)</f>
        <v>0</v>
      </c>
      <c r="L381" s="123" cm="1">
        <f t="array" ref="L381">IFERROR(INDEX(Tabledaily[المبلـــــــغ],MATCH(1,(TableDailyJournal[[#This Row],[رقم العملية]]=Tabledaily[رقم العملية])*(TableDailyJournal[[#This Row],[الحساب]]=Tabledaily[الحســاب الدئـــن]),0)),0)</f>
        <v>74000</v>
      </c>
      <c r="M381" s="119">
        <f>IFERROR(TableDailyJournal[[#This Row],[المبلغ مدين]]/TableDailyJournal[[#This Row],[سعــــــر
الصـــــرف]],0)</f>
        <v>0</v>
      </c>
      <c r="N381" s="119">
        <f>IFERROR(TableDailyJournal[[#This Row],[المبلغ دائن]]/TableDailyJournal[[#This Row],[سعــــــر
الصـــــرف]],0)</f>
        <v>182.71604938271605</v>
      </c>
      <c r="O381" s="121" t="str">
        <f>INDEX(Tabledaily[المستفيــــــــد],MATCH(TableDailyJournal[[#This Row],[رقم العملية]],Tabledaily[رقم العملية],0))</f>
        <v>اخرون</v>
      </c>
      <c r="P381" s="121" t="str">
        <f>INDEX(Tabledaily[المــــرجـــــــــع],MATCH(TableDailyJournal[[#This Row],[رقم العملية]],Tabledaily[رقم العملية],0))</f>
        <v>كشف صرف</v>
      </c>
      <c r="Q381" s="121" t="str">
        <f>INDEX(Tabledaily[اســـــــم المــــرجــــع],MATCH(TableDailyJournal[[#This Row],[رقم العملية]],Tabledaily[رقم العملية],0))</f>
        <v>كشف صرف</v>
      </c>
      <c r="R381" s="121">
        <f>INDEX(Tabledaily[رقم المـــــرجـــع],MATCH(TableDailyJournal[[#This Row],[رقم العملية]],Tabledaily[رقم العملية],0))</f>
        <v>0</v>
      </c>
      <c r="S381" s="121" t="str">
        <f>INDEX(Tabledaily[مركـــــــزالتكلفــــــة],MATCH(TableDailyJournal[[#This Row],[رقم العملية]],Tabledaily[رقم العملية],0))</f>
        <v>الفرقة الثالثة</v>
      </c>
      <c r="T381" s="121">
        <f>IFERROR(INDEX(tablecost[رقم المركز],MATCH(TableDailyJournal[[#This Row],[مركـــــــزالتكلفــــــة]],tablecost[الاسم],0)),0)</f>
        <v>1</v>
      </c>
      <c r="U381" s="122">
        <f>IFERROR(DATE(TableDailyJournal[[#This Row],[السنــــة]],TableDailyJournal[[#This Row],[الشهــــر]],TableDailyJournal[[#This Row],[الـــــيوم]]),"01-01-2026")</f>
        <v>46186</v>
      </c>
      <c r="V381" s="126"/>
      <c r="W381" s="58"/>
      <c r="X381" s="58">
        <f>IFERROR(YEAR(TableDailyJournal[[#This Row],[التاريخ]]),"")</f>
        <v>2026</v>
      </c>
      <c r="Y381" s="58">
        <f>IFERROR(MONTH(TableDailyJournal[[#This Row],[التاريخ]]),"")</f>
        <v>6</v>
      </c>
      <c r="Z381" s="58">
        <f>IFERROR(DAY(TableDailyJournal[[#This Row],[التاريخ]]),"")</f>
        <v>13</v>
      </c>
      <c r="AA381"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8 بامر</v>
      </c>
      <c r="AB381" s="121">
        <f>INDEX(Tabledaily[جهة الامر],MATCH(TableDailyJournal[[#This Row],[رقم العملية]],Tabledaily[رقم العملية],0))</f>
        <v>0</v>
      </c>
    </row>
    <row r="382" spans="2:28" ht="45.75" x14ac:dyDescent="0.55000000000000004">
      <c r="B382" s="58">
        <f t="shared" si="11"/>
        <v>378</v>
      </c>
      <c r="C382" s="59" t="s">
        <v>730</v>
      </c>
      <c r="D382" s="60">
        <f>INDEX(Tabledaily[date],MATCH(TableDailyJournal[[#This Row],[رقم العملية]],Tabledaily[رقم العملية],0))</f>
        <v>46186</v>
      </c>
      <c r="E382" s="58" t="str">
        <f>INDEX(Tabledaily[نوع العمليــة],MATCH(TableDailyJournal[[#This Row],[رقم العملية]],Tabledaily[رقم العملية],0))</f>
        <v>قيد عهده</v>
      </c>
      <c r="F382" s="58">
        <f>IFERROR(INDEX(TableJudje[رقم الحساب],MATCH(TableDailyJournal[[#This Row],[الحساب]],TableJudje[اسم الحساب],0)),0)</f>
        <v>31010101</v>
      </c>
      <c r="G382" s="58" t="s">
        <v>111</v>
      </c>
      <c r="H382"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382" s="60" t="str">
        <f>INDEX(Tabledaily[العملـــة],MATCH(TableDailyJournal[[#This Row],[رقم العملية]],Tabledaily[رقم العملية],0))</f>
        <v>ريال يمني</v>
      </c>
      <c r="J382" s="59">
        <f>IFERROR(INDEX(Tabledaily[سعــــــر
الصـــــرف],MATCH(C382,Tabledaily[رقم العملية],0)),1)</f>
        <v>405</v>
      </c>
      <c r="K382" s="123" cm="1">
        <f t="array" ref="K382">IFERROR(INDEX(Tabledaily[المبلـــــــغ],MATCH(1,(TableDailyJournal[[#This Row],[رقم العملية]]=Tabledaily[رقم العملية])*(TableDailyJournal[[#This Row],[الحساب]]=Tabledaily[الحســاب المديــــن]),0)),0)</f>
        <v>25000</v>
      </c>
      <c r="L382" s="123" cm="1">
        <f t="array" ref="L382">IFERROR(INDEX(Tabledaily[المبلـــــــغ],MATCH(1,(TableDailyJournal[[#This Row],[رقم العملية]]=Tabledaily[رقم العملية])*(TableDailyJournal[[#This Row],[الحساب]]=Tabledaily[الحســاب الدئـــن]),0)),0)</f>
        <v>0</v>
      </c>
      <c r="M382" s="119">
        <f>IFERROR(TableDailyJournal[[#This Row],[المبلغ مدين]]/TableDailyJournal[[#This Row],[سعــــــر
الصـــــرف]],0)</f>
        <v>61.728395061728392</v>
      </c>
      <c r="N382" s="119">
        <f>IFERROR(TableDailyJournal[[#This Row],[المبلغ دائن]]/TableDailyJournal[[#This Row],[سعــــــر
الصـــــرف]],0)</f>
        <v>0</v>
      </c>
      <c r="O382" s="121" t="str">
        <f>INDEX(Tabledaily[المستفيــــــــد],MATCH(TableDailyJournal[[#This Row],[رقم العملية]],Tabledaily[رقم العملية],0))</f>
        <v>مرافقي الاركان</v>
      </c>
      <c r="P382" s="121" t="str">
        <f>INDEX(Tabledaily[المــــرجـــــــــع],MATCH(TableDailyJournal[[#This Row],[رقم العملية]],Tabledaily[رقم العملية],0))</f>
        <v>كشف صرف</v>
      </c>
      <c r="Q382" s="121" t="str">
        <f>INDEX(Tabledaily[اســـــــم المــــرجــــع],MATCH(TableDailyJournal[[#This Row],[رقم العملية]],Tabledaily[رقم العملية],0))</f>
        <v>كشف صرف</v>
      </c>
      <c r="R382" s="121">
        <f>INDEX(Tabledaily[رقم المـــــرجـــع],MATCH(TableDailyJournal[[#This Row],[رقم العملية]],Tabledaily[رقم العملية],0))</f>
        <v>0</v>
      </c>
      <c r="S382" s="121" t="str">
        <f>INDEX(Tabledaily[مركـــــــزالتكلفــــــة],MATCH(TableDailyJournal[[#This Row],[رقم العملية]],Tabledaily[رقم العملية],0))</f>
        <v>الفرقة الثالثة</v>
      </c>
      <c r="T382" s="121">
        <f>IFERROR(INDEX(tablecost[رقم المركز],MATCH(TableDailyJournal[[#This Row],[مركـــــــزالتكلفــــــة]],tablecost[الاسم],0)),0)</f>
        <v>1</v>
      </c>
      <c r="U382" s="122">
        <f>IFERROR(DATE(TableDailyJournal[[#This Row],[السنــــة]],TableDailyJournal[[#This Row],[الشهــــر]],TableDailyJournal[[#This Row],[الـــــيوم]]),"01-01-2026")</f>
        <v>46186</v>
      </c>
      <c r="V382" s="126"/>
      <c r="W382" s="58"/>
      <c r="X382" s="58">
        <f>IFERROR(YEAR(TableDailyJournal[[#This Row],[التاريخ]]),"")</f>
        <v>2026</v>
      </c>
      <c r="Y382" s="58">
        <f>IFERROR(MONTH(TableDailyJournal[[#This Row],[التاريخ]]),"")</f>
        <v>6</v>
      </c>
      <c r="Z382" s="58">
        <f>IFERROR(DAY(TableDailyJournal[[#This Row],[التاريخ]]),"")</f>
        <v>13</v>
      </c>
      <c r="AA382"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382" s="121">
        <f>INDEX(Tabledaily[جهة الامر],MATCH(TableDailyJournal[[#This Row],[رقم العملية]],Tabledaily[رقم العملية],0))</f>
        <v>0</v>
      </c>
    </row>
    <row r="383" spans="2:28" ht="45.75" x14ac:dyDescent="0.55000000000000004">
      <c r="B383" s="58">
        <f t="shared" si="11"/>
        <v>379</v>
      </c>
      <c r="C383" s="59" t="s">
        <v>730</v>
      </c>
      <c r="D383" s="60">
        <f>INDEX(Tabledaily[date],MATCH(TableDailyJournal[[#This Row],[رقم العملية]],Tabledaily[رقم العملية],0))</f>
        <v>46186</v>
      </c>
      <c r="E383" s="58" t="str">
        <f>INDEX(Tabledaily[نوع العمليــة],MATCH(TableDailyJournal[[#This Row],[رقم العملية]],Tabledaily[رقم العملية],0))</f>
        <v>قيد عهده</v>
      </c>
      <c r="F383" s="58">
        <f>IFERROR(INDEX(TableJudje[رقم الحساب],MATCH(TableDailyJournal[[#This Row],[الحساب]],TableJudje[اسم الحساب],0)),0)</f>
        <v>11060205</v>
      </c>
      <c r="G383" s="58" t="s">
        <v>513</v>
      </c>
      <c r="H383"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383" s="60" t="str">
        <f>INDEX(Tabledaily[العملـــة],MATCH(TableDailyJournal[[#This Row],[رقم العملية]],Tabledaily[رقم العملية],0))</f>
        <v>ريال يمني</v>
      </c>
      <c r="J383" s="59">
        <f>IFERROR(INDEX(Tabledaily[سعــــــر
الصـــــرف],MATCH(C383,Tabledaily[رقم العملية],0)),1)</f>
        <v>405</v>
      </c>
      <c r="K383" s="123" cm="1">
        <f t="array" ref="K383">IFERROR(INDEX(Tabledaily[المبلـــــــغ],MATCH(1,(TableDailyJournal[[#This Row],[رقم العملية]]=Tabledaily[رقم العملية])*(TableDailyJournal[[#This Row],[الحساب]]=Tabledaily[الحســاب المديــــن]),0)),0)</f>
        <v>0</v>
      </c>
      <c r="L383" s="123" cm="1">
        <f t="array" ref="L383">IFERROR(INDEX(Tabledaily[المبلـــــــغ],MATCH(1,(TableDailyJournal[[#This Row],[رقم العملية]]=Tabledaily[رقم العملية])*(TableDailyJournal[[#This Row],[الحساب]]=Tabledaily[الحســاب الدئـــن]),0)),0)</f>
        <v>25000</v>
      </c>
      <c r="M383" s="119">
        <f>IFERROR(TableDailyJournal[[#This Row],[المبلغ مدين]]/TableDailyJournal[[#This Row],[سعــــــر
الصـــــرف]],0)</f>
        <v>0</v>
      </c>
      <c r="N383" s="119">
        <f>IFERROR(TableDailyJournal[[#This Row],[المبلغ دائن]]/TableDailyJournal[[#This Row],[سعــــــر
الصـــــرف]],0)</f>
        <v>61.728395061728392</v>
      </c>
      <c r="O383" s="121" t="str">
        <f>INDEX(Tabledaily[المستفيــــــــد],MATCH(TableDailyJournal[[#This Row],[رقم العملية]],Tabledaily[رقم العملية],0))</f>
        <v>مرافقي الاركان</v>
      </c>
      <c r="P383" s="121" t="str">
        <f>INDEX(Tabledaily[المــــرجـــــــــع],MATCH(TableDailyJournal[[#This Row],[رقم العملية]],Tabledaily[رقم العملية],0))</f>
        <v>كشف صرف</v>
      </c>
      <c r="Q383" s="121" t="str">
        <f>INDEX(Tabledaily[اســـــــم المــــرجــــع],MATCH(TableDailyJournal[[#This Row],[رقم العملية]],Tabledaily[رقم العملية],0))</f>
        <v>كشف صرف</v>
      </c>
      <c r="R383" s="121">
        <f>INDEX(Tabledaily[رقم المـــــرجـــع],MATCH(TableDailyJournal[[#This Row],[رقم العملية]],Tabledaily[رقم العملية],0))</f>
        <v>0</v>
      </c>
      <c r="S383" s="121" t="str">
        <f>INDEX(Tabledaily[مركـــــــزالتكلفــــــة],MATCH(TableDailyJournal[[#This Row],[رقم العملية]],Tabledaily[رقم العملية],0))</f>
        <v>الفرقة الثالثة</v>
      </c>
      <c r="T383" s="121">
        <f>IFERROR(INDEX(tablecost[رقم المركز],MATCH(TableDailyJournal[[#This Row],[مركـــــــزالتكلفــــــة]],tablecost[الاسم],0)),0)</f>
        <v>1</v>
      </c>
      <c r="U383" s="122">
        <f>IFERROR(DATE(TableDailyJournal[[#This Row],[السنــــة]],TableDailyJournal[[#This Row],[الشهــــر]],TableDailyJournal[[#This Row],[الـــــيوم]]),"01-01-2026")</f>
        <v>46186</v>
      </c>
      <c r="V383" s="126"/>
      <c r="W383" s="58"/>
      <c r="X383" s="58">
        <f>IFERROR(YEAR(TableDailyJournal[[#This Row],[التاريخ]]),"")</f>
        <v>2026</v>
      </c>
      <c r="Y383" s="58">
        <f>IFERROR(MONTH(TableDailyJournal[[#This Row],[التاريخ]]),"")</f>
        <v>6</v>
      </c>
      <c r="Z383" s="58">
        <f>IFERROR(DAY(TableDailyJournal[[#This Row],[التاريخ]]),"")</f>
        <v>13</v>
      </c>
      <c r="AA383"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383" s="121">
        <f>INDEX(Tabledaily[جهة الامر],MATCH(TableDailyJournal[[#This Row],[رقم العملية]],Tabledaily[رقم العملية],0))</f>
        <v>0</v>
      </c>
    </row>
    <row r="384" spans="2:28" ht="67.5" x14ac:dyDescent="0.55000000000000004">
      <c r="B384" s="58">
        <f t="shared" si="11"/>
        <v>380</v>
      </c>
      <c r="C384" s="59" t="s">
        <v>731</v>
      </c>
      <c r="D384" s="60">
        <f>INDEX(Tabledaily[date],MATCH(TableDailyJournal[[#This Row],[رقم العملية]],Tabledaily[رقم العملية],0))</f>
        <v>46186</v>
      </c>
      <c r="E384" s="58" t="str">
        <f>INDEX(Tabledaily[نوع العمليــة],MATCH(TableDailyJournal[[#This Row],[رقم العملية]],Tabledaily[رقم العملية],0))</f>
        <v>قيد عهده</v>
      </c>
      <c r="F384" s="58">
        <f>IFERROR(INDEX(TableJudje[رقم الحساب],MATCH(TableDailyJournal[[#This Row],[الحساب]],TableJudje[اسم الحساب],0)),0)</f>
        <v>31010101</v>
      </c>
      <c r="G384" s="58" t="s">
        <v>111</v>
      </c>
      <c r="H384"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384" s="60" t="str">
        <f>INDEX(Tabledaily[العملـــة],MATCH(TableDailyJournal[[#This Row],[رقم العملية]],Tabledaily[رقم العملية],0))</f>
        <v>ريال يمني</v>
      </c>
      <c r="J384" s="59">
        <f>IFERROR(INDEX(Tabledaily[سعــــــر
الصـــــرف],MATCH(C384,Tabledaily[رقم العملية],0)),1)</f>
        <v>405</v>
      </c>
      <c r="K384" s="123" cm="1">
        <f t="array" ref="K384">IFERROR(INDEX(Tabledaily[المبلـــــــغ],MATCH(1,(TableDailyJournal[[#This Row],[رقم العملية]]=Tabledaily[رقم العملية])*(TableDailyJournal[[#This Row],[الحساب]]=Tabledaily[الحســاب المديــــن]),0)),0)</f>
        <v>18000</v>
      </c>
      <c r="L384" s="123" cm="1">
        <f t="array" ref="L384">IFERROR(INDEX(Tabledaily[المبلـــــــغ],MATCH(1,(TableDailyJournal[[#This Row],[رقم العملية]]=Tabledaily[رقم العملية])*(TableDailyJournal[[#This Row],[الحساب]]=Tabledaily[الحســاب الدئـــن]),0)),0)</f>
        <v>0</v>
      </c>
      <c r="M384" s="119">
        <f>IFERROR(TableDailyJournal[[#This Row],[المبلغ مدين]]/TableDailyJournal[[#This Row],[سعــــــر
الصـــــرف]],0)</f>
        <v>44.444444444444443</v>
      </c>
      <c r="N384" s="119">
        <f>IFERROR(TableDailyJournal[[#This Row],[المبلغ دائن]]/TableDailyJournal[[#This Row],[سعــــــر
الصـــــرف]],0)</f>
        <v>0</v>
      </c>
      <c r="O384" s="121" t="str">
        <f>INDEX(Tabledaily[المستفيــــــــد],MATCH(TableDailyJournal[[#This Row],[رقم العملية]],Tabledaily[رقم العملية],0))</f>
        <v>افراد طقم اللواء السابع مرافقين</v>
      </c>
      <c r="P384" s="121" t="str">
        <f>INDEX(Tabledaily[المــــرجـــــــــع],MATCH(TableDailyJournal[[#This Row],[رقم العملية]],Tabledaily[رقم العملية],0))</f>
        <v>كشف صرف</v>
      </c>
      <c r="Q384" s="121" t="str">
        <f>INDEX(Tabledaily[اســـــــم المــــرجــــع],MATCH(TableDailyJournal[[#This Row],[رقم العملية]],Tabledaily[رقم العملية],0))</f>
        <v>كشف صرف</v>
      </c>
      <c r="R384" s="121">
        <f>INDEX(Tabledaily[رقم المـــــرجـــع],MATCH(TableDailyJournal[[#This Row],[رقم العملية]],Tabledaily[رقم العملية],0))</f>
        <v>0</v>
      </c>
      <c r="S384" s="121" t="str">
        <f>INDEX(Tabledaily[مركـــــــزالتكلفــــــة],MATCH(TableDailyJournal[[#This Row],[رقم العملية]],Tabledaily[رقم العملية],0))</f>
        <v>الفرقة الثالثة</v>
      </c>
      <c r="T384" s="121">
        <f>IFERROR(INDEX(tablecost[رقم المركز],MATCH(TableDailyJournal[[#This Row],[مركـــــــزالتكلفــــــة]],tablecost[الاسم],0)),0)</f>
        <v>1</v>
      </c>
      <c r="U384" s="122">
        <f>IFERROR(DATE(TableDailyJournal[[#This Row],[السنــــة]],TableDailyJournal[[#This Row],[الشهــــر]],TableDailyJournal[[#This Row],[الـــــيوم]]),"01-01-2026")</f>
        <v>46186</v>
      </c>
      <c r="V384" s="126"/>
      <c r="W384" s="58"/>
      <c r="X384" s="58">
        <f>IFERROR(YEAR(TableDailyJournal[[#This Row],[التاريخ]]),"")</f>
        <v>2026</v>
      </c>
      <c r="Y384" s="58">
        <f>IFERROR(MONTH(TableDailyJournal[[#This Row],[التاريخ]]),"")</f>
        <v>6</v>
      </c>
      <c r="Z384" s="58">
        <f>IFERROR(DAY(TableDailyJournal[[#This Row],[التاريخ]]),"")</f>
        <v>13</v>
      </c>
      <c r="AA384"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384" s="121">
        <f>INDEX(Tabledaily[جهة الامر],MATCH(TableDailyJournal[[#This Row],[رقم العملية]],Tabledaily[رقم العملية],0))</f>
        <v>0</v>
      </c>
    </row>
    <row r="385" spans="2:28" ht="67.5" x14ac:dyDescent="0.55000000000000004">
      <c r="B385" s="58">
        <f t="shared" si="11"/>
        <v>381</v>
      </c>
      <c r="C385" s="59" t="s">
        <v>731</v>
      </c>
      <c r="D385" s="60">
        <f>INDEX(Tabledaily[date],MATCH(TableDailyJournal[[#This Row],[رقم العملية]],Tabledaily[رقم العملية],0))</f>
        <v>46186</v>
      </c>
      <c r="E385" s="58" t="str">
        <f>INDEX(Tabledaily[نوع العمليــة],MATCH(TableDailyJournal[[#This Row],[رقم العملية]],Tabledaily[رقم العملية],0))</f>
        <v>قيد عهده</v>
      </c>
      <c r="F385" s="58">
        <f>IFERROR(INDEX(TableJudje[رقم الحساب],MATCH(TableDailyJournal[[#This Row],[الحساب]],TableJudje[اسم الحساب],0)),0)</f>
        <v>11060205</v>
      </c>
      <c r="G385" s="58" t="s">
        <v>513</v>
      </c>
      <c r="H385"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385" s="60" t="str">
        <f>INDEX(Tabledaily[العملـــة],MATCH(TableDailyJournal[[#This Row],[رقم العملية]],Tabledaily[رقم العملية],0))</f>
        <v>ريال يمني</v>
      </c>
      <c r="J385" s="59">
        <f>IFERROR(INDEX(Tabledaily[سعــــــر
الصـــــرف],MATCH(C385,Tabledaily[رقم العملية],0)),1)</f>
        <v>405</v>
      </c>
      <c r="K385" s="123" cm="1">
        <f t="array" ref="K385">IFERROR(INDEX(Tabledaily[المبلـــــــغ],MATCH(1,(TableDailyJournal[[#This Row],[رقم العملية]]=Tabledaily[رقم العملية])*(TableDailyJournal[[#This Row],[الحساب]]=Tabledaily[الحســاب المديــــن]),0)),0)</f>
        <v>0</v>
      </c>
      <c r="L385" s="123" cm="1">
        <f t="array" ref="L385">IFERROR(INDEX(Tabledaily[المبلـــــــغ],MATCH(1,(TableDailyJournal[[#This Row],[رقم العملية]]=Tabledaily[رقم العملية])*(TableDailyJournal[[#This Row],[الحساب]]=Tabledaily[الحســاب الدئـــن]),0)),0)</f>
        <v>18000</v>
      </c>
      <c r="M385" s="119">
        <f>IFERROR(TableDailyJournal[[#This Row],[المبلغ مدين]]/TableDailyJournal[[#This Row],[سعــــــر
الصـــــرف]],0)</f>
        <v>0</v>
      </c>
      <c r="N385" s="119">
        <f>IFERROR(TableDailyJournal[[#This Row],[المبلغ دائن]]/TableDailyJournal[[#This Row],[سعــــــر
الصـــــرف]],0)</f>
        <v>44.444444444444443</v>
      </c>
      <c r="O385" s="121" t="str">
        <f>INDEX(Tabledaily[المستفيــــــــد],MATCH(TableDailyJournal[[#This Row],[رقم العملية]],Tabledaily[رقم العملية],0))</f>
        <v>افراد طقم اللواء السابع مرافقين</v>
      </c>
      <c r="P385" s="121" t="str">
        <f>INDEX(Tabledaily[المــــرجـــــــــع],MATCH(TableDailyJournal[[#This Row],[رقم العملية]],Tabledaily[رقم العملية],0))</f>
        <v>كشف صرف</v>
      </c>
      <c r="Q385" s="121" t="str">
        <f>INDEX(Tabledaily[اســـــــم المــــرجــــع],MATCH(TableDailyJournal[[#This Row],[رقم العملية]],Tabledaily[رقم العملية],0))</f>
        <v>كشف صرف</v>
      </c>
      <c r="R385" s="121">
        <f>INDEX(Tabledaily[رقم المـــــرجـــع],MATCH(TableDailyJournal[[#This Row],[رقم العملية]],Tabledaily[رقم العملية],0))</f>
        <v>0</v>
      </c>
      <c r="S385" s="121" t="str">
        <f>INDEX(Tabledaily[مركـــــــزالتكلفــــــة],MATCH(TableDailyJournal[[#This Row],[رقم العملية]],Tabledaily[رقم العملية],0))</f>
        <v>الفرقة الثالثة</v>
      </c>
      <c r="T385" s="121">
        <f>IFERROR(INDEX(tablecost[رقم المركز],MATCH(TableDailyJournal[[#This Row],[مركـــــــزالتكلفــــــة]],tablecost[الاسم],0)),0)</f>
        <v>1</v>
      </c>
      <c r="U385" s="122">
        <f>IFERROR(DATE(TableDailyJournal[[#This Row],[السنــــة]],TableDailyJournal[[#This Row],[الشهــــر]],TableDailyJournal[[#This Row],[الـــــيوم]]),"01-01-2026")</f>
        <v>46186</v>
      </c>
      <c r="V385" s="126"/>
      <c r="W385" s="58"/>
      <c r="X385" s="58">
        <f>IFERROR(YEAR(TableDailyJournal[[#This Row],[التاريخ]]),"")</f>
        <v>2026</v>
      </c>
      <c r="Y385" s="58">
        <f>IFERROR(MONTH(TableDailyJournal[[#This Row],[التاريخ]]),"")</f>
        <v>6</v>
      </c>
      <c r="Z385" s="58">
        <f>IFERROR(DAY(TableDailyJournal[[#This Row],[التاريخ]]),"")</f>
        <v>13</v>
      </c>
      <c r="AA385"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385" s="121">
        <f>INDEX(Tabledaily[جهة الامر],MATCH(TableDailyJournal[[#This Row],[رقم العملية]],Tabledaily[رقم العملية],0))</f>
        <v>0</v>
      </c>
    </row>
    <row r="386" spans="2:28" ht="45.75" x14ac:dyDescent="0.55000000000000004">
      <c r="B386" s="58">
        <f t="shared" si="11"/>
        <v>382</v>
      </c>
      <c r="C386" s="59" t="s">
        <v>732</v>
      </c>
      <c r="D386" s="60">
        <f>INDEX(Tabledaily[date],MATCH(TableDailyJournal[[#This Row],[رقم العملية]],Tabledaily[رقم العملية],0))</f>
        <v>46186</v>
      </c>
      <c r="E386" s="58" t="str">
        <f>INDEX(Tabledaily[نوع العمليــة],MATCH(TableDailyJournal[[#This Row],[رقم العملية]],Tabledaily[رقم العملية],0))</f>
        <v>قيد عهده</v>
      </c>
      <c r="F386" s="58">
        <f>IFERROR(INDEX(TableJudje[رقم الحساب],MATCH(TableDailyJournal[[#This Row],[الحساب]],TableJudje[اسم الحساب],0)),0)</f>
        <v>31010101</v>
      </c>
      <c r="G386" s="58" t="s">
        <v>111</v>
      </c>
      <c r="H386"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386" s="60" t="str">
        <f>INDEX(Tabledaily[العملـــة],MATCH(TableDailyJournal[[#This Row],[رقم العملية]],Tabledaily[رقم العملية],0))</f>
        <v>ريال يمني</v>
      </c>
      <c r="J386" s="59">
        <f>IFERROR(INDEX(Tabledaily[سعــــــر
الصـــــرف],MATCH(C386,Tabledaily[رقم العملية],0)),1)</f>
        <v>405</v>
      </c>
      <c r="K386" s="123" cm="1">
        <f t="array" ref="K386">IFERROR(INDEX(Tabledaily[المبلـــــــغ],MATCH(1,(TableDailyJournal[[#This Row],[رقم العملية]]=Tabledaily[رقم العملية])*(TableDailyJournal[[#This Row],[الحساب]]=Tabledaily[الحســاب المديــــن]),0)),0)</f>
        <v>28000</v>
      </c>
      <c r="L386" s="123" cm="1">
        <f t="array" ref="L386">IFERROR(INDEX(Tabledaily[المبلـــــــغ],MATCH(1,(TableDailyJournal[[#This Row],[رقم العملية]]=Tabledaily[رقم العملية])*(TableDailyJournal[[#This Row],[الحساب]]=Tabledaily[الحســاب الدئـــن]),0)),0)</f>
        <v>0</v>
      </c>
      <c r="M386" s="119">
        <f>IFERROR(TableDailyJournal[[#This Row],[المبلغ مدين]]/TableDailyJournal[[#This Row],[سعــــــر
الصـــــرف]],0)</f>
        <v>69.135802469135797</v>
      </c>
      <c r="N386" s="119">
        <f>IFERROR(TableDailyJournal[[#This Row],[المبلغ دائن]]/TableDailyJournal[[#This Row],[سعــــــر
الصـــــرف]],0)</f>
        <v>0</v>
      </c>
      <c r="O386" s="121" t="str">
        <f>INDEX(Tabledaily[المستفيــــــــد],MATCH(TableDailyJournal[[#This Row],[رقم العملية]],Tabledaily[رقم العملية],0))</f>
        <v>الاشغال</v>
      </c>
      <c r="P386" s="121" t="str">
        <f>INDEX(Tabledaily[المــــرجـــــــــع],MATCH(TableDailyJournal[[#This Row],[رقم العملية]],Tabledaily[رقم العملية],0))</f>
        <v>كشف صرف</v>
      </c>
      <c r="Q386" s="121" t="str">
        <f>INDEX(Tabledaily[اســـــــم المــــرجــــع],MATCH(TableDailyJournal[[#This Row],[رقم العملية]],Tabledaily[رقم العملية],0))</f>
        <v>كشف صرف</v>
      </c>
      <c r="R386" s="121">
        <f>INDEX(Tabledaily[رقم المـــــرجـــع],MATCH(TableDailyJournal[[#This Row],[رقم العملية]],Tabledaily[رقم العملية],0))</f>
        <v>0</v>
      </c>
      <c r="S386" s="121" t="str">
        <f>INDEX(Tabledaily[مركـــــــزالتكلفــــــة],MATCH(TableDailyJournal[[#This Row],[رقم العملية]],Tabledaily[رقم العملية],0))</f>
        <v>الفرقة الثالثة</v>
      </c>
      <c r="T386" s="121">
        <f>IFERROR(INDEX(tablecost[رقم المركز],MATCH(TableDailyJournal[[#This Row],[مركـــــــزالتكلفــــــة]],tablecost[الاسم],0)),0)</f>
        <v>1</v>
      </c>
      <c r="U386" s="122">
        <f>IFERROR(DATE(TableDailyJournal[[#This Row],[السنــــة]],TableDailyJournal[[#This Row],[الشهــــر]],TableDailyJournal[[#This Row],[الـــــيوم]]),"01-01-2026")</f>
        <v>46186</v>
      </c>
      <c r="V386" s="126"/>
      <c r="W386" s="58"/>
      <c r="X386" s="58">
        <f>IFERROR(YEAR(TableDailyJournal[[#This Row],[التاريخ]]),"")</f>
        <v>2026</v>
      </c>
      <c r="Y386" s="58">
        <f>IFERROR(MONTH(TableDailyJournal[[#This Row],[التاريخ]]),"")</f>
        <v>6</v>
      </c>
      <c r="Z386" s="58">
        <f>IFERROR(DAY(TableDailyJournal[[#This Row],[التاريخ]]),"")</f>
        <v>13</v>
      </c>
      <c r="AA386"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386" s="121">
        <f>INDEX(Tabledaily[جهة الامر],MATCH(TableDailyJournal[[#This Row],[رقم العملية]],Tabledaily[رقم العملية],0))</f>
        <v>0</v>
      </c>
    </row>
    <row r="387" spans="2:28" ht="45.75" x14ac:dyDescent="0.55000000000000004">
      <c r="B387" s="58">
        <f t="shared" si="11"/>
        <v>383</v>
      </c>
      <c r="C387" s="59" t="s">
        <v>732</v>
      </c>
      <c r="D387" s="60">
        <f>INDEX(Tabledaily[date],MATCH(TableDailyJournal[[#This Row],[رقم العملية]],Tabledaily[رقم العملية],0))</f>
        <v>46186</v>
      </c>
      <c r="E387" s="58" t="str">
        <f>INDEX(Tabledaily[نوع العمليــة],MATCH(TableDailyJournal[[#This Row],[رقم العملية]],Tabledaily[رقم العملية],0))</f>
        <v>قيد عهده</v>
      </c>
      <c r="F387" s="58">
        <f>IFERROR(INDEX(TableJudje[رقم الحساب],MATCH(TableDailyJournal[[#This Row],[الحساب]],TableJudje[اسم الحساب],0)),0)</f>
        <v>11060205</v>
      </c>
      <c r="G387" s="58" t="s">
        <v>513</v>
      </c>
      <c r="H387"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387" s="60" t="str">
        <f>INDEX(Tabledaily[العملـــة],MATCH(TableDailyJournal[[#This Row],[رقم العملية]],Tabledaily[رقم العملية],0))</f>
        <v>ريال يمني</v>
      </c>
      <c r="J387" s="59">
        <f>IFERROR(INDEX(Tabledaily[سعــــــر
الصـــــرف],MATCH(C387,Tabledaily[رقم العملية],0)),1)</f>
        <v>405</v>
      </c>
      <c r="K387" s="123" cm="1">
        <f t="array" ref="K387">IFERROR(INDEX(Tabledaily[المبلـــــــغ],MATCH(1,(TableDailyJournal[[#This Row],[رقم العملية]]=Tabledaily[رقم العملية])*(TableDailyJournal[[#This Row],[الحساب]]=Tabledaily[الحســاب المديــــن]),0)),0)</f>
        <v>0</v>
      </c>
      <c r="L387" s="123" cm="1">
        <f t="array" ref="L387">IFERROR(INDEX(Tabledaily[المبلـــــــغ],MATCH(1,(TableDailyJournal[[#This Row],[رقم العملية]]=Tabledaily[رقم العملية])*(TableDailyJournal[[#This Row],[الحساب]]=Tabledaily[الحســاب الدئـــن]),0)),0)</f>
        <v>28000</v>
      </c>
      <c r="M387" s="119">
        <f>IFERROR(TableDailyJournal[[#This Row],[المبلغ مدين]]/TableDailyJournal[[#This Row],[سعــــــر
الصـــــرف]],0)</f>
        <v>0</v>
      </c>
      <c r="N387" s="119">
        <f>IFERROR(TableDailyJournal[[#This Row],[المبلغ دائن]]/TableDailyJournal[[#This Row],[سعــــــر
الصـــــرف]],0)</f>
        <v>69.135802469135797</v>
      </c>
      <c r="O387" s="121" t="str">
        <f>INDEX(Tabledaily[المستفيــــــــد],MATCH(TableDailyJournal[[#This Row],[رقم العملية]],Tabledaily[رقم العملية],0))</f>
        <v>الاشغال</v>
      </c>
      <c r="P387" s="121" t="str">
        <f>INDEX(Tabledaily[المــــرجـــــــــع],MATCH(TableDailyJournal[[#This Row],[رقم العملية]],Tabledaily[رقم العملية],0))</f>
        <v>كشف صرف</v>
      </c>
      <c r="Q387" s="121" t="str">
        <f>INDEX(Tabledaily[اســـــــم المــــرجــــع],MATCH(TableDailyJournal[[#This Row],[رقم العملية]],Tabledaily[رقم العملية],0))</f>
        <v>كشف صرف</v>
      </c>
      <c r="R387" s="121">
        <f>INDEX(Tabledaily[رقم المـــــرجـــع],MATCH(TableDailyJournal[[#This Row],[رقم العملية]],Tabledaily[رقم العملية],0))</f>
        <v>0</v>
      </c>
      <c r="S387" s="121" t="str">
        <f>INDEX(Tabledaily[مركـــــــزالتكلفــــــة],MATCH(TableDailyJournal[[#This Row],[رقم العملية]],Tabledaily[رقم العملية],0))</f>
        <v>الفرقة الثالثة</v>
      </c>
      <c r="T387" s="121">
        <f>IFERROR(INDEX(tablecost[رقم المركز],MATCH(TableDailyJournal[[#This Row],[مركـــــــزالتكلفــــــة]],tablecost[الاسم],0)),0)</f>
        <v>1</v>
      </c>
      <c r="U387" s="122">
        <f>IFERROR(DATE(TableDailyJournal[[#This Row],[السنــــة]],TableDailyJournal[[#This Row],[الشهــــر]],TableDailyJournal[[#This Row],[الـــــيوم]]),"01-01-2026")</f>
        <v>46186</v>
      </c>
      <c r="V387" s="126"/>
      <c r="W387" s="58"/>
      <c r="X387" s="58">
        <f>IFERROR(YEAR(TableDailyJournal[[#This Row],[التاريخ]]),"")</f>
        <v>2026</v>
      </c>
      <c r="Y387" s="58">
        <f>IFERROR(MONTH(TableDailyJournal[[#This Row],[التاريخ]]),"")</f>
        <v>6</v>
      </c>
      <c r="Z387" s="58">
        <f>IFERROR(DAY(TableDailyJournal[[#This Row],[التاريخ]]),"")</f>
        <v>13</v>
      </c>
      <c r="AA387"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387" s="121">
        <f>INDEX(Tabledaily[جهة الامر],MATCH(TableDailyJournal[[#This Row],[رقم العملية]],Tabledaily[رقم العملية],0))</f>
        <v>0</v>
      </c>
    </row>
    <row r="388" spans="2:28" ht="45.75" x14ac:dyDescent="0.55000000000000004">
      <c r="B388" s="58">
        <f t="shared" si="11"/>
        <v>384</v>
      </c>
      <c r="C388" s="59" t="s">
        <v>733</v>
      </c>
      <c r="D388" s="60">
        <f>INDEX(Tabledaily[date],MATCH(TableDailyJournal[[#This Row],[رقم العملية]],Tabledaily[رقم العملية],0))</f>
        <v>46186</v>
      </c>
      <c r="E388" s="58" t="str">
        <f>INDEX(Tabledaily[نوع العمليــة],MATCH(TableDailyJournal[[#This Row],[رقم العملية]],Tabledaily[رقم العملية],0))</f>
        <v>قيد عهده</v>
      </c>
      <c r="F388" s="58">
        <f>IFERROR(INDEX(TableJudje[رقم الحساب],MATCH(TableDailyJournal[[#This Row],[الحساب]],TableJudje[اسم الحساب],0)),0)</f>
        <v>31010101</v>
      </c>
      <c r="G388" s="58" t="s">
        <v>111</v>
      </c>
      <c r="H388" s="61"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I388" s="60" t="str">
        <f>INDEX(Tabledaily[العملـــة],MATCH(TableDailyJournal[[#This Row],[رقم العملية]],Tabledaily[رقم العملية],0))</f>
        <v>ريال يمني</v>
      </c>
      <c r="J388" s="59">
        <f>IFERROR(INDEX(Tabledaily[سعــــــر
الصـــــرف],MATCH(C388,Tabledaily[رقم العملية],0)),1)</f>
        <v>405</v>
      </c>
      <c r="K388" s="123" cm="1">
        <f t="array" ref="K388">IFERROR(INDEX(Tabledaily[المبلـــــــغ],MATCH(1,(TableDailyJournal[[#This Row],[رقم العملية]]=Tabledaily[رقم العملية])*(TableDailyJournal[[#This Row],[الحساب]]=Tabledaily[الحســاب المديــــن]),0)),0)</f>
        <v>156000</v>
      </c>
      <c r="L388" s="123" cm="1">
        <f t="array" ref="L388">IFERROR(INDEX(Tabledaily[المبلـــــــغ],MATCH(1,(TableDailyJournal[[#This Row],[رقم العملية]]=Tabledaily[رقم العملية])*(TableDailyJournal[[#This Row],[الحساب]]=Tabledaily[الحســاب الدئـــن]),0)),0)</f>
        <v>0</v>
      </c>
      <c r="M388" s="119">
        <f>IFERROR(TableDailyJournal[[#This Row],[المبلغ مدين]]/TableDailyJournal[[#This Row],[سعــــــر
الصـــــرف]],0)</f>
        <v>385.18518518518516</v>
      </c>
      <c r="N388" s="119">
        <f>IFERROR(TableDailyJournal[[#This Row],[المبلغ دائن]]/TableDailyJournal[[#This Row],[سعــــــر
الصـــــرف]],0)</f>
        <v>0</v>
      </c>
      <c r="O388" s="121" t="str">
        <f>INDEX(Tabledaily[المستفيــــــــد],MATCH(TableDailyJournal[[#This Row],[رقم العملية]],Tabledaily[رقم العملية],0))</f>
        <v>سرية اللواء السادس</v>
      </c>
      <c r="P388" s="121" t="str">
        <f>INDEX(Tabledaily[المــــرجـــــــــع],MATCH(TableDailyJournal[[#This Row],[رقم العملية]],Tabledaily[رقم العملية],0))</f>
        <v>كشف صرف</v>
      </c>
      <c r="Q388" s="121" t="str">
        <f>INDEX(Tabledaily[اســـــــم المــــرجــــع],MATCH(TableDailyJournal[[#This Row],[رقم العملية]],Tabledaily[رقم العملية],0))</f>
        <v>كشف صرف</v>
      </c>
      <c r="R388" s="121">
        <f>INDEX(Tabledaily[رقم المـــــرجـــع],MATCH(TableDailyJournal[[#This Row],[رقم العملية]],Tabledaily[رقم العملية],0))</f>
        <v>0</v>
      </c>
      <c r="S388" s="121" t="str">
        <f>INDEX(Tabledaily[مركـــــــزالتكلفــــــة],MATCH(TableDailyJournal[[#This Row],[رقم العملية]],Tabledaily[رقم العملية],0))</f>
        <v>الفرقة الثالثة</v>
      </c>
      <c r="T388" s="121">
        <f>IFERROR(INDEX(tablecost[رقم المركز],MATCH(TableDailyJournal[[#This Row],[مركـــــــزالتكلفــــــة]],tablecost[الاسم],0)),0)</f>
        <v>1</v>
      </c>
      <c r="U388" s="122">
        <f>IFERROR(DATE(TableDailyJournal[[#This Row],[السنــــة]],TableDailyJournal[[#This Row],[الشهــــر]],TableDailyJournal[[#This Row],[الـــــيوم]]),"01-01-2026")</f>
        <v>46186</v>
      </c>
      <c r="V388" s="126"/>
      <c r="W388" s="58"/>
      <c r="X388" s="58">
        <f>IFERROR(YEAR(TableDailyJournal[[#This Row],[التاريخ]]),"")</f>
        <v>2026</v>
      </c>
      <c r="Y388" s="58">
        <f>IFERROR(MONTH(TableDailyJournal[[#This Row],[التاريخ]]),"")</f>
        <v>6</v>
      </c>
      <c r="Z388" s="58">
        <f>IFERROR(DAY(TableDailyJournal[[#This Row],[التاريخ]]),"")</f>
        <v>13</v>
      </c>
      <c r="AA388" s="126"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AB388" s="121">
        <f>INDEX(Tabledaily[جهة الامر],MATCH(TableDailyJournal[[#This Row],[رقم العملية]],Tabledaily[رقم العملية],0))</f>
        <v>0</v>
      </c>
    </row>
    <row r="389" spans="2:28" ht="45.75" x14ac:dyDescent="0.55000000000000004">
      <c r="B389" s="58">
        <f t="shared" si="11"/>
        <v>385</v>
      </c>
      <c r="C389" s="59" t="s">
        <v>733</v>
      </c>
      <c r="D389" s="60">
        <f>INDEX(Tabledaily[date],MATCH(TableDailyJournal[[#This Row],[رقم العملية]],Tabledaily[رقم العملية],0))</f>
        <v>46186</v>
      </c>
      <c r="E389" s="58" t="str">
        <f>INDEX(Tabledaily[نوع العمليــة],MATCH(TableDailyJournal[[#This Row],[رقم العملية]],Tabledaily[رقم العملية],0))</f>
        <v>قيد عهده</v>
      </c>
      <c r="F389" s="58">
        <f>IFERROR(INDEX(TableJudje[رقم الحساب],MATCH(TableDailyJournal[[#This Row],[الحساب]],TableJudje[اسم الحساب],0)),0)</f>
        <v>11060205</v>
      </c>
      <c r="G389" s="58" t="s">
        <v>513</v>
      </c>
      <c r="H389" s="61"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I389" s="60" t="str">
        <f>INDEX(Tabledaily[العملـــة],MATCH(TableDailyJournal[[#This Row],[رقم العملية]],Tabledaily[رقم العملية],0))</f>
        <v>ريال يمني</v>
      </c>
      <c r="J389" s="59">
        <f>IFERROR(INDEX(Tabledaily[سعــــــر
الصـــــرف],MATCH(C389,Tabledaily[رقم العملية],0)),1)</f>
        <v>405</v>
      </c>
      <c r="K389" s="123" cm="1">
        <f t="array" ref="K389">IFERROR(INDEX(Tabledaily[المبلـــــــغ],MATCH(1,(TableDailyJournal[[#This Row],[رقم العملية]]=Tabledaily[رقم العملية])*(TableDailyJournal[[#This Row],[الحساب]]=Tabledaily[الحســاب المديــــن]),0)),0)</f>
        <v>0</v>
      </c>
      <c r="L389" s="123" cm="1">
        <f t="array" ref="L389">IFERROR(INDEX(Tabledaily[المبلـــــــغ],MATCH(1,(TableDailyJournal[[#This Row],[رقم العملية]]=Tabledaily[رقم العملية])*(TableDailyJournal[[#This Row],[الحساب]]=Tabledaily[الحســاب الدئـــن]),0)),0)</f>
        <v>156000</v>
      </c>
      <c r="M389" s="119">
        <f>IFERROR(TableDailyJournal[[#This Row],[المبلغ مدين]]/TableDailyJournal[[#This Row],[سعــــــر
الصـــــرف]],0)</f>
        <v>0</v>
      </c>
      <c r="N389" s="119">
        <f>IFERROR(TableDailyJournal[[#This Row],[المبلغ دائن]]/TableDailyJournal[[#This Row],[سعــــــر
الصـــــرف]],0)</f>
        <v>385.18518518518516</v>
      </c>
      <c r="O389" s="121" t="str">
        <f>INDEX(Tabledaily[المستفيــــــــد],MATCH(TableDailyJournal[[#This Row],[رقم العملية]],Tabledaily[رقم العملية],0))</f>
        <v>سرية اللواء السادس</v>
      </c>
      <c r="P389" s="121" t="str">
        <f>INDEX(Tabledaily[المــــرجـــــــــع],MATCH(TableDailyJournal[[#This Row],[رقم العملية]],Tabledaily[رقم العملية],0))</f>
        <v>كشف صرف</v>
      </c>
      <c r="Q389" s="121" t="str">
        <f>INDEX(Tabledaily[اســـــــم المــــرجــــع],MATCH(TableDailyJournal[[#This Row],[رقم العملية]],Tabledaily[رقم العملية],0))</f>
        <v>كشف صرف</v>
      </c>
      <c r="R389" s="121">
        <f>INDEX(Tabledaily[رقم المـــــرجـــع],MATCH(TableDailyJournal[[#This Row],[رقم العملية]],Tabledaily[رقم العملية],0))</f>
        <v>0</v>
      </c>
      <c r="S389" s="121" t="str">
        <f>INDEX(Tabledaily[مركـــــــزالتكلفــــــة],MATCH(TableDailyJournal[[#This Row],[رقم العملية]],Tabledaily[رقم العملية],0))</f>
        <v>الفرقة الثالثة</v>
      </c>
      <c r="T389" s="121">
        <f>IFERROR(INDEX(tablecost[رقم المركز],MATCH(TableDailyJournal[[#This Row],[مركـــــــزالتكلفــــــة]],tablecost[الاسم],0)),0)</f>
        <v>1</v>
      </c>
      <c r="U389" s="122">
        <f>IFERROR(DATE(TableDailyJournal[[#This Row],[السنــــة]],TableDailyJournal[[#This Row],[الشهــــر]],TableDailyJournal[[#This Row],[الـــــيوم]]),"01-01-2026")</f>
        <v>46186</v>
      </c>
      <c r="V389" s="126"/>
      <c r="W389" s="58"/>
      <c r="X389" s="58">
        <f>IFERROR(YEAR(TableDailyJournal[[#This Row],[التاريخ]]),"")</f>
        <v>2026</v>
      </c>
      <c r="Y389" s="58">
        <f>IFERROR(MONTH(TableDailyJournal[[#This Row],[التاريخ]]),"")</f>
        <v>6</v>
      </c>
      <c r="Z389" s="58">
        <f>IFERROR(DAY(TableDailyJournal[[#This Row],[التاريخ]]),"")</f>
        <v>13</v>
      </c>
      <c r="AA389" s="126" t="str">
        <f>INDEX(Tabledaily[المرجع البياني],MATCH(TableDailyJournal[[#This Row],[رقم العملية]],Tabledaily[رقم العملية],0))</f>
        <v>قيـد مقابـل:- (مصاريف  صرفة يومية للافراد  - سرية اللواء السادس - الفرقة الثالثة)  - كشف صرف رقم   كشف صرف - مصاريف يومية سرية اللواء السادس عدد 39 بامر</v>
      </c>
      <c r="AB389" s="121">
        <f>INDEX(Tabledaily[جهة الامر],MATCH(TableDailyJournal[[#This Row],[رقم العملية]],Tabledaily[رقم العملية],0))</f>
        <v>0</v>
      </c>
    </row>
    <row r="390" spans="2:28" ht="45.75" x14ac:dyDescent="0.55000000000000004">
      <c r="B390" s="58">
        <f t="shared" si="11"/>
        <v>386</v>
      </c>
      <c r="C390" s="59" t="s">
        <v>734</v>
      </c>
      <c r="D390" s="60">
        <f>INDEX(Tabledaily[date],MATCH(TableDailyJournal[[#This Row],[رقم العملية]],Tabledaily[رقم العملية],0))</f>
        <v>46186</v>
      </c>
      <c r="E390" s="58" t="str">
        <f>INDEX(Tabledaily[نوع العمليــة],MATCH(TableDailyJournal[[#This Row],[رقم العملية]],Tabledaily[رقم العملية],0))</f>
        <v>قيد عهده</v>
      </c>
      <c r="F390" s="58">
        <f>IFERROR(INDEX(TableJudje[رقم الحساب],MATCH(TableDailyJournal[[#This Row],[الحساب]],TableJudje[اسم الحساب],0)),0)</f>
        <v>31010116</v>
      </c>
      <c r="G390" s="58" t="s">
        <v>122</v>
      </c>
      <c r="H390" s="61" t="str">
        <f>INDEX(Tabledaily[المرجع البياني],MATCH(TableDailyJournal[[#This Row],[رقم العملية]],Tabledaily[رقم العملية],0))</f>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v>
      </c>
      <c r="I390" s="60" t="str">
        <f>INDEX(Tabledaily[العملـــة],MATCH(TableDailyJournal[[#This Row],[رقم العملية]],Tabledaily[رقم العملية],0))</f>
        <v>ريال يمني</v>
      </c>
      <c r="J390" s="59">
        <f>IFERROR(INDEX(Tabledaily[سعــــــر
الصـــــرف],MATCH(C390,Tabledaily[رقم العملية],0)),1)</f>
        <v>405</v>
      </c>
      <c r="K390" s="123" cm="1">
        <f t="array" ref="K390">IFERROR(INDEX(Tabledaily[المبلـــــــغ],MATCH(1,(TableDailyJournal[[#This Row],[رقم العملية]]=Tabledaily[رقم العملية])*(TableDailyJournal[[#This Row],[الحساب]]=Tabledaily[الحســاب المديــــن]),0)),0)</f>
        <v>200000</v>
      </c>
      <c r="L390" s="123" cm="1">
        <f t="array" ref="L390">IFERROR(INDEX(Tabledaily[المبلـــــــغ],MATCH(1,(TableDailyJournal[[#This Row],[رقم العملية]]=Tabledaily[رقم العملية])*(TableDailyJournal[[#This Row],[الحساب]]=Tabledaily[الحســاب الدئـــن]),0)),0)</f>
        <v>0</v>
      </c>
      <c r="M390" s="119">
        <f>IFERROR(TableDailyJournal[[#This Row],[المبلغ مدين]]/TableDailyJournal[[#This Row],[سعــــــر
الصـــــرف]],0)</f>
        <v>493.82716049382714</v>
      </c>
      <c r="N390" s="119">
        <f>IFERROR(TableDailyJournal[[#This Row],[المبلغ دائن]]/TableDailyJournal[[#This Row],[سعــــــر
الصـــــرف]],0)</f>
        <v>0</v>
      </c>
      <c r="O390" s="121">
        <f>INDEX(Tabledaily[المستفيــــــــد],MATCH(TableDailyJournal[[#This Row],[رقم العملية]],Tabledaily[رقم العملية],0))</f>
        <v>0</v>
      </c>
      <c r="P390" s="121" t="str">
        <f>INDEX(Tabledaily[المــــرجـــــــــع],MATCH(TableDailyJournal[[#This Row],[رقم العملية]],Tabledaily[رقم العملية],0))</f>
        <v>استلام نقدي</v>
      </c>
      <c r="Q390" s="121" t="str">
        <f>INDEX(Tabledaily[اســـــــم المــــرجــــع],MATCH(TableDailyJournal[[#This Row],[رقم العملية]],Tabledaily[رقم العملية],0))</f>
        <v>سند استلام</v>
      </c>
      <c r="R390" s="121">
        <f>INDEX(Tabledaily[رقم المـــــرجـــع],MATCH(TableDailyJournal[[#This Row],[رقم العملية]],Tabledaily[رقم العملية],0))</f>
        <v>0</v>
      </c>
      <c r="S390" s="121" t="str">
        <f>INDEX(Tabledaily[مركـــــــزالتكلفــــــة],MATCH(TableDailyJournal[[#This Row],[رقم العملية]],Tabledaily[رقم العملية],0))</f>
        <v>الفرقة الثالثة</v>
      </c>
      <c r="T390" s="121">
        <f>IFERROR(INDEX(tablecost[رقم المركز],MATCH(TableDailyJournal[[#This Row],[مركـــــــزالتكلفــــــة]],tablecost[الاسم],0)),0)</f>
        <v>1</v>
      </c>
      <c r="U390" s="122">
        <f>IFERROR(DATE(TableDailyJournal[[#This Row],[السنــــة]],TableDailyJournal[[#This Row],[الشهــــر]],TableDailyJournal[[#This Row],[الـــــيوم]]),"01-01-2026")</f>
        <v>46186</v>
      </c>
      <c r="V390" s="126"/>
      <c r="W390" s="58"/>
      <c r="X390" s="58">
        <f>IFERROR(YEAR(TableDailyJournal[[#This Row],[التاريخ]]),"")</f>
        <v>2026</v>
      </c>
      <c r="Y390" s="58">
        <f>IFERROR(MONTH(TableDailyJournal[[#This Row],[التاريخ]]),"")</f>
        <v>6</v>
      </c>
      <c r="Z390" s="58">
        <f>IFERROR(DAY(TableDailyJournal[[#This Row],[التاريخ]]),"")</f>
        <v>13</v>
      </c>
      <c r="AA390" s="126" t="str">
        <f>INDEX(Tabledaily[المرجع البياني],MATCH(TableDailyJournal[[#This Row],[رقم العملية]],Tabledaily[رقم العملية],0))</f>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v>
      </c>
      <c r="AB390" s="121" t="str">
        <f>INDEX(Tabledaily[جهة الامر],MATCH(TableDailyJournal[[#This Row],[رقم العملية]],Tabledaily[رقم العملية],0))</f>
        <v>القائد</v>
      </c>
    </row>
    <row r="391" spans="2:28" ht="45.75" x14ac:dyDescent="0.55000000000000004">
      <c r="B391" s="58">
        <f t="shared" si="11"/>
        <v>387</v>
      </c>
      <c r="C391" s="59" t="s">
        <v>734</v>
      </c>
      <c r="D391" s="60">
        <f>INDEX(Tabledaily[date],MATCH(TableDailyJournal[[#This Row],[رقم العملية]],Tabledaily[رقم العملية],0))</f>
        <v>46186</v>
      </c>
      <c r="E391" s="58" t="str">
        <f>INDEX(Tabledaily[نوع العمليــة],MATCH(TableDailyJournal[[#This Row],[رقم العملية]],Tabledaily[رقم العملية],0))</f>
        <v>قيد عهده</v>
      </c>
      <c r="F391" s="58">
        <f>IFERROR(INDEX(TableJudje[رقم الحساب],MATCH(TableDailyJournal[[#This Row],[الحساب]],TableJudje[اسم الحساب],0)),0)</f>
        <v>11060205</v>
      </c>
      <c r="G391" s="58" t="s">
        <v>513</v>
      </c>
      <c r="H391" s="61" t="str">
        <f>INDEX(Tabledaily[المرجع البياني],MATCH(TableDailyJournal[[#This Row],[رقم العملية]],Tabledaily[رقم العملية],0))</f>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v>
      </c>
      <c r="I391" s="60" t="str">
        <f>INDEX(Tabledaily[العملـــة],MATCH(TableDailyJournal[[#This Row],[رقم العملية]],Tabledaily[رقم العملية],0))</f>
        <v>ريال يمني</v>
      </c>
      <c r="J391" s="59">
        <f>IFERROR(INDEX(Tabledaily[سعــــــر
الصـــــرف],MATCH(C391,Tabledaily[رقم العملية],0)),1)</f>
        <v>405</v>
      </c>
      <c r="K391" s="123" cm="1">
        <f t="array" ref="K391">IFERROR(INDEX(Tabledaily[المبلـــــــغ],MATCH(1,(TableDailyJournal[[#This Row],[رقم العملية]]=Tabledaily[رقم العملية])*(TableDailyJournal[[#This Row],[الحساب]]=Tabledaily[الحســاب المديــــن]),0)),0)</f>
        <v>0</v>
      </c>
      <c r="L391" s="123" cm="1">
        <f t="array" ref="L391">IFERROR(INDEX(Tabledaily[المبلـــــــغ],MATCH(1,(TableDailyJournal[[#This Row],[رقم العملية]]=Tabledaily[رقم العملية])*(TableDailyJournal[[#This Row],[الحساب]]=Tabledaily[الحســاب الدئـــن]),0)),0)</f>
        <v>200000</v>
      </c>
      <c r="M391" s="119">
        <f>IFERROR(TableDailyJournal[[#This Row],[المبلغ مدين]]/TableDailyJournal[[#This Row],[سعــــــر
الصـــــرف]],0)</f>
        <v>0</v>
      </c>
      <c r="N391" s="119">
        <f>IFERROR(TableDailyJournal[[#This Row],[المبلغ دائن]]/TableDailyJournal[[#This Row],[سعــــــر
الصـــــرف]],0)</f>
        <v>493.82716049382714</v>
      </c>
      <c r="O391" s="121">
        <f>INDEX(Tabledaily[المستفيــــــــد],MATCH(TableDailyJournal[[#This Row],[رقم العملية]],Tabledaily[رقم العملية],0))</f>
        <v>0</v>
      </c>
      <c r="P391" s="121" t="str">
        <f>INDEX(Tabledaily[المــــرجـــــــــع],MATCH(TableDailyJournal[[#This Row],[رقم العملية]],Tabledaily[رقم العملية],0))</f>
        <v>استلام نقدي</v>
      </c>
      <c r="Q391" s="121" t="str">
        <f>INDEX(Tabledaily[اســـــــم المــــرجــــع],MATCH(TableDailyJournal[[#This Row],[رقم العملية]],Tabledaily[رقم العملية],0))</f>
        <v>سند استلام</v>
      </c>
      <c r="R391" s="121">
        <f>INDEX(Tabledaily[رقم المـــــرجـــع],MATCH(TableDailyJournal[[#This Row],[رقم العملية]],Tabledaily[رقم العملية],0))</f>
        <v>0</v>
      </c>
      <c r="S391" s="121" t="str">
        <f>INDEX(Tabledaily[مركـــــــزالتكلفــــــة],MATCH(TableDailyJournal[[#This Row],[رقم العملية]],Tabledaily[رقم العملية],0))</f>
        <v>الفرقة الثالثة</v>
      </c>
      <c r="T391" s="121">
        <f>IFERROR(INDEX(tablecost[رقم المركز],MATCH(TableDailyJournal[[#This Row],[مركـــــــزالتكلفــــــة]],tablecost[الاسم],0)),0)</f>
        <v>1</v>
      </c>
      <c r="U391" s="122">
        <f>IFERROR(DATE(TableDailyJournal[[#This Row],[السنــــة]],TableDailyJournal[[#This Row],[الشهــــر]],TableDailyJournal[[#This Row],[الـــــيوم]]),"01-01-2026")</f>
        <v>46186</v>
      </c>
      <c r="V391" s="126"/>
      <c r="W391" s="58"/>
      <c r="X391" s="58">
        <f>IFERROR(YEAR(TableDailyJournal[[#This Row],[التاريخ]]),"")</f>
        <v>2026</v>
      </c>
      <c r="Y391" s="58">
        <f>IFERROR(MONTH(TableDailyJournal[[#This Row],[التاريخ]]),"")</f>
        <v>6</v>
      </c>
      <c r="Z391" s="58">
        <f>IFERROR(DAY(TableDailyJournal[[#This Row],[التاريخ]]),"")</f>
        <v>13</v>
      </c>
      <c r="AA391" s="126" t="str">
        <f>INDEX(Tabledaily[المرجع البياني],MATCH(TableDailyJournal[[#This Row],[رقم العملية]],Tabledaily[رقم العملية],0))</f>
        <v>قيـد مقابـل:- (مصاريف نزول مهام  -  - الفرقة الثالثة)  - استلام نقدي رقم   سند استلام - مصاريف للجنة المكلفة للنزول الى اللواء الربع من الاخوة الاستخبارات والقانونية  بامرالقائد</v>
      </c>
      <c r="AB391" s="121" t="str">
        <f>INDEX(Tabledaily[جهة الامر],MATCH(TableDailyJournal[[#This Row],[رقم العملية]],Tabledaily[رقم العملية],0))</f>
        <v>القائد</v>
      </c>
    </row>
    <row r="392" spans="2:28" ht="45.75" x14ac:dyDescent="0.55000000000000004">
      <c r="B392" s="58">
        <f t="shared" ref="B392:B423" si="12">ROW()-4</f>
        <v>388</v>
      </c>
      <c r="C392" s="59" t="s">
        <v>736</v>
      </c>
      <c r="D392" s="60">
        <f>INDEX(Tabledaily[date],MATCH(TableDailyJournal[[#This Row],[رقم العملية]],Tabledaily[رقم العملية],0))</f>
        <v>46186</v>
      </c>
      <c r="E392" s="58" t="str">
        <f>INDEX(Tabledaily[نوع العمليــة],MATCH(TableDailyJournal[[#This Row],[رقم العملية]],Tabledaily[رقم العملية],0))</f>
        <v>قيد عهده</v>
      </c>
      <c r="F392" s="58">
        <f>IFERROR(INDEX(TableJudje[رقم الحساب],MATCH(TableDailyJournal[[#This Row],[الحساب]],TableJudje[اسم الحساب],0)),0)</f>
        <v>31010115</v>
      </c>
      <c r="G392" s="58" t="s">
        <v>486</v>
      </c>
      <c r="H392" s="61" t="str">
        <f>INDEX(Tabledaily[المرجع البياني],MATCH(TableDailyJournal[[#This Row],[رقم العملية]],Tabledaily[رقم العملية],0))</f>
        <v>قيـد مقابـل:- (مصاريف مياة - الفرقة - الفرقة الثالثة)  - استلام نقدي رقم   سند استلام - شراء قاطرة ماء ومصاريف لسائق القاطرة والمرافق بامرالمستشار المالي</v>
      </c>
      <c r="I392" s="60" t="str">
        <f>INDEX(Tabledaily[العملـــة],MATCH(TableDailyJournal[[#This Row],[رقم العملية]],Tabledaily[رقم العملية],0))</f>
        <v>ريال يمني</v>
      </c>
      <c r="J392" s="59">
        <f>IFERROR(INDEX(Tabledaily[سعــــــر
الصـــــرف],MATCH(C392,Tabledaily[رقم العملية],0)),1)</f>
        <v>405</v>
      </c>
      <c r="K392" s="123" cm="1">
        <f t="array" ref="K392">IFERROR(INDEX(Tabledaily[المبلـــــــغ],MATCH(1,(TableDailyJournal[[#This Row],[رقم العملية]]=Tabledaily[رقم العملية])*(TableDailyJournal[[#This Row],[الحساب]]=Tabledaily[الحســاب المديــــن]),0)),0)</f>
        <v>100000</v>
      </c>
      <c r="L392" s="123" cm="1">
        <f t="array" ref="L392">IFERROR(INDEX(Tabledaily[المبلـــــــغ],MATCH(1,(TableDailyJournal[[#This Row],[رقم العملية]]=Tabledaily[رقم العملية])*(TableDailyJournal[[#This Row],[الحساب]]=Tabledaily[الحســاب الدئـــن]),0)),0)</f>
        <v>0</v>
      </c>
      <c r="M392" s="119">
        <f>IFERROR(TableDailyJournal[[#This Row],[المبلغ مدين]]/TableDailyJournal[[#This Row],[سعــــــر
الصـــــرف]],0)</f>
        <v>246.91358024691357</v>
      </c>
      <c r="N392" s="119">
        <f>IFERROR(TableDailyJournal[[#This Row],[المبلغ دائن]]/TableDailyJournal[[#This Row],[سعــــــر
الصـــــرف]],0)</f>
        <v>0</v>
      </c>
      <c r="O392" s="121" t="str">
        <f>INDEX(Tabledaily[المستفيــــــــد],MATCH(TableDailyJournal[[#This Row],[رقم العملية]],Tabledaily[رقم العملية],0))</f>
        <v>الفرقة</v>
      </c>
      <c r="P392" s="121" t="str">
        <f>INDEX(Tabledaily[المــــرجـــــــــع],MATCH(TableDailyJournal[[#This Row],[رقم العملية]],Tabledaily[رقم العملية],0))</f>
        <v>استلام نقدي</v>
      </c>
      <c r="Q392" s="121" t="str">
        <f>INDEX(Tabledaily[اســـــــم المــــرجــــع],MATCH(TableDailyJournal[[#This Row],[رقم العملية]],Tabledaily[رقم العملية],0))</f>
        <v>سند استلام</v>
      </c>
      <c r="R392" s="121">
        <f>INDEX(Tabledaily[رقم المـــــرجـــع],MATCH(TableDailyJournal[[#This Row],[رقم العملية]],Tabledaily[رقم العملية],0))</f>
        <v>0</v>
      </c>
      <c r="S392" s="121" t="str">
        <f>INDEX(Tabledaily[مركـــــــزالتكلفــــــة],MATCH(TableDailyJournal[[#This Row],[رقم العملية]],Tabledaily[رقم العملية],0))</f>
        <v>الفرقة الثالثة</v>
      </c>
      <c r="T392" s="121">
        <f>IFERROR(INDEX(tablecost[رقم المركز],MATCH(TableDailyJournal[[#This Row],[مركـــــــزالتكلفــــــة]],tablecost[الاسم],0)),0)</f>
        <v>1</v>
      </c>
      <c r="U392" s="122">
        <f>IFERROR(DATE(TableDailyJournal[[#This Row],[السنــــة]],TableDailyJournal[[#This Row],[الشهــــر]],TableDailyJournal[[#This Row],[الـــــيوم]]),"01-01-2026")</f>
        <v>46186</v>
      </c>
      <c r="V392" s="126"/>
      <c r="W392" s="58"/>
      <c r="X392" s="58">
        <f>IFERROR(YEAR(TableDailyJournal[[#This Row],[التاريخ]]),"")</f>
        <v>2026</v>
      </c>
      <c r="Y392" s="58">
        <f>IFERROR(MONTH(TableDailyJournal[[#This Row],[التاريخ]]),"")</f>
        <v>6</v>
      </c>
      <c r="Z392" s="58">
        <f>IFERROR(DAY(TableDailyJournal[[#This Row],[التاريخ]]),"")</f>
        <v>13</v>
      </c>
      <c r="AA392" s="126" t="str">
        <f>INDEX(Tabledaily[المرجع البياني],MATCH(TableDailyJournal[[#This Row],[رقم العملية]],Tabledaily[رقم العملية],0))</f>
        <v>قيـد مقابـل:- (مصاريف مياة - الفرقة - الفرقة الثالثة)  - استلام نقدي رقم   سند استلام - شراء قاطرة ماء ومصاريف لسائق القاطرة والمرافق بامرالمستشار المالي</v>
      </c>
      <c r="AB392" s="121" t="str">
        <f>INDEX(Tabledaily[جهة الامر],MATCH(TableDailyJournal[[#This Row],[رقم العملية]],Tabledaily[رقم العملية],0))</f>
        <v>المستشار المالي</v>
      </c>
    </row>
    <row r="393" spans="2:28" ht="45.75" x14ac:dyDescent="0.55000000000000004">
      <c r="B393" s="58">
        <f t="shared" si="12"/>
        <v>389</v>
      </c>
      <c r="C393" s="59" t="s">
        <v>736</v>
      </c>
      <c r="D393" s="60">
        <f>INDEX(Tabledaily[date],MATCH(TableDailyJournal[[#This Row],[رقم العملية]],Tabledaily[رقم العملية],0))</f>
        <v>46186</v>
      </c>
      <c r="E393" s="58" t="str">
        <f>INDEX(Tabledaily[نوع العمليــة],MATCH(TableDailyJournal[[#This Row],[رقم العملية]],Tabledaily[رقم العملية],0))</f>
        <v>قيد عهده</v>
      </c>
      <c r="F393" s="58">
        <f>IFERROR(INDEX(TableJudje[رقم الحساب],MATCH(TableDailyJournal[[#This Row],[الحساب]],TableJudje[اسم الحساب],0)),0)</f>
        <v>11060205</v>
      </c>
      <c r="G393" s="58" t="s">
        <v>513</v>
      </c>
      <c r="H393" s="61" t="str">
        <f>INDEX(Tabledaily[المرجع البياني],MATCH(TableDailyJournal[[#This Row],[رقم العملية]],Tabledaily[رقم العملية],0))</f>
        <v>قيـد مقابـل:- (مصاريف مياة - الفرقة - الفرقة الثالثة)  - استلام نقدي رقم   سند استلام - شراء قاطرة ماء ومصاريف لسائق القاطرة والمرافق بامرالمستشار المالي</v>
      </c>
      <c r="I393" s="60" t="str">
        <f>INDEX(Tabledaily[العملـــة],MATCH(TableDailyJournal[[#This Row],[رقم العملية]],Tabledaily[رقم العملية],0))</f>
        <v>ريال يمني</v>
      </c>
      <c r="J393" s="59">
        <f>IFERROR(INDEX(Tabledaily[سعــــــر
الصـــــرف],MATCH(C393,Tabledaily[رقم العملية],0)),1)</f>
        <v>405</v>
      </c>
      <c r="K393" s="123" cm="1">
        <f t="array" ref="K393">IFERROR(INDEX(Tabledaily[المبلـــــــغ],MATCH(1,(TableDailyJournal[[#This Row],[رقم العملية]]=Tabledaily[رقم العملية])*(TableDailyJournal[[#This Row],[الحساب]]=Tabledaily[الحســاب المديــــن]),0)),0)</f>
        <v>0</v>
      </c>
      <c r="L393" s="123" cm="1">
        <f t="array" ref="L393">IFERROR(INDEX(Tabledaily[المبلـــــــغ],MATCH(1,(TableDailyJournal[[#This Row],[رقم العملية]]=Tabledaily[رقم العملية])*(TableDailyJournal[[#This Row],[الحساب]]=Tabledaily[الحســاب الدئـــن]),0)),0)</f>
        <v>100000</v>
      </c>
      <c r="M393" s="119">
        <f>IFERROR(TableDailyJournal[[#This Row],[المبلغ مدين]]/TableDailyJournal[[#This Row],[سعــــــر
الصـــــرف]],0)</f>
        <v>0</v>
      </c>
      <c r="N393" s="119">
        <f>IFERROR(TableDailyJournal[[#This Row],[المبلغ دائن]]/TableDailyJournal[[#This Row],[سعــــــر
الصـــــرف]],0)</f>
        <v>246.91358024691357</v>
      </c>
      <c r="O393" s="121" t="str">
        <f>INDEX(Tabledaily[المستفيــــــــد],MATCH(TableDailyJournal[[#This Row],[رقم العملية]],Tabledaily[رقم العملية],0))</f>
        <v>الفرقة</v>
      </c>
      <c r="P393" s="121" t="str">
        <f>INDEX(Tabledaily[المــــرجـــــــــع],MATCH(TableDailyJournal[[#This Row],[رقم العملية]],Tabledaily[رقم العملية],0))</f>
        <v>استلام نقدي</v>
      </c>
      <c r="Q393" s="121" t="str">
        <f>INDEX(Tabledaily[اســـــــم المــــرجــــع],MATCH(TableDailyJournal[[#This Row],[رقم العملية]],Tabledaily[رقم العملية],0))</f>
        <v>سند استلام</v>
      </c>
      <c r="R393" s="121">
        <f>INDEX(Tabledaily[رقم المـــــرجـــع],MATCH(TableDailyJournal[[#This Row],[رقم العملية]],Tabledaily[رقم العملية],0))</f>
        <v>0</v>
      </c>
      <c r="S393" s="121" t="str">
        <f>INDEX(Tabledaily[مركـــــــزالتكلفــــــة],MATCH(TableDailyJournal[[#This Row],[رقم العملية]],Tabledaily[رقم العملية],0))</f>
        <v>الفرقة الثالثة</v>
      </c>
      <c r="T393" s="121">
        <f>IFERROR(INDEX(tablecost[رقم المركز],MATCH(TableDailyJournal[[#This Row],[مركـــــــزالتكلفــــــة]],tablecost[الاسم],0)),0)</f>
        <v>1</v>
      </c>
      <c r="U393" s="122">
        <f>IFERROR(DATE(TableDailyJournal[[#This Row],[السنــــة]],TableDailyJournal[[#This Row],[الشهــــر]],TableDailyJournal[[#This Row],[الـــــيوم]]),"01-01-2026")</f>
        <v>46186</v>
      </c>
      <c r="V393" s="126"/>
      <c r="W393" s="58"/>
      <c r="X393" s="58">
        <f>IFERROR(YEAR(TableDailyJournal[[#This Row],[التاريخ]]),"")</f>
        <v>2026</v>
      </c>
      <c r="Y393" s="58">
        <f>IFERROR(MONTH(TableDailyJournal[[#This Row],[التاريخ]]),"")</f>
        <v>6</v>
      </c>
      <c r="Z393" s="58">
        <f>IFERROR(DAY(TableDailyJournal[[#This Row],[التاريخ]]),"")</f>
        <v>13</v>
      </c>
      <c r="AA393" s="126" t="str">
        <f>INDEX(Tabledaily[المرجع البياني],MATCH(TableDailyJournal[[#This Row],[رقم العملية]],Tabledaily[رقم العملية],0))</f>
        <v>قيـد مقابـل:- (مصاريف مياة - الفرقة - الفرقة الثالثة)  - استلام نقدي رقم   سند استلام - شراء قاطرة ماء ومصاريف لسائق القاطرة والمرافق بامرالمستشار المالي</v>
      </c>
      <c r="AB393" s="121" t="str">
        <f>INDEX(Tabledaily[جهة الامر],MATCH(TableDailyJournal[[#This Row],[رقم العملية]],Tabledaily[رقم العملية],0))</f>
        <v>المستشار المالي</v>
      </c>
    </row>
    <row r="394" spans="2:28" ht="45.75" x14ac:dyDescent="0.55000000000000004">
      <c r="B394" s="58">
        <f t="shared" si="12"/>
        <v>390</v>
      </c>
      <c r="C394" s="59" t="s">
        <v>739</v>
      </c>
      <c r="D394" s="60">
        <f>INDEX(Tabledaily[date],MATCH(TableDailyJournal[[#This Row],[رقم العملية]],Tabledaily[رقم العملية],0))</f>
        <v>46186</v>
      </c>
      <c r="E394" s="58" t="str">
        <f>INDEX(Tabledaily[نوع العمليــة],MATCH(TableDailyJournal[[#This Row],[رقم العملية]],Tabledaily[رقم العملية],0))</f>
        <v>قيد عهده</v>
      </c>
      <c r="F394" s="58">
        <f>IFERROR(INDEX(TableJudje[رقم الحساب],MATCH(TableDailyJournal[[#This Row],[الحساب]],TableJudje[اسم الحساب],0)),0)</f>
        <v>31010135</v>
      </c>
      <c r="G394" s="58" t="s">
        <v>473</v>
      </c>
      <c r="H394" s="61"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لانزال الخيم الى مستودعات الامداد بامر</v>
      </c>
      <c r="I394" s="60" t="str">
        <f>INDEX(Tabledaily[العملـــة],MATCH(TableDailyJournal[[#This Row],[رقم العملية]],Tabledaily[رقم العملية],0))</f>
        <v>ريال يمني</v>
      </c>
      <c r="J394" s="59">
        <f>IFERROR(INDEX(Tabledaily[سعــــــر
الصـــــرف],MATCH(C394,Tabledaily[رقم العملية],0)),1)</f>
        <v>405</v>
      </c>
      <c r="K394" s="123" cm="1">
        <f t="array" ref="K394">IFERROR(INDEX(Tabledaily[المبلـــــــغ],MATCH(1,(TableDailyJournal[[#This Row],[رقم العملية]]=Tabledaily[رقم العملية])*(TableDailyJournal[[#This Row],[الحساب]]=Tabledaily[الحســاب المديــــن]),0)),0)</f>
        <v>25000</v>
      </c>
      <c r="L394" s="123" cm="1">
        <f t="array" ref="L394">IFERROR(INDEX(Tabledaily[المبلـــــــغ],MATCH(1,(TableDailyJournal[[#This Row],[رقم العملية]]=Tabledaily[رقم العملية])*(TableDailyJournal[[#This Row],[الحساب]]=Tabledaily[الحســاب الدئـــن]),0)),0)</f>
        <v>0</v>
      </c>
      <c r="M394" s="119">
        <f>IFERROR(TableDailyJournal[[#This Row],[المبلغ مدين]]/TableDailyJournal[[#This Row],[سعــــــر
الصـــــرف]],0)</f>
        <v>61.728395061728392</v>
      </c>
      <c r="N394" s="119">
        <f>IFERROR(TableDailyJournal[[#This Row],[المبلغ دائن]]/TableDailyJournal[[#This Row],[سعــــــر
الصـــــرف]],0)</f>
        <v>0</v>
      </c>
      <c r="O394" s="121" t="str">
        <f>INDEX(Tabledaily[المستفيــــــــد],MATCH(TableDailyJournal[[#This Row],[رقم العملية]],Tabledaily[رقم العملية],0))</f>
        <v>عمال</v>
      </c>
      <c r="P394" s="121" t="str">
        <f>INDEX(Tabledaily[المــــرجـــــــــع],MATCH(TableDailyJournal[[#This Row],[رقم العملية]],Tabledaily[رقم العملية],0))</f>
        <v>استلام نقدي</v>
      </c>
      <c r="Q394" s="121" t="str">
        <f>INDEX(Tabledaily[اســـــــم المــــرجــــع],MATCH(TableDailyJournal[[#This Row],[رقم العملية]],Tabledaily[رقم العملية],0))</f>
        <v>سند استلام</v>
      </c>
      <c r="R394" s="121">
        <f>INDEX(Tabledaily[رقم المـــــرجـــع],MATCH(TableDailyJournal[[#This Row],[رقم العملية]],Tabledaily[رقم العملية],0))</f>
        <v>0</v>
      </c>
      <c r="S394" s="121" t="str">
        <f>INDEX(Tabledaily[مركـــــــزالتكلفــــــة],MATCH(TableDailyJournal[[#This Row],[رقم العملية]],Tabledaily[رقم العملية],0))</f>
        <v>الفرقة الثالثة</v>
      </c>
      <c r="T394" s="121">
        <f>IFERROR(INDEX(tablecost[رقم المركز],MATCH(TableDailyJournal[[#This Row],[مركـــــــزالتكلفــــــة]],tablecost[الاسم],0)),0)</f>
        <v>1</v>
      </c>
      <c r="U394" s="122">
        <f>IFERROR(DATE(TableDailyJournal[[#This Row],[السنــــة]],TableDailyJournal[[#This Row],[الشهــــر]],TableDailyJournal[[#This Row],[الـــــيوم]]),"01-01-2026")</f>
        <v>46186</v>
      </c>
      <c r="V394" s="126"/>
      <c r="W394" s="58"/>
      <c r="X394" s="58">
        <f>IFERROR(YEAR(TableDailyJournal[[#This Row],[التاريخ]]),"")</f>
        <v>2026</v>
      </c>
      <c r="Y394" s="58">
        <f>IFERROR(MONTH(TableDailyJournal[[#This Row],[التاريخ]]),"")</f>
        <v>6</v>
      </c>
      <c r="Z394" s="58">
        <f>IFERROR(DAY(TableDailyJournal[[#This Row],[التاريخ]]),"")</f>
        <v>13</v>
      </c>
      <c r="AA394" s="126"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لانزال الخيم الى مستودعات الامداد بامر</v>
      </c>
      <c r="AB394" s="121">
        <f>INDEX(Tabledaily[جهة الامر],MATCH(TableDailyJournal[[#This Row],[رقم العملية]],Tabledaily[رقم العملية],0))</f>
        <v>0</v>
      </c>
    </row>
    <row r="395" spans="2:28" ht="45.75" x14ac:dyDescent="0.55000000000000004">
      <c r="B395" s="58">
        <f t="shared" si="12"/>
        <v>391</v>
      </c>
      <c r="C395" s="59" t="s">
        <v>739</v>
      </c>
      <c r="D395" s="60">
        <f>INDEX(Tabledaily[date],MATCH(TableDailyJournal[[#This Row],[رقم العملية]],Tabledaily[رقم العملية],0))</f>
        <v>46186</v>
      </c>
      <c r="E395" s="58" t="str">
        <f>INDEX(Tabledaily[نوع العمليــة],MATCH(TableDailyJournal[[#This Row],[رقم العملية]],Tabledaily[رقم العملية],0))</f>
        <v>قيد عهده</v>
      </c>
      <c r="F395" s="58">
        <f>IFERROR(INDEX(TableJudje[رقم الحساب],MATCH(TableDailyJournal[[#This Row],[الحساب]],TableJudje[اسم الحساب],0)),0)</f>
        <v>11060205</v>
      </c>
      <c r="G395" s="58" t="s">
        <v>513</v>
      </c>
      <c r="H395" s="61"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لانزال الخيم الى مستودعات الامداد بامر</v>
      </c>
      <c r="I395" s="60" t="str">
        <f>INDEX(Tabledaily[العملـــة],MATCH(TableDailyJournal[[#This Row],[رقم العملية]],Tabledaily[رقم العملية],0))</f>
        <v>ريال يمني</v>
      </c>
      <c r="J395" s="59">
        <f>IFERROR(INDEX(Tabledaily[سعــــــر
الصـــــرف],MATCH(C395,Tabledaily[رقم العملية],0)),1)</f>
        <v>405</v>
      </c>
      <c r="K395" s="123" cm="1">
        <f t="array" ref="K395">IFERROR(INDEX(Tabledaily[المبلـــــــغ],MATCH(1,(TableDailyJournal[[#This Row],[رقم العملية]]=Tabledaily[رقم العملية])*(TableDailyJournal[[#This Row],[الحساب]]=Tabledaily[الحســاب المديــــن]),0)),0)</f>
        <v>0</v>
      </c>
      <c r="L395" s="123" cm="1">
        <f t="array" ref="L395">IFERROR(INDEX(Tabledaily[المبلـــــــغ],MATCH(1,(TableDailyJournal[[#This Row],[رقم العملية]]=Tabledaily[رقم العملية])*(TableDailyJournal[[#This Row],[الحساب]]=Tabledaily[الحســاب الدئـــن]),0)),0)</f>
        <v>25000</v>
      </c>
      <c r="M395" s="119">
        <f>IFERROR(TableDailyJournal[[#This Row],[المبلغ مدين]]/TableDailyJournal[[#This Row],[سعــــــر
الصـــــرف]],0)</f>
        <v>0</v>
      </c>
      <c r="N395" s="119">
        <f>IFERROR(TableDailyJournal[[#This Row],[المبلغ دائن]]/TableDailyJournal[[#This Row],[سعــــــر
الصـــــرف]],0)</f>
        <v>61.728395061728392</v>
      </c>
      <c r="O395" s="121" t="str">
        <f>INDEX(Tabledaily[المستفيــــــــد],MATCH(TableDailyJournal[[#This Row],[رقم العملية]],Tabledaily[رقم العملية],0))</f>
        <v>عمال</v>
      </c>
      <c r="P395" s="121" t="str">
        <f>INDEX(Tabledaily[المــــرجـــــــــع],MATCH(TableDailyJournal[[#This Row],[رقم العملية]],Tabledaily[رقم العملية],0))</f>
        <v>استلام نقدي</v>
      </c>
      <c r="Q395" s="121" t="str">
        <f>INDEX(Tabledaily[اســـــــم المــــرجــــع],MATCH(TableDailyJournal[[#This Row],[رقم العملية]],Tabledaily[رقم العملية],0))</f>
        <v>سند استلام</v>
      </c>
      <c r="R395" s="121">
        <f>INDEX(Tabledaily[رقم المـــــرجـــع],MATCH(TableDailyJournal[[#This Row],[رقم العملية]],Tabledaily[رقم العملية],0))</f>
        <v>0</v>
      </c>
      <c r="S395" s="121" t="str">
        <f>INDEX(Tabledaily[مركـــــــزالتكلفــــــة],MATCH(TableDailyJournal[[#This Row],[رقم العملية]],Tabledaily[رقم العملية],0))</f>
        <v>الفرقة الثالثة</v>
      </c>
      <c r="T395" s="121">
        <f>IFERROR(INDEX(tablecost[رقم المركز],MATCH(TableDailyJournal[[#This Row],[مركـــــــزالتكلفــــــة]],tablecost[الاسم],0)),0)</f>
        <v>1</v>
      </c>
      <c r="U395" s="122">
        <f>IFERROR(DATE(TableDailyJournal[[#This Row],[السنــــة]],TableDailyJournal[[#This Row],[الشهــــر]],TableDailyJournal[[#This Row],[الـــــيوم]]),"01-01-2026")</f>
        <v>46186</v>
      </c>
      <c r="V395" s="126"/>
      <c r="W395" s="58"/>
      <c r="X395" s="58">
        <f>IFERROR(YEAR(TableDailyJournal[[#This Row],[التاريخ]]),"")</f>
        <v>2026</v>
      </c>
      <c r="Y395" s="58">
        <f>IFERROR(MONTH(TableDailyJournal[[#This Row],[التاريخ]]),"")</f>
        <v>6</v>
      </c>
      <c r="Z395" s="58">
        <f>IFERROR(DAY(TableDailyJournal[[#This Row],[التاريخ]]),"")</f>
        <v>13</v>
      </c>
      <c r="AA395" s="126" t="str">
        <f>INDEX(Tabledaily[المرجع البياني],MATCH(TableDailyJournal[[#This Row],[رقم العملية]],Tabledaily[رقم العملية],0))</f>
        <v>قيـد مقابـل:- (اجور يومية - عمال - الفرقة الثالثة)  - استلام نقدي رقم   سند استلام - اجور  عمال لانزال الخيم الى مستودعات الامداد بامر</v>
      </c>
      <c r="AB395" s="121">
        <f>INDEX(Tabledaily[جهة الامر],MATCH(TableDailyJournal[[#This Row],[رقم العملية]],Tabledaily[رقم العملية],0))</f>
        <v>0</v>
      </c>
    </row>
    <row r="396" spans="2:28" ht="67.5" x14ac:dyDescent="0.55000000000000004">
      <c r="B396" s="58">
        <f t="shared" si="12"/>
        <v>392</v>
      </c>
      <c r="C396" s="59" t="s">
        <v>741</v>
      </c>
      <c r="D396" s="60">
        <f>INDEX(Tabledaily[date],MATCH(TableDailyJournal[[#This Row],[رقم العملية]],Tabledaily[رقم العملية],0))</f>
        <v>46186</v>
      </c>
      <c r="E396" s="58" t="str">
        <f>INDEX(Tabledaily[نوع العمليــة],MATCH(TableDailyJournal[[#This Row],[رقم العملية]],Tabledaily[رقم العملية],0))</f>
        <v>قيد عهده</v>
      </c>
      <c r="F396" s="58">
        <f>IFERROR(INDEX(TableJudje[رقم الحساب],MATCH(TableDailyJournal[[#This Row],[الحساب]],TableJudje[اسم الحساب],0)),0)</f>
        <v>31010101</v>
      </c>
      <c r="G396" s="58" t="s">
        <v>111</v>
      </c>
      <c r="H396" s="61"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v>
      </c>
      <c r="I396" s="60" t="str">
        <f>INDEX(Tabledaily[العملـــة],MATCH(TableDailyJournal[[#This Row],[رقم العملية]],Tabledaily[رقم العملية],0))</f>
        <v>ريال يمني</v>
      </c>
      <c r="J396" s="59">
        <f>IFERROR(INDEX(Tabledaily[سعــــــر
الصـــــرف],MATCH(C396,Tabledaily[رقم العملية],0)),1)</f>
        <v>405</v>
      </c>
      <c r="K396" s="123" cm="1">
        <f t="array" ref="K396">IFERROR(INDEX(Tabledaily[المبلـــــــغ],MATCH(1,(TableDailyJournal[[#This Row],[رقم العملية]]=Tabledaily[رقم العملية])*(TableDailyJournal[[#This Row],[الحساب]]=Tabledaily[الحســاب المديــــن]),0)),0)</f>
        <v>45000</v>
      </c>
      <c r="L396" s="123" cm="1">
        <f t="array" ref="L396">IFERROR(INDEX(Tabledaily[المبلـــــــغ],MATCH(1,(TableDailyJournal[[#This Row],[رقم العملية]]=Tabledaily[رقم العملية])*(TableDailyJournal[[#This Row],[الحساب]]=Tabledaily[الحســاب الدئـــن]),0)),0)</f>
        <v>0</v>
      </c>
      <c r="M396" s="119">
        <f>IFERROR(TableDailyJournal[[#This Row],[المبلغ مدين]]/TableDailyJournal[[#This Row],[سعــــــر
الصـــــرف]],0)</f>
        <v>111.11111111111111</v>
      </c>
      <c r="N396" s="119">
        <f>IFERROR(TableDailyJournal[[#This Row],[المبلغ دائن]]/TableDailyJournal[[#This Row],[سعــــــر
الصـــــرف]],0)</f>
        <v>0</v>
      </c>
      <c r="O396" s="121" t="str">
        <f>INDEX(Tabledaily[المستفيــــــــد],MATCH(TableDailyJournal[[#This Row],[رقم العملية]],Tabledaily[رقم العملية],0))</f>
        <v>عبدالمغني عبدالصمد عبدالحميد الصلوي</v>
      </c>
      <c r="P396" s="121" t="str">
        <f>INDEX(Tabledaily[المــــرجـــــــــع],MATCH(TableDailyJournal[[#This Row],[رقم العملية]],Tabledaily[رقم العملية],0))</f>
        <v>استلام نقدي</v>
      </c>
      <c r="Q396" s="121" t="str">
        <f>INDEX(Tabledaily[اســـــــم المــــرجــــع],MATCH(TableDailyJournal[[#This Row],[رقم العملية]],Tabledaily[رقم العملية],0))</f>
        <v>سند استلام</v>
      </c>
      <c r="R396" s="121">
        <f>INDEX(Tabledaily[رقم المـــــرجـــع],MATCH(TableDailyJournal[[#This Row],[رقم العملية]],Tabledaily[رقم العملية],0))</f>
        <v>477</v>
      </c>
      <c r="S396" s="121" t="str">
        <f>INDEX(Tabledaily[مركـــــــزالتكلفــــــة],MATCH(TableDailyJournal[[#This Row],[رقم العملية]],Tabledaily[رقم العملية],0))</f>
        <v>الفرقة الثالثة</v>
      </c>
      <c r="T396" s="121">
        <f>IFERROR(INDEX(tablecost[رقم المركز],MATCH(TableDailyJournal[[#This Row],[مركـــــــزالتكلفــــــة]],tablecost[الاسم],0)),0)</f>
        <v>1</v>
      </c>
      <c r="U396" s="122">
        <f>IFERROR(DATE(TableDailyJournal[[#This Row],[السنــــة]],TableDailyJournal[[#This Row],[الشهــــر]],TableDailyJournal[[#This Row],[الـــــيوم]]),"01-01-2026")</f>
        <v>46186</v>
      </c>
      <c r="V396" s="126"/>
      <c r="W396" s="58"/>
      <c r="X396" s="58">
        <f>IFERROR(YEAR(TableDailyJournal[[#This Row],[التاريخ]]),"")</f>
        <v>2026</v>
      </c>
      <c r="Y396" s="58">
        <f>IFERROR(MONTH(TableDailyJournal[[#This Row],[التاريخ]]),"")</f>
        <v>6</v>
      </c>
      <c r="Z396" s="58">
        <f>IFERROR(DAY(TableDailyJournal[[#This Row],[التاريخ]]),"")</f>
        <v>13</v>
      </c>
      <c r="AA396" s="126"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v>
      </c>
      <c r="AB396" s="121">
        <f>INDEX(Tabledaily[جهة الامر],MATCH(TableDailyJournal[[#This Row],[رقم العملية]],Tabledaily[رقم العملية],0))</f>
        <v>0</v>
      </c>
    </row>
    <row r="397" spans="2:28" ht="67.5" x14ac:dyDescent="0.55000000000000004">
      <c r="B397" s="58">
        <f t="shared" si="12"/>
        <v>393</v>
      </c>
      <c r="C397" s="59" t="s">
        <v>741</v>
      </c>
      <c r="D397" s="60">
        <f>INDEX(Tabledaily[date],MATCH(TableDailyJournal[[#This Row],[رقم العملية]],Tabledaily[رقم العملية],0))</f>
        <v>46186</v>
      </c>
      <c r="E397" s="58" t="str">
        <f>INDEX(Tabledaily[نوع العمليــة],MATCH(TableDailyJournal[[#This Row],[رقم العملية]],Tabledaily[رقم العملية],0))</f>
        <v>قيد عهده</v>
      </c>
      <c r="F397" s="58">
        <f>IFERROR(INDEX(TableJudje[رقم الحساب],MATCH(TableDailyJournal[[#This Row],[الحساب]],TableJudje[اسم الحساب],0)),0)</f>
        <v>11060205</v>
      </c>
      <c r="G397" s="58" t="s">
        <v>513</v>
      </c>
      <c r="H397" s="61"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v>
      </c>
      <c r="I397" s="60" t="str">
        <f>INDEX(Tabledaily[العملـــة],MATCH(TableDailyJournal[[#This Row],[رقم العملية]],Tabledaily[رقم العملية],0))</f>
        <v>ريال يمني</v>
      </c>
      <c r="J397" s="59">
        <f>IFERROR(INDEX(Tabledaily[سعــــــر
الصـــــرف],MATCH(C397,Tabledaily[رقم العملية],0)),1)</f>
        <v>405</v>
      </c>
      <c r="K397" s="123" cm="1">
        <f t="array" ref="K397">IFERROR(INDEX(Tabledaily[المبلـــــــغ],MATCH(1,(TableDailyJournal[[#This Row],[رقم العملية]]=Tabledaily[رقم العملية])*(TableDailyJournal[[#This Row],[الحساب]]=Tabledaily[الحســاب المديــــن]),0)),0)</f>
        <v>0</v>
      </c>
      <c r="L397" s="123" cm="1">
        <f t="array" ref="L397">IFERROR(INDEX(Tabledaily[المبلـــــــغ],MATCH(1,(TableDailyJournal[[#This Row],[رقم العملية]]=Tabledaily[رقم العملية])*(TableDailyJournal[[#This Row],[الحساب]]=Tabledaily[الحســاب الدئـــن]),0)),0)</f>
        <v>45000</v>
      </c>
      <c r="M397" s="119">
        <f>IFERROR(TableDailyJournal[[#This Row],[المبلغ مدين]]/TableDailyJournal[[#This Row],[سعــــــر
الصـــــرف]],0)</f>
        <v>0</v>
      </c>
      <c r="N397" s="119">
        <f>IFERROR(TableDailyJournal[[#This Row],[المبلغ دائن]]/TableDailyJournal[[#This Row],[سعــــــر
الصـــــرف]],0)</f>
        <v>111.11111111111111</v>
      </c>
      <c r="O397" s="121" t="str">
        <f>INDEX(Tabledaily[المستفيــــــــد],MATCH(TableDailyJournal[[#This Row],[رقم العملية]],Tabledaily[رقم العملية],0))</f>
        <v>عبدالمغني عبدالصمد عبدالحميد الصلوي</v>
      </c>
      <c r="P397" s="121" t="str">
        <f>INDEX(Tabledaily[المــــرجـــــــــع],MATCH(TableDailyJournal[[#This Row],[رقم العملية]],Tabledaily[رقم العملية],0))</f>
        <v>استلام نقدي</v>
      </c>
      <c r="Q397" s="121" t="str">
        <f>INDEX(Tabledaily[اســـــــم المــــرجــــع],MATCH(TableDailyJournal[[#This Row],[رقم العملية]],Tabledaily[رقم العملية],0))</f>
        <v>سند استلام</v>
      </c>
      <c r="R397" s="121">
        <f>INDEX(Tabledaily[رقم المـــــرجـــع],MATCH(TableDailyJournal[[#This Row],[رقم العملية]],Tabledaily[رقم العملية],0))</f>
        <v>477</v>
      </c>
      <c r="S397" s="121" t="str">
        <f>INDEX(Tabledaily[مركـــــــزالتكلفــــــة],MATCH(TableDailyJournal[[#This Row],[رقم العملية]],Tabledaily[رقم العملية],0))</f>
        <v>الفرقة الثالثة</v>
      </c>
      <c r="T397" s="121">
        <f>IFERROR(INDEX(tablecost[رقم المركز],MATCH(TableDailyJournal[[#This Row],[مركـــــــزالتكلفــــــة]],tablecost[الاسم],0)),0)</f>
        <v>1</v>
      </c>
      <c r="U397" s="122">
        <f>IFERROR(DATE(TableDailyJournal[[#This Row],[السنــــة]],TableDailyJournal[[#This Row],[الشهــــر]],TableDailyJournal[[#This Row],[الـــــيوم]]),"01-01-2026")</f>
        <v>46186</v>
      </c>
      <c r="V397" s="126"/>
      <c r="W397" s="58"/>
      <c r="X397" s="58">
        <f>IFERROR(YEAR(TableDailyJournal[[#This Row],[التاريخ]]),"")</f>
        <v>2026</v>
      </c>
      <c r="Y397" s="58">
        <f>IFERROR(MONTH(TableDailyJournal[[#This Row],[التاريخ]]),"")</f>
        <v>6</v>
      </c>
      <c r="Z397" s="58">
        <f>IFERROR(DAY(TableDailyJournal[[#This Row],[التاريخ]]),"")</f>
        <v>13</v>
      </c>
      <c r="AA397" s="126"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477  سند استلام - صرف صرفة عبد المغني اليومية للفترة من 11 الى 13 يونيو بامر</v>
      </c>
      <c r="AB397" s="121">
        <f>INDEX(Tabledaily[جهة الامر],MATCH(TableDailyJournal[[#This Row],[رقم العملية]],Tabledaily[رقم العملية],0))</f>
        <v>0</v>
      </c>
    </row>
    <row r="398" spans="2:28" ht="45.75" x14ac:dyDescent="0.55000000000000004">
      <c r="B398" s="58">
        <f t="shared" si="12"/>
        <v>394</v>
      </c>
      <c r="C398" s="59" t="s">
        <v>743</v>
      </c>
      <c r="D398" s="60">
        <f>INDEX(Tabledaily[date],MATCH(TableDailyJournal[[#This Row],[رقم العملية]],Tabledaily[رقم العملية],0))</f>
        <v>46186</v>
      </c>
      <c r="E398" s="58" t="str">
        <f>INDEX(Tabledaily[نوع العمليــة],MATCH(TableDailyJournal[[#This Row],[رقم العملية]],Tabledaily[رقم العملية],0))</f>
        <v>قيد عهده</v>
      </c>
      <c r="F398" s="58">
        <f>IFERROR(INDEX(TableJudje[رقم الحساب],MATCH(TableDailyJournal[[#This Row],[الحساب]],TableJudje[اسم الحساب],0)),0)</f>
        <v>31010101</v>
      </c>
      <c r="G398" s="58" t="s">
        <v>111</v>
      </c>
      <c r="H398"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13 بامر</v>
      </c>
      <c r="I398" s="60" t="str">
        <f>INDEX(Tabledaily[العملـــة],MATCH(TableDailyJournal[[#This Row],[رقم العملية]],Tabledaily[رقم العملية],0))</f>
        <v>ريال يمني</v>
      </c>
      <c r="J398" s="59">
        <f>IFERROR(INDEX(Tabledaily[سعــــــر
الصـــــرف],MATCH(C398,Tabledaily[رقم العملية],0)),1)</f>
        <v>405</v>
      </c>
      <c r="K398" s="123" cm="1">
        <f t="array" ref="K398">IFERROR(INDEX(Tabledaily[المبلـــــــغ],MATCH(1,(TableDailyJournal[[#This Row],[رقم العملية]]=Tabledaily[رقم العملية])*(TableDailyJournal[[#This Row],[الحساب]]=Tabledaily[الحســاب المديــــن]),0)),0)</f>
        <v>10000</v>
      </c>
      <c r="L398" s="123" cm="1">
        <f t="array" ref="L398">IFERROR(INDEX(Tabledaily[المبلـــــــغ],MATCH(1,(TableDailyJournal[[#This Row],[رقم العملية]]=Tabledaily[رقم العملية])*(TableDailyJournal[[#This Row],[الحساب]]=Tabledaily[الحســاب الدئـــن]),0)),0)</f>
        <v>0</v>
      </c>
      <c r="M398" s="119">
        <f>IFERROR(TableDailyJournal[[#This Row],[المبلغ مدين]]/TableDailyJournal[[#This Row],[سعــــــر
الصـــــرف]],0)</f>
        <v>24.691358024691358</v>
      </c>
      <c r="N398" s="119">
        <f>IFERROR(TableDailyJournal[[#This Row],[المبلغ دائن]]/TableDailyJournal[[#This Row],[سعــــــر
الصـــــرف]],0)</f>
        <v>0</v>
      </c>
      <c r="O398" s="121" t="str">
        <f>INDEX(Tabledaily[المستفيــــــــد],MATCH(TableDailyJournal[[#This Row],[رقم العملية]],Tabledaily[رقم العملية],0))</f>
        <v>محمد عبدالصمد عبدالله</v>
      </c>
      <c r="P398" s="121" t="str">
        <f>INDEX(Tabledaily[المــــرجـــــــــع],MATCH(TableDailyJournal[[#This Row],[رقم العملية]],Tabledaily[رقم العملية],0))</f>
        <v>استلام نقدي</v>
      </c>
      <c r="Q398" s="121" t="str">
        <f>INDEX(Tabledaily[اســـــــم المــــرجــــع],MATCH(TableDailyJournal[[#This Row],[رقم العملية]],Tabledaily[رقم العملية],0))</f>
        <v>سند استلام</v>
      </c>
      <c r="R398" s="121">
        <f>INDEX(Tabledaily[رقم المـــــرجـــع],MATCH(TableDailyJournal[[#This Row],[رقم العملية]],Tabledaily[رقم العملية],0))</f>
        <v>0</v>
      </c>
      <c r="S398" s="121" t="str">
        <f>INDEX(Tabledaily[مركـــــــزالتكلفــــــة],MATCH(TableDailyJournal[[#This Row],[رقم العملية]],Tabledaily[رقم العملية],0))</f>
        <v>اللواء السادس</v>
      </c>
      <c r="T398" s="121">
        <f>IFERROR(INDEX(tablecost[رقم المركز],MATCH(TableDailyJournal[[#This Row],[مركـــــــزالتكلفــــــة]],tablecost[الاسم],0)),0)</f>
        <v>7</v>
      </c>
      <c r="U398" s="122">
        <f>IFERROR(DATE(TableDailyJournal[[#This Row],[السنــــة]],TableDailyJournal[[#This Row],[الشهــــر]],TableDailyJournal[[#This Row],[الـــــيوم]]),"01-01-2026")</f>
        <v>46186</v>
      </c>
      <c r="V398" s="126"/>
      <c r="W398" s="58"/>
      <c r="X398" s="58">
        <f>IFERROR(YEAR(TableDailyJournal[[#This Row],[التاريخ]]),"")</f>
        <v>2026</v>
      </c>
      <c r="Y398" s="58">
        <f>IFERROR(MONTH(TableDailyJournal[[#This Row],[التاريخ]]),"")</f>
        <v>6</v>
      </c>
      <c r="Z398" s="58">
        <f>IFERROR(DAY(TableDailyJournal[[#This Row],[التاريخ]]),"")</f>
        <v>13</v>
      </c>
      <c r="AA398"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13 بامر</v>
      </c>
      <c r="AB398" s="121">
        <f>INDEX(Tabledaily[جهة الامر],MATCH(TableDailyJournal[[#This Row],[رقم العملية]],Tabledaily[رقم العملية],0))</f>
        <v>0</v>
      </c>
    </row>
    <row r="399" spans="2:28" ht="45.75" x14ac:dyDescent="0.55000000000000004">
      <c r="B399" s="58">
        <f t="shared" si="12"/>
        <v>395</v>
      </c>
      <c r="C399" s="59" t="s">
        <v>743</v>
      </c>
      <c r="D399" s="60">
        <f>INDEX(Tabledaily[date],MATCH(TableDailyJournal[[#This Row],[رقم العملية]],Tabledaily[رقم العملية],0))</f>
        <v>46186</v>
      </c>
      <c r="E399" s="58" t="str">
        <f>INDEX(Tabledaily[نوع العمليــة],MATCH(TableDailyJournal[[#This Row],[رقم العملية]],Tabledaily[رقم العملية],0))</f>
        <v>قيد عهده</v>
      </c>
      <c r="F399" s="58">
        <f>IFERROR(INDEX(TableJudje[رقم الحساب],MATCH(TableDailyJournal[[#This Row],[الحساب]],TableJudje[اسم الحساب],0)),0)</f>
        <v>11060205</v>
      </c>
      <c r="G399" s="58" t="s">
        <v>513</v>
      </c>
      <c r="H399"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13 بامر</v>
      </c>
      <c r="I399" s="60" t="str">
        <f>INDEX(Tabledaily[العملـــة],MATCH(TableDailyJournal[[#This Row],[رقم العملية]],Tabledaily[رقم العملية],0))</f>
        <v>ريال يمني</v>
      </c>
      <c r="J399" s="59">
        <f>IFERROR(INDEX(Tabledaily[سعــــــر
الصـــــرف],MATCH(C399,Tabledaily[رقم العملية],0)),1)</f>
        <v>405</v>
      </c>
      <c r="K399" s="123" cm="1">
        <f t="array" ref="K399">IFERROR(INDEX(Tabledaily[المبلـــــــغ],MATCH(1,(TableDailyJournal[[#This Row],[رقم العملية]]=Tabledaily[رقم العملية])*(TableDailyJournal[[#This Row],[الحساب]]=Tabledaily[الحســاب المديــــن]),0)),0)</f>
        <v>0</v>
      </c>
      <c r="L399" s="123" cm="1">
        <f t="array" ref="L399">IFERROR(INDEX(Tabledaily[المبلـــــــغ],MATCH(1,(TableDailyJournal[[#This Row],[رقم العملية]]=Tabledaily[رقم العملية])*(TableDailyJournal[[#This Row],[الحساب]]=Tabledaily[الحســاب الدئـــن]),0)),0)</f>
        <v>10000</v>
      </c>
      <c r="M399" s="119">
        <f>IFERROR(TableDailyJournal[[#This Row],[المبلغ مدين]]/TableDailyJournal[[#This Row],[سعــــــر
الصـــــرف]],0)</f>
        <v>0</v>
      </c>
      <c r="N399" s="119">
        <f>IFERROR(TableDailyJournal[[#This Row],[المبلغ دائن]]/TableDailyJournal[[#This Row],[سعــــــر
الصـــــرف]],0)</f>
        <v>24.691358024691358</v>
      </c>
      <c r="O399" s="121" t="str">
        <f>INDEX(Tabledaily[المستفيــــــــد],MATCH(TableDailyJournal[[#This Row],[رقم العملية]],Tabledaily[رقم العملية],0))</f>
        <v>محمد عبدالصمد عبدالله</v>
      </c>
      <c r="P399" s="121" t="str">
        <f>INDEX(Tabledaily[المــــرجـــــــــع],MATCH(TableDailyJournal[[#This Row],[رقم العملية]],Tabledaily[رقم العملية],0))</f>
        <v>استلام نقدي</v>
      </c>
      <c r="Q399" s="121" t="str">
        <f>INDEX(Tabledaily[اســـــــم المــــرجــــع],MATCH(TableDailyJournal[[#This Row],[رقم العملية]],Tabledaily[رقم العملية],0))</f>
        <v>سند استلام</v>
      </c>
      <c r="R399" s="121">
        <f>INDEX(Tabledaily[رقم المـــــرجـــع],MATCH(TableDailyJournal[[#This Row],[رقم العملية]],Tabledaily[رقم العملية],0))</f>
        <v>0</v>
      </c>
      <c r="S399" s="121" t="str">
        <f>INDEX(Tabledaily[مركـــــــزالتكلفــــــة],MATCH(TableDailyJournal[[#This Row],[رقم العملية]],Tabledaily[رقم العملية],0))</f>
        <v>اللواء السادس</v>
      </c>
      <c r="T399" s="121">
        <f>IFERROR(INDEX(tablecost[رقم المركز],MATCH(TableDailyJournal[[#This Row],[مركـــــــزالتكلفــــــة]],tablecost[الاسم],0)),0)</f>
        <v>7</v>
      </c>
      <c r="U399" s="122">
        <f>IFERROR(DATE(TableDailyJournal[[#This Row],[السنــــة]],TableDailyJournal[[#This Row],[الشهــــر]],TableDailyJournal[[#This Row],[الـــــيوم]]),"01-01-2026")</f>
        <v>46186</v>
      </c>
      <c r="V399" s="126"/>
      <c r="W399" s="58"/>
      <c r="X399" s="58">
        <f>IFERROR(YEAR(TableDailyJournal[[#This Row],[التاريخ]]),"")</f>
        <v>2026</v>
      </c>
      <c r="Y399" s="58">
        <f>IFERROR(MONTH(TableDailyJournal[[#This Row],[التاريخ]]),"")</f>
        <v>6</v>
      </c>
      <c r="Z399" s="58">
        <f>IFERROR(DAY(TableDailyJournal[[#This Row],[التاريخ]]),"")</f>
        <v>13</v>
      </c>
      <c r="AA399"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13 بامر</v>
      </c>
      <c r="AB399" s="121">
        <f>INDEX(Tabledaily[جهة الامر],MATCH(TableDailyJournal[[#This Row],[رقم العملية]],Tabledaily[رقم العملية],0))</f>
        <v>0</v>
      </c>
    </row>
    <row r="400" spans="2:28" ht="45.75" x14ac:dyDescent="0.55000000000000004">
      <c r="B400" s="58">
        <f t="shared" si="12"/>
        <v>396</v>
      </c>
      <c r="C400" s="59" t="s">
        <v>745</v>
      </c>
      <c r="D400" s="60">
        <f>INDEX(Tabledaily[date],MATCH(TableDailyJournal[[#This Row],[رقم العملية]],Tabledaily[رقم العملية],0))</f>
        <v>46187</v>
      </c>
      <c r="E400" s="58" t="str">
        <f>INDEX(Tabledaily[نوع العمليــة],MATCH(TableDailyJournal[[#This Row],[رقم العملية]],Tabledaily[رقم العملية],0))</f>
        <v>قيد عهده</v>
      </c>
      <c r="F400" s="58">
        <f>IFERROR(INDEX(TableJudje[رقم الحساب],MATCH(TableDailyJournal[[#This Row],[الحساب]],TableJudje[اسم الحساب],0)),0)</f>
        <v>31010101</v>
      </c>
      <c r="G400" s="58" t="s">
        <v>111</v>
      </c>
      <c r="H400"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400" s="60" t="str">
        <f>INDEX(Tabledaily[العملـــة],MATCH(TableDailyJournal[[#This Row],[رقم العملية]],Tabledaily[رقم العملية],0))</f>
        <v>ريال يمني</v>
      </c>
      <c r="J400" s="59">
        <f>IFERROR(INDEX(Tabledaily[سعــــــر
الصـــــرف],MATCH(C400,Tabledaily[رقم العملية],0)),1)</f>
        <v>405</v>
      </c>
      <c r="K400" s="123" cm="1">
        <f t="array" ref="K400">IFERROR(INDEX(Tabledaily[المبلـــــــغ],MATCH(1,(TableDailyJournal[[#This Row],[رقم العملية]]=Tabledaily[رقم العملية])*(TableDailyJournal[[#This Row],[الحساب]]=Tabledaily[الحســاب المديــــن]),0)),0)</f>
        <v>52000</v>
      </c>
      <c r="L400" s="123" cm="1">
        <f t="array" ref="L400">IFERROR(INDEX(Tabledaily[المبلـــــــغ],MATCH(1,(TableDailyJournal[[#This Row],[رقم العملية]]=Tabledaily[رقم العملية])*(TableDailyJournal[[#This Row],[الحساب]]=Tabledaily[الحســاب الدئـــن]),0)),0)</f>
        <v>0</v>
      </c>
      <c r="M400" s="119">
        <f>IFERROR(TableDailyJournal[[#This Row],[المبلغ مدين]]/TableDailyJournal[[#This Row],[سعــــــر
الصـــــرف]],0)</f>
        <v>128.39506172839506</v>
      </c>
      <c r="N400" s="119">
        <f>IFERROR(TableDailyJournal[[#This Row],[المبلغ دائن]]/TableDailyJournal[[#This Row],[سعــــــر
الصـــــرف]],0)</f>
        <v>0</v>
      </c>
      <c r="O400" s="121" t="str">
        <f>INDEX(Tabledaily[المستفيــــــــد],MATCH(TableDailyJournal[[#This Row],[رقم العملية]],Tabledaily[رقم العملية],0))</f>
        <v>السيطرة والاتصالات</v>
      </c>
      <c r="P400" s="121" t="str">
        <f>INDEX(Tabledaily[المــــرجـــــــــع],MATCH(TableDailyJournal[[#This Row],[رقم العملية]],Tabledaily[رقم العملية],0))</f>
        <v>كشف صرف</v>
      </c>
      <c r="Q400" s="121" t="str">
        <f>INDEX(Tabledaily[اســـــــم المــــرجــــع],MATCH(TableDailyJournal[[#This Row],[رقم العملية]],Tabledaily[رقم العملية],0))</f>
        <v>كشف صرف</v>
      </c>
      <c r="R400" s="121">
        <f>INDEX(Tabledaily[رقم المـــــرجـــع],MATCH(TableDailyJournal[[#This Row],[رقم العملية]],Tabledaily[رقم العملية],0))</f>
        <v>0</v>
      </c>
      <c r="S400" s="121" t="str">
        <f>INDEX(Tabledaily[مركـــــــزالتكلفــــــة],MATCH(TableDailyJournal[[#This Row],[رقم العملية]],Tabledaily[رقم العملية],0))</f>
        <v>الفرقة الثالثة</v>
      </c>
      <c r="T400" s="121">
        <f>IFERROR(INDEX(tablecost[رقم المركز],MATCH(TableDailyJournal[[#This Row],[مركـــــــزالتكلفــــــة]],tablecost[الاسم],0)),0)</f>
        <v>1</v>
      </c>
      <c r="U400" s="122">
        <f>IFERROR(DATE(TableDailyJournal[[#This Row],[السنــــة]],TableDailyJournal[[#This Row],[الشهــــر]],TableDailyJournal[[#This Row],[الـــــيوم]]),"01-01-2026")</f>
        <v>46187</v>
      </c>
      <c r="V400" s="126"/>
      <c r="W400" s="58"/>
      <c r="X400" s="58">
        <f>IFERROR(YEAR(TableDailyJournal[[#This Row],[التاريخ]]),"")</f>
        <v>2026</v>
      </c>
      <c r="Y400" s="58">
        <f>IFERROR(MONTH(TableDailyJournal[[#This Row],[التاريخ]]),"")</f>
        <v>6</v>
      </c>
      <c r="Z400" s="58">
        <f>IFERROR(DAY(TableDailyJournal[[#This Row],[التاريخ]]),"")</f>
        <v>14</v>
      </c>
      <c r="AA400"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400" s="121">
        <f>INDEX(Tabledaily[جهة الامر],MATCH(TableDailyJournal[[#This Row],[رقم العملية]],Tabledaily[رقم العملية],0))</f>
        <v>0</v>
      </c>
    </row>
    <row r="401" spans="2:28" ht="45.75" x14ac:dyDescent="0.55000000000000004">
      <c r="B401" s="58">
        <f t="shared" si="12"/>
        <v>397</v>
      </c>
      <c r="C401" s="59" t="s">
        <v>745</v>
      </c>
      <c r="D401" s="60">
        <f>INDEX(Tabledaily[date],MATCH(TableDailyJournal[[#This Row],[رقم العملية]],Tabledaily[رقم العملية],0))</f>
        <v>46187</v>
      </c>
      <c r="E401" s="58" t="str">
        <f>INDEX(Tabledaily[نوع العمليــة],MATCH(TableDailyJournal[[#This Row],[رقم العملية]],Tabledaily[رقم العملية],0))</f>
        <v>قيد عهده</v>
      </c>
      <c r="F401" s="58">
        <f>IFERROR(INDEX(TableJudje[رقم الحساب],MATCH(TableDailyJournal[[#This Row],[الحساب]],TableJudje[اسم الحساب],0)),0)</f>
        <v>11060205</v>
      </c>
      <c r="G401" s="58" t="s">
        <v>513</v>
      </c>
      <c r="H401"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401" s="60" t="str">
        <f>INDEX(Tabledaily[العملـــة],MATCH(TableDailyJournal[[#This Row],[رقم العملية]],Tabledaily[رقم العملية],0))</f>
        <v>ريال يمني</v>
      </c>
      <c r="J401" s="59">
        <f>IFERROR(INDEX(Tabledaily[سعــــــر
الصـــــرف],MATCH(C401,Tabledaily[رقم العملية],0)),1)</f>
        <v>405</v>
      </c>
      <c r="K401" s="123" cm="1">
        <f t="array" ref="K401">IFERROR(INDEX(Tabledaily[المبلـــــــغ],MATCH(1,(TableDailyJournal[[#This Row],[رقم العملية]]=Tabledaily[رقم العملية])*(TableDailyJournal[[#This Row],[الحساب]]=Tabledaily[الحســاب المديــــن]),0)),0)</f>
        <v>0</v>
      </c>
      <c r="L401" s="123" cm="1">
        <f t="array" ref="L401">IFERROR(INDEX(Tabledaily[المبلـــــــغ],MATCH(1,(TableDailyJournal[[#This Row],[رقم العملية]]=Tabledaily[رقم العملية])*(TableDailyJournal[[#This Row],[الحساب]]=Tabledaily[الحســاب الدئـــن]),0)),0)</f>
        <v>52000</v>
      </c>
      <c r="M401" s="119">
        <f>IFERROR(TableDailyJournal[[#This Row],[المبلغ مدين]]/TableDailyJournal[[#This Row],[سعــــــر
الصـــــرف]],0)</f>
        <v>0</v>
      </c>
      <c r="N401" s="119">
        <f>IFERROR(TableDailyJournal[[#This Row],[المبلغ دائن]]/TableDailyJournal[[#This Row],[سعــــــر
الصـــــرف]],0)</f>
        <v>128.39506172839506</v>
      </c>
      <c r="O401" s="121" t="str">
        <f>INDEX(Tabledaily[المستفيــــــــد],MATCH(TableDailyJournal[[#This Row],[رقم العملية]],Tabledaily[رقم العملية],0))</f>
        <v>السيطرة والاتصالات</v>
      </c>
      <c r="P401" s="121" t="str">
        <f>INDEX(Tabledaily[المــــرجـــــــــع],MATCH(TableDailyJournal[[#This Row],[رقم العملية]],Tabledaily[رقم العملية],0))</f>
        <v>كشف صرف</v>
      </c>
      <c r="Q401" s="121" t="str">
        <f>INDEX(Tabledaily[اســـــــم المــــرجــــع],MATCH(TableDailyJournal[[#This Row],[رقم العملية]],Tabledaily[رقم العملية],0))</f>
        <v>كشف صرف</v>
      </c>
      <c r="R401" s="121">
        <f>INDEX(Tabledaily[رقم المـــــرجـــع],MATCH(TableDailyJournal[[#This Row],[رقم العملية]],Tabledaily[رقم العملية],0))</f>
        <v>0</v>
      </c>
      <c r="S401" s="121" t="str">
        <f>INDEX(Tabledaily[مركـــــــزالتكلفــــــة],MATCH(TableDailyJournal[[#This Row],[رقم العملية]],Tabledaily[رقم العملية],0))</f>
        <v>الفرقة الثالثة</v>
      </c>
      <c r="T401" s="121">
        <f>IFERROR(INDEX(tablecost[رقم المركز],MATCH(TableDailyJournal[[#This Row],[مركـــــــزالتكلفــــــة]],tablecost[الاسم],0)),0)</f>
        <v>1</v>
      </c>
      <c r="U401" s="122">
        <f>IFERROR(DATE(TableDailyJournal[[#This Row],[السنــــة]],TableDailyJournal[[#This Row],[الشهــــر]],TableDailyJournal[[#This Row],[الـــــيوم]]),"01-01-2026")</f>
        <v>46187</v>
      </c>
      <c r="V401" s="126"/>
      <c r="W401" s="58"/>
      <c r="X401" s="58">
        <f>IFERROR(YEAR(TableDailyJournal[[#This Row],[التاريخ]]),"")</f>
        <v>2026</v>
      </c>
      <c r="Y401" s="58">
        <f>IFERROR(MONTH(TableDailyJournal[[#This Row],[التاريخ]]),"")</f>
        <v>6</v>
      </c>
      <c r="Z401" s="58">
        <f>IFERROR(DAY(TableDailyJournal[[#This Row],[التاريخ]]),"")</f>
        <v>14</v>
      </c>
      <c r="AA401"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401" s="121">
        <f>INDEX(Tabledaily[جهة الامر],MATCH(TableDailyJournal[[#This Row],[رقم العملية]],Tabledaily[رقم العملية],0))</f>
        <v>0</v>
      </c>
    </row>
    <row r="402" spans="2:28" ht="45.75" x14ac:dyDescent="0.55000000000000004">
      <c r="B402" s="58">
        <f t="shared" si="12"/>
        <v>398</v>
      </c>
      <c r="C402" s="59" t="s">
        <v>747</v>
      </c>
      <c r="D402" s="60">
        <f>INDEX(Tabledaily[date],MATCH(TableDailyJournal[[#This Row],[رقم العملية]],Tabledaily[رقم العملية],0))</f>
        <v>46187</v>
      </c>
      <c r="E402" s="58" t="str">
        <f>INDEX(Tabledaily[نوع العمليــة],MATCH(TableDailyJournal[[#This Row],[رقم العملية]],Tabledaily[رقم العملية],0))</f>
        <v>قيد عهده</v>
      </c>
      <c r="F402" s="58">
        <f>IFERROR(INDEX(TableJudje[رقم الحساب],MATCH(TableDailyJournal[[#This Row],[الحساب]],TableJudje[اسم الحساب],0)),0)</f>
        <v>31010101</v>
      </c>
      <c r="G402" s="58" t="s">
        <v>111</v>
      </c>
      <c r="H402"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402" s="60" t="str">
        <f>INDEX(Tabledaily[العملـــة],MATCH(TableDailyJournal[[#This Row],[رقم العملية]],Tabledaily[رقم العملية],0))</f>
        <v>ريال يمني</v>
      </c>
      <c r="J402" s="59">
        <f>IFERROR(INDEX(Tabledaily[سعــــــر
الصـــــرف],MATCH(C402,Tabledaily[رقم العملية],0)),1)</f>
        <v>405</v>
      </c>
      <c r="K402" s="123" cm="1">
        <f t="array" ref="K402">IFERROR(INDEX(Tabledaily[المبلـــــــغ],MATCH(1,(TableDailyJournal[[#This Row],[رقم العملية]]=Tabledaily[رقم العملية])*(TableDailyJournal[[#This Row],[الحساب]]=Tabledaily[الحســاب المديــــن]),0)),0)</f>
        <v>30000</v>
      </c>
      <c r="L402" s="123" cm="1">
        <f t="array" ref="L402">IFERROR(INDEX(Tabledaily[المبلـــــــغ],MATCH(1,(TableDailyJournal[[#This Row],[رقم العملية]]=Tabledaily[رقم العملية])*(TableDailyJournal[[#This Row],[الحساب]]=Tabledaily[الحســاب الدئـــن]),0)),0)</f>
        <v>0</v>
      </c>
      <c r="M402" s="119">
        <f>IFERROR(TableDailyJournal[[#This Row],[المبلغ مدين]]/TableDailyJournal[[#This Row],[سعــــــر
الصـــــرف]],0)</f>
        <v>74.074074074074076</v>
      </c>
      <c r="N402" s="119">
        <f>IFERROR(TableDailyJournal[[#This Row],[المبلغ دائن]]/TableDailyJournal[[#This Row],[سعــــــر
الصـــــرف]],0)</f>
        <v>0</v>
      </c>
      <c r="O402" s="121" t="str">
        <f>INDEX(Tabledaily[المستفيــــــــد],MATCH(TableDailyJournal[[#This Row],[رقم العملية]],Tabledaily[رقم العملية],0))</f>
        <v>التوجيه</v>
      </c>
      <c r="P402" s="121" t="str">
        <f>INDEX(Tabledaily[المــــرجـــــــــع],MATCH(TableDailyJournal[[#This Row],[رقم العملية]],Tabledaily[رقم العملية],0))</f>
        <v>كشف صرف</v>
      </c>
      <c r="Q402" s="121" t="str">
        <f>INDEX(Tabledaily[اســـــــم المــــرجــــع],MATCH(TableDailyJournal[[#This Row],[رقم العملية]],Tabledaily[رقم العملية],0))</f>
        <v>كشف صرف</v>
      </c>
      <c r="R402" s="121">
        <f>INDEX(Tabledaily[رقم المـــــرجـــع],MATCH(TableDailyJournal[[#This Row],[رقم العملية]],Tabledaily[رقم العملية],0))</f>
        <v>0</v>
      </c>
      <c r="S402" s="121" t="str">
        <f>INDEX(Tabledaily[مركـــــــزالتكلفــــــة],MATCH(TableDailyJournal[[#This Row],[رقم العملية]],Tabledaily[رقم العملية],0))</f>
        <v>الفرقة الثالثة</v>
      </c>
      <c r="T402" s="121">
        <f>IFERROR(INDEX(tablecost[رقم المركز],MATCH(TableDailyJournal[[#This Row],[مركـــــــزالتكلفــــــة]],tablecost[الاسم],0)),0)</f>
        <v>1</v>
      </c>
      <c r="U402" s="122">
        <f>IFERROR(DATE(TableDailyJournal[[#This Row],[السنــــة]],TableDailyJournal[[#This Row],[الشهــــر]],TableDailyJournal[[#This Row],[الـــــيوم]]),"01-01-2026")</f>
        <v>46187</v>
      </c>
      <c r="V402" s="126"/>
      <c r="W402" s="58"/>
      <c r="X402" s="58">
        <f>IFERROR(YEAR(TableDailyJournal[[#This Row],[التاريخ]]),"")</f>
        <v>2026</v>
      </c>
      <c r="Y402" s="58">
        <f>IFERROR(MONTH(TableDailyJournal[[#This Row],[التاريخ]]),"")</f>
        <v>6</v>
      </c>
      <c r="Z402" s="58">
        <f>IFERROR(DAY(TableDailyJournal[[#This Row],[التاريخ]]),"")</f>
        <v>14</v>
      </c>
      <c r="AA402"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402" s="121">
        <f>INDEX(Tabledaily[جهة الامر],MATCH(TableDailyJournal[[#This Row],[رقم العملية]],Tabledaily[رقم العملية],0))</f>
        <v>0</v>
      </c>
    </row>
    <row r="403" spans="2:28" ht="45.75" x14ac:dyDescent="0.55000000000000004">
      <c r="B403" s="58">
        <f t="shared" si="12"/>
        <v>399</v>
      </c>
      <c r="C403" s="59" t="s">
        <v>747</v>
      </c>
      <c r="D403" s="60">
        <f>INDEX(Tabledaily[date],MATCH(TableDailyJournal[[#This Row],[رقم العملية]],Tabledaily[رقم العملية],0))</f>
        <v>46187</v>
      </c>
      <c r="E403" s="58" t="str">
        <f>INDEX(Tabledaily[نوع العمليــة],MATCH(TableDailyJournal[[#This Row],[رقم العملية]],Tabledaily[رقم العملية],0))</f>
        <v>قيد عهده</v>
      </c>
      <c r="F403" s="58">
        <f>IFERROR(INDEX(TableJudje[رقم الحساب],MATCH(TableDailyJournal[[#This Row],[الحساب]],TableJudje[اسم الحساب],0)),0)</f>
        <v>11060205</v>
      </c>
      <c r="G403" s="58" t="s">
        <v>513</v>
      </c>
      <c r="H403"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403" s="60" t="str">
        <f>INDEX(Tabledaily[العملـــة],MATCH(TableDailyJournal[[#This Row],[رقم العملية]],Tabledaily[رقم العملية],0))</f>
        <v>ريال يمني</v>
      </c>
      <c r="J403" s="59">
        <f>IFERROR(INDEX(Tabledaily[سعــــــر
الصـــــرف],MATCH(C403,Tabledaily[رقم العملية],0)),1)</f>
        <v>405</v>
      </c>
      <c r="K403" s="123" cm="1">
        <f t="array" ref="K403">IFERROR(INDEX(Tabledaily[المبلـــــــغ],MATCH(1,(TableDailyJournal[[#This Row],[رقم العملية]]=Tabledaily[رقم العملية])*(TableDailyJournal[[#This Row],[الحساب]]=Tabledaily[الحســاب المديــــن]),0)),0)</f>
        <v>0</v>
      </c>
      <c r="L403" s="123" cm="1">
        <f t="array" ref="L403">IFERROR(INDEX(Tabledaily[المبلـــــــغ],MATCH(1,(TableDailyJournal[[#This Row],[رقم العملية]]=Tabledaily[رقم العملية])*(TableDailyJournal[[#This Row],[الحساب]]=Tabledaily[الحســاب الدئـــن]),0)),0)</f>
        <v>30000</v>
      </c>
      <c r="M403" s="119">
        <f>IFERROR(TableDailyJournal[[#This Row],[المبلغ مدين]]/TableDailyJournal[[#This Row],[سعــــــر
الصـــــرف]],0)</f>
        <v>0</v>
      </c>
      <c r="N403" s="119">
        <f>IFERROR(TableDailyJournal[[#This Row],[المبلغ دائن]]/TableDailyJournal[[#This Row],[سعــــــر
الصـــــرف]],0)</f>
        <v>74.074074074074076</v>
      </c>
      <c r="O403" s="121" t="str">
        <f>INDEX(Tabledaily[المستفيــــــــد],MATCH(TableDailyJournal[[#This Row],[رقم العملية]],Tabledaily[رقم العملية],0))</f>
        <v>التوجيه</v>
      </c>
      <c r="P403" s="121" t="str">
        <f>INDEX(Tabledaily[المــــرجـــــــــع],MATCH(TableDailyJournal[[#This Row],[رقم العملية]],Tabledaily[رقم العملية],0))</f>
        <v>كشف صرف</v>
      </c>
      <c r="Q403" s="121" t="str">
        <f>INDEX(Tabledaily[اســـــــم المــــرجــــع],MATCH(TableDailyJournal[[#This Row],[رقم العملية]],Tabledaily[رقم العملية],0))</f>
        <v>كشف صرف</v>
      </c>
      <c r="R403" s="121">
        <f>INDEX(Tabledaily[رقم المـــــرجـــع],MATCH(TableDailyJournal[[#This Row],[رقم العملية]],Tabledaily[رقم العملية],0))</f>
        <v>0</v>
      </c>
      <c r="S403" s="121" t="str">
        <f>INDEX(Tabledaily[مركـــــــزالتكلفــــــة],MATCH(TableDailyJournal[[#This Row],[رقم العملية]],Tabledaily[رقم العملية],0))</f>
        <v>الفرقة الثالثة</v>
      </c>
      <c r="T403" s="121">
        <f>IFERROR(INDEX(tablecost[رقم المركز],MATCH(TableDailyJournal[[#This Row],[مركـــــــزالتكلفــــــة]],tablecost[الاسم],0)),0)</f>
        <v>1</v>
      </c>
      <c r="U403" s="122">
        <f>IFERROR(DATE(TableDailyJournal[[#This Row],[السنــــة]],TableDailyJournal[[#This Row],[الشهــــر]],TableDailyJournal[[#This Row],[الـــــيوم]]),"01-01-2026")</f>
        <v>46187</v>
      </c>
      <c r="V403" s="126"/>
      <c r="W403" s="58"/>
      <c r="X403" s="58">
        <f>IFERROR(YEAR(TableDailyJournal[[#This Row],[التاريخ]]),"")</f>
        <v>2026</v>
      </c>
      <c r="Y403" s="58">
        <f>IFERROR(MONTH(TableDailyJournal[[#This Row],[التاريخ]]),"")</f>
        <v>6</v>
      </c>
      <c r="Z403" s="58">
        <f>IFERROR(DAY(TableDailyJournal[[#This Row],[التاريخ]]),"")</f>
        <v>14</v>
      </c>
      <c r="AA403"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403" s="121">
        <f>INDEX(Tabledaily[جهة الامر],MATCH(TableDailyJournal[[#This Row],[رقم العملية]],Tabledaily[رقم العملية],0))</f>
        <v>0</v>
      </c>
    </row>
    <row r="404" spans="2:28" ht="45.75" x14ac:dyDescent="0.55000000000000004">
      <c r="B404" s="58">
        <f t="shared" si="12"/>
        <v>400</v>
      </c>
      <c r="C404" s="59" t="s">
        <v>748</v>
      </c>
      <c r="D404" s="60">
        <f>INDEX(Tabledaily[date],MATCH(TableDailyJournal[[#This Row],[رقم العملية]],Tabledaily[رقم العملية],0))</f>
        <v>46187</v>
      </c>
      <c r="E404" s="58" t="str">
        <f>INDEX(Tabledaily[نوع العمليــة],MATCH(TableDailyJournal[[#This Row],[رقم العملية]],Tabledaily[رقم العملية],0))</f>
        <v>قيد عهده</v>
      </c>
      <c r="F404" s="58">
        <f>IFERROR(INDEX(TableJudje[رقم الحساب],MATCH(TableDailyJournal[[#This Row],[الحساب]],TableJudje[اسم الحساب],0)),0)</f>
        <v>31010101</v>
      </c>
      <c r="G404" s="58" t="s">
        <v>111</v>
      </c>
      <c r="H404"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404" s="60" t="str">
        <f>INDEX(Tabledaily[العملـــة],MATCH(TableDailyJournal[[#This Row],[رقم العملية]],Tabledaily[رقم العملية],0))</f>
        <v>ريال يمني</v>
      </c>
      <c r="J404" s="59">
        <f>IFERROR(INDEX(Tabledaily[سعــــــر
الصـــــرف],MATCH(C404,Tabledaily[رقم العملية],0)),1)</f>
        <v>405</v>
      </c>
      <c r="K404" s="123" cm="1">
        <f t="array" ref="K404">IFERROR(INDEX(Tabledaily[المبلـــــــغ],MATCH(1,(TableDailyJournal[[#This Row],[رقم العملية]]=Tabledaily[رقم العملية])*(TableDailyJournal[[#This Row],[الحساب]]=Tabledaily[الحســاب المديــــن]),0)),0)</f>
        <v>116000</v>
      </c>
      <c r="L404" s="123" cm="1">
        <f t="array" ref="L404">IFERROR(INDEX(Tabledaily[المبلـــــــغ],MATCH(1,(TableDailyJournal[[#This Row],[رقم العملية]]=Tabledaily[رقم العملية])*(TableDailyJournal[[#This Row],[الحساب]]=Tabledaily[الحســاب الدئـــن]),0)),0)</f>
        <v>0</v>
      </c>
      <c r="M404" s="119">
        <f>IFERROR(TableDailyJournal[[#This Row],[المبلغ مدين]]/TableDailyJournal[[#This Row],[سعــــــر
الصـــــرف]],0)</f>
        <v>286.41975308641975</v>
      </c>
      <c r="N404" s="119">
        <f>IFERROR(TableDailyJournal[[#This Row],[المبلغ دائن]]/TableDailyJournal[[#This Row],[سعــــــر
الصـــــرف]],0)</f>
        <v>0</v>
      </c>
      <c r="O404" s="121" t="str">
        <f>INDEX(Tabledaily[المستفيــــــــد],MATCH(TableDailyJournal[[#This Row],[رقم العملية]],Tabledaily[رقم العملية],0))</f>
        <v>الامداد</v>
      </c>
      <c r="P404" s="121" t="str">
        <f>INDEX(Tabledaily[المــــرجـــــــــع],MATCH(TableDailyJournal[[#This Row],[رقم العملية]],Tabledaily[رقم العملية],0))</f>
        <v>كشف صرف</v>
      </c>
      <c r="Q404" s="121" t="str">
        <f>INDEX(Tabledaily[اســـــــم المــــرجــــع],MATCH(TableDailyJournal[[#This Row],[رقم العملية]],Tabledaily[رقم العملية],0))</f>
        <v>كشف صرف</v>
      </c>
      <c r="R404" s="121">
        <f>INDEX(Tabledaily[رقم المـــــرجـــع],MATCH(TableDailyJournal[[#This Row],[رقم العملية]],Tabledaily[رقم العملية],0))</f>
        <v>0</v>
      </c>
      <c r="S404" s="121" t="str">
        <f>INDEX(Tabledaily[مركـــــــزالتكلفــــــة],MATCH(TableDailyJournal[[#This Row],[رقم العملية]],Tabledaily[رقم العملية],0))</f>
        <v>الفرقة الثالثة</v>
      </c>
      <c r="T404" s="121">
        <f>IFERROR(INDEX(tablecost[رقم المركز],MATCH(TableDailyJournal[[#This Row],[مركـــــــزالتكلفــــــة]],tablecost[الاسم],0)),0)</f>
        <v>1</v>
      </c>
      <c r="U404" s="122">
        <f>IFERROR(DATE(TableDailyJournal[[#This Row],[السنــــة]],TableDailyJournal[[#This Row],[الشهــــر]],TableDailyJournal[[#This Row],[الـــــيوم]]),"01-01-2026")</f>
        <v>46187</v>
      </c>
      <c r="V404" s="126"/>
      <c r="W404" s="58"/>
      <c r="X404" s="58">
        <f>IFERROR(YEAR(TableDailyJournal[[#This Row],[التاريخ]]),"")</f>
        <v>2026</v>
      </c>
      <c r="Y404" s="58">
        <f>IFERROR(MONTH(TableDailyJournal[[#This Row],[التاريخ]]),"")</f>
        <v>6</v>
      </c>
      <c r="Z404" s="58">
        <f>IFERROR(DAY(TableDailyJournal[[#This Row],[التاريخ]]),"")</f>
        <v>14</v>
      </c>
      <c r="AA404"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404" s="121">
        <f>INDEX(Tabledaily[جهة الامر],MATCH(TableDailyJournal[[#This Row],[رقم العملية]],Tabledaily[رقم العملية],0))</f>
        <v>0</v>
      </c>
    </row>
    <row r="405" spans="2:28" ht="45.75" x14ac:dyDescent="0.55000000000000004">
      <c r="B405" s="58">
        <f t="shared" si="12"/>
        <v>401</v>
      </c>
      <c r="C405" s="59" t="s">
        <v>748</v>
      </c>
      <c r="D405" s="60">
        <f>INDEX(Tabledaily[date],MATCH(TableDailyJournal[[#This Row],[رقم العملية]],Tabledaily[رقم العملية],0))</f>
        <v>46187</v>
      </c>
      <c r="E405" s="58" t="str">
        <f>INDEX(Tabledaily[نوع العمليــة],MATCH(TableDailyJournal[[#This Row],[رقم العملية]],Tabledaily[رقم العملية],0))</f>
        <v>قيد عهده</v>
      </c>
      <c r="F405" s="58">
        <f>IFERROR(INDEX(TableJudje[رقم الحساب],MATCH(TableDailyJournal[[#This Row],[الحساب]],TableJudje[اسم الحساب],0)),0)</f>
        <v>11060205</v>
      </c>
      <c r="G405" s="58" t="s">
        <v>513</v>
      </c>
      <c r="H405"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I405" s="60" t="str">
        <f>INDEX(Tabledaily[العملـــة],MATCH(TableDailyJournal[[#This Row],[رقم العملية]],Tabledaily[رقم العملية],0))</f>
        <v>ريال يمني</v>
      </c>
      <c r="J405" s="59">
        <f>IFERROR(INDEX(Tabledaily[سعــــــر
الصـــــرف],MATCH(C405,Tabledaily[رقم العملية],0)),1)</f>
        <v>405</v>
      </c>
      <c r="K405" s="123" cm="1">
        <f t="array" ref="K405">IFERROR(INDEX(Tabledaily[المبلـــــــغ],MATCH(1,(TableDailyJournal[[#This Row],[رقم العملية]]=Tabledaily[رقم العملية])*(TableDailyJournal[[#This Row],[الحساب]]=Tabledaily[الحســاب المديــــن]),0)),0)</f>
        <v>0</v>
      </c>
      <c r="L405" s="123" cm="1">
        <f t="array" ref="L405">IFERROR(INDEX(Tabledaily[المبلـــــــغ],MATCH(1,(TableDailyJournal[[#This Row],[رقم العملية]]=Tabledaily[رقم العملية])*(TableDailyJournal[[#This Row],[الحساب]]=Tabledaily[الحســاب الدئـــن]),0)),0)</f>
        <v>116000</v>
      </c>
      <c r="M405" s="119">
        <f>IFERROR(TableDailyJournal[[#This Row],[المبلغ مدين]]/TableDailyJournal[[#This Row],[سعــــــر
الصـــــرف]],0)</f>
        <v>0</v>
      </c>
      <c r="N405" s="119">
        <f>IFERROR(TableDailyJournal[[#This Row],[المبلغ دائن]]/TableDailyJournal[[#This Row],[سعــــــر
الصـــــرف]],0)</f>
        <v>286.41975308641975</v>
      </c>
      <c r="O405" s="121" t="str">
        <f>INDEX(Tabledaily[المستفيــــــــد],MATCH(TableDailyJournal[[#This Row],[رقم العملية]],Tabledaily[رقم العملية],0))</f>
        <v>الامداد</v>
      </c>
      <c r="P405" s="121" t="str">
        <f>INDEX(Tabledaily[المــــرجـــــــــع],MATCH(TableDailyJournal[[#This Row],[رقم العملية]],Tabledaily[رقم العملية],0))</f>
        <v>كشف صرف</v>
      </c>
      <c r="Q405" s="121" t="str">
        <f>INDEX(Tabledaily[اســـــــم المــــرجــــع],MATCH(TableDailyJournal[[#This Row],[رقم العملية]],Tabledaily[رقم العملية],0))</f>
        <v>كشف صرف</v>
      </c>
      <c r="R405" s="121">
        <f>INDEX(Tabledaily[رقم المـــــرجـــع],MATCH(TableDailyJournal[[#This Row],[رقم العملية]],Tabledaily[رقم العملية],0))</f>
        <v>0</v>
      </c>
      <c r="S405" s="121" t="str">
        <f>INDEX(Tabledaily[مركـــــــزالتكلفــــــة],MATCH(TableDailyJournal[[#This Row],[رقم العملية]],Tabledaily[رقم العملية],0))</f>
        <v>الفرقة الثالثة</v>
      </c>
      <c r="T405" s="121">
        <f>IFERROR(INDEX(tablecost[رقم المركز],MATCH(TableDailyJournal[[#This Row],[مركـــــــزالتكلفــــــة]],tablecost[الاسم],0)),0)</f>
        <v>1</v>
      </c>
      <c r="U405" s="122">
        <f>IFERROR(DATE(TableDailyJournal[[#This Row],[السنــــة]],TableDailyJournal[[#This Row],[الشهــــر]],TableDailyJournal[[#This Row],[الـــــيوم]]),"01-01-2026")</f>
        <v>46187</v>
      </c>
      <c r="V405" s="126"/>
      <c r="W405" s="58"/>
      <c r="X405" s="58">
        <f>IFERROR(YEAR(TableDailyJournal[[#This Row],[التاريخ]]),"")</f>
        <v>2026</v>
      </c>
      <c r="Y405" s="58">
        <f>IFERROR(MONTH(TableDailyJournal[[#This Row],[التاريخ]]),"")</f>
        <v>6</v>
      </c>
      <c r="Z405" s="58">
        <f>IFERROR(DAY(TableDailyJournal[[#This Row],[التاريخ]]),"")</f>
        <v>14</v>
      </c>
      <c r="AA405"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11 بامر</v>
      </c>
      <c r="AB405" s="121">
        <f>INDEX(Tabledaily[جهة الامر],MATCH(TableDailyJournal[[#This Row],[رقم العملية]],Tabledaily[رقم العملية],0))</f>
        <v>0</v>
      </c>
    </row>
    <row r="406" spans="2:28" ht="45.75" x14ac:dyDescent="0.55000000000000004">
      <c r="B406" s="58">
        <f t="shared" si="12"/>
        <v>402</v>
      </c>
      <c r="C406" s="59" t="s">
        <v>749</v>
      </c>
      <c r="D406" s="60">
        <f>INDEX(Tabledaily[date],MATCH(TableDailyJournal[[#This Row],[رقم العملية]],Tabledaily[رقم العملية],0))</f>
        <v>46187</v>
      </c>
      <c r="E406" s="58" t="str">
        <f>INDEX(Tabledaily[نوع العمليــة],MATCH(TableDailyJournal[[#This Row],[رقم العملية]],Tabledaily[رقم العملية],0))</f>
        <v>قيد عهده</v>
      </c>
      <c r="F406" s="58">
        <f>IFERROR(INDEX(TableJudje[رقم الحساب],MATCH(TableDailyJournal[[#This Row],[الحساب]],TableJudje[اسم الحساب],0)),0)</f>
        <v>31010101</v>
      </c>
      <c r="G406" s="58" t="s">
        <v>111</v>
      </c>
      <c r="H406"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406" s="60" t="str">
        <f>INDEX(Tabledaily[العملـــة],MATCH(TableDailyJournal[[#This Row],[رقم العملية]],Tabledaily[رقم العملية],0))</f>
        <v>ريال يمني</v>
      </c>
      <c r="J406" s="59">
        <f>IFERROR(INDEX(Tabledaily[سعــــــر
الصـــــرف],MATCH(C406,Tabledaily[رقم العملية],0)),1)</f>
        <v>405</v>
      </c>
      <c r="K406" s="123" cm="1">
        <f t="array" ref="K406">IFERROR(INDEX(Tabledaily[المبلـــــــغ],MATCH(1,(TableDailyJournal[[#This Row],[رقم العملية]]=Tabledaily[رقم العملية])*(TableDailyJournal[[#This Row],[الحساب]]=Tabledaily[الحســاب المديــــن]),0)),0)</f>
        <v>30000</v>
      </c>
      <c r="L406" s="123" cm="1">
        <f t="array" ref="L406">IFERROR(INDEX(Tabledaily[المبلـــــــغ],MATCH(1,(TableDailyJournal[[#This Row],[رقم العملية]]=Tabledaily[رقم العملية])*(TableDailyJournal[[#This Row],[الحساب]]=Tabledaily[الحســاب الدئـــن]),0)),0)</f>
        <v>0</v>
      </c>
      <c r="M406" s="119">
        <f>IFERROR(TableDailyJournal[[#This Row],[المبلغ مدين]]/TableDailyJournal[[#This Row],[سعــــــر
الصـــــرف]],0)</f>
        <v>74.074074074074076</v>
      </c>
      <c r="N406" s="119">
        <f>IFERROR(TableDailyJournal[[#This Row],[المبلغ دائن]]/TableDailyJournal[[#This Row],[سعــــــر
الصـــــرف]],0)</f>
        <v>0</v>
      </c>
      <c r="O406" s="121" t="str">
        <f>INDEX(Tabledaily[المستفيــــــــد],MATCH(TableDailyJournal[[#This Row],[رقم العملية]],Tabledaily[رقم العملية],0))</f>
        <v>البشرية و الصراف</v>
      </c>
      <c r="P406" s="121" t="str">
        <f>INDEX(Tabledaily[المــــرجـــــــــع],MATCH(TableDailyJournal[[#This Row],[رقم العملية]],Tabledaily[رقم العملية],0))</f>
        <v>كشف صرف</v>
      </c>
      <c r="Q406" s="121" t="str">
        <f>INDEX(Tabledaily[اســـــــم المــــرجــــع],MATCH(TableDailyJournal[[#This Row],[رقم العملية]],Tabledaily[رقم العملية],0))</f>
        <v>كشف صرف</v>
      </c>
      <c r="R406" s="121">
        <f>INDEX(Tabledaily[رقم المـــــرجـــع],MATCH(TableDailyJournal[[#This Row],[رقم العملية]],Tabledaily[رقم العملية],0))</f>
        <v>0</v>
      </c>
      <c r="S406" s="121" t="str">
        <f>INDEX(Tabledaily[مركـــــــزالتكلفــــــة],MATCH(TableDailyJournal[[#This Row],[رقم العملية]],Tabledaily[رقم العملية],0))</f>
        <v>الفرقة الثالثة</v>
      </c>
      <c r="T406" s="121">
        <f>IFERROR(INDEX(tablecost[رقم المركز],MATCH(TableDailyJournal[[#This Row],[مركـــــــزالتكلفــــــة]],tablecost[الاسم],0)),0)</f>
        <v>1</v>
      </c>
      <c r="U406" s="122">
        <f>IFERROR(DATE(TableDailyJournal[[#This Row],[السنــــة]],TableDailyJournal[[#This Row],[الشهــــر]],TableDailyJournal[[#This Row],[الـــــيوم]]),"01-01-2026")</f>
        <v>46187</v>
      </c>
      <c r="V406" s="126"/>
      <c r="W406" s="58"/>
      <c r="X406" s="58">
        <f>IFERROR(YEAR(TableDailyJournal[[#This Row],[التاريخ]]),"")</f>
        <v>2026</v>
      </c>
      <c r="Y406" s="58">
        <f>IFERROR(MONTH(TableDailyJournal[[#This Row],[التاريخ]]),"")</f>
        <v>6</v>
      </c>
      <c r="Z406" s="58">
        <f>IFERROR(DAY(TableDailyJournal[[#This Row],[التاريخ]]),"")</f>
        <v>14</v>
      </c>
      <c r="AA406"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406" s="121">
        <f>INDEX(Tabledaily[جهة الامر],MATCH(TableDailyJournal[[#This Row],[رقم العملية]],Tabledaily[رقم العملية],0))</f>
        <v>0</v>
      </c>
    </row>
    <row r="407" spans="2:28" ht="45.75" x14ac:dyDescent="0.55000000000000004">
      <c r="B407" s="58">
        <f t="shared" si="12"/>
        <v>403</v>
      </c>
      <c r="C407" s="59" t="s">
        <v>749</v>
      </c>
      <c r="D407" s="60">
        <f>INDEX(Tabledaily[date],MATCH(TableDailyJournal[[#This Row],[رقم العملية]],Tabledaily[رقم العملية],0))</f>
        <v>46187</v>
      </c>
      <c r="E407" s="58" t="str">
        <f>INDEX(Tabledaily[نوع العمليــة],MATCH(TableDailyJournal[[#This Row],[رقم العملية]],Tabledaily[رقم العملية],0))</f>
        <v>قيد عهده</v>
      </c>
      <c r="F407" s="58">
        <f>IFERROR(INDEX(TableJudje[رقم الحساب],MATCH(TableDailyJournal[[#This Row],[الحساب]],TableJudje[اسم الحساب],0)),0)</f>
        <v>11060205</v>
      </c>
      <c r="G407" s="58" t="s">
        <v>513</v>
      </c>
      <c r="H407"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I407" s="60" t="str">
        <f>INDEX(Tabledaily[العملـــة],MATCH(TableDailyJournal[[#This Row],[رقم العملية]],Tabledaily[رقم العملية],0))</f>
        <v>ريال يمني</v>
      </c>
      <c r="J407" s="59">
        <f>IFERROR(INDEX(Tabledaily[سعــــــر
الصـــــرف],MATCH(C407,Tabledaily[رقم العملية],0)),1)</f>
        <v>405</v>
      </c>
      <c r="K407" s="123" cm="1">
        <f t="array" ref="K407">IFERROR(INDEX(Tabledaily[المبلـــــــغ],MATCH(1,(TableDailyJournal[[#This Row],[رقم العملية]]=Tabledaily[رقم العملية])*(TableDailyJournal[[#This Row],[الحساب]]=Tabledaily[الحســاب المديــــن]),0)),0)</f>
        <v>0</v>
      </c>
      <c r="L407" s="123" cm="1">
        <f t="array" ref="L407">IFERROR(INDEX(Tabledaily[المبلـــــــغ],MATCH(1,(TableDailyJournal[[#This Row],[رقم العملية]]=Tabledaily[رقم العملية])*(TableDailyJournal[[#This Row],[الحساب]]=Tabledaily[الحســاب الدئـــن]),0)),0)</f>
        <v>30000</v>
      </c>
      <c r="M407" s="119">
        <f>IFERROR(TableDailyJournal[[#This Row],[المبلغ مدين]]/TableDailyJournal[[#This Row],[سعــــــر
الصـــــرف]],0)</f>
        <v>0</v>
      </c>
      <c r="N407" s="119">
        <f>IFERROR(TableDailyJournal[[#This Row],[المبلغ دائن]]/TableDailyJournal[[#This Row],[سعــــــر
الصـــــرف]],0)</f>
        <v>74.074074074074076</v>
      </c>
      <c r="O407" s="121" t="str">
        <f>INDEX(Tabledaily[المستفيــــــــد],MATCH(TableDailyJournal[[#This Row],[رقم العملية]],Tabledaily[رقم العملية],0))</f>
        <v>البشرية و الصراف</v>
      </c>
      <c r="P407" s="121" t="str">
        <f>INDEX(Tabledaily[المــــرجـــــــــع],MATCH(TableDailyJournal[[#This Row],[رقم العملية]],Tabledaily[رقم العملية],0))</f>
        <v>كشف صرف</v>
      </c>
      <c r="Q407" s="121" t="str">
        <f>INDEX(Tabledaily[اســـــــم المــــرجــــع],MATCH(TableDailyJournal[[#This Row],[رقم العملية]],Tabledaily[رقم العملية],0))</f>
        <v>كشف صرف</v>
      </c>
      <c r="R407" s="121">
        <f>INDEX(Tabledaily[رقم المـــــرجـــع],MATCH(TableDailyJournal[[#This Row],[رقم العملية]],Tabledaily[رقم العملية],0))</f>
        <v>0</v>
      </c>
      <c r="S407" s="121" t="str">
        <f>INDEX(Tabledaily[مركـــــــزالتكلفــــــة],MATCH(TableDailyJournal[[#This Row],[رقم العملية]],Tabledaily[رقم العملية],0))</f>
        <v>الفرقة الثالثة</v>
      </c>
      <c r="T407" s="121">
        <f>IFERROR(INDEX(tablecost[رقم المركز],MATCH(TableDailyJournal[[#This Row],[مركـــــــزالتكلفــــــة]],tablecost[الاسم],0)),0)</f>
        <v>1</v>
      </c>
      <c r="U407" s="122">
        <f>IFERROR(DATE(TableDailyJournal[[#This Row],[السنــــة]],TableDailyJournal[[#This Row],[الشهــــر]],TableDailyJournal[[#This Row],[الـــــيوم]]),"01-01-2026")</f>
        <v>46187</v>
      </c>
      <c r="V407" s="126"/>
      <c r="W407" s="58"/>
      <c r="X407" s="58">
        <f>IFERROR(YEAR(TableDailyJournal[[#This Row],[التاريخ]]),"")</f>
        <v>2026</v>
      </c>
      <c r="Y407" s="58">
        <f>IFERROR(MONTH(TableDailyJournal[[#This Row],[التاريخ]]),"")</f>
        <v>6</v>
      </c>
      <c r="Z407" s="58">
        <f>IFERROR(DAY(TableDailyJournal[[#This Row],[التاريخ]]),"")</f>
        <v>14</v>
      </c>
      <c r="AA407"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2 بامر</v>
      </c>
      <c r="AB407" s="121">
        <f>INDEX(Tabledaily[جهة الامر],MATCH(TableDailyJournal[[#This Row],[رقم العملية]],Tabledaily[رقم العملية],0))</f>
        <v>0</v>
      </c>
    </row>
    <row r="408" spans="2:28" ht="45.75" x14ac:dyDescent="0.55000000000000004">
      <c r="B408" s="58">
        <f t="shared" si="12"/>
        <v>404</v>
      </c>
      <c r="C408" s="59" t="s">
        <v>750</v>
      </c>
      <c r="D408" s="60">
        <f>INDEX(Tabledaily[date],MATCH(TableDailyJournal[[#This Row],[رقم العملية]],Tabledaily[رقم العملية],0))</f>
        <v>46187</v>
      </c>
      <c r="E408" s="58" t="str">
        <f>INDEX(Tabledaily[نوع العمليــة],MATCH(TableDailyJournal[[#This Row],[رقم العملية]],Tabledaily[رقم العملية],0))</f>
        <v>قيد عهده</v>
      </c>
      <c r="F408" s="58">
        <f>IFERROR(INDEX(TableJudje[رقم الحساب],MATCH(TableDailyJournal[[#This Row],[الحساب]],TableJudje[اسم الحساب],0)),0)</f>
        <v>31010101</v>
      </c>
      <c r="G408" s="58" t="s">
        <v>111</v>
      </c>
      <c r="H408"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408" s="60" t="str">
        <f>INDEX(Tabledaily[العملـــة],MATCH(TableDailyJournal[[#This Row],[رقم العملية]],Tabledaily[رقم العملية],0))</f>
        <v>ريال يمني</v>
      </c>
      <c r="J408" s="59">
        <f>IFERROR(INDEX(Tabledaily[سعــــــر
الصـــــرف],MATCH(C408,Tabledaily[رقم العملية],0)),1)</f>
        <v>405</v>
      </c>
      <c r="K408" s="123" cm="1">
        <f t="array" ref="K408">IFERROR(INDEX(Tabledaily[المبلـــــــغ],MATCH(1,(TableDailyJournal[[#This Row],[رقم العملية]]=Tabledaily[رقم العملية])*(TableDailyJournal[[#This Row],[الحساب]]=Tabledaily[الحســاب المديــــن]),0)),0)</f>
        <v>65000</v>
      </c>
      <c r="L408" s="123" cm="1">
        <f t="array" ref="L408">IFERROR(INDEX(Tabledaily[المبلـــــــغ],MATCH(1,(TableDailyJournal[[#This Row],[رقم العملية]]=Tabledaily[رقم العملية])*(TableDailyJournal[[#This Row],[الحساب]]=Tabledaily[الحســاب الدئـــن]),0)),0)</f>
        <v>0</v>
      </c>
      <c r="M408" s="119">
        <f>IFERROR(TableDailyJournal[[#This Row],[المبلغ مدين]]/TableDailyJournal[[#This Row],[سعــــــر
الصـــــرف]],0)</f>
        <v>160.49382716049382</v>
      </c>
      <c r="N408" s="119">
        <f>IFERROR(TableDailyJournal[[#This Row],[المبلغ دائن]]/TableDailyJournal[[#This Row],[سعــــــر
الصـــــرف]],0)</f>
        <v>0</v>
      </c>
      <c r="O408" s="121" t="str">
        <f>INDEX(Tabledaily[المستفيــــــــد],MATCH(TableDailyJournal[[#This Row],[رقم العملية]],Tabledaily[رقم العملية],0))</f>
        <v>الاستخبارات</v>
      </c>
      <c r="P408" s="121" t="str">
        <f>INDEX(Tabledaily[المــــرجـــــــــع],MATCH(TableDailyJournal[[#This Row],[رقم العملية]],Tabledaily[رقم العملية],0))</f>
        <v>كشف صرف</v>
      </c>
      <c r="Q408" s="121" t="str">
        <f>INDEX(Tabledaily[اســـــــم المــــرجــــع],MATCH(TableDailyJournal[[#This Row],[رقم العملية]],Tabledaily[رقم العملية],0))</f>
        <v>كشف صرف</v>
      </c>
      <c r="R408" s="121">
        <f>INDEX(Tabledaily[رقم المـــــرجـــع],MATCH(TableDailyJournal[[#This Row],[رقم العملية]],Tabledaily[رقم العملية],0))</f>
        <v>0</v>
      </c>
      <c r="S408" s="121" t="str">
        <f>INDEX(Tabledaily[مركـــــــزالتكلفــــــة],MATCH(TableDailyJournal[[#This Row],[رقم العملية]],Tabledaily[رقم العملية],0))</f>
        <v>الفرقة الثالثة</v>
      </c>
      <c r="T408" s="121">
        <f>IFERROR(INDEX(tablecost[رقم المركز],MATCH(TableDailyJournal[[#This Row],[مركـــــــزالتكلفــــــة]],tablecost[الاسم],0)),0)</f>
        <v>1</v>
      </c>
      <c r="U408" s="122">
        <f>IFERROR(DATE(TableDailyJournal[[#This Row],[السنــــة]],TableDailyJournal[[#This Row],[الشهــــر]],TableDailyJournal[[#This Row],[الـــــيوم]]),"01-01-2026")</f>
        <v>46187</v>
      </c>
      <c r="V408" s="126"/>
      <c r="W408" s="58"/>
      <c r="X408" s="58">
        <f>IFERROR(YEAR(TableDailyJournal[[#This Row],[التاريخ]]),"")</f>
        <v>2026</v>
      </c>
      <c r="Y408" s="58">
        <f>IFERROR(MONTH(TableDailyJournal[[#This Row],[التاريخ]]),"")</f>
        <v>6</v>
      </c>
      <c r="Z408" s="58">
        <f>IFERROR(DAY(TableDailyJournal[[#This Row],[التاريخ]]),"")</f>
        <v>14</v>
      </c>
      <c r="AA408"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408" s="121">
        <f>INDEX(Tabledaily[جهة الامر],MATCH(TableDailyJournal[[#This Row],[رقم العملية]],Tabledaily[رقم العملية],0))</f>
        <v>0</v>
      </c>
    </row>
    <row r="409" spans="2:28" ht="45.75" x14ac:dyDescent="0.55000000000000004">
      <c r="B409" s="58">
        <f t="shared" si="12"/>
        <v>405</v>
      </c>
      <c r="C409" s="59" t="s">
        <v>750</v>
      </c>
      <c r="D409" s="60">
        <f>INDEX(Tabledaily[date],MATCH(TableDailyJournal[[#This Row],[رقم العملية]],Tabledaily[رقم العملية],0))</f>
        <v>46187</v>
      </c>
      <c r="E409" s="58" t="str">
        <f>INDEX(Tabledaily[نوع العمليــة],MATCH(TableDailyJournal[[#This Row],[رقم العملية]],Tabledaily[رقم العملية],0))</f>
        <v>قيد عهده</v>
      </c>
      <c r="F409" s="58">
        <f>IFERROR(INDEX(TableJudje[رقم الحساب],MATCH(TableDailyJournal[[#This Row],[الحساب]],TableJudje[اسم الحساب],0)),0)</f>
        <v>11060205</v>
      </c>
      <c r="G409" s="58" t="s">
        <v>513</v>
      </c>
      <c r="H409"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409" s="60" t="str">
        <f>INDEX(Tabledaily[العملـــة],MATCH(TableDailyJournal[[#This Row],[رقم العملية]],Tabledaily[رقم العملية],0))</f>
        <v>ريال يمني</v>
      </c>
      <c r="J409" s="59">
        <f>IFERROR(INDEX(Tabledaily[سعــــــر
الصـــــرف],MATCH(C409,Tabledaily[رقم العملية],0)),1)</f>
        <v>405</v>
      </c>
      <c r="K409" s="123" cm="1">
        <f t="array" ref="K409">IFERROR(INDEX(Tabledaily[المبلـــــــغ],MATCH(1,(TableDailyJournal[[#This Row],[رقم العملية]]=Tabledaily[رقم العملية])*(TableDailyJournal[[#This Row],[الحساب]]=Tabledaily[الحســاب المديــــن]),0)),0)</f>
        <v>0</v>
      </c>
      <c r="L409" s="123" cm="1">
        <f t="array" ref="L409">IFERROR(INDEX(Tabledaily[المبلـــــــغ],MATCH(1,(TableDailyJournal[[#This Row],[رقم العملية]]=Tabledaily[رقم العملية])*(TableDailyJournal[[#This Row],[الحساب]]=Tabledaily[الحســاب الدئـــن]),0)),0)</f>
        <v>65000</v>
      </c>
      <c r="M409" s="119">
        <f>IFERROR(TableDailyJournal[[#This Row],[المبلغ مدين]]/TableDailyJournal[[#This Row],[سعــــــر
الصـــــرف]],0)</f>
        <v>0</v>
      </c>
      <c r="N409" s="119">
        <f>IFERROR(TableDailyJournal[[#This Row],[المبلغ دائن]]/TableDailyJournal[[#This Row],[سعــــــر
الصـــــرف]],0)</f>
        <v>160.49382716049382</v>
      </c>
      <c r="O409" s="121" t="str">
        <f>INDEX(Tabledaily[المستفيــــــــد],MATCH(TableDailyJournal[[#This Row],[رقم العملية]],Tabledaily[رقم العملية],0))</f>
        <v>الاستخبارات</v>
      </c>
      <c r="P409" s="121" t="str">
        <f>INDEX(Tabledaily[المــــرجـــــــــع],MATCH(TableDailyJournal[[#This Row],[رقم العملية]],Tabledaily[رقم العملية],0))</f>
        <v>كشف صرف</v>
      </c>
      <c r="Q409" s="121" t="str">
        <f>INDEX(Tabledaily[اســـــــم المــــرجــــع],MATCH(TableDailyJournal[[#This Row],[رقم العملية]],Tabledaily[رقم العملية],0))</f>
        <v>كشف صرف</v>
      </c>
      <c r="R409" s="121">
        <f>INDEX(Tabledaily[رقم المـــــرجـــع],MATCH(TableDailyJournal[[#This Row],[رقم العملية]],Tabledaily[رقم العملية],0))</f>
        <v>0</v>
      </c>
      <c r="S409" s="121" t="str">
        <f>INDEX(Tabledaily[مركـــــــزالتكلفــــــة],MATCH(TableDailyJournal[[#This Row],[رقم العملية]],Tabledaily[رقم العملية],0))</f>
        <v>الفرقة الثالثة</v>
      </c>
      <c r="T409" s="121">
        <f>IFERROR(INDEX(tablecost[رقم المركز],MATCH(TableDailyJournal[[#This Row],[مركـــــــزالتكلفــــــة]],tablecost[الاسم],0)),0)</f>
        <v>1</v>
      </c>
      <c r="U409" s="122">
        <f>IFERROR(DATE(TableDailyJournal[[#This Row],[السنــــة]],TableDailyJournal[[#This Row],[الشهــــر]],TableDailyJournal[[#This Row],[الـــــيوم]]),"01-01-2026")</f>
        <v>46187</v>
      </c>
      <c r="V409" s="126"/>
      <c r="W409" s="58"/>
      <c r="X409" s="58">
        <f>IFERROR(YEAR(TableDailyJournal[[#This Row],[التاريخ]]),"")</f>
        <v>2026</v>
      </c>
      <c r="Y409" s="58">
        <f>IFERROR(MONTH(TableDailyJournal[[#This Row],[التاريخ]]),"")</f>
        <v>6</v>
      </c>
      <c r="Z409" s="58">
        <f>IFERROR(DAY(TableDailyJournal[[#This Row],[التاريخ]]),"")</f>
        <v>14</v>
      </c>
      <c r="AA409"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409" s="121">
        <f>INDEX(Tabledaily[جهة الامر],MATCH(TableDailyJournal[[#This Row],[رقم العملية]],Tabledaily[رقم العملية],0))</f>
        <v>0</v>
      </c>
    </row>
    <row r="410" spans="2:28" ht="45.75" x14ac:dyDescent="0.55000000000000004">
      <c r="B410" s="58">
        <f t="shared" si="12"/>
        <v>406</v>
      </c>
      <c r="C410" s="59" t="s">
        <v>751</v>
      </c>
      <c r="D410" s="60">
        <f>INDEX(Tabledaily[date],MATCH(TableDailyJournal[[#This Row],[رقم العملية]],Tabledaily[رقم العملية],0))</f>
        <v>46187</v>
      </c>
      <c r="E410" s="58" t="str">
        <f>INDEX(Tabledaily[نوع العمليــة],MATCH(TableDailyJournal[[#This Row],[رقم العملية]],Tabledaily[رقم العملية],0))</f>
        <v>قيد عهده</v>
      </c>
      <c r="F410" s="58">
        <f>IFERROR(INDEX(TableJudje[رقم الحساب],MATCH(TableDailyJournal[[#This Row],[الحساب]],TableJudje[اسم الحساب],0)),0)</f>
        <v>31010101</v>
      </c>
      <c r="G410" s="58" t="s">
        <v>111</v>
      </c>
      <c r="H410"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410" s="60" t="str">
        <f>INDEX(Tabledaily[العملـــة],MATCH(TableDailyJournal[[#This Row],[رقم العملية]],Tabledaily[رقم العملية],0))</f>
        <v>ريال يمني</v>
      </c>
      <c r="J410" s="59">
        <f>IFERROR(INDEX(Tabledaily[سعــــــر
الصـــــرف],MATCH(C410,Tabledaily[رقم العملية],0)),1)</f>
        <v>405</v>
      </c>
      <c r="K410" s="123" cm="1">
        <f t="array" ref="K410">IFERROR(INDEX(Tabledaily[المبلـــــــغ],MATCH(1,(TableDailyJournal[[#This Row],[رقم العملية]]=Tabledaily[رقم العملية])*(TableDailyJournal[[#This Row],[الحساب]]=Tabledaily[الحســاب المديــــن]),0)),0)</f>
        <v>45000</v>
      </c>
      <c r="L410" s="123" cm="1">
        <f t="array" ref="L410">IFERROR(INDEX(Tabledaily[المبلـــــــغ],MATCH(1,(TableDailyJournal[[#This Row],[رقم العملية]]=Tabledaily[رقم العملية])*(TableDailyJournal[[#This Row],[الحساب]]=Tabledaily[الحســاب الدئـــن]),0)),0)</f>
        <v>0</v>
      </c>
      <c r="M410" s="119">
        <f>IFERROR(TableDailyJournal[[#This Row],[المبلغ مدين]]/TableDailyJournal[[#This Row],[سعــــــر
الصـــــرف]],0)</f>
        <v>111.11111111111111</v>
      </c>
      <c r="N410" s="119">
        <f>IFERROR(TableDailyJournal[[#This Row],[المبلغ دائن]]/TableDailyJournal[[#This Row],[سعــــــر
الصـــــرف]],0)</f>
        <v>0</v>
      </c>
      <c r="O410" s="121" t="str">
        <f>INDEX(Tabledaily[المستفيــــــــد],MATCH(TableDailyJournal[[#This Row],[رقم العملية]],Tabledaily[رقم العملية],0))</f>
        <v>المدفعية</v>
      </c>
      <c r="P410" s="121" t="str">
        <f>INDEX(Tabledaily[المــــرجـــــــــع],MATCH(TableDailyJournal[[#This Row],[رقم العملية]],Tabledaily[رقم العملية],0))</f>
        <v>كشف صرف</v>
      </c>
      <c r="Q410" s="121" t="str">
        <f>INDEX(Tabledaily[اســـــــم المــــرجــــع],MATCH(TableDailyJournal[[#This Row],[رقم العملية]],Tabledaily[رقم العملية],0))</f>
        <v>كشف صرف</v>
      </c>
      <c r="R410" s="121">
        <f>INDEX(Tabledaily[رقم المـــــرجـــع],MATCH(TableDailyJournal[[#This Row],[رقم العملية]],Tabledaily[رقم العملية],0))</f>
        <v>0</v>
      </c>
      <c r="S410" s="121" t="str">
        <f>INDEX(Tabledaily[مركـــــــزالتكلفــــــة],MATCH(TableDailyJournal[[#This Row],[رقم العملية]],Tabledaily[رقم العملية],0))</f>
        <v>الفرقة الثالثة</v>
      </c>
      <c r="T410" s="121">
        <f>IFERROR(INDEX(tablecost[رقم المركز],MATCH(TableDailyJournal[[#This Row],[مركـــــــزالتكلفــــــة]],tablecost[الاسم],0)),0)</f>
        <v>1</v>
      </c>
      <c r="U410" s="122">
        <f>IFERROR(DATE(TableDailyJournal[[#This Row],[السنــــة]],TableDailyJournal[[#This Row],[الشهــــر]],TableDailyJournal[[#This Row],[الـــــيوم]]),"01-01-2026")</f>
        <v>46187</v>
      </c>
      <c r="V410" s="126"/>
      <c r="W410" s="58"/>
      <c r="X410" s="58">
        <f>IFERROR(YEAR(TableDailyJournal[[#This Row],[التاريخ]]),"")</f>
        <v>2026</v>
      </c>
      <c r="Y410" s="58">
        <f>IFERROR(MONTH(TableDailyJournal[[#This Row],[التاريخ]]),"")</f>
        <v>6</v>
      </c>
      <c r="Z410" s="58">
        <f>IFERROR(DAY(TableDailyJournal[[#This Row],[التاريخ]]),"")</f>
        <v>14</v>
      </c>
      <c r="AA410"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410" s="121">
        <f>INDEX(Tabledaily[جهة الامر],MATCH(TableDailyJournal[[#This Row],[رقم العملية]],Tabledaily[رقم العملية],0))</f>
        <v>0</v>
      </c>
    </row>
    <row r="411" spans="2:28" ht="45.75" x14ac:dyDescent="0.55000000000000004">
      <c r="B411" s="58">
        <f t="shared" si="12"/>
        <v>407</v>
      </c>
      <c r="C411" s="59" t="s">
        <v>751</v>
      </c>
      <c r="D411" s="60">
        <f>INDEX(Tabledaily[date],MATCH(TableDailyJournal[[#This Row],[رقم العملية]],Tabledaily[رقم العملية],0))</f>
        <v>46187</v>
      </c>
      <c r="E411" s="58" t="str">
        <f>INDEX(Tabledaily[نوع العمليــة],MATCH(TableDailyJournal[[#This Row],[رقم العملية]],Tabledaily[رقم العملية],0))</f>
        <v>قيد عهده</v>
      </c>
      <c r="F411" s="58">
        <f>IFERROR(INDEX(TableJudje[رقم الحساب],MATCH(TableDailyJournal[[#This Row],[الحساب]],TableJudje[اسم الحساب],0)),0)</f>
        <v>11060205</v>
      </c>
      <c r="G411" s="58" t="s">
        <v>513</v>
      </c>
      <c r="H411"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411" s="60" t="str">
        <f>INDEX(Tabledaily[العملـــة],MATCH(TableDailyJournal[[#This Row],[رقم العملية]],Tabledaily[رقم العملية],0))</f>
        <v>ريال يمني</v>
      </c>
      <c r="J411" s="59">
        <f>IFERROR(INDEX(Tabledaily[سعــــــر
الصـــــرف],MATCH(C411,Tabledaily[رقم العملية],0)),1)</f>
        <v>405</v>
      </c>
      <c r="K411" s="123" cm="1">
        <f t="array" ref="K411">IFERROR(INDEX(Tabledaily[المبلـــــــغ],MATCH(1,(TableDailyJournal[[#This Row],[رقم العملية]]=Tabledaily[رقم العملية])*(TableDailyJournal[[#This Row],[الحساب]]=Tabledaily[الحســاب المديــــن]),0)),0)</f>
        <v>0</v>
      </c>
      <c r="L411" s="123" cm="1">
        <f t="array" ref="L411">IFERROR(INDEX(Tabledaily[المبلـــــــغ],MATCH(1,(TableDailyJournal[[#This Row],[رقم العملية]]=Tabledaily[رقم العملية])*(TableDailyJournal[[#This Row],[الحساب]]=Tabledaily[الحســاب الدئـــن]),0)),0)</f>
        <v>45000</v>
      </c>
      <c r="M411" s="119">
        <f>IFERROR(TableDailyJournal[[#This Row],[المبلغ مدين]]/TableDailyJournal[[#This Row],[سعــــــر
الصـــــرف]],0)</f>
        <v>0</v>
      </c>
      <c r="N411" s="119">
        <f>IFERROR(TableDailyJournal[[#This Row],[المبلغ دائن]]/TableDailyJournal[[#This Row],[سعــــــر
الصـــــرف]],0)</f>
        <v>111.11111111111111</v>
      </c>
      <c r="O411" s="121" t="str">
        <f>INDEX(Tabledaily[المستفيــــــــد],MATCH(TableDailyJournal[[#This Row],[رقم العملية]],Tabledaily[رقم العملية],0))</f>
        <v>المدفعية</v>
      </c>
      <c r="P411" s="121" t="str">
        <f>INDEX(Tabledaily[المــــرجـــــــــع],MATCH(TableDailyJournal[[#This Row],[رقم العملية]],Tabledaily[رقم العملية],0))</f>
        <v>كشف صرف</v>
      </c>
      <c r="Q411" s="121" t="str">
        <f>INDEX(Tabledaily[اســـــــم المــــرجــــع],MATCH(TableDailyJournal[[#This Row],[رقم العملية]],Tabledaily[رقم العملية],0))</f>
        <v>كشف صرف</v>
      </c>
      <c r="R411" s="121">
        <f>INDEX(Tabledaily[رقم المـــــرجـــع],MATCH(TableDailyJournal[[#This Row],[رقم العملية]],Tabledaily[رقم العملية],0))</f>
        <v>0</v>
      </c>
      <c r="S411" s="121" t="str">
        <f>INDEX(Tabledaily[مركـــــــزالتكلفــــــة],MATCH(TableDailyJournal[[#This Row],[رقم العملية]],Tabledaily[رقم العملية],0))</f>
        <v>الفرقة الثالثة</v>
      </c>
      <c r="T411" s="121">
        <f>IFERROR(INDEX(tablecost[رقم المركز],MATCH(TableDailyJournal[[#This Row],[مركـــــــزالتكلفــــــة]],tablecost[الاسم],0)),0)</f>
        <v>1</v>
      </c>
      <c r="U411" s="122">
        <f>IFERROR(DATE(TableDailyJournal[[#This Row],[السنــــة]],TableDailyJournal[[#This Row],[الشهــــر]],TableDailyJournal[[#This Row],[الـــــيوم]]),"01-01-2026")</f>
        <v>46187</v>
      </c>
      <c r="V411" s="126"/>
      <c r="W411" s="58"/>
      <c r="X411" s="58">
        <f>IFERROR(YEAR(TableDailyJournal[[#This Row],[التاريخ]]),"")</f>
        <v>2026</v>
      </c>
      <c r="Y411" s="58">
        <f>IFERROR(MONTH(TableDailyJournal[[#This Row],[التاريخ]]),"")</f>
        <v>6</v>
      </c>
      <c r="Z411" s="58">
        <f>IFERROR(DAY(TableDailyJournal[[#This Row],[التاريخ]]),"")</f>
        <v>14</v>
      </c>
      <c r="AA411"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411" s="121">
        <f>INDEX(Tabledaily[جهة الامر],MATCH(TableDailyJournal[[#This Row],[رقم العملية]],Tabledaily[رقم العملية],0))</f>
        <v>0</v>
      </c>
    </row>
    <row r="412" spans="2:28" ht="45.75" x14ac:dyDescent="0.55000000000000004">
      <c r="B412" s="58">
        <f t="shared" si="12"/>
        <v>408</v>
      </c>
      <c r="C412" s="59" t="s">
        <v>752</v>
      </c>
      <c r="D412" s="60">
        <f>INDEX(Tabledaily[date],MATCH(TableDailyJournal[[#This Row],[رقم العملية]],Tabledaily[رقم العملية],0))</f>
        <v>46187</v>
      </c>
      <c r="E412" s="58" t="str">
        <f>INDEX(Tabledaily[نوع العمليــة],MATCH(TableDailyJournal[[#This Row],[رقم العملية]],Tabledaily[رقم العملية],0))</f>
        <v>قيد عهده</v>
      </c>
      <c r="F412" s="58">
        <f>IFERROR(INDEX(TableJudje[رقم الحساب],MATCH(TableDailyJournal[[#This Row],[الحساب]],TableJudje[اسم الحساب],0)),0)</f>
        <v>31010101</v>
      </c>
      <c r="G412" s="58" t="s">
        <v>111</v>
      </c>
      <c r="H412"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412" s="60" t="str">
        <f>INDEX(Tabledaily[العملـــة],MATCH(TableDailyJournal[[#This Row],[رقم العملية]],Tabledaily[رقم العملية],0))</f>
        <v>ريال يمني</v>
      </c>
      <c r="J412" s="59">
        <f>IFERROR(INDEX(Tabledaily[سعــــــر
الصـــــرف],MATCH(C412,Tabledaily[رقم العملية],0)),1)</f>
        <v>405</v>
      </c>
      <c r="K412" s="123" cm="1">
        <f t="array" ref="K412">IFERROR(INDEX(Tabledaily[المبلـــــــغ],MATCH(1,(TableDailyJournal[[#This Row],[رقم العملية]]=Tabledaily[رقم العملية])*(TableDailyJournal[[#This Row],[الحساب]]=Tabledaily[الحســاب المديــــن]),0)),0)</f>
        <v>115000</v>
      </c>
      <c r="L412" s="123" cm="1">
        <f t="array" ref="L412">IFERROR(INDEX(Tabledaily[المبلـــــــغ],MATCH(1,(TableDailyJournal[[#This Row],[رقم العملية]]=Tabledaily[رقم العملية])*(TableDailyJournal[[#This Row],[الحساب]]=Tabledaily[الحســاب الدئـــن]),0)),0)</f>
        <v>0</v>
      </c>
      <c r="M412" s="119">
        <f>IFERROR(TableDailyJournal[[#This Row],[المبلغ مدين]]/TableDailyJournal[[#This Row],[سعــــــر
الصـــــرف]],0)</f>
        <v>283.95061728395063</v>
      </c>
      <c r="N412" s="119">
        <f>IFERROR(TableDailyJournal[[#This Row],[المبلغ دائن]]/TableDailyJournal[[#This Row],[سعــــــر
الصـــــرف]],0)</f>
        <v>0</v>
      </c>
      <c r="O412" s="121" t="str">
        <f>INDEX(Tabledaily[المستفيــــــــد],MATCH(TableDailyJournal[[#This Row],[رقم العملية]],Tabledaily[رقم العملية],0))</f>
        <v>المستشارين والمساعدين</v>
      </c>
      <c r="P412" s="121" t="str">
        <f>INDEX(Tabledaily[المــــرجـــــــــع],MATCH(TableDailyJournal[[#This Row],[رقم العملية]],Tabledaily[رقم العملية],0))</f>
        <v>كشف صرف</v>
      </c>
      <c r="Q412" s="121" t="str">
        <f>INDEX(Tabledaily[اســـــــم المــــرجــــع],MATCH(TableDailyJournal[[#This Row],[رقم العملية]],Tabledaily[رقم العملية],0))</f>
        <v>كشف صرف</v>
      </c>
      <c r="R412" s="121">
        <f>INDEX(Tabledaily[رقم المـــــرجـــع],MATCH(TableDailyJournal[[#This Row],[رقم العملية]],Tabledaily[رقم العملية],0))</f>
        <v>0</v>
      </c>
      <c r="S412" s="121" t="str">
        <f>INDEX(Tabledaily[مركـــــــزالتكلفــــــة],MATCH(TableDailyJournal[[#This Row],[رقم العملية]],Tabledaily[رقم العملية],0))</f>
        <v>الفرقة الثالثة</v>
      </c>
      <c r="T412" s="121">
        <f>IFERROR(INDEX(tablecost[رقم المركز],MATCH(TableDailyJournal[[#This Row],[مركـــــــزالتكلفــــــة]],tablecost[الاسم],0)),0)</f>
        <v>1</v>
      </c>
      <c r="U412" s="122">
        <f>IFERROR(DATE(TableDailyJournal[[#This Row],[السنــــة]],TableDailyJournal[[#This Row],[الشهــــر]],TableDailyJournal[[#This Row],[الـــــيوم]]),"01-01-2026")</f>
        <v>46187</v>
      </c>
      <c r="V412" s="126"/>
      <c r="W412" s="58"/>
      <c r="X412" s="58">
        <f>IFERROR(YEAR(TableDailyJournal[[#This Row],[التاريخ]]),"")</f>
        <v>2026</v>
      </c>
      <c r="Y412" s="58">
        <f>IFERROR(MONTH(TableDailyJournal[[#This Row],[التاريخ]]),"")</f>
        <v>6</v>
      </c>
      <c r="Z412" s="58">
        <f>IFERROR(DAY(TableDailyJournal[[#This Row],[التاريخ]]),"")</f>
        <v>14</v>
      </c>
      <c r="AA412"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412" s="121">
        <f>INDEX(Tabledaily[جهة الامر],MATCH(TableDailyJournal[[#This Row],[رقم العملية]],Tabledaily[رقم العملية],0))</f>
        <v>0</v>
      </c>
    </row>
    <row r="413" spans="2:28" ht="45.75" x14ac:dyDescent="0.55000000000000004">
      <c r="B413" s="58">
        <f t="shared" si="12"/>
        <v>409</v>
      </c>
      <c r="C413" s="59" t="s">
        <v>752</v>
      </c>
      <c r="D413" s="60">
        <f>INDEX(Tabledaily[date],MATCH(TableDailyJournal[[#This Row],[رقم العملية]],Tabledaily[رقم العملية],0))</f>
        <v>46187</v>
      </c>
      <c r="E413" s="58" t="str">
        <f>INDEX(Tabledaily[نوع العمليــة],MATCH(TableDailyJournal[[#This Row],[رقم العملية]],Tabledaily[رقم العملية],0))</f>
        <v>قيد عهده</v>
      </c>
      <c r="F413" s="58">
        <f>IFERROR(INDEX(TableJudje[رقم الحساب],MATCH(TableDailyJournal[[#This Row],[الحساب]],TableJudje[اسم الحساب],0)),0)</f>
        <v>11060205</v>
      </c>
      <c r="G413" s="58" t="s">
        <v>513</v>
      </c>
      <c r="H413"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413" s="60" t="str">
        <f>INDEX(Tabledaily[العملـــة],MATCH(TableDailyJournal[[#This Row],[رقم العملية]],Tabledaily[رقم العملية],0))</f>
        <v>ريال يمني</v>
      </c>
      <c r="J413" s="59">
        <f>IFERROR(INDEX(Tabledaily[سعــــــر
الصـــــرف],MATCH(C413,Tabledaily[رقم العملية],0)),1)</f>
        <v>405</v>
      </c>
      <c r="K413" s="123" cm="1">
        <f t="array" ref="K413">IFERROR(INDEX(Tabledaily[المبلـــــــغ],MATCH(1,(TableDailyJournal[[#This Row],[رقم العملية]]=Tabledaily[رقم العملية])*(TableDailyJournal[[#This Row],[الحساب]]=Tabledaily[الحســاب المديــــن]),0)),0)</f>
        <v>0</v>
      </c>
      <c r="L413" s="123" cm="1">
        <f t="array" ref="L413">IFERROR(INDEX(Tabledaily[المبلـــــــغ],MATCH(1,(TableDailyJournal[[#This Row],[رقم العملية]]=Tabledaily[رقم العملية])*(TableDailyJournal[[#This Row],[الحساب]]=Tabledaily[الحســاب الدئـــن]),0)),0)</f>
        <v>115000</v>
      </c>
      <c r="M413" s="119">
        <f>IFERROR(TableDailyJournal[[#This Row],[المبلغ مدين]]/TableDailyJournal[[#This Row],[سعــــــر
الصـــــرف]],0)</f>
        <v>0</v>
      </c>
      <c r="N413" s="119">
        <f>IFERROR(TableDailyJournal[[#This Row],[المبلغ دائن]]/TableDailyJournal[[#This Row],[سعــــــر
الصـــــرف]],0)</f>
        <v>283.95061728395063</v>
      </c>
      <c r="O413" s="121" t="str">
        <f>INDEX(Tabledaily[المستفيــــــــد],MATCH(TableDailyJournal[[#This Row],[رقم العملية]],Tabledaily[رقم العملية],0))</f>
        <v>المستشارين والمساعدين</v>
      </c>
      <c r="P413" s="121" t="str">
        <f>INDEX(Tabledaily[المــــرجـــــــــع],MATCH(TableDailyJournal[[#This Row],[رقم العملية]],Tabledaily[رقم العملية],0))</f>
        <v>كشف صرف</v>
      </c>
      <c r="Q413" s="121" t="str">
        <f>INDEX(Tabledaily[اســـــــم المــــرجــــع],MATCH(TableDailyJournal[[#This Row],[رقم العملية]],Tabledaily[رقم العملية],0))</f>
        <v>كشف صرف</v>
      </c>
      <c r="R413" s="121">
        <f>INDEX(Tabledaily[رقم المـــــرجـــع],MATCH(TableDailyJournal[[#This Row],[رقم العملية]],Tabledaily[رقم العملية],0))</f>
        <v>0</v>
      </c>
      <c r="S413" s="121" t="str">
        <f>INDEX(Tabledaily[مركـــــــزالتكلفــــــة],MATCH(TableDailyJournal[[#This Row],[رقم العملية]],Tabledaily[رقم العملية],0))</f>
        <v>الفرقة الثالثة</v>
      </c>
      <c r="T413" s="121">
        <f>IFERROR(INDEX(tablecost[رقم المركز],MATCH(TableDailyJournal[[#This Row],[مركـــــــزالتكلفــــــة]],tablecost[الاسم],0)),0)</f>
        <v>1</v>
      </c>
      <c r="U413" s="122">
        <f>IFERROR(DATE(TableDailyJournal[[#This Row],[السنــــة]],TableDailyJournal[[#This Row],[الشهــــر]],TableDailyJournal[[#This Row],[الـــــيوم]]),"01-01-2026")</f>
        <v>46187</v>
      </c>
      <c r="V413" s="126"/>
      <c r="W413" s="58"/>
      <c r="X413" s="58">
        <f>IFERROR(YEAR(TableDailyJournal[[#This Row],[التاريخ]]),"")</f>
        <v>2026</v>
      </c>
      <c r="Y413" s="58">
        <f>IFERROR(MONTH(TableDailyJournal[[#This Row],[التاريخ]]),"")</f>
        <v>6</v>
      </c>
      <c r="Z413" s="58">
        <f>IFERROR(DAY(TableDailyJournal[[#This Row],[التاريخ]]),"")</f>
        <v>14</v>
      </c>
      <c r="AA413"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413" s="121">
        <f>INDEX(Tabledaily[جهة الامر],MATCH(TableDailyJournal[[#This Row],[رقم العملية]],Tabledaily[رقم العملية],0))</f>
        <v>0</v>
      </c>
    </row>
    <row r="414" spans="2:28" ht="45.75" x14ac:dyDescent="0.55000000000000004">
      <c r="B414" s="58">
        <f t="shared" si="12"/>
        <v>410</v>
      </c>
      <c r="C414" s="59" t="s">
        <v>753</v>
      </c>
      <c r="D414" s="60">
        <f>INDEX(Tabledaily[date],MATCH(TableDailyJournal[[#This Row],[رقم العملية]],Tabledaily[رقم العملية],0))</f>
        <v>46187</v>
      </c>
      <c r="E414" s="58" t="str">
        <f>INDEX(Tabledaily[نوع العمليــة],MATCH(TableDailyJournal[[#This Row],[رقم العملية]],Tabledaily[رقم العملية],0))</f>
        <v>قيد عهده</v>
      </c>
      <c r="F414" s="58">
        <f>IFERROR(INDEX(TableJudje[رقم الحساب],MATCH(TableDailyJournal[[#This Row],[الحساب]],TableJudje[اسم الحساب],0)),0)</f>
        <v>31010101</v>
      </c>
      <c r="G414" s="58" t="s">
        <v>111</v>
      </c>
      <c r="H414"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414" s="60" t="str">
        <f>INDEX(Tabledaily[العملـــة],MATCH(TableDailyJournal[[#This Row],[رقم العملية]],Tabledaily[رقم العملية],0))</f>
        <v>ريال يمني</v>
      </c>
      <c r="J414" s="59">
        <f>IFERROR(INDEX(Tabledaily[سعــــــر
الصـــــرف],MATCH(C414,Tabledaily[رقم العملية],0)),1)</f>
        <v>405</v>
      </c>
      <c r="K414" s="123" cm="1">
        <f t="array" ref="K414">IFERROR(INDEX(Tabledaily[المبلـــــــغ],MATCH(1,(TableDailyJournal[[#This Row],[رقم العملية]]=Tabledaily[رقم العملية])*(TableDailyJournal[[#This Row],[الحساب]]=Tabledaily[الحســاب المديــــن]),0)),0)</f>
        <v>14000</v>
      </c>
      <c r="L414" s="123" cm="1">
        <f t="array" ref="L414">IFERROR(INDEX(Tabledaily[المبلـــــــغ],MATCH(1,(TableDailyJournal[[#This Row],[رقم العملية]]=Tabledaily[رقم العملية])*(TableDailyJournal[[#This Row],[الحساب]]=Tabledaily[الحســاب الدئـــن]),0)),0)</f>
        <v>0</v>
      </c>
      <c r="M414" s="119">
        <f>IFERROR(TableDailyJournal[[#This Row],[المبلغ مدين]]/TableDailyJournal[[#This Row],[سعــــــر
الصـــــرف]],0)</f>
        <v>34.567901234567898</v>
      </c>
      <c r="N414" s="119">
        <f>IFERROR(TableDailyJournal[[#This Row],[المبلغ دائن]]/TableDailyJournal[[#This Row],[سعــــــر
الصـــــرف]],0)</f>
        <v>0</v>
      </c>
      <c r="O414" s="121" t="str">
        <f>INDEX(Tabledaily[المستفيــــــــد],MATCH(TableDailyJournal[[#This Row],[رقم العملية]],Tabledaily[رقم العملية],0))</f>
        <v>الطبية والمحاسبين</v>
      </c>
      <c r="P414" s="121" t="str">
        <f>INDEX(Tabledaily[المــــرجـــــــــع],MATCH(TableDailyJournal[[#This Row],[رقم العملية]],Tabledaily[رقم العملية],0))</f>
        <v>كشف صرف</v>
      </c>
      <c r="Q414" s="121" t="str">
        <f>INDEX(Tabledaily[اســـــــم المــــرجــــع],MATCH(TableDailyJournal[[#This Row],[رقم العملية]],Tabledaily[رقم العملية],0))</f>
        <v>كشف صرف</v>
      </c>
      <c r="R414" s="121">
        <f>INDEX(Tabledaily[رقم المـــــرجـــع],MATCH(TableDailyJournal[[#This Row],[رقم العملية]],Tabledaily[رقم العملية],0))</f>
        <v>0</v>
      </c>
      <c r="S414" s="121" t="str">
        <f>INDEX(Tabledaily[مركـــــــزالتكلفــــــة],MATCH(TableDailyJournal[[#This Row],[رقم العملية]],Tabledaily[رقم العملية],0))</f>
        <v>الفرقة الثالثة</v>
      </c>
      <c r="T414" s="121">
        <f>IFERROR(INDEX(tablecost[رقم المركز],MATCH(TableDailyJournal[[#This Row],[مركـــــــزالتكلفــــــة]],tablecost[الاسم],0)),0)</f>
        <v>1</v>
      </c>
      <c r="U414" s="122">
        <f>IFERROR(DATE(TableDailyJournal[[#This Row],[السنــــة]],TableDailyJournal[[#This Row],[الشهــــر]],TableDailyJournal[[#This Row],[الـــــيوم]]),"01-01-2026")</f>
        <v>46187</v>
      </c>
      <c r="V414" s="126"/>
      <c r="W414" s="58"/>
      <c r="X414" s="58">
        <f>IFERROR(YEAR(TableDailyJournal[[#This Row],[التاريخ]]),"")</f>
        <v>2026</v>
      </c>
      <c r="Y414" s="58">
        <f>IFERROR(MONTH(TableDailyJournal[[#This Row],[التاريخ]]),"")</f>
        <v>6</v>
      </c>
      <c r="Z414" s="58">
        <f>IFERROR(DAY(TableDailyJournal[[#This Row],[التاريخ]]),"")</f>
        <v>14</v>
      </c>
      <c r="AA414"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414" s="121">
        <f>INDEX(Tabledaily[جهة الامر],MATCH(TableDailyJournal[[#This Row],[رقم العملية]],Tabledaily[رقم العملية],0))</f>
        <v>0</v>
      </c>
    </row>
    <row r="415" spans="2:28" ht="45.75" x14ac:dyDescent="0.55000000000000004">
      <c r="B415" s="58">
        <f t="shared" si="12"/>
        <v>411</v>
      </c>
      <c r="C415" s="59" t="s">
        <v>753</v>
      </c>
      <c r="D415" s="60">
        <f>INDEX(Tabledaily[date],MATCH(TableDailyJournal[[#This Row],[رقم العملية]],Tabledaily[رقم العملية],0))</f>
        <v>46187</v>
      </c>
      <c r="E415" s="58" t="str">
        <f>INDEX(Tabledaily[نوع العمليــة],MATCH(TableDailyJournal[[#This Row],[رقم العملية]],Tabledaily[رقم العملية],0))</f>
        <v>قيد عهده</v>
      </c>
      <c r="F415" s="58">
        <f>IFERROR(INDEX(TableJudje[رقم الحساب],MATCH(TableDailyJournal[[#This Row],[الحساب]],TableJudje[اسم الحساب],0)),0)</f>
        <v>11060205</v>
      </c>
      <c r="G415" s="58" t="s">
        <v>513</v>
      </c>
      <c r="H415"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415" s="60" t="str">
        <f>INDEX(Tabledaily[العملـــة],MATCH(TableDailyJournal[[#This Row],[رقم العملية]],Tabledaily[رقم العملية],0))</f>
        <v>ريال يمني</v>
      </c>
      <c r="J415" s="59">
        <f>IFERROR(INDEX(Tabledaily[سعــــــر
الصـــــرف],MATCH(C415,Tabledaily[رقم العملية],0)),1)</f>
        <v>405</v>
      </c>
      <c r="K415" s="123" cm="1">
        <f t="array" ref="K415">IFERROR(INDEX(Tabledaily[المبلـــــــغ],MATCH(1,(TableDailyJournal[[#This Row],[رقم العملية]]=Tabledaily[رقم العملية])*(TableDailyJournal[[#This Row],[الحساب]]=Tabledaily[الحســاب المديــــن]),0)),0)</f>
        <v>0</v>
      </c>
      <c r="L415" s="123" cm="1">
        <f t="array" ref="L415">IFERROR(INDEX(Tabledaily[المبلـــــــغ],MATCH(1,(TableDailyJournal[[#This Row],[رقم العملية]]=Tabledaily[رقم العملية])*(TableDailyJournal[[#This Row],[الحساب]]=Tabledaily[الحســاب الدئـــن]),0)),0)</f>
        <v>14000</v>
      </c>
      <c r="M415" s="119">
        <f>IFERROR(TableDailyJournal[[#This Row],[المبلغ مدين]]/TableDailyJournal[[#This Row],[سعــــــر
الصـــــرف]],0)</f>
        <v>0</v>
      </c>
      <c r="N415" s="119">
        <f>IFERROR(TableDailyJournal[[#This Row],[المبلغ دائن]]/TableDailyJournal[[#This Row],[سعــــــر
الصـــــرف]],0)</f>
        <v>34.567901234567898</v>
      </c>
      <c r="O415" s="121" t="str">
        <f>INDEX(Tabledaily[المستفيــــــــد],MATCH(TableDailyJournal[[#This Row],[رقم العملية]],Tabledaily[رقم العملية],0))</f>
        <v>الطبية والمحاسبين</v>
      </c>
      <c r="P415" s="121" t="str">
        <f>INDEX(Tabledaily[المــــرجـــــــــع],MATCH(TableDailyJournal[[#This Row],[رقم العملية]],Tabledaily[رقم العملية],0))</f>
        <v>كشف صرف</v>
      </c>
      <c r="Q415" s="121" t="str">
        <f>INDEX(Tabledaily[اســـــــم المــــرجــــع],MATCH(TableDailyJournal[[#This Row],[رقم العملية]],Tabledaily[رقم العملية],0))</f>
        <v>كشف صرف</v>
      </c>
      <c r="R415" s="121">
        <f>INDEX(Tabledaily[رقم المـــــرجـــع],MATCH(TableDailyJournal[[#This Row],[رقم العملية]],Tabledaily[رقم العملية],0))</f>
        <v>0</v>
      </c>
      <c r="S415" s="121" t="str">
        <f>INDEX(Tabledaily[مركـــــــزالتكلفــــــة],MATCH(TableDailyJournal[[#This Row],[رقم العملية]],Tabledaily[رقم العملية],0))</f>
        <v>الفرقة الثالثة</v>
      </c>
      <c r="T415" s="121">
        <f>IFERROR(INDEX(tablecost[رقم المركز],MATCH(TableDailyJournal[[#This Row],[مركـــــــزالتكلفــــــة]],tablecost[الاسم],0)),0)</f>
        <v>1</v>
      </c>
      <c r="U415" s="122">
        <f>IFERROR(DATE(TableDailyJournal[[#This Row],[السنــــة]],TableDailyJournal[[#This Row],[الشهــــر]],TableDailyJournal[[#This Row],[الـــــيوم]]),"01-01-2026")</f>
        <v>46187</v>
      </c>
      <c r="V415" s="126"/>
      <c r="W415" s="58"/>
      <c r="X415" s="58">
        <f>IFERROR(YEAR(TableDailyJournal[[#This Row],[التاريخ]]),"")</f>
        <v>2026</v>
      </c>
      <c r="Y415" s="58">
        <f>IFERROR(MONTH(TableDailyJournal[[#This Row],[التاريخ]]),"")</f>
        <v>6</v>
      </c>
      <c r="Z415" s="58">
        <f>IFERROR(DAY(TableDailyJournal[[#This Row],[التاريخ]]),"")</f>
        <v>14</v>
      </c>
      <c r="AA415"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415" s="121">
        <f>INDEX(Tabledaily[جهة الامر],MATCH(TableDailyJournal[[#This Row],[رقم العملية]],Tabledaily[رقم العملية],0))</f>
        <v>0</v>
      </c>
    </row>
    <row r="416" spans="2:28" ht="45.75" x14ac:dyDescent="0.55000000000000004">
      <c r="B416" s="58">
        <f t="shared" si="12"/>
        <v>412</v>
      </c>
      <c r="C416" s="59" t="s">
        <v>754</v>
      </c>
      <c r="D416" s="60">
        <f>INDEX(Tabledaily[date],MATCH(TableDailyJournal[[#This Row],[رقم العملية]],Tabledaily[رقم العملية],0))</f>
        <v>46187</v>
      </c>
      <c r="E416" s="58" t="str">
        <f>INDEX(Tabledaily[نوع العمليــة],MATCH(TableDailyJournal[[#This Row],[رقم العملية]],Tabledaily[رقم العملية],0))</f>
        <v>قيد عهده</v>
      </c>
      <c r="F416" s="58">
        <f>IFERROR(INDEX(TableJudje[رقم الحساب],MATCH(TableDailyJournal[[#This Row],[الحساب]],TableJudje[اسم الحساب],0)),0)</f>
        <v>31010101</v>
      </c>
      <c r="G416" s="58" t="s">
        <v>111</v>
      </c>
      <c r="H416"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I416" s="60" t="str">
        <f>INDEX(Tabledaily[العملـــة],MATCH(TableDailyJournal[[#This Row],[رقم العملية]],Tabledaily[رقم العملية],0))</f>
        <v>ريال يمني</v>
      </c>
      <c r="J416" s="59">
        <f>IFERROR(INDEX(Tabledaily[سعــــــر
الصـــــرف],MATCH(C416,Tabledaily[رقم العملية],0)),1)</f>
        <v>405</v>
      </c>
      <c r="K416" s="123" cm="1">
        <f t="array" ref="K416">IFERROR(INDEX(Tabledaily[المبلـــــــغ],MATCH(1,(TableDailyJournal[[#This Row],[رقم العملية]]=Tabledaily[رقم العملية])*(TableDailyJournal[[#This Row],[الحساب]]=Tabledaily[الحســاب المديــــن]),0)),0)</f>
        <v>100000</v>
      </c>
      <c r="L416" s="123" cm="1">
        <f t="array" ref="L416">IFERROR(INDEX(Tabledaily[المبلـــــــغ],MATCH(1,(TableDailyJournal[[#This Row],[رقم العملية]]=Tabledaily[رقم العملية])*(TableDailyJournal[[#This Row],[الحساب]]=Tabledaily[الحســاب الدئـــن]),0)),0)</f>
        <v>0</v>
      </c>
      <c r="M416" s="119">
        <f>IFERROR(TableDailyJournal[[#This Row],[المبلغ مدين]]/TableDailyJournal[[#This Row],[سعــــــر
الصـــــرف]],0)</f>
        <v>246.91358024691357</v>
      </c>
      <c r="N416" s="119">
        <f>IFERROR(TableDailyJournal[[#This Row],[المبلغ دائن]]/TableDailyJournal[[#This Row],[سعــــــر
الصـــــرف]],0)</f>
        <v>0</v>
      </c>
      <c r="O416" s="121" t="str">
        <f>INDEX(Tabledaily[المستفيــــــــد],MATCH(TableDailyJournal[[#This Row],[رقم العملية]],Tabledaily[رقم العملية],0))</f>
        <v>الضباط السابقين</v>
      </c>
      <c r="P416" s="121" t="str">
        <f>INDEX(Tabledaily[المــــرجـــــــــع],MATCH(TableDailyJournal[[#This Row],[رقم العملية]],Tabledaily[رقم العملية],0))</f>
        <v>كشف صرف</v>
      </c>
      <c r="Q416" s="121" t="str">
        <f>INDEX(Tabledaily[اســـــــم المــــرجــــع],MATCH(TableDailyJournal[[#This Row],[رقم العملية]],Tabledaily[رقم العملية],0))</f>
        <v>كشف صرف</v>
      </c>
      <c r="R416" s="121">
        <f>INDEX(Tabledaily[رقم المـــــرجـــع],MATCH(TableDailyJournal[[#This Row],[رقم العملية]],Tabledaily[رقم العملية],0))</f>
        <v>0</v>
      </c>
      <c r="S416" s="121" t="str">
        <f>INDEX(Tabledaily[مركـــــــزالتكلفــــــة],MATCH(TableDailyJournal[[#This Row],[رقم العملية]],Tabledaily[رقم العملية],0))</f>
        <v>الفرقة الثالثة</v>
      </c>
      <c r="T416" s="121">
        <f>IFERROR(INDEX(tablecost[رقم المركز],MATCH(TableDailyJournal[[#This Row],[مركـــــــزالتكلفــــــة]],tablecost[الاسم],0)),0)</f>
        <v>1</v>
      </c>
      <c r="U416" s="122">
        <f>IFERROR(DATE(TableDailyJournal[[#This Row],[السنــــة]],TableDailyJournal[[#This Row],[الشهــــر]],TableDailyJournal[[#This Row],[الـــــيوم]]),"01-01-2026")</f>
        <v>46187</v>
      </c>
      <c r="V416" s="126"/>
      <c r="W416" s="58"/>
      <c r="X416" s="58">
        <f>IFERROR(YEAR(TableDailyJournal[[#This Row],[التاريخ]]),"")</f>
        <v>2026</v>
      </c>
      <c r="Y416" s="58">
        <f>IFERROR(MONTH(TableDailyJournal[[#This Row],[التاريخ]]),"")</f>
        <v>6</v>
      </c>
      <c r="Z416" s="58">
        <f>IFERROR(DAY(TableDailyJournal[[#This Row],[التاريخ]]),"")</f>
        <v>14</v>
      </c>
      <c r="AA416"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AB416" s="121">
        <f>INDEX(Tabledaily[جهة الامر],MATCH(TableDailyJournal[[#This Row],[رقم العملية]],Tabledaily[رقم العملية],0))</f>
        <v>0</v>
      </c>
    </row>
    <row r="417" spans="2:28" ht="45.75" x14ac:dyDescent="0.55000000000000004">
      <c r="B417" s="58">
        <f t="shared" si="12"/>
        <v>413</v>
      </c>
      <c r="C417" s="59" t="s">
        <v>754</v>
      </c>
      <c r="D417" s="60">
        <f>INDEX(Tabledaily[date],MATCH(TableDailyJournal[[#This Row],[رقم العملية]],Tabledaily[رقم العملية],0))</f>
        <v>46187</v>
      </c>
      <c r="E417" s="58" t="str">
        <f>INDEX(Tabledaily[نوع العمليــة],MATCH(TableDailyJournal[[#This Row],[رقم العملية]],Tabledaily[رقم العملية],0))</f>
        <v>قيد عهده</v>
      </c>
      <c r="F417" s="58">
        <f>IFERROR(INDEX(TableJudje[رقم الحساب],MATCH(TableDailyJournal[[#This Row],[الحساب]],TableJudje[اسم الحساب],0)),0)</f>
        <v>11060205</v>
      </c>
      <c r="G417" s="58" t="s">
        <v>513</v>
      </c>
      <c r="H417"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I417" s="60" t="str">
        <f>INDEX(Tabledaily[العملـــة],MATCH(TableDailyJournal[[#This Row],[رقم العملية]],Tabledaily[رقم العملية],0))</f>
        <v>ريال يمني</v>
      </c>
      <c r="J417" s="59">
        <f>IFERROR(INDEX(Tabledaily[سعــــــر
الصـــــرف],MATCH(C417,Tabledaily[رقم العملية],0)),1)</f>
        <v>405</v>
      </c>
      <c r="K417" s="123" cm="1">
        <f t="array" ref="K417">IFERROR(INDEX(Tabledaily[المبلـــــــغ],MATCH(1,(TableDailyJournal[[#This Row],[رقم العملية]]=Tabledaily[رقم العملية])*(TableDailyJournal[[#This Row],[الحساب]]=Tabledaily[الحســاب المديــــن]),0)),0)</f>
        <v>0</v>
      </c>
      <c r="L417" s="123" cm="1">
        <f t="array" ref="L417">IFERROR(INDEX(Tabledaily[المبلـــــــغ],MATCH(1,(TableDailyJournal[[#This Row],[رقم العملية]]=Tabledaily[رقم العملية])*(TableDailyJournal[[#This Row],[الحساب]]=Tabledaily[الحســاب الدئـــن]),0)),0)</f>
        <v>100000</v>
      </c>
      <c r="M417" s="119">
        <f>IFERROR(TableDailyJournal[[#This Row],[المبلغ مدين]]/TableDailyJournal[[#This Row],[سعــــــر
الصـــــرف]],0)</f>
        <v>0</v>
      </c>
      <c r="N417" s="119">
        <f>IFERROR(TableDailyJournal[[#This Row],[المبلغ دائن]]/TableDailyJournal[[#This Row],[سعــــــر
الصـــــرف]],0)</f>
        <v>246.91358024691357</v>
      </c>
      <c r="O417" s="121" t="str">
        <f>INDEX(Tabledaily[المستفيــــــــد],MATCH(TableDailyJournal[[#This Row],[رقم العملية]],Tabledaily[رقم العملية],0))</f>
        <v>الضباط السابقين</v>
      </c>
      <c r="P417" s="121" t="str">
        <f>INDEX(Tabledaily[المــــرجـــــــــع],MATCH(TableDailyJournal[[#This Row],[رقم العملية]],Tabledaily[رقم العملية],0))</f>
        <v>كشف صرف</v>
      </c>
      <c r="Q417" s="121" t="str">
        <f>INDEX(Tabledaily[اســـــــم المــــرجــــع],MATCH(TableDailyJournal[[#This Row],[رقم العملية]],Tabledaily[رقم العملية],0))</f>
        <v>كشف صرف</v>
      </c>
      <c r="R417" s="121">
        <f>INDEX(Tabledaily[رقم المـــــرجـــع],MATCH(TableDailyJournal[[#This Row],[رقم العملية]],Tabledaily[رقم العملية],0))</f>
        <v>0</v>
      </c>
      <c r="S417" s="121" t="str">
        <f>INDEX(Tabledaily[مركـــــــزالتكلفــــــة],MATCH(TableDailyJournal[[#This Row],[رقم العملية]],Tabledaily[رقم العملية],0))</f>
        <v>الفرقة الثالثة</v>
      </c>
      <c r="T417" s="121">
        <f>IFERROR(INDEX(tablecost[رقم المركز],MATCH(TableDailyJournal[[#This Row],[مركـــــــزالتكلفــــــة]],tablecost[الاسم],0)),0)</f>
        <v>1</v>
      </c>
      <c r="U417" s="122">
        <f>IFERROR(DATE(TableDailyJournal[[#This Row],[السنــــة]],TableDailyJournal[[#This Row],[الشهــــر]],TableDailyJournal[[#This Row],[الـــــيوم]]),"01-01-2026")</f>
        <v>46187</v>
      </c>
      <c r="V417" s="126"/>
      <c r="W417" s="58"/>
      <c r="X417" s="58">
        <f>IFERROR(YEAR(TableDailyJournal[[#This Row],[التاريخ]]),"")</f>
        <v>2026</v>
      </c>
      <c r="Y417" s="58">
        <f>IFERROR(MONTH(TableDailyJournal[[#This Row],[التاريخ]]),"")</f>
        <v>6</v>
      </c>
      <c r="Z417" s="58">
        <f>IFERROR(DAY(TableDailyJournal[[#This Row],[التاريخ]]),"")</f>
        <v>14</v>
      </c>
      <c r="AA417"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AB417" s="121">
        <f>INDEX(Tabledaily[جهة الامر],MATCH(TableDailyJournal[[#This Row],[رقم العملية]],Tabledaily[رقم العملية],0))</f>
        <v>0</v>
      </c>
    </row>
    <row r="418" spans="2:28" ht="45.75" x14ac:dyDescent="0.55000000000000004">
      <c r="B418" s="58">
        <f t="shared" si="12"/>
        <v>414</v>
      </c>
      <c r="C418" s="59" t="s">
        <v>755</v>
      </c>
      <c r="D418" s="60">
        <f>INDEX(Tabledaily[date],MATCH(TableDailyJournal[[#This Row],[رقم العملية]],Tabledaily[رقم العملية],0))</f>
        <v>46187</v>
      </c>
      <c r="E418" s="58" t="str">
        <f>INDEX(Tabledaily[نوع العمليــة],MATCH(TableDailyJournal[[#This Row],[رقم العملية]],Tabledaily[رقم العملية],0))</f>
        <v>قيد عهده</v>
      </c>
      <c r="F418" s="58">
        <f>IFERROR(INDEX(TableJudje[رقم الحساب],MATCH(TableDailyJournal[[#This Row],[الحساب]],TableJudje[اسم الحساب],0)),0)</f>
        <v>31010101</v>
      </c>
      <c r="G418" s="58" t="s">
        <v>111</v>
      </c>
      <c r="H418"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I418" s="60" t="str">
        <f>INDEX(Tabledaily[العملـــة],MATCH(TableDailyJournal[[#This Row],[رقم العملية]],Tabledaily[رقم العملية],0))</f>
        <v>ريال يمني</v>
      </c>
      <c r="J418" s="59">
        <f>IFERROR(INDEX(Tabledaily[سعــــــر
الصـــــرف],MATCH(C418,Tabledaily[رقم العملية],0)),1)</f>
        <v>405</v>
      </c>
      <c r="K418" s="123" cm="1">
        <f t="array" ref="K418">IFERROR(INDEX(Tabledaily[المبلـــــــغ],MATCH(1,(TableDailyJournal[[#This Row],[رقم العملية]]=Tabledaily[رقم العملية])*(TableDailyJournal[[#This Row],[الحساب]]=Tabledaily[الحســاب المديــــن]),0)),0)</f>
        <v>70000</v>
      </c>
      <c r="L418" s="123" cm="1">
        <f t="array" ref="L418">IFERROR(INDEX(Tabledaily[المبلـــــــغ],MATCH(1,(TableDailyJournal[[#This Row],[رقم العملية]]=Tabledaily[رقم العملية])*(TableDailyJournal[[#This Row],[الحساب]]=Tabledaily[الحســاب الدئـــن]),0)),0)</f>
        <v>0</v>
      </c>
      <c r="M418" s="119">
        <f>IFERROR(TableDailyJournal[[#This Row],[المبلغ مدين]]/TableDailyJournal[[#This Row],[سعــــــر
الصـــــرف]],0)</f>
        <v>172.83950617283949</v>
      </c>
      <c r="N418" s="119">
        <f>IFERROR(TableDailyJournal[[#This Row],[المبلغ دائن]]/TableDailyJournal[[#This Row],[سعــــــر
الصـــــرف]],0)</f>
        <v>0</v>
      </c>
      <c r="O418" s="121" t="str">
        <f>INDEX(Tabledaily[المستفيــــــــد],MATCH(TableDailyJournal[[#This Row],[رقم العملية]],Tabledaily[رقم العملية],0))</f>
        <v>اخرون</v>
      </c>
      <c r="P418" s="121" t="str">
        <f>INDEX(Tabledaily[المــــرجـــــــــع],MATCH(TableDailyJournal[[#This Row],[رقم العملية]],Tabledaily[رقم العملية],0))</f>
        <v>كشف صرف</v>
      </c>
      <c r="Q418" s="121" t="str">
        <f>INDEX(Tabledaily[اســـــــم المــــرجــــع],MATCH(TableDailyJournal[[#This Row],[رقم العملية]],Tabledaily[رقم العملية],0))</f>
        <v>كشف صرف</v>
      </c>
      <c r="R418" s="121">
        <f>INDEX(Tabledaily[رقم المـــــرجـــع],MATCH(TableDailyJournal[[#This Row],[رقم العملية]],Tabledaily[رقم العملية],0))</f>
        <v>0</v>
      </c>
      <c r="S418" s="121" t="str">
        <f>INDEX(Tabledaily[مركـــــــزالتكلفــــــة],MATCH(TableDailyJournal[[#This Row],[رقم العملية]],Tabledaily[رقم العملية],0))</f>
        <v>الفرقة الثالثة</v>
      </c>
      <c r="T418" s="121">
        <f>IFERROR(INDEX(tablecost[رقم المركز],MATCH(TableDailyJournal[[#This Row],[مركـــــــزالتكلفــــــة]],tablecost[الاسم],0)),0)</f>
        <v>1</v>
      </c>
      <c r="U418" s="122">
        <f>IFERROR(DATE(TableDailyJournal[[#This Row],[السنــــة]],TableDailyJournal[[#This Row],[الشهــــر]],TableDailyJournal[[#This Row],[الـــــيوم]]),"01-01-2026")</f>
        <v>46187</v>
      </c>
      <c r="V418" s="126"/>
      <c r="W418" s="58"/>
      <c r="X418" s="58">
        <f>IFERROR(YEAR(TableDailyJournal[[#This Row],[التاريخ]]),"")</f>
        <v>2026</v>
      </c>
      <c r="Y418" s="58">
        <f>IFERROR(MONTH(TableDailyJournal[[#This Row],[التاريخ]]),"")</f>
        <v>6</v>
      </c>
      <c r="Z418" s="58">
        <f>IFERROR(DAY(TableDailyJournal[[#This Row],[التاريخ]]),"")</f>
        <v>14</v>
      </c>
      <c r="AA418"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AB418" s="121">
        <f>INDEX(Tabledaily[جهة الامر],MATCH(TableDailyJournal[[#This Row],[رقم العملية]],Tabledaily[رقم العملية],0))</f>
        <v>0</v>
      </c>
    </row>
    <row r="419" spans="2:28" ht="45.75" x14ac:dyDescent="0.55000000000000004">
      <c r="B419" s="58">
        <f t="shared" si="12"/>
        <v>415</v>
      </c>
      <c r="C419" s="59" t="s">
        <v>755</v>
      </c>
      <c r="D419" s="60">
        <f>INDEX(Tabledaily[date],MATCH(TableDailyJournal[[#This Row],[رقم العملية]],Tabledaily[رقم العملية],0))</f>
        <v>46187</v>
      </c>
      <c r="E419" s="58" t="str">
        <f>INDEX(Tabledaily[نوع العمليــة],MATCH(TableDailyJournal[[#This Row],[رقم العملية]],Tabledaily[رقم العملية],0))</f>
        <v>قيد عهده</v>
      </c>
      <c r="F419" s="58">
        <f>IFERROR(INDEX(TableJudje[رقم الحساب],MATCH(TableDailyJournal[[#This Row],[الحساب]],TableJudje[اسم الحساب],0)),0)</f>
        <v>11060205</v>
      </c>
      <c r="G419" s="58" t="s">
        <v>513</v>
      </c>
      <c r="H419"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I419" s="60" t="str">
        <f>INDEX(Tabledaily[العملـــة],MATCH(TableDailyJournal[[#This Row],[رقم العملية]],Tabledaily[رقم العملية],0))</f>
        <v>ريال يمني</v>
      </c>
      <c r="J419" s="59">
        <f>IFERROR(INDEX(Tabledaily[سعــــــر
الصـــــرف],MATCH(C419,Tabledaily[رقم العملية],0)),1)</f>
        <v>405</v>
      </c>
      <c r="K419" s="123" cm="1">
        <f t="array" ref="K419">IFERROR(INDEX(Tabledaily[المبلـــــــغ],MATCH(1,(TableDailyJournal[[#This Row],[رقم العملية]]=Tabledaily[رقم العملية])*(TableDailyJournal[[#This Row],[الحساب]]=Tabledaily[الحســاب المديــــن]),0)),0)</f>
        <v>0</v>
      </c>
      <c r="L419" s="123" cm="1">
        <f t="array" ref="L419">IFERROR(INDEX(Tabledaily[المبلـــــــغ],MATCH(1,(TableDailyJournal[[#This Row],[رقم العملية]]=Tabledaily[رقم العملية])*(TableDailyJournal[[#This Row],[الحساب]]=Tabledaily[الحســاب الدئـــن]),0)),0)</f>
        <v>70000</v>
      </c>
      <c r="M419" s="119">
        <f>IFERROR(TableDailyJournal[[#This Row],[المبلغ مدين]]/TableDailyJournal[[#This Row],[سعــــــر
الصـــــرف]],0)</f>
        <v>0</v>
      </c>
      <c r="N419" s="119">
        <f>IFERROR(TableDailyJournal[[#This Row],[المبلغ دائن]]/TableDailyJournal[[#This Row],[سعــــــر
الصـــــرف]],0)</f>
        <v>172.83950617283949</v>
      </c>
      <c r="O419" s="121" t="str">
        <f>INDEX(Tabledaily[المستفيــــــــد],MATCH(TableDailyJournal[[#This Row],[رقم العملية]],Tabledaily[رقم العملية],0))</f>
        <v>اخرون</v>
      </c>
      <c r="P419" s="121" t="str">
        <f>INDEX(Tabledaily[المــــرجـــــــــع],MATCH(TableDailyJournal[[#This Row],[رقم العملية]],Tabledaily[رقم العملية],0))</f>
        <v>كشف صرف</v>
      </c>
      <c r="Q419" s="121" t="str">
        <f>INDEX(Tabledaily[اســـــــم المــــرجــــع],MATCH(TableDailyJournal[[#This Row],[رقم العملية]],Tabledaily[رقم العملية],0))</f>
        <v>كشف صرف</v>
      </c>
      <c r="R419" s="121">
        <f>INDEX(Tabledaily[رقم المـــــرجـــع],MATCH(TableDailyJournal[[#This Row],[رقم العملية]],Tabledaily[رقم العملية],0))</f>
        <v>0</v>
      </c>
      <c r="S419" s="121" t="str">
        <f>INDEX(Tabledaily[مركـــــــزالتكلفــــــة],MATCH(TableDailyJournal[[#This Row],[رقم العملية]],Tabledaily[رقم العملية],0))</f>
        <v>الفرقة الثالثة</v>
      </c>
      <c r="T419" s="121">
        <f>IFERROR(INDEX(tablecost[رقم المركز],MATCH(TableDailyJournal[[#This Row],[مركـــــــزالتكلفــــــة]],tablecost[الاسم],0)),0)</f>
        <v>1</v>
      </c>
      <c r="U419" s="122">
        <f>IFERROR(DATE(TableDailyJournal[[#This Row],[السنــــة]],TableDailyJournal[[#This Row],[الشهــــر]],TableDailyJournal[[#This Row],[الـــــيوم]]),"01-01-2026")</f>
        <v>46187</v>
      </c>
      <c r="V419" s="126"/>
      <c r="W419" s="58"/>
      <c r="X419" s="58">
        <f>IFERROR(YEAR(TableDailyJournal[[#This Row],[التاريخ]]),"")</f>
        <v>2026</v>
      </c>
      <c r="Y419" s="58">
        <f>IFERROR(MONTH(TableDailyJournal[[#This Row],[التاريخ]]),"")</f>
        <v>6</v>
      </c>
      <c r="Z419" s="58">
        <f>IFERROR(DAY(TableDailyJournal[[#This Row],[التاريخ]]),"")</f>
        <v>14</v>
      </c>
      <c r="AA419"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7 بامر</v>
      </c>
      <c r="AB419" s="121">
        <f>INDEX(Tabledaily[جهة الامر],MATCH(TableDailyJournal[[#This Row],[رقم العملية]],Tabledaily[رقم العملية],0))</f>
        <v>0</v>
      </c>
    </row>
    <row r="420" spans="2:28" ht="45.75" x14ac:dyDescent="0.55000000000000004">
      <c r="B420" s="58">
        <f t="shared" si="12"/>
        <v>416</v>
      </c>
      <c r="C420" s="59" t="s">
        <v>756</v>
      </c>
      <c r="D420" s="60">
        <f>INDEX(Tabledaily[date],MATCH(TableDailyJournal[[#This Row],[رقم العملية]],Tabledaily[رقم العملية],0))</f>
        <v>46187</v>
      </c>
      <c r="E420" s="58" t="str">
        <f>INDEX(Tabledaily[نوع العمليــة],MATCH(TableDailyJournal[[#This Row],[رقم العملية]],Tabledaily[رقم العملية],0))</f>
        <v>قيد عهده</v>
      </c>
      <c r="F420" s="58">
        <f>IFERROR(INDEX(TableJudje[رقم الحساب],MATCH(TableDailyJournal[[#This Row],[الحساب]],TableJudje[اسم الحساب],0)),0)</f>
        <v>31010101</v>
      </c>
      <c r="G420" s="58" t="s">
        <v>111</v>
      </c>
      <c r="H420"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420" s="60" t="str">
        <f>INDEX(Tabledaily[العملـــة],MATCH(TableDailyJournal[[#This Row],[رقم العملية]],Tabledaily[رقم العملية],0))</f>
        <v>ريال يمني</v>
      </c>
      <c r="J420" s="59">
        <f>IFERROR(INDEX(Tabledaily[سعــــــر
الصـــــرف],MATCH(C420,Tabledaily[رقم العملية],0)),1)</f>
        <v>405</v>
      </c>
      <c r="K420" s="123" cm="1">
        <f t="array" ref="K420">IFERROR(INDEX(Tabledaily[المبلـــــــغ],MATCH(1,(TableDailyJournal[[#This Row],[رقم العملية]]=Tabledaily[رقم العملية])*(TableDailyJournal[[#This Row],[الحساب]]=Tabledaily[الحســاب المديــــن]),0)),0)</f>
        <v>25000</v>
      </c>
      <c r="L420" s="123" cm="1">
        <f t="array" ref="L420">IFERROR(INDEX(Tabledaily[المبلـــــــغ],MATCH(1,(TableDailyJournal[[#This Row],[رقم العملية]]=Tabledaily[رقم العملية])*(TableDailyJournal[[#This Row],[الحساب]]=Tabledaily[الحســاب الدئـــن]),0)),0)</f>
        <v>0</v>
      </c>
      <c r="M420" s="119">
        <f>IFERROR(TableDailyJournal[[#This Row],[المبلغ مدين]]/TableDailyJournal[[#This Row],[سعــــــر
الصـــــرف]],0)</f>
        <v>61.728395061728392</v>
      </c>
      <c r="N420" s="119">
        <f>IFERROR(TableDailyJournal[[#This Row],[المبلغ دائن]]/TableDailyJournal[[#This Row],[سعــــــر
الصـــــرف]],0)</f>
        <v>0</v>
      </c>
      <c r="O420" s="121" t="str">
        <f>INDEX(Tabledaily[المستفيــــــــد],MATCH(TableDailyJournal[[#This Row],[رقم العملية]],Tabledaily[رقم العملية],0))</f>
        <v>مرافقي الاركان</v>
      </c>
      <c r="P420" s="121" t="str">
        <f>INDEX(Tabledaily[المــــرجـــــــــع],MATCH(TableDailyJournal[[#This Row],[رقم العملية]],Tabledaily[رقم العملية],0))</f>
        <v>كشف صرف</v>
      </c>
      <c r="Q420" s="121" t="str">
        <f>INDEX(Tabledaily[اســـــــم المــــرجــــع],MATCH(TableDailyJournal[[#This Row],[رقم العملية]],Tabledaily[رقم العملية],0))</f>
        <v>كشف صرف</v>
      </c>
      <c r="R420" s="121">
        <f>INDEX(Tabledaily[رقم المـــــرجـــع],MATCH(TableDailyJournal[[#This Row],[رقم العملية]],Tabledaily[رقم العملية],0))</f>
        <v>0</v>
      </c>
      <c r="S420" s="121" t="str">
        <f>INDEX(Tabledaily[مركـــــــزالتكلفــــــة],MATCH(TableDailyJournal[[#This Row],[رقم العملية]],Tabledaily[رقم العملية],0))</f>
        <v>الفرقة الثالثة</v>
      </c>
      <c r="T420" s="121">
        <f>IFERROR(INDEX(tablecost[رقم المركز],MATCH(TableDailyJournal[[#This Row],[مركـــــــزالتكلفــــــة]],tablecost[الاسم],0)),0)</f>
        <v>1</v>
      </c>
      <c r="U420" s="122">
        <f>IFERROR(DATE(TableDailyJournal[[#This Row],[السنــــة]],TableDailyJournal[[#This Row],[الشهــــر]],TableDailyJournal[[#This Row],[الـــــيوم]]),"01-01-2026")</f>
        <v>46187</v>
      </c>
      <c r="V420" s="126"/>
      <c r="W420" s="58"/>
      <c r="X420" s="58">
        <f>IFERROR(YEAR(TableDailyJournal[[#This Row],[التاريخ]]),"")</f>
        <v>2026</v>
      </c>
      <c r="Y420" s="58">
        <f>IFERROR(MONTH(TableDailyJournal[[#This Row],[التاريخ]]),"")</f>
        <v>6</v>
      </c>
      <c r="Z420" s="58">
        <f>IFERROR(DAY(TableDailyJournal[[#This Row],[التاريخ]]),"")</f>
        <v>14</v>
      </c>
      <c r="AA420"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420" s="121">
        <f>INDEX(Tabledaily[جهة الامر],MATCH(TableDailyJournal[[#This Row],[رقم العملية]],Tabledaily[رقم العملية],0))</f>
        <v>0</v>
      </c>
    </row>
    <row r="421" spans="2:28" ht="45.75" x14ac:dyDescent="0.55000000000000004">
      <c r="B421" s="58">
        <f t="shared" si="12"/>
        <v>417</v>
      </c>
      <c r="C421" s="59" t="s">
        <v>756</v>
      </c>
      <c r="D421" s="60">
        <f>INDEX(Tabledaily[date],MATCH(TableDailyJournal[[#This Row],[رقم العملية]],Tabledaily[رقم العملية],0))</f>
        <v>46187</v>
      </c>
      <c r="E421" s="58" t="str">
        <f>INDEX(Tabledaily[نوع العمليــة],MATCH(TableDailyJournal[[#This Row],[رقم العملية]],Tabledaily[رقم العملية],0))</f>
        <v>قيد عهده</v>
      </c>
      <c r="F421" s="58">
        <f>IFERROR(INDEX(TableJudje[رقم الحساب],MATCH(TableDailyJournal[[#This Row],[الحساب]],TableJudje[اسم الحساب],0)),0)</f>
        <v>11060205</v>
      </c>
      <c r="G421" s="58" t="s">
        <v>513</v>
      </c>
      <c r="H421"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421" s="60" t="str">
        <f>INDEX(Tabledaily[العملـــة],MATCH(TableDailyJournal[[#This Row],[رقم العملية]],Tabledaily[رقم العملية],0))</f>
        <v>ريال يمني</v>
      </c>
      <c r="J421" s="59">
        <f>IFERROR(INDEX(Tabledaily[سعــــــر
الصـــــرف],MATCH(C421,Tabledaily[رقم العملية],0)),1)</f>
        <v>405</v>
      </c>
      <c r="K421" s="123" cm="1">
        <f t="array" ref="K421">IFERROR(INDEX(Tabledaily[المبلـــــــغ],MATCH(1,(TableDailyJournal[[#This Row],[رقم العملية]]=Tabledaily[رقم العملية])*(TableDailyJournal[[#This Row],[الحساب]]=Tabledaily[الحســاب المديــــن]),0)),0)</f>
        <v>0</v>
      </c>
      <c r="L421" s="123" cm="1">
        <f t="array" ref="L421">IFERROR(INDEX(Tabledaily[المبلـــــــغ],MATCH(1,(TableDailyJournal[[#This Row],[رقم العملية]]=Tabledaily[رقم العملية])*(TableDailyJournal[[#This Row],[الحساب]]=Tabledaily[الحســاب الدئـــن]),0)),0)</f>
        <v>25000</v>
      </c>
      <c r="M421" s="119">
        <f>IFERROR(TableDailyJournal[[#This Row],[المبلغ مدين]]/TableDailyJournal[[#This Row],[سعــــــر
الصـــــرف]],0)</f>
        <v>0</v>
      </c>
      <c r="N421" s="119">
        <f>IFERROR(TableDailyJournal[[#This Row],[المبلغ دائن]]/TableDailyJournal[[#This Row],[سعــــــر
الصـــــرف]],0)</f>
        <v>61.728395061728392</v>
      </c>
      <c r="O421" s="121" t="str">
        <f>INDEX(Tabledaily[المستفيــــــــد],MATCH(TableDailyJournal[[#This Row],[رقم العملية]],Tabledaily[رقم العملية],0))</f>
        <v>مرافقي الاركان</v>
      </c>
      <c r="P421" s="121" t="str">
        <f>INDEX(Tabledaily[المــــرجـــــــــع],MATCH(TableDailyJournal[[#This Row],[رقم العملية]],Tabledaily[رقم العملية],0))</f>
        <v>كشف صرف</v>
      </c>
      <c r="Q421" s="121" t="str">
        <f>INDEX(Tabledaily[اســـــــم المــــرجــــع],MATCH(TableDailyJournal[[#This Row],[رقم العملية]],Tabledaily[رقم العملية],0))</f>
        <v>كشف صرف</v>
      </c>
      <c r="R421" s="121">
        <f>INDEX(Tabledaily[رقم المـــــرجـــع],MATCH(TableDailyJournal[[#This Row],[رقم العملية]],Tabledaily[رقم العملية],0))</f>
        <v>0</v>
      </c>
      <c r="S421" s="121" t="str">
        <f>INDEX(Tabledaily[مركـــــــزالتكلفــــــة],MATCH(TableDailyJournal[[#This Row],[رقم العملية]],Tabledaily[رقم العملية],0))</f>
        <v>الفرقة الثالثة</v>
      </c>
      <c r="T421" s="121">
        <f>IFERROR(INDEX(tablecost[رقم المركز],MATCH(TableDailyJournal[[#This Row],[مركـــــــزالتكلفــــــة]],tablecost[الاسم],0)),0)</f>
        <v>1</v>
      </c>
      <c r="U421" s="122">
        <f>IFERROR(DATE(TableDailyJournal[[#This Row],[السنــــة]],TableDailyJournal[[#This Row],[الشهــــر]],TableDailyJournal[[#This Row],[الـــــيوم]]),"01-01-2026")</f>
        <v>46187</v>
      </c>
      <c r="V421" s="126"/>
      <c r="W421" s="58"/>
      <c r="X421" s="58">
        <f>IFERROR(YEAR(TableDailyJournal[[#This Row],[التاريخ]]),"")</f>
        <v>2026</v>
      </c>
      <c r="Y421" s="58">
        <f>IFERROR(MONTH(TableDailyJournal[[#This Row],[التاريخ]]),"")</f>
        <v>6</v>
      </c>
      <c r="Z421" s="58">
        <f>IFERROR(DAY(TableDailyJournal[[#This Row],[التاريخ]]),"")</f>
        <v>14</v>
      </c>
      <c r="AA421"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421" s="121">
        <f>INDEX(Tabledaily[جهة الامر],MATCH(TableDailyJournal[[#This Row],[رقم العملية]],Tabledaily[رقم العملية],0))</f>
        <v>0</v>
      </c>
    </row>
    <row r="422" spans="2:28" ht="67.5" x14ac:dyDescent="0.55000000000000004">
      <c r="B422" s="58">
        <f t="shared" si="12"/>
        <v>418</v>
      </c>
      <c r="C422" s="59" t="s">
        <v>757</v>
      </c>
      <c r="D422" s="60">
        <f>INDEX(Tabledaily[date],MATCH(TableDailyJournal[[#This Row],[رقم العملية]],Tabledaily[رقم العملية],0))</f>
        <v>46187</v>
      </c>
      <c r="E422" s="58" t="str">
        <f>INDEX(Tabledaily[نوع العمليــة],MATCH(TableDailyJournal[[#This Row],[رقم العملية]],Tabledaily[رقم العملية],0))</f>
        <v>قيد عهده</v>
      </c>
      <c r="F422" s="58">
        <f>IFERROR(INDEX(TableJudje[رقم الحساب],MATCH(TableDailyJournal[[#This Row],[الحساب]],TableJudje[اسم الحساب],0)),0)</f>
        <v>31010101</v>
      </c>
      <c r="G422" s="58" t="s">
        <v>111</v>
      </c>
      <c r="H422"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422" s="60" t="str">
        <f>INDEX(Tabledaily[العملـــة],MATCH(TableDailyJournal[[#This Row],[رقم العملية]],Tabledaily[رقم العملية],0))</f>
        <v>ريال يمني</v>
      </c>
      <c r="J422" s="59">
        <f>IFERROR(INDEX(Tabledaily[سعــــــر
الصـــــرف],MATCH(C422,Tabledaily[رقم العملية],0)),1)</f>
        <v>405</v>
      </c>
      <c r="K422" s="123" cm="1">
        <f t="array" ref="K422">IFERROR(INDEX(Tabledaily[المبلـــــــغ],MATCH(1,(TableDailyJournal[[#This Row],[رقم العملية]]=Tabledaily[رقم العملية])*(TableDailyJournal[[#This Row],[الحساب]]=Tabledaily[الحســاب المديــــن]),0)),0)</f>
        <v>18000</v>
      </c>
      <c r="L422" s="123" cm="1">
        <f t="array" ref="L422">IFERROR(INDEX(Tabledaily[المبلـــــــغ],MATCH(1,(TableDailyJournal[[#This Row],[رقم العملية]]=Tabledaily[رقم العملية])*(TableDailyJournal[[#This Row],[الحساب]]=Tabledaily[الحســاب الدئـــن]),0)),0)</f>
        <v>0</v>
      </c>
      <c r="M422" s="119">
        <f>IFERROR(TableDailyJournal[[#This Row],[المبلغ مدين]]/TableDailyJournal[[#This Row],[سعــــــر
الصـــــرف]],0)</f>
        <v>44.444444444444443</v>
      </c>
      <c r="N422" s="119">
        <f>IFERROR(TableDailyJournal[[#This Row],[المبلغ دائن]]/TableDailyJournal[[#This Row],[سعــــــر
الصـــــرف]],0)</f>
        <v>0</v>
      </c>
      <c r="O422" s="121" t="str">
        <f>INDEX(Tabledaily[المستفيــــــــد],MATCH(TableDailyJournal[[#This Row],[رقم العملية]],Tabledaily[رقم العملية],0))</f>
        <v>افراد طقم اللواء السابع مرافقين</v>
      </c>
      <c r="P422" s="121" t="str">
        <f>INDEX(Tabledaily[المــــرجـــــــــع],MATCH(TableDailyJournal[[#This Row],[رقم العملية]],Tabledaily[رقم العملية],0))</f>
        <v>كشف صرف</v>
      </c>
      <c r="Q422" s="121" t="str">
        <f>INDEX(Tabledaily[اســـــــم المــــرجــــع],MATCH(TableDailyJournal[[#This Row],[رقم العملية]],Tabledaily[رقم العملية],0))</f>
        <v>كشف صرف</v>
      </c>
      <c r="R422" s="121">
        <f>INDEX(Tabledaily[رقم المـــــرجـــع],MATCH(TableDailyJournal[[#This Row],[رقم العملية]],Tabledaily[رقم العملية],0))</f>
        <v>0</v>
      </c>
      <c r="S422" s="121" t="str">
        <f>INDEX(Tabledaily[مركـــــــزالتكلفــــــة],MATCH(TableDailyJournal[[#This Row],[رقم العملية]],Tabledaily[رقم العملية],0))</f>
        <v>الفرقة الثالثة</v>
      </c>
      <c r="T422" s="121">
        <f>IFERROR(INDEX(tablecost[رقم المركز],MATCH(TableDailyJournal[[#This Row],[مركـــــــزالتكلفــــــة]],tablecost[الاسم],0)),0)</f>
        <v>1</v>
      </c>
      <c r="U422" s="122">
        <f>IFERROR(DATE(TableDailyJournal[[#This Row],[السنــــة]],TableDailyJournal[[#This Row],[الشهــــر]],TableDailyJournal[[#This Row],[الـــــيوم]]),"01-01-2026")</f>
        <v>46187</v>
      </c>
      <c r="V422" s="126"/>
      <c r="W422" s="58"/>
      <c r="X422" s="58">
        <f>IFERROR(YEAR(TableDailyJournal[[#This Row],[التاريخ]]),"")</f>
        <v>2026</v>
      </c>
      <c r="Y422" s="58">
        <f>IFERROR(MONTH(TableDailyJournal[[#This Row],[التاريخ]]),"")</f>
        <v>6</v>
      </c>
      <c r="Z422" s="58">
        <f>IFERROR(DAY(TableDailyJournal[[#This Row],[التاريخ]]),"")</f>
        <v>14</v>
      </c>
      <c r="AA422"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422" s="121">
        <f>INDEX(Tabledaily[جهة الامر],MATCH(TableDailyJournal[[#This Row],[رقم العملية]],Tabledaily[رقم العملية],0))</f>
        <v>0</v>
      </c>
    </row>
    <row r="423" spans="2:28" ht="67.5" x14ac:dyDescent="0.55000000000000004">
      <c r="B423" s="58">
        <f t="shared" si="12"/>
        <v>419</v>
      </c>
      <c r="C423" s="59" t="s">
        <v>757</v>
      </c>
      <c r="D423" s="60">
        <f>INDEX(Tabledaily[date],MATCH(TableDailyJournal[[#This Row],[رقم العملية]],Tabledaily[رقم العملية],0))</f>
        <v>46187</v>
      </c>
      <c r="E423" s="58" t="str">
        <f>INDEX(Tabledaily[نوع العمليــة],MATCH(TableDailyJournal[[#This Row],[رقم العملية]],Tabledaily[رقم العملية],0))</f>
        <v>قيد عهده</v>
      </c>
      <c r="F423" s="58">
        <f>IFERROR(INDEX(TableJudje[رقم الحساب],MATCH(TableDailyJournal[[#This Row],[الحساب]],TableJudje[اسم الحساب],0)),0)</f>
        <v>11060205</v>
      </c>
      <c r="G423" s="58" t="s">
        <v>513</v>
      </c>
      <c r="H423"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423" s="60" t="str">
        <f>INDEX(Tabledaily[العملـــة],MATCH(TableDailyJournal[[#This Row],[رقم العملية]],Tabledaily[رقم العملية],0))</f>
        <v>ريال يمني</v>
      </c>
      <c r="J423" s="59">
        <f>IFERROR(INDEX(Tabledaily[سعــــــر
الصـــــرف],MATCH(C423,Tabledaily[رقم العملية],0)),1)</f>
        <v>405</v>
      </c>
      <c r="K423" s="123" cm="1">
        <f t="array" ref="K423">IFERROR(INDEX(Tabledaily[المبلـــــــغ],MATCH(1,(TableDailyJournal[[#This Row],[رقم العملية]]=Tabledaily[رقم العملية])*(TableDailyJournal[[#This Row],[الحساب]]=Tabledaily[الحســاب المديــــن]),0)),0)</f>
        <v>0</v>
      </c>
      <c r="L423" s="123" cm="1">
        <f t="array" ref="L423">IFERROR(INDEX(Tabledaily[المبلـــــــغ],MATCH(1,(TableDailyJournal[[#This Row],[رقم العملية]]=Tabledaily[رقم العملية])*(TableDailyJournal[[#This Row],[الحساب]]=Tabledaily[الحســاب الدئـــن]),0)),0)</f>
        <v>18000</v>
      </c>
      <c r="M423" s="119">
        <f>IFERROR(TableDailyJournal[[#This Row],[المبلغ مدين]]/TableDailyJournal[[#This Row],[سعــــــر
الصـــــرف]],0)</f>
        <v>0</v>
      </c>
      <c r="N423" s="119">
        <f>IFERROR(TableDailyJournal[[#This Row],[المبلغ دائن]]/TableDailyJournal[[#This Row],[سعــــــر
الصـــــرف]],0)</f>
        <v>44.444444444444443</v>
      </c>
      <c r="O423" s="121" t="str">
        <f>INDEX(Tabledaily[المستفيــــــــد],MATCH(TableDailyJournal[[#This Row],[رقم العملية]],Tabledaily[رقم العملية],0))</f>
        <v>افراد طقم اللواء السابع مرافقين</v>
      </c>
      <c r="P423" s="121" t="str">
        <f>INDEX(Tabledaily[المــــرجـــــــــع],MATCH(TableDailyJournal[[#This Row],[رقم العملية]],Tabledaily[رقم العملية],0))</f>
        <v>كشف صرف</v>
      </c>
      <c r="Q423" s="121" t="str">
        <f>INDEX(Tabledaily[اســـــــم المــــرجــــع],MATCH(TableDailyJournal[[#This Row],[رقم العملية]],Tabledaily[رقم العملية],0))</f>
        <v>كشف صرف</v>
      </c>
      <c r="R423" s="121">
        <f>INDEX(Tabledaily[رقم المـــــرجـــع],MATCH(TableDailyJournal[[#This Row],[رقم العملية]],Tabledaily[رقم العملية],0))</f>
        <v>0</v>
      </c>
      <c r="S423" s="121" t="str">
        <f>INDEX(Tabledaily[مركـــــــزالتكلفــــــة],MATCH(TableDailyJournal[[#This Row],[رقم العملية]],Tabledaily[رقم العملية],0))</f>
        <v>الفرقة الثالثة</v>
      </c>
      <c r="T423" s="121">
        <f>IFERROR(INDEX(tablecost[رقم المركز],MATCH(TableDailyJournal[[#This Row],[مركـــــــزالتكلفــــــة]],tablecost[الاسم],0)),0)</f>
        <v>1</v>
      </c>
      <c r="U423" s="122">
        <f>IFERROR(DATE(TableDailyJournal[[#This Row],[السنــــة]],TableDailyJournal[[#This Row],[الشهــــر]],TableDailyJournal[[#This Row],[الـــــيوم]]),"01-01-2026")</f>
        <v>46187</v>
      </c>
      <c r="V423" s="126"/>
      <c r="W423" s="58"/>
      <c r="X423" s="58">
        <f>IFERROR(YEAR(TableDailyJournal[[#This Row],[التاريخ]]),"")</f>
        <v>2026</v>
      </c>
      <c r="Y423" s="58">
        <f>IFERROR(MONTH(TableDailyJournal[[#This Row],[التاريخ]]),"")</f>
        <v>6</v>
      </c>
      <c r="Z423" s="58">
        <f>IFERROR(DAY(TableDailyJournal[[#This Row],[التاريخ]]),"")</f>
        <v>14</v>
      </c>
      <c r="AA423"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423" s="121">
        <f>INDEX(Tabledaily[جهة الامر],MATCH(TableDailyJournal[[#This Row],[رقم العملية]],Tabledaily[رقم العملية],0))</f>
        <v>0</v>
      </c>
    </row>
    <row r="424" spans="2:28" ht="45.75" x14ac:dyDescent="0.55000000000000004">
      <c r="B424" s="58">
        <f t="shared" ref="B424:B455" si="13">ROW()-4</f>
        <v>420</v>
      </c>
      <c r="C424" s="59" t="s">
        <v>758</v>
      </c>
      <c r="D424" s="60">
        <f>INDEX(Tabledaily[date],MATCH(TableDailyJournal[[#This Row],[رقم العملية]],Tabledaily[رقم العملية],0))</f>
        <v>46187</v>
      </c>
      <c r="E424" s="58" t="str">
        <f>INDEX(Tabledaily[نوع العمليــة],MATCH(TableDailyJournal[[#This Row],[رقم العملية]],Tabledaily[رقم العملية],0))</f>
        <v>قيد عهده</v>
      </c>
      <c r="F424" s="58">
        <f>IFERROR(INDEX(TableJudje[رقم الحساب],MATCH(TableDailyJournal[[#This Row],[الحساب]],TableJudje[اسم الحساب],0)),0)</f>
        <v>31010101</v>
      </c>
      <c r="G424" s="58" t="s">
        <v>111</v>
      </c>
      <c r="H424"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424" s="60" t="str">
        <f>INDEX(Tabledaily[العملـــة],MATCH(TableDailyJournal[[#This Row],[رقم العملية]],Tabledaily[رقم العملية],0))</f>
        <v>ريال يمني</v>
      </c>
      <c r="J424" s="59">
        <f>IFERROR(INDEX(Tabledaily[سعــــــر
الصـــــرف],MATCH(C424,Tabledaily[رقم العملية],0)),1)</f>
        <v>405</v>
      </c>
      <c r="K424" s="123" cm="1">
        <f t="array" ref="K424">IFERROR(INDEX(Tabledaily[المبلـــــــغ],MATCH(1,(TableDailyJournal[[#This Row],[رقم العملية]]=Tabledaily[رقم العملية])*(TableDailyJournal[[#This Row],[الحساب]]=Tabledaily[الحســاب المديــــن]),0)),0)</f>
        <v>28000</v>
      </c>
      <c r="L424" s="123" cm="1">
        <f t="array" ref="L424">IFERROR(INDEX(Tabledaily[المبلـــــــغ],MATCH(1,(TableDailyJournal[[#This Row],[رقم العملية]]=Tabledaily[رقم العملية])*(TableDailyJournal[[#This Row],[الحساب]]=Tabledaily[الحســاب الدئـــن]),0)),0)</f>
        <v>0</v>
      </c>
      <c r="M424" s="119">
        <f>IFERROR(TableDailyJournal[[#This Row],[المبلغ مدين]]/TableDailyJournal[[#This Row],[سعــــــر
الصـــــرف]],0)</f>
        <v>69.135802469135797</v>
      </c>
      <c r="N424" s="119">
        <f>IFERROR(TableDailyJournal[[#This Row],[المبلغ دائن]]/TableDailyJournal[[#This Row],[سعــــــر
الصـــــرف]],0)</f>
        <v>0</v>
      </c>
      <c r="O424" s="121" t="str">
        <f>INDEX(Tabledaily[المستفيــــــــد],MATCH(TableDailyJournal[[#This Row],[رقم العملية]],Tabledaily[رقم العملية],0))</f>
        <v>الاشغال</v>
      </c>
      <c r="P424" s="121" t="str">
        <f>INDEX(Tabledaily[المــــرجـــــــــع],MATCH(TableDailyJournal[[#This Row],[رقم العملية]],Tabledaily[رقم العملية],0))</f>
        <v>كشف صرف</v>
      </c>
      <c r="Q424" s="121" t="str">
        <f>INDEX(Tabledaily[اســـــــم المــــرجــــع],MATCH(TableDailyJournal[[#This Row],[رقم العملية]],Tabledaily[رقم العملية],0))</f>
        <v>كشف صرف</v>
      </c>
      <c r="R424" s="121">
        <f>INDEX(Tabledaily[رقم المـــــرجـــع],MATCH(TableDailyJournal[[#This Row],[رقم العملية]],Tabledaily[رقم العملية],0))</f>
        <v>0</v>
      </c>
      <c r="S424" s="121" t="str">
        <f>INDEX(Tabledaily[مركـــــــزالتكلفــــــة],MATCH(TableDailyJournal[[#This Row],[رقم العملية]],Tabledaily[رقم العملية],0))</f>
        <v>الفرقة الثالثة</v>
      </c>
      <c r="T424" s="121">
        <f>IFERROR(INDEX(tablecost[رقم المركز],MATCH(TableDailyJournal[[#This Row],[مركـــــــزالتكلفــــــة]],tablecost[الاسم],0)),0)</f>
        <v>1</v>
      </c>
      <c r="U424" s="122">
        <f>IFERROR(DATE(TableDailyJournal[[#This Row],[السنــــة]],TableDailyJournal[[#This Row],[الشهــــر]],TableDailyJournal[[#This Row],[الـــــيوم]]),"01-01-2026")</f>
        <v>46187</v>
      </c>
      <c r="V424" s="126"/>
      <c r="W424" s="58"/>
      <c r="X424" s="58">
        <f>IFERROR(YEAR(TableDailyJournal[[#This Row],[التاريخ]]),"")</f>
        <v>2026</v>
      </c>
      <c r="Y424" s="58">
        <f>IFERROR(MONTH(TableDailyJournal[[#This Row],[التاريخ]]),"")</f>
        <v>6</v>
      </c>
      <c r="Z424" s="58">
        <f>IFERROR(DAY(TableDailyJournal[[#This Row],[التاريخ]]),"")</f>
        <v>14</v>
      </c>
      <c r="AA424"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424" s="121">
        <f>INDEX(Tabledaily[جهة الامر],MATCH(TableDailyJournal[[#This Row],[رقم العملية]],Tabledaily[رقم العملية],0))</f>
        <v>0</v>
      </c>
    </row>
    <row r="425" spans="2:28" ht="45.75" x14ac:dyDescent="0.55000000000000004">
      <c r="B425" s="58">
        <f t="shared" si="13"/>
        <v>421</v>
      </c>
      <c r="C425" s="59" t="s">
        <v>758</v>
      </c>
      <c r="D425" s="60">
        <f>INDEX(Tabledaily[date],MATCH(TableDailyJournal[[#This Row],[رقم العملية]],Tabledaily[رقم العملية],0))</f>
        <v>46187</v>
      </c>
      <c r="E425" s="58" t="str">
        <f>INDEX(Tabledaily[نوع العمليــة],MATCH(TableDailyJournal[[#This Row],[رقم العملية]],Tabledaily[رقم العملية],0))</f>
        <v>قيد عهده</v>
      </c>
      <c r="F425" s="58">
        <f>IFERROR(INDEX(TableJudje[رقم الحساب],MATCH(TableDailyJournal[[#This Row],[الحساب]],TableJudje[اسم الحساب],0)),0)</f>
        <v>11060205</v>
      </c>
      <c r="G425" s="58" t="s">
        <v>513</v>
      </c>
      <c r="H425"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425" s="60" t="str">
        <f>INDEX(Tabledaily[العملـــة],MATCH(TableDailyJournal[[#This Row],[رقم العملية]],Tabledaily[رقم العملية],0))</f>
        <v>ريال يمني</v>
      </c>
      <c r="J425" s="59">
        <f>IFERROR(INDEX(Tabledaily[سعــــــر
الصـــــرف],MATCH(C425,Tabledaily[رقم العملية],0)),1)</f>
        <v>405</v>
      </c>
      <c r="K425" s="123" cm="1">
        <f t="array" ref="K425">IFERROR(INDEX(Tabledaily[المبلـــــــغ],MATCH(1,(TableDailyJournal[[#This Row],[رقم العملية]]=Tabledaily[رقم العملية])*(TableDailyJournal[[#This Row],[الحساب]]=Tabledaily[الحســاب المديــــن]),0)),0)</f>
        <v>0</v>
      </c>
      <c r="L425" s="123" cm="1">
        <f t="array" ref="L425">IFERROR(INDEX(Tabledaily[المبلـــــــغ],MATCH(1,(TableDailyJournal[[#This Row],[رقم العملية]]=Tabledaily[رقم العملية])*(TableDailyJournal[[#This Row],[الحساب]]=Tabledaily[الحســاب الدئـــن]),0)),0)</f>
        <v>28000</v>
      </c>
      <c r="M425" s="119">
        <f>IFERROR(TableDailyJournal[[#This Row],[المبلغ مدين]]/TableDailyJournal[[#This Row],[سعــــــر
الصـــــرف]],0)</f>
        <v>0</v>
      </c>
      <c r="N425" s="119">
        <f>IFERROR(TableDailyJournal[[#This Row],[المبلغ دائن]]/TableDailyJournal[[#This Row],[سعــــــر
الصـــــرف]],0)</f>
        <v>69.135802469135797</v>
      </c>
      <c r="O425" s="121" t="str">
        <f>INDEX(Tabledaily[المستفيــــــــد],MATCH(TableDailyJournal[[#This Row],[رقم العملية]],Tabledaily[رقم العملية],0))</f>
        <v>الاشغال</v>
      </c>
      <c r="P425" s="121" t="str">
        <f>INDEX(Tabledaily[المــــرجـــــــــع],MATCH(TableDailyJournal[[#This Row],[رقم العملية]],Tabledaily[رقم العملية],0))</f>
        <v>كشف صرف</v>
      </c>
      <c r="Q425" s="121" t="str">
        <f>INDEX(Tabledaily[اســـــــم المــــرجــــع],MATCH(TableDailyJournal[[#This Row],[رقم العملية]],Tabledaily[رقم العملية],0))</f>
        <v>كشف صرف</v>
      </c>
      <c r="R425" s="121">
        <f>INDEX(Tabledaily[رقم المـــــرجـــع],MATCH(TableDailyJournal[[#This Row],[رقم العملية]],Tabledaily[رقم العملية],0))</f>
        <v>0</v>
      </c>
      <c r="S425" s="121" t="str">
        <f>INDEX(Tabledaily[مركـــــــزالتكلفــــــة],MATCH(TableDailyJournal[[#This Row],[رقم العملية]],Tabledaily[رقم العملية],0))</f>
        <v>الفرقة الثالثة</v>
      </c>
      <c r="T425" s="121">
        <f>IFERROR(INDEX(tablecost[رقم المركز],MATCH(TableDailyJournal[[#This Row],[مركـــــــزالتكلفــــــة]],tablecost[الاسم],0)),0)</f>
        <v>1</v>
      </c>
      <c r="U425" s="122">
        <f>IFERROR(DATE(TableDailyJournal[[#This Row],[السنــــة]],TableDailyJournal[[#This Row],[الشهــــر]],TableDailyJournal[[#This Row],[الـــــيوم]]),"01-01-2026")</f>
        <v>46187</v>
      </c>
      <c r="V425" s="126"/>
      <c r="W425" s="58"/>
      <c r="X425" s="58">
        <f>IFERROR(YEAR(TableDailyJournal[[#This Row],[التاريخ]]),"")</f>
        <v>2026</v>
      </c>
      <c r="Y425" s="58">
        <f>IFERROR(MONTH(TableDailyJournal[[#This Row],[التاريخ]]),"")</f>
        <v>6</v>
      </c>
      <c r="Z425" s="58">
        <f>IFERROR(DAY(TableDailyJournal[[#This Row],[التاريخ]]),"")</f>
        <v>14</v>
      </c>
      <c r="AA425"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425" s="121">
        <f>INDEX(Tabledaily[جهة الامر],MATCH(TableDailyJournal[[#This Row],[رقم العملية]],Tabledaily[رقم العملية],0))</f>
        <v>0</v>
      </c>
    </row>
    <row r="426" spans="2:28" ht="45.75" x14ac:dyDescent="0.55000000000000004">
      <c r="B426" s="58">
        <f t="shared" si="13"/>
        <v>422</v>
      </c>
      <c r="C426" s="59" t="s">
        <v>759</v>
      </c>
      <c r="D426" s="60">
        <f>INDEX(Tabledaily[date],MATCH(TableDailyJournal[[#This Row],[رقم العملية]],Tabledaily[رقم العملية],0))</f>
        <v>46187</v>
      </c>
      <c r="E426" s="58" t="str">
        <f>INDEX(Tabledaily[نوع العمليــة],MATCH(TableDailyJournal[[#This Row],[رقم العملية]],Tabledaily[رقم العملية],0))</f>
        <v>قيد عهده</v>
      </c>
      <c r="F426" s="58">
        <f>IFERROR(INDEX(TableJudje[رقم الحساب],MATCH(TableDailyJournal[[#This Row],[الحساب]],TableJudje[اسم الحساب],0)),0)</f>
        <v>31010101</v>
      </c>
      <c r="G426" s="58" t="s">
        <v>111</v>
      </c>
      <c r="H426"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39 بامر</v>
      </c>
      <c r="I426" s="60" t="str">
        <f>INDEX(Tabledaily[العملـــة],MATCH(TableDailyJournal[[#This Row],[رقم العملية]],Tabledaily[رقم العملية],0))</f>
        <v>ريال يمني</v>
      </c>
      <c r="J426" s="59">
        <f>IFERROR(INDEX(Tabledaily[سعــــــر
الصـــــرف],MATCH(C426,Tabledaily[رقم العملية],0)),1)</f>
        <v>405</v>
      </c>
      <c r="K426" s="123" cm="1">
        <f t="array" ref="K426">IFERROR(INDEX(Tabledaily[المبلـــــــغ],MATCH(1,(TableDailyJournal[[#This Row],[رقم العملية]]=Tabledaily[رقم العملية])*(TableDailyJournal[[#This Row],[الحساب]]=Tabledaily[الحســاب المديــــن]),0)),0)</f>
        <v>156000</v>
      </c>
      <c r="L426" s="123" cm="1">
        <f t="array" ref="L426">IFERROR(INDEX(Tabledaily[المبلـــــــغ],MATCH(1,(TableDailyJournal[[#This Row],[رقم العملية]]=Tabledaily[رقم العملية])*(TableDailyJournal[[#This Row],[الحساب]]=Tabledaily[الحســاب الدئـــن]),0)),0)</f>
        <v>0</v>
      </c>
      <c r="M426" s="119">
        <f>IFERROR(TableDailyJournal[[#This Row],[المبلغ مدين]]/TableDailyJournal[[#This Row],[سعــــــر
الصـــــرف]],0)</f>
        <v>385.18518518518516</v>
      </c>
      <c r="N426" s="119">
        <f>IFERROR(TableDailyJournal[[#This Row],[المبلغ دائن]]/TableDailyJournal[[#This Row],[سعــــــر
الصـــــرف]],0)</f>
        <v>0</v>
      </c>
      <c r="O426" s="121" t="str">
        <f>INDEX(Tabledaily[المستفيــــــــد],MATCH(TableDailyJournal[[#This Row],[رقم العملية]],Tabledaily[رقم العملية],0))</f>
        <v>سرية اللواء السادس</v>
      </c>
      <c r="P426" s="121" t="str">
        <f>INDEX(Tabledaily[المــــرجـــــــــع],MATCH(TableDailyJournal[[#This Row],[رقم العملية]],Tabledaily[رقم العملية],0))</f>
        <v>كشف صرف</v>
      </c>
      <c r="Q426" s="121" t="str">
        <f>INDEX(Tabledaily[اســـــــم المــــرجــــع],MATCH(TableDailyJournal[[#This Row],[رقم العملية]],Tabledaily[رقم العملية],0))</f>
        <v>كشف صرف</v>
      </c>
      <c r="R426" s="121">
        <f>INDEX(Tabledaily[رقم المـــــرجـــع],MATCH(TableDailyJournal[[#This Row],[رقم العملية]],Tabledaily[رقم العملية],0))</f>
        <v>0</v>
      </c>
      <c r="S426" s="121" t="str">
        <f>INDEX(Tabledaily[مركـــــــزالتكلفــــــة],MATCH(TableDailyJournal[[#This Row],[رقم العملية]],Tabledaily[رقم العملية],0))</f>
        <v>اللواء السادس</v>
      </c>
      <c r="T426" s="121">
        <f>IFERROR(INDEX(tablecost[رقم المركز],MATCH(TableDailyJournal[[#This Row],[مركـــــــزالتكلفــــــة]],tablecost[الاسم],0)),0)</f>
        <v>7</v>
      </c>
      <c r="U426" s="122">
        <f>IFERROR(DATE(TableDailyJournal[[#This Row],[السنــــة]],TableDailyJournal[[#This Row],[الشهــــر]],TableDailyJournal[[#This Row],[الـــــيوم]]),"01-01-2026")</f>
        <v>46187</v>
      </c>
      <c r="V426" s="126"/>
      <c r="W426" s="58"/>
      <c r="X426" s="58">
        <f>IFERROR(YEAR(TableDailyJournal[[#This Row],[التاريخ]]),"")</f>
        <v>2026</v>
      </c>
      <c r="Y426" s="58">
        <f>IFERROR(MONTH(TableDailyJournal[[#This Row],[التاريخ]]),"")</f>
        <v>6</v>
      </c>
      <c r="Z426" s="58">
        <f>IFERROR(DAY(TableDailyJournal[[#This Row],[التاريخ]]),"")</f>
        <v>14</v>
      </c>
      <c r="AA426"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39 بامر</v>
      </c>
      <c r="AB426" s="121">
        <f>INDEX(Tabledaily[جهة الامر],MATCH(TableDailyJournal[[#This Row],[رقم العملية]],Tabledaily[رقم العملية],0))</f>
        <v>0</v>
      </c>
    </row>
    <row r="427" spans="2:28" ht="45.75" x14ac:dyDescent="0.55000000000000004">
      <c r="B427" s="58">
        <f t="shared" si="13"/>
        <v>423</v>
      </c>
      <c r="C427" s="59" t="s">
        <v>759</v>
      </c>
      <c r="D427" s="60">
        <f>INDEX(Tabledaily[date],MATCH(TableDailyJournal[[#This Row],[رقم العملية]],Tabledaily[رقم العملية],0))</f>
        <v>46187</v>
      </c>
      <c r="E427" s="58" t="str">
        <f>INDEX(Tabledaily[نوع العمليــة],MATCH(TableDailyJournal[[#This Row],[رقم العملية]],Tabledaily[رقم العملية],0))</f>
        <v>قيد عهده</v>
      </c>
      <c r="F427" s="58">
        <f>IFERROR(INDEX(TableJudje[رقم الحساب],MATCH(TableDailyJournal[[#This Row],[الحساب]],TableJudje[اسم الحساب],0)),0)</f>
        <v>11060205</v>
      </c>
      <c r="G427" s="58" t="s">
        <v>513</v>
      </c>
      <c r="H427"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39 بامر</v>
      </c>
      <c r="I427" s="60" t="str">
        <f>INDEX(Tabledaily[العملـــة],MATCH(TableDailyJournal[[#This Row],[رقم العملية]],Tabledaily[رقم العملية],0))</f>
        <v>ريال يمني</v>
      </c>
      <c r="J427" s="59">
        <f>IFERROR(INDEX(Tabledaily[سعــــــر
الصـــــرف],MATCH(C427,Tabledaily[رقم العملية],0)),1)</f>
        <v>405</v>
      </c>
      <c r="K427" s="123" cm="1">
        <f t="array" ref="K427">IFERROR(INDEX(Tabledaily[المبلـــــــغ],MATCH(1,(TableDailyJournal[[#This Row],[رقم العملية]]=Tabledaily[رقم العملية])*(TableDailyJournal[[#This Row],[الحساب]]=Tabledaily[الحســاب المديــــن]),0)),0)</f>
        <v>0</v>
      </c>
      <c r="L427" s="123" cm="1">
        <f t="array" ref="L427">IFERROR(INDEX(Tabledaily[المبلـــــــغ],MATCH(1,(TableDailyJournal[[#This Row],[رقم العملية]]=Tabledaily[رقم العملية])*(TableDailyJournal[[#This Row],[الحساب]]=Tabledaily[الحســاب الدئـــن]),0)),0)</f>
        <v>156000</v>
      </c>
      <c r="M427" s="119">
        <f>IFERROR(TableDailyJournal[[#This Row],[المبلغ مدين]]/TableDailyJournal[[#This Row],[سعــــــر
الصـــــرف]],0)</f>
        <v>0</v>
      </c>
      <c r="N427" s="119">
        <f>IFERROR(TableDailyJournal[[#This Row],[المبلغ دائن]]/TableDailyJournal[[#This Row],[سعــــــر
الصـــــرف]],0)</f>
        <v>385.18518518518516</v>
      </c>
      <c r="O427" s="121" t="str">
        <f>INDEX(Tabledaily[المستفيــــــــد],MATCH(TableDailyJournal[[#This Row],[رقم العملية]],Tabledaily[رقم العملية],0))</f>
        <v>سرية اللواء السادس</v>
      </c>
      <c r="P427" s="121" t="str">
        <f>INDEX(Tabledaily[المــــرجـــــــــع],MATCH(TableDailyJournal[[#This Row],[رقم العملية]],Tabledaily[رقم العملية],0))</f>
        <v>كشف صرف</v>
      </c>
      <c r="Q427" s="121" t="str">
        <f>INDEX(Tabledaily[اســـــــم المــــرجــــع],MATCH(TableDailyJournal[[#This Row],[رقم العملية]],Tabledaily[رقم العملية],0))</f>
        <v>كشف صرف</v>
      </c>
      <c r="R427" s="121">
        <f>INDEX(Tabledaily[رقم المـــــرجـــع],MATCH(TableDailyJournal[[#This Row],[رقم العملية]],Tabledaily[رقم العملية],0))</f>
        <v>0</v>
      </c>
      <c r="S427" s="121" t="str">
        <f>INDEX(Tabledaily[مركـــــــزالتكلفــــــة],MATCH(TableDailyJournal[[#This Row],[رقم العملية]],Tabledaily[رقم العملية],0))</f>
        <v>اللواء السادس</v>
      </c>
      <c r="T427" s="121">
        <f>IFERROR(INDEX(tablecost[رقم المركز],MATCH(TableDailyJournal[[#This Row],[مركـــــــزالتكلفــــــة]],tablecost[الاسم],0)),0)</f>
        <v>7</v>
      </c>
      <c r="U427" s="122">
        <f>IFERROR(DATE(TableDailyJournal[[#This Row],[السنــــة]],TableDailyJournal[[#This Row],[الشهــــر]],TableDailyJournal[[#This Row],[الـــــيوم]]),"01-01-2026")</f>
        <v>46187</v>
      </c>
      <c r="V427" s="126"/>
      <c r="W427" s="58"/>
      <c r="X427" s="58">
        <f>IFERROR(YEAR(TableDailyJournal[[#This Row],[التاريخ]]),"")</f>
        <v>2026</v>
      </c>
      <c r="Y427" s="58">
        <f>IFERROR(MONTH(TableDailyJournal[[#This Row],[التاريخ]]),"")</f>
        <v>6</v>
      </c>
      <c r="Z427" s="58">
        <f>IFERROR(DAY(TableDailyJournal[[#This Row],[التاريخ]]),"")</f>
        <v>14</v>
      </c>
      <c r="AA427"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39 بامر</v>
      </c>
      <c r="AB427" s="121">
        <f>INDEX(Tabledaily[جهة الامر],MATCH(TableDailyJournal[[#This Row],[رقم العملية]],Tabledaily[رقم العملية],0))</f>
        <v>0</v>
      </c>
    </row>
    <row r="428" spans="2:28" ht="67.5" x14ac:dyDescent="0.55000000000000004">
      <c r="B428" s="58">
        <f t="shared" si="13"/>
        <v>424</v>
      </c>
      <c r="C428" s="59" t="s">
        <v>761</v>
      </c>
      <c r="D428" s="60">
        <f>INDEX(Tabledaily[date],MATCH(TableDailyJournal[[#This Row],[رقم العملية]],Tabledaily[رقم العملية],0))</f>
        <v>46187</v>
      </c>
      <c r="E428" s="58" t="str">
        <f>INDEX(Tabledaily[نوع العمليــة],MATCH(TableDailyJournal[[#This Row],[رقم العملية]],Tabledaily[رقم العملية],0))</f>
        <v>قيد عهده</v>
      </c>
      <c r="F428" s="58">
        <f>IFERROR(INDEX(TableJudje[رقم الحساب],MATCH(TableDailyJournal[[#This Row],[الحساب]],TableJudje[اسم الحساب],0)),0)</f>
        <v>11060207</v>
      </c>
      <c r="G428" s="58" t="s">
        <v>760</v>
      </c>
      <c r="H428" s="61" t="str">
        <f>INDEX(Tabledaily[المرجع البياني],MATCH(TableDailyJournal[[#This Row],[رقم العملية]],Tabledaily[رقم العملية],0))</f>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v>
      </c>
      <c r="I428" s="60" t="str">
        <f>INDEX(Tabledaily[العملـــة],MATCH(TableDailyJournal[[#This Row],[رقم العملية]],Tabledaily[رقم العملية],0))</f>
        <v>ريال سعودي</v>
      </c>
      <c r="J428" s="59">
        <f>IFERROR(INDEX(Tabledaily[سعــــــر
الصـــــرف],MATCH(C428,Tabledaily[رقم العملية],0)),1)</f>
        <v>1</v>
      </c>
      <c r="K428" s="123" cm="1">
        <f t="array" ref="K428">IFERROR(INDEX(Tabledaily[المبلـــــــغ],MATCH(1,(TableDailyJournal[[#This Row],[رقم العملية]]=Tabledaily[رقم العملية])*(TableDailyJournal[[#This Row],[الحساب]]=Tabledaily[الحســاب المديــــن]),0)),0)</f>
        <v>1500</v>
      </c>
      <c r="L428" s="123" cm="1">
        <f t="array" ref="L428">IFERROR(INDEX(Tabledaily[المبلـــــــغ],MATCH(1,(TableDailyJournal[[#This Row],[رقم العملية]]=Tabledaily[رقم العملية])*(TableDailyJournal[[#This Row],[الحساب]]=Tabledaily[الحســاب الدئـــن]),0)),0)</f>
        <v>0</v>
      </c>
      <c r="M428" s="119">
        <f>IFERROR(TableDailyJournal[[#This Row],[المبلغ مدين]]/TableDailyJournal[[#This Row],[سعــــــر
الصـــــرف]],0)</f>
        <v>1500</v>
      </c>
      <c r="N428" s="119">
        <f>IFERROR(TableDailyJournal[[#This Row],[المبلغ دائن]]/TableDailyJournal[[#This Row],[سعــــــر
الصـــــرف]],0)</f>
        <v>0</v>
      </c>
      <c r="O428" s="121" t="str">
        <f>INDEX(Tabledaily[المستفيــــــــد],MATCH(TableDailyJournal[[#This Row],[رقم العملية]],Tabledaily[رقم العملية],0))</f>
        <v>محمد ياسين سعيد</v>
      </c>
      <c r="P428" s="121" t="str">
        <f>INDEX(Tabledaily[المــــرجـــــــــع],MATCH(TableDailyJournal[[#This Row],[رقم العملية]],Tabledaily[رقم العملية],0))</f>
        <v>استلام نقدي</v>
      </c>
      <c r="Q428" s="121" t="str">
        <f>INDEX(Tabledaily[اســـــــم المــــرجــــع],MATCH(TableDailyJournal[[#This Row],[رقم العملية]],Tabledaily[رقم العملية],0))</f>
        <v>سند استلام</v>
      </c>
      <c r="R428" s="121">
        <f>INDEX(Tabledaily[رقم المـــــرجـــع],MATCH(TableDailyJournal[[#This Row],[رقم العملية]],Tabledaily[رقم العملية],0))</f>
        <v>470</v>
      </c>
      <c r="S428" s="121" t="str">
        <f>INDEX(Tabledaily[مركـــــــزالتكلفــــــة],MATCH(TableDailyJournal[[#This Row],[رقم العملية]],Tabledaily[رقم العملية],0))</f>
        <v>الفرقة الثالثة</v>
      </c>
      <c r="T428" s="121">
        <f>IFERROR(INDEX(tablecost[رقم المركز],MATCH(TableDailyJournal[[#This Row],[مركـــــــزالتكلفــــــة]],tablecost[الاسم],0)),0)</f>
        <v>1</v>
      </c>
      <c r="U428" s="122">
        <f>IFERROR(DATE(TableDailyJournal[[#This Row],[السنــــة]],TableDailyJournal[[#This Row],[الشهــــر]],TableDailyJournal[[#This Row],[الـــــيوم]]),"01-01-2026")</f>
        <v>46187</v>
      </c>
      <c r="V428" s="126"/>
      <c r="W428" s="58"/>
      <c r="X428" s="58">
        <f>IFERROR(YEAR(TableDailyJournal[[#This Row],[التاريخ]]),"")</f>
        <v>2026</v>
      </c>
      <c r="Y428" s="58">
        <f>IFERROR(MONTH(TableDailyJournal[[#This Row],[التاريخ]]),"")</f>
        <v>6</v>
      </c>
      <c r="Z428" s="58">
        <f>IFERROR(DAY(TableDailyJournal[[#This Row],[التاريخ]]),"")</f>
        <v>14</v>
      </c>
      <c r="AA428" s="126" t="str">
        <f>INDEX(Tabledaily[المرجع البياني],MATCH(TableDailyJournal[[#This Row],[رقم العملية]],Tabledaily[رقم العملية],0))</f>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v>
      </c>
      <c r="AB428" s="121" t="str">
        <f>INDEX(Tabledaily[جهة الامر],MATCH(TableDailyJournal[[#This Row],[رقم العملية]],Tabledaily[رقم العملية],0))</f>
        <v>المستشار المالي</v>
      </c>
    </row>
    <row r="429" spans="2:28" ht="67.5" x14ac:dyDescent="0.55000000000000004">
      <c r="B429" s="58">
        <f t="shared" si="13"/>
        <v>425</v>
      </c>
      <c r="C429" s="59" t="s">
        <v>761</v>
      </c>
      <c r="D429" s="60">
        <f>INDEX(Tabledaily[date],MATCH(TableDailyJournal[[#This Row],[رقم العملية]],Tabledaily[رقم العملية],0))</f>
        <v>46187</v>
      </c>
      <c r="E429" s="58" t="str">
        <f>INDEX(Tabledaily[نوع العمليــة],MATCH(TableDailyJournal[[#This Row],[رقم العملية]],Tabledaily[رقم العملية],0))</f>
        <v>قيد عهده</v>
      </c>
      <c r="F429" s="58">
        <f>IFERROR(INDEX(TableJudje[رقم الحساب],MATCH(TableDailyJournal[[#This Row],[الحساب]],TableJudje[اسم الحساب],0)),0)</f>
        <v>11060205</v>
      </c>
      <c r="G429" s="58" t="s">
        <v>513</v>
      </c>
      <c r="H429" s="61" t="str">
        <f>INDEX(Tabledaily[المرجع البياني],MATCH(TableDailyJournal[[#This Row],[رقم العملية]],Tabledaily[رقم العملية],0))</f>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v>
      </c>
      <c r="I429" s="60" t="str">
        <f>INDEX(Tabledaily[العملـــة],MATCH(TableDailyJournal[[#This Row],[رقم العملية]],Tabledaily[رقم العملية],0))</f>
        <v>ريال سعودي</v>
      </c>
      <c r="J429" s="59">
        <f>IFERROR(INDEX(Tabledaily[سعــــــر
الصـــــرف],MATCH(C429,Tabledaily[رقم العملية],0)),1)</f>
        <v>1</v>
      </c>
      <c r="K429" s="123" cm="1">
        <f t="array" ref="K429">IFERROR(INDEX(Tabledaily[المبلـــــــغ],MATCH(1,(TableDailyJournal[[#This Row],[رقم العملية]]=Tabledaily[رقم العملية])*(TableDailyJournal[[#This Row],[الحساب]]=Tabledaily[الحســاب المديــــن]),0)),0)</f>
        <v>0</v>
      </c>
      <c r="L429" s="123" cm="1">
        <f t="array" ref="L429">IFERROR(INDEX(Tabledaily[المبلـــــــغ],MATCH(1,(TableDailyJournal[[#This Row],[رقم العملية]]=Tabledaily[رقم العملية])*(TableDailyJournal[[#This Row],[الحساب]]=Tabledaily[الحســاب الدئـــن]),0)),0)</f>
        <v>1500</v>
      </c>
      <c r="M429" s="119">
        <f>IFERROR(TableDailyJournal[[#This Row],[المبلغ مدين]]/TableDailyJournal[[#This Row],[سعــــــر
الصـــــرف]],0)</f>
        <v>0</v>
      </c>
      <c r="N429" s="119">
        <f>IFERROR(TableDailyJournal[[#This Row],[المبلغ دائن]]/TableDailyJournal[[#This Row],[سعــــــر
الصـــــرف]],0)</f>
        <v>1500</v>
      </c>
      <c r="O429" s="121" t="str">
        <f>INDEX(Tabledaily[المستفيــــــــد],MATCH(TableDailyJournal[[#This Row],[رقم العملية]],Tabledaily[رقم العملية],0))</f>
        <v>محمد ياسين سعيد</v>
      </c>
      <c r="P429" s="121" t="str">
        <f>INDEX(Tabledaily[المــــرجـــــــــع],MATCH(TableDailyJournal[[#This Row],[رقم العملية]],Tabledaily[رقم العملية],0))</f>
        <v>استلام نقدي</v>
      </c>
      <c r="Q429" s="121" t="str">
        <f>INDEX(Tabledaily[اســـــــم المــــرجــــع],MATCH(TableDailyJournal[[#This Row],[رقم العملية]],Tabledaily[رقم العملية],0))</f>
        <v>سند استلام</v>
      </c>
      <c r="R429" s="121">
        <f>INDEX(Tabledaily[رقم المـــــرجـــع],MATCH(TableDailyJournal[[#This Row],[رقم العملية]],Tabledaily[رقم العملية],0))</f>
        <v>470</v>
      </c>
      <c r="S429" s="121" t="str">
        <f>INDEX(Tabledaily[مركـــــــزالتكلفــــــة],MATCH(TableDailyJournal[[#This Row],[رقم العملية]],Tabledaily[رقم العملية],0))</f>
        <v>الفرقة الثالثة</v>
      </c>
      <c r="T429" s="121">
        <f>IFERROR(INDEX(tablecost[رقم المركز],MATCH(TableDailyJournal[[#This Row],[مركـــــــزالتكلفــــــة]],tablecost[الاسم],0)),0)</f>
        <v>1</v>
      </c>
      <c r="U429" s="122">
        <f>IFERROR(DATE(TableDailyJournal[[#This Row],[السنــــة]],TableDailyJournal[[#This Row],[الشهــــر]],TableDailyJournal[[#This Row],[الـــــيوم]]),"01-01-2026")</f>
        <v>46187</v>
      </c>
      <c r="V429" s="126"/>
      <c r="W429" s="58"/>
      <c r="X429" s="58">
        <f>IFERROR(YEAR(TableDailyJournal[[#This Row],[التاريخ]]),"")</f>
        <v>2026</v>
      </c>
      <c r="Y429" s="58">
        <f>IFERROR(MONTH(TableDailyJournal[[#This Row],[التاريخ]]),"")</f>
        <v>6</v>
      </c>
      <c r="Z429" s="58">
        <f>IFERROR(DAY(TableDailyJournal[[#This Row],[التاريخ]]),"")</f>
        <v>14</v>
      </c>
      <c r="AA429" s="126" t="str">
        <f>INDEX(Tabledaily[المرجع البياني],MATCH(TableDailyJournal[[#This Row],[رقم العملية]],Tabledaily[رقم العملية],0))</f>
        <v>قيـد مقابـل:- (عهدة الطبية - محمد ياسين سعيد - الفرقة الثالثة)  - استلام نقدي رقم 470  سند استلام - عهدة للطبية لشراء طقم جراحة و ترمو متر و سماعة وجهاز قياس الضغط بامرالمستشار المالي</v>
      </c>
      <c r="AB429" s="121" t="str">
        <f>INDEX(Tabledaily[جهة الامر],MATCH(TableDailyJournal[[#This Row],[رقم العملية]],Tabledaily[رقم العملية],0))</f>
        <v>المستشار المالي</v>
      </c>
    </row>
    <row r="430" spans="2:28" ht="67.5" x14ac:dyDescent="0.55000000000000004">
      <c r="B430" s="58">
        <f t="shared" si="13"/>
        <v>426</v>
      </c>
      <c r="C430" s="59" t="s">
        <v>764</v>
      </c>
      <c r="D430" s="60">
        <f>INDEX(Tabledaily[date],MATCH(TableDailyJournal[[#This Row],[رقم العملية]],Tabledaily[رقم العملية],0))</f>
        <v>46187</v>
      </c>
      <c r="E430" s="58" t="str">
        <f>INDEX(Tabledaily[نوع العمليــة],MATCH(TableDailyJournal[[#This Row],[رقم العملية]],Tabledaily[رقم العملية],0))</f>
        <v>قيد عهده</v>
      </c>
      <c r="F430" s="58">
        <f>IFERROR(INDEX(TableJudje[رقم الحساب],MATCH(TableDailyJournal[[#This Row],[الحساب]],TableJudje[اسم الحساب],0)),0)</f>
        <v>31010104</v>
      </c>
      <c r="G430" s="58" t="s">
        <v>113</v>
      </c>
      <c r="H430" s="61" t="str">
        <f>INDEX(Tabledaily[المرجع البياني],MATCH(TableDailyJournal[[#This Row],[رقم العملية]],Tabledaily[رقم العملية],0))</f>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v>
      </c>
      <c r="I430" s="60" t="str">
        <f>INDEX(Tabledaily[العملـــة],MATCH(TableDailyJournal[[#This Row],[رقم العملية]],Tabledaily[رقم العملية],0))</f>
        <v>ريال يمني</v>
      </c>
      <c r="J430" s="59">
        <f>IFERROR(INDEX(Tabledaily[سعــــــر
الصـــــرف],MATCH(C430,Tabledaily[رقم العملية],0)),1)</f>
        <v>405</v>
      </c>
      <c r="K430" s="123" cm="1">
        <f t="array" ref="K430">IFERROR(INDEX(Tabledaily[المبلـــــــغ],MATCH(1,(TableDailyJournal[[#This Row],[رقم العملية]]=Tabledaily[رقم العملية])*(TableDailyJournal[[#This Row],[الحساب]]=Tabledaily[الحســاب المديــــن]),0)),0)</f>
        <v>8000</v>
      </c>
      <c r="L430" s="123" cm="1">
        <f t="array" ref="L430">IFERROR(INDEX(Tabledaily[المبلـــــــغ],MATCH(1,(TableDailyJournal[[#This Row],[رقم العملية]]=Tabledaily[رقم العملية])*(TableDailyJournal[[#This Row],[الحساب]]=Tabledaily[الحســاب الدئـــن]),0)),0)</f>
        <v>0</v>
      </c>
      <c r="M430" s="119">
        <f>IFERROR(TableDailyJournal[[#This Row],[المبلغ مدين]]/TableDailyJournal[[#This Row],[سعــــــر
الصـــــرف]],0)</f>
        <v>19.753086419753085</v>
      </c>
      <c r="N430" s="119">
        <f>IFERROR(TableDailyJournal[[#This Row],[المبلغ دائن]]/TableDailyJournal[[#This Row],[سعــــــر
الصـــــرف]],0)</f>
        <v>0</v>
      </c>
      <c r="O430" s="121" t="str">
        <f>INDEX(Tabledaily[المستفيــــــــد],MATCH(TableDailyJournal[[#This Row],[رقم العملية]],Tabledaily[رقم العملية],0))</f>
        <v>وايت الماء</v>
      </c>
      <c r="P430" s="121" t="str">
        <f>INDEX(Tabledaily[المــــرجـــــــــع],MATCH(TableDailyJournal[[#This Row],[رقم العملية]],Tabledaily[رقم العملية],0))</f>
        <v>فاتورة</v>
      </c>
      <c r="Q430" s="121" t="str">
        <f>INDEX(Tabledaily[اســـــــم المــــرجــــع],MATCH(TableDailyJournal[[#This Row],[رقم العملية]],Tabledaily[رقم العملية],0))</f>
        <v>محطة مجمع العروبة التجاري الدولي</v>
      </c>
      <c r="R430" s="121">
        <f>INDEX(Tabledaily[رقم المـــــرجـــع],MATCH(TableDailyJournal[[#This Row],[رقم العملية]],Tabledaily[رقم العملية],0))</f>
        <v>5414</v>
      </c>
      <c r="S430" s="121" t="str">
        <f>INDEX(Tabledaily[مركـــــــزالتكلفــــــة],MATCH(TableDailyJournal[[#This Row],[رقم العملية]],Tabledaily[رقم العملية],0))</f>
        <v>الفرقة الثالثة</v>
      </c>
      <c r="T430" s="121">
        <f>IFERROR(INDEX(tablecost[رقم المركز],MATCH(TableDailyJournal[[#This Row],[مركـــــــزالتكلفــــــة]],tablecost[الاسم],0)),0)</f>
        <v>1</v>
      </c>
      <c r="U430" s="122">
        <f>IFERROR(DATE(TableDailyJournal[[#This Row],[السنــــة]],TableDailyJournal[[#This Row],[الشهــــر]],TableDailyJournal[[#This Row],[الـــــيوم]]),"01-01-2026")</f>
        <v>46187</v>
      </c>
      <c r="V430" s="126"/>
      <c r="W430" s="58"/>
      <c r="X430" s="58">
        <f>IFERROR(YEAR(TableDailyJournal[[#This Row],[التاريخ]]),"")</f>
        <v>2026</v>
      </c>
      <c r="Y430" s="58">
        <f>IFERROR(MONTH(TableDailyJournal[[#This Row],[التاريخ]]),"")</f>
        <v>6</v>
      </c>
      <c r="Z430" s="58">
        <f>IFERROR(DAY(TableDailyJournal[[#This Row],[التاريخ]]),"")</f>
        <v>14</v>
      </c>
      <c r="AA430" s="126" t="str">
        <f>INDEX(Tabledaily[المرجع البياني],MATCH(TableDailyJournal[[#This Row],[رقم العملية]],Tabledaily[رقم العملية],0))</f>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v>
      </c>
      <c r="AB430" s="121" t="str">
        <f>INDEX(Tabledaily[جهة الامر],MATCH(TableDailyJournal[[#This Row],[رقم العملية]],Tabledaily[رقم العملية],0))</f>
        <v>مدير  مكتب القائد</v>
      </c>
    </row>
    <row r="431" spans="2:28" ht="67.5" x14ac:dyDescent="0.55000000000000004">
      <c r="B431" s="58">
        <f t="shared" si="13"/>
        <v>427</v>
      </c>
      <c r="C431" s="59" t="s">
        <v>764</v>
      </c>
      <c r="D431" s="60">
        <f>INDEX(Tabledaily[date],MATCH(TableDailyJournal[[#This Row],[رقم العملية]],Tabledaily[رقم العملية],0))</f>
        <v>46187</v>
      </c>
      <c r="E431" s="58" t="str">
        <f>INDEX(Tabledaily[نوع العمليــة],MATCH(TableDailyJournal[[#This Row],[رقم العملية]],Tabledaily[رقم العملية],0))</f>
        <v>قيد عهده</v>
      </c>
      <c r="F431" s="58">
        <f>IFERROR(INDEX(TableJudje[رقم الحساب],MATCH(TableDailyJournal[[#This Row],[الحساب]],TableJudje[اسم الحساب],0)),0)</f>
        <v>11060205</v>
      </c>
      <c r="G431" s="58" t="s">
        <v>513</v>
      </c>
      <c r="H431" s="61" t="str">
        <f>INDEX(Tabledaily[المرجع البياني],MATCH(TableDailyJournal[[#This Row],[رقم العملية]],Tabledaily[رقم العملية],0))</f>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v>
      </c>
      <c r="I431" s="60" t="str">
        <f>INDEX(Tabledaily[العملـــة],MATCH(TableDailyJournal[[#This Row],[رقم العملية]],Tabledaily[رقم العملية],0))</f>
        <v>ريال يمني</v>
      </c>
      <c r="J431" s="59">
        <f>IFERROR(INDEX(Tabledaily[سعــــــر
الصـــــرف],MATCH(C431,Tabledaily[رقم العملية],0)),1)</f>
        <v>405</v>
      </c>
      <c r="K431" s="123" cm="1">
        <f t="array" ref="K431">IFERROR(INDEX(Tabledaily[المبلـــــــغ],MATCH(1,(TableDailyJournal[[#This Row],[رقم العملية]]=Tabledaily[رقم العملية])*(TableDailyJournal[[#This Row],[الحساب]]=Tabledaily[الحســاب المديــــن]),0)),0)</f>
        <v>0</v>
      </c>
      <c r="L431" s="123" cm="1">
        <f t="array" ref="L431">IFERROR(INDEX(Tabledaily[المبلـــــــغ],MATCH(1,(TableDailyJournal[[#This Row],[رقم العملية]]=Tabledaily[رقم العملية])*(TableDailyJournal[[#This Row],[الحساب]]=Tabledaily[الحســاب الدئـــن]),0)),0)</f>
        <v>8000</v>
      </c>
      <c r="M431" s="119">
        <f>IFERROR(TableDailyJournal[[#This Row],[المبلغ مدين]]/TableDailyJournal[[#This Row],[سعــــــر
الصـــــرف]],0)</f>
        <v>0</v>
      </c>
      <c r="N431" s="119">
        <f>IFERROR(TableDailyJournal[[#This Row],[المبلغ دائن]]/TableDailyJournal[[#This Row],[سعــــــر
الصـــــرف]],0)</f>
        <v>19.753086419753085</v>
      </c>
      <c r="O431" s="121" t="str">
        <f>INDEX(Tabledaily[المستفيــــــــد],MATCH(TableDailyJournal[[#This Row],[رقم العملية]],Tabledaily[رقم العملية],0))</f>
        <v>وايت الماء</v>
      </c>
      <c r="P431" s="121" t="str">
        <f>INDEX(Tabledaily[المــــرجـــــــــع],MATCH(TableDailyJournal[[#This Row],[رقم العملية]],Tabledaily[رقم العملية],0))</f>
        <v>فاتورة</v>
      </c>
      <c r="Q431" s="121" t="str">
        <f>INDEX(Tabledaily[اســـــــم المــــرجــــع],MATCH(TableDailyJournal[[#This Row],[رقم العملية]],Tabledaily[رقم العملية],0))</f>
        <v>محطة مجمع العروبة التجاري الدولي</v>
      </c>
      <c r="R431" s="121">
        <f>INDEX(Tabledaily[رقم المـــــرجـــع],MATCH(TableDailyJournal[[#This Row],[رقم العملية]],Tabledaily[رقم العملية],0))</f>
        <v>5414</v>
      </c>
      <c r="S431" s="121" t="str">
        <f>INDEX(Tabledaily[مركـــــــزالتكلفــــــة],MATCH(TableDailyJournal[[#This Row],[رقم العملية]],Tabledaily[رقم العملية],0))</f>
        <v>الفرقة الثالثة</v>
      </c>
      <c r="T431" s="121">
        <f>IFERROR(INDEX(tablecost[رقم المركز],MATCH(TableDailyJournal[[#This Row],[مركـــــــزالتكلفــــــة]],tablecost[الاسم],0)),0)</f>
        <v>1</v>
      </c>
      <c r="U431" s="122">
        <f>IFERROR(DATE(TableDailyJournal[[#This Row],[السنــــة]],TableDailyJournal[[#This Row],[الشهــــر]],TableDailyJournal[[#This Row],[الـــــيوم]]),"01-01-2026")</f>
        <v>46187</v>
      </c>
      <c r="V431" s="126"/>
      <c r="W431" s="58"/>
      <c r="X431" s="58">
        <f>IFERROR(YEAR(TableDailyJournal[[#This Row],[التاريخ]]),"")</f>
        <v>2026</v>
      </c>
      <c r="Y431" s="58">
        <f>IFERROR(MONTH(TableDailyJournal[[#This Row],[التاريخ]]),"")</f>
        <v>6</v>
      </c>
      <c r="Z431" s="58">
        <f>IFERROR(DAY(TableDailyJournal[[#This Row],[التاريخ]]),"")</f>
        <v>14</v>
      </c>
      <c r="AA431" s="126" t="str">
        <f>INDEX(Tabledaily[المرجع البياني],MATCH(TableDailyJournal[[#This Row],[رقم العملية]],Tabledaily[رقم العملية],0))</f>
        <v>قيـد مقابـل:- (مصاريف وقود ومحروقات  - وايت الماء - الفرقة الثالثة)  - فاتورة رقم 5414  محطة مجمع العروبة التجاري الدولي - شراء 5 لتر بترول لماطور وايت الماء بامرمدير  مكتب القائد</v>
      </c>
      <c r="AB431" s="121" t="str">
        <f>INDEX(Tabledaily[جهة الامر],MATCH(TableDailyJournal[[#This Row],[رقم العملية]],Tabledaily[رقم العملية],0))</f>
        <v>مدير  مكتب القائد</v>
      </c>
    </row>
    <row r="432" spans="2:28" ht="45.75" x14ac:dyDescent="0.55000000000000004">
      <c r="B432" s="58">
        <f t="shared" si="13"/>
        <v>428</v>
      </c>
      <c r="C432" s="59" t="s">
        <v>768</v>
      </c>
      <c r="D432" s="60">
        <f>INDEX(Tabledaily[date],MATCH(TableDailyJournal[[#This Row],[رقم العملية]],Tabledaily[رقم العملية],0))</f>
        <v>46187</v>
      </c>
      <c r="E432" s="58" t="str">
        <f>INDEX(Tabledaily[نوع العمليــة],MATCH(TableDailyJournal[[#This Row],[رقم العملية]],Tabledaily[رقم العملية],0))</f>
        <v>قيد عهده</v>
      </c>
      <c r="F432" s="58">
        <f>IFERROR(INDEX(TableJudje[رقم الحساب],MATCH(TableDailyJournal[[#This Row],[الحساب]],TableJudje[اسم الحساب],0)),0)</f>
        <v>31010101</v>
      </c>
      <c r="G432" s="58" t="s">
        <v>111</v>
      </c>
      <c r="H432"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14 بامر</v>
      </c>
      <c r="I432" s="60" t="str">
        <f>INDEX(Tabledaily[العملـــة],MATCH(TableDailyJournal[[#This Row],[رقم العملية]],Tabledaily[رقم العملية],0))</f>
        <v>ريال يمني</v>
      </c>
      <c r="J432" s="59">
        <f>IFERROR(INDEX(Tabledaily[سعــــــر
الصـــــرف],MATCH(C432,Tabledaily[رقم العملية],0)),1)</f>
        <v>405</v>
      </c>
      <c r="K432" s="123" cm="1">
        <f t="array" ref="K432">IFERROR(INDEX(Tabledaily[المبلـــــــغ],MATCH(1,(TableDailyJournal[[#This Row],[رقم العملية]]=Tabledaily[رقم العملية])*(TableDailyJournal[[#This Row],[الحساب]]=Tabledaily[الحســاب المديــــن]),0)),0)</f>
        <v>10000</v>
      </c>
      <c r="L432" s="123" cm="1">
        <f t="array" ref="L432">IFERROR(INDEX(Tabledaily[المبلـــــــغ],MATCH(1,(TableDailyJournal[[#This Row],[رقم العملية]]=Tabledaily[رقم العملية])*(TableDailyJournal[[#This Row],[الحساب]]=Tabledaily[الحســاب الدئـــن]),0)),0)</f>
        <v>0</v>
      </c>
      <c r="M432" s="119">
        <f>IFERROR(TableDailyJournal[[#This Row],[المبلغ مدين]]/TableDailyJournal[[#This Row],[سعــــــر
الصـــــرف]],0)</f>
        <v>24.691358024691358</v>
      </c>
      <c r="N432" s="119">
        <f>IFERROR(TableDailyJournal[[#This Row],[المبلغ دائن]]/TableDailyJournal[[#This Row],[سعــــــر
الصـــــرف]],0)</f>
        <v>0</v>
      </c>
      <c r="O432" s="121" t="str">
        <f>INDEX(Tabledaily[المستفيــــــــد],MATCH(TableDailyJournal[[#This Row],[رقم العملية]],Tabledaily[رقم العملية],0))</f>
        <v>محمد عبدالصمد عبدالله</v>
      </c>
      <c r="P432" s="121" t="str">
        <f>INDEX(Tabledaily[المــــرجـــــــــع],MATCH(TableDailyJournal[[#This Row],[رقم العملية]],Tabledaily[رقم العملية],0))</f>
        <v>استلام نقدي</v>
      </c>
      <c r="Q432" s="121" t="str">
        <f>INDEX(Tabledaily[اســـــــم المــــرجــــع],MATCH(TableDailyJournal[[#This Row],[رقم العملية]],Tabledaily[رقم العملية],0))</f>
        <v>سند استلام</v>
      </c>
      <c r="R432" s="121">
        <f>INDEX(Tabledaily[رقم المـــــرجـــع],MATCH(TableDailyJournal[[#This Row],[رقم العملية]],Tabledaily[رقم العملية],0))</f>
        <v>0</v>
      </c>
      <c r="S432" s="121" t="str">
        <f>INDEX(Tabledaily[مركـــــــزالتكلفــــــة],MATCH(TableDailyJournal[[#This Row],[رقم العملية]],Tabledaily[رقم العملية],0))</f>
        <v>اللواء السادس</v>
      </c>
      <c r="T432" s="121">
        <f>IFERROR(INDEX(tablecost[رقم المركز],MATCH(TableDailyJournal[[#This Row],[مركـــــــزالتكلفــــــة]],tablecost[الاسم],0)),0)</f>
        <v>7</v>
      </c>
      <c r="U432" s="122">
        <f>IFERROR(DATE(TableDailyJournal[[#This Row],[السنــــة]],TableDailyJournal[[#This Row],[الشهــــر]],TableDailyJournal[[#This Row],[الـــــيوم]]),"01-01-2026")</f>
        <v>46187</v>
      </c>
      <c r="V432" s="126"/>
      <c r="W432" s="58"/>
      <c r="X432" s="58">
        <f>IFERROR(YEAR(TableDailyJournal[[#This Row],[التاريخ]]),"")</f>
        <v>2026</v>
      </c>
      <c r="Y432" s="58">
        <f>IFERROR(MONTH(TableDailyJournal[[#This Row],[التاريخ]]),"")</f>
        <v>6</v>
      </c>
      <c r="Z432" s="58">
        <f>IFERROR(DAY(TableDailyJournal[[#This Row],[التاريخ]]),"")</f>
        <v>14</v>
      </c>
      <c r="AA432"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14 بامر</v>
      </c>
      <c r="AB432" s="121">
        <f>INDEX(Tabledaily[جهة الامر],MATCH(TableDailyJournal[[#This Row],[رقم العملية]],Tabledaily[رقم العملية],0))</f>
        <v>0</v>
      </c>
    </row>
    <row r="433" spans="2:28" ht="45.75" x14ac:dyDescent="0.55000000000000004">
      <c r="B433" s="58">
        <f t="shared" si="13"/>
        <v>429</v>
      </c>
      <c r="C433" s="59" t="s">
        <v>768</v>
      </c>
      <c r="D433" s="60">
        <f>INDEX(Tabledaily[date],MATCH(TableDailyJournal[[#This Row],[رقم العملية]],Tabledaily[رقم العملية],0))</f>
        <v>46187</v>
      </c>
      <c r="E433" s="58" t="str">
        <f>INDEX(Tabledaily[نوع العمليــة],MATCH(TableDailyJournal[[#This Row],[رقم العملية]],Tabledaily[رقم العملية],0))</f>
        <v>قيد عهده</v>
      </c>
      <c r="F433" s="58">
        <f>IFERROR(INDEX(TableJudje[رقم الحساب],MATCH(TableDailyJournal[[#This Row],[الحساب]],TableJudje[اسم الحساب],0)),0)</f>
        <v>11060205</v>
      </c>
      <c r="G433" s="58" t="s">
        <v>513</v>
      </c>
      <c r="H433"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14 بامر</v>
      </c>
      <c r="I433" s="60" t="str">
        <f>INDEX(Tabledaily[العملـــة],MATCH(TableDailyJournal[[#This Row],[رقم العملية]],Tabledaily[رقم العملية],0))</f>
        <v>ريال يمني</v>
      </c>
      <c r="J433" s="59">
        <f>IFERROR(INDEX(Tabledaily[سعــــــر
الصـــــرف],MATCH(C433,Tabledaily[رقم العملية],0)),1)</f>
        <v>405</v>
      </c>
      <c r="K433" s="123" cm="1">
        <f t="array" ref="K433">IFERROR(INDEX(Tabledaily[المبلـــــــغ],MATCH(1,(TableDailyJournal[[#This Row],[رقم العملية]]=Tabledaily[رقم العملية])*(TableDailyJournal[[#This Row],[الحساب]]=Tabledaily[الحســاب المديــــن]),0)),0)</f>
        <v>0</v>
      </c>
      <c r="L433" s="123" cm="1">
        <f t="array" ref="L433">IFERROR(INDEX(Tabledaily[المبلـــــــغ],MATCH(1,(TableDailyJournal[[#This Row],[رقم العملية]]=Tabledaily[رقم العملية])*(TableDailyJournal[[#This Row],[الحساب]]=Tabledaily[الحســاب الدئـــن]),0)),0)</f>
        <v>10000</v>
      </c>
      <c r="M433" s="119">
        <f>IFERROR(TableDailyJournal[[#This Row],[المبلغ مدين]]/TableDailyJournal[[#This Row],[سعــــــر
الصـــــرف]],0)</f>
        <v>0</v>
      </c>
      <c r="N433" s="119">
        <f>IFERROR(TableDailyJournal[[#This Row],[المبلغ دائن]]/TableDailyJournal[[#This Row],[سعــــــر
الصـــــرف]],0)</f>
        <v>24.691358024691358</v>
      </c>
      <c r="O433" s="121" t="str">
        <f>INDEX(Tabledaily[المستفيــــــــد],MATCH(TableDailyJournal[[#This Row],[رقم العملية]],Tabledaily[رقم العملية],0))</f>
        <v>محمد عبدالصمد عبدالله</v>
      </c>
      <c r="P433" s="121" t="str">
        <f>INDEX(Tabledaily[المــــرجـــــــــع],MATCH(TableDailyJournal[[#This Row],[رقم العملية]],Tabledaily[رقم العملية],0))</f>
        <v>استلام نقدي</v>
      </c>
      <c r="Q433" s="121" t="str">
        <f>INDEX(Tabledaily[اســـــــم المــــرجــــع],MATCH(TableDailyJournal[[#This Row],[رقم العملية]],Tabledaily[رقم العملية],0))</f>
        <v>سند استلام</v>
      </c>
      <c r="R433" s="121">
        <f>INDEX(Tabledaily[رقم المـــــرجـــع],MATCH(TableDailyJournal[[#This Row],[رقم العملية]],Tabledaily[رقم العملية],0))</f>
        <v>0</v>
      </c>
      <c r="S433" s="121" t="str">
        <f>INDEX(Tabledaily[مركـــــــزالتكلفــــــة],MATCH(TableDailyJournal[[#This Row],[رقم العملية]],Tabledaily[رقم العملية],0))</f>
        <v>اللواء السادس</v>
      </c>
      <c r="T433" s="121">
        <f>IFERROR(INDEX(tablecost[رقم المركز],MATCH(TableDailyJournal[[#This Row],[مركـــــــزالتكلفــــــة]],tablecost[الاسم],0)),0)</f>
        <v>7</v>
      </c>
      <c r="U433" s="122">
        <f>IFERROR(DATE(TableDailyJournal[[#This Row],[السنــــة]],TableDailyJournal[[#This Row],[الشهــــر]],TableDailyJournal[[#This Row],[الـــــيوم]]),"01-01-2026")</f>
        <v>46187</v>
      </c>
      <c r="V433" s="126"/>
      <c r="W433" s="58"/>
      <c r="X433" s="58">
        <f>IFERROR(YEAR(TableDailyJournal[[#This Row],[التاريخ]]),"")</f>
        <v>2026</v>
      </c>
      <c r="Y433" s="58">
        <f>IFERROR(MONTH(TableDailyJournal[[#This Row],[التاريخ]]),"")</f>
        <v>6</v>
      </c>
      <c r="Z433" s="58">
        <f>IFERROR(DAY(TableDailyJournal[[#This Row],[التاريخ]]),"")</f>
        <v>14</v>
      </c>
      <c r="AA433"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14 بامر</v>
      </c>
      <c r="AB433" s="121">
        <f>INDEX(Tabledaily[جهة الامر],MATCH(TableDailyJournal[[#This Row],[رقم العملية]],Tabledaily[رقم العملية],0))</f>
        <v>0</v>
      </c>
    </row>
    <row r="434" spans="2:28" ht="45.75" x14ac:dyDescent="0.55000000000000004">
      <c r="B434" s="58">
        <f t="shared" si="13"/>
        <v>430</v>
      </c>
      <c r="C434" s="59" t="s">
        <v>771</v>
      </c>
      <c r="D434" s="60">
        <f>INDEX(Tabledaily[date],MATCH(TableDailyJournal[[#This Row],[رقم العملية]],Tabledaily[رقم العملية],0))</f>
        <v>46187</v>
      </c>
      <c r="E434" s="58" t="str">
        <f>INDEX(Tabledaily[نوع العمليــة],MATCH(TableDailyJournal[[#This Row],[رقم العملية]],Tabledaily[رقم العملية],0))</f>
        <v>قيد عهده</v>
      </c>
      <c r="F434" s="58">
        <f>IFERROR(INDEX(TableJudje[رقم الحساب],MATCH(TableDailyJournal[[#This Row],[الحساب]],TableJudje[اسم الحساب],0)),0)</f>
        <v>11060208</v>
      </c>
      <c r="G434" s="58" t="s">
        <v>770</v>
      </c>
      <c r="H434" s="61" t="str">
        <f>INDEX(Tabledaily[المرجع البياني],MATCH(TableDailyJournal[[#This Row],[رقم العملية]],Tabledaily[رقم العملية],0))</f>
        <v>قيـد مقابـل:- (عهدة الفنية - الفنية - الفرقة الثالثة)  - استلام نقدي رقم   سند استلام - عهدة للفنية بامرالمستشار المالي</v>
      </c>
      <c r="I434" s="60" t="str">
        <f>INDEX(Tabledaily[العملـــة],MATCH(TableDailyJournal[[#This Row],[رقم العملية]],Tabledaily[رقم العملية],0))</f>
        <v>ريال سعودي</v>
      </c>
      <c r="J434" s="59">
        <f>IFERROR(INDEX(Tabledaily[سعــــــر
الصـــــرف],MATCH(C434,Tabledaily[رقم العملية],0)),1)</f>
        <v>1</v>
      </c>
      <c r="K434" s="123" cm="1">
        <f t="array" ref="K434">IFERROR(INDEX(Tabledaily[المبلـــــــغ],MATCH(1,(TableDailyJournal[[#This Row],[رقم العملية]]=Tabledaily[رقم العملية])*(TableDailyJournal[[#This Row],[الحساب]]=Tabledaily[الحســاب المديــــن]),0)),0)</f>
        <v>2000</v>
      </c>
      <c r="L434" s="123" cm="1">
        <f t="array" ref="L434">IFERROR(INDEX(Tabledaily[المبلـــــــغ],MATCH(1,(TableDailyJournal[[#This Row],[رقم العملية]]=Tabledaily[رقم العملية])*(TableDailyJournal[[#This Row],[الحساب]]=Tabledaily[الحســاب الدئـــن]),0)),0)</f>
        <v>0</v>
      </c>
      <c r="M434" s="119">
        <f>IFERROR(TableDailyJournal[[#This Row],[المبلغ مدين]]/TableDailyJournal[[#This Row],[سعــــــر
الصـــــرف]],0)</f>
        <v>2000</v>
      </c>
      <c r="N434" s="119">
        <f>IFERROR(TableDailyJournal[[#This Row],[المبلغ دائن]]/TableDailyJournal[[#This Row],[سعــــــر
الصـــــرف]],0)</f>
        <v>0</v>
      </c>
      <c r="O434" s="121" t="str">
        <f>INDEX(Tabledaily[المستفيــــــــد],MATCH(TableDailyJournal[[#This Row],[رقم العملية]],Tabledaily[رقم العملية],0))</f>
        <v>الفنية</v>
      </c>
      <c r="P434" s="121" t="str">
        <f>INDEX(Tabledaily[المــــرجـــــــــع],MATCH(TableDailyJournal[[#This Row],[رقم العملية]],Tabledaily[رقم العملية],0))</f>
        <v>استلام نقدي</v>
      </c>
      <c r="Q434" s="121" t="str">
        <f>INDEX(Tabledaily[اســـــــم المــــرجــــع],MATCH(TableDailyJournal[[#This Row],[رقم العملية]],Tabledaily[رقم العملية],0))</f>
        <v>سند استلام</v>
      </c>
      <c r="R434" s="121">
        <f>INDEX(Tabledaily[رقم المـــــرجـــع],MATCH(TableDailyJournal[[#This Row],[رقم العملية]],Tabledaily[رقم العملية],0))</f>
        <v>0</v>
      </c>
      <c r="S434" s="121" t="str">
        <f>INDEX(Tabledaily[مركـــــــزالتكلفــــــة],MATCH(TableDailyJournal[[#This Row],[رقم العملية]],Tabledaily[رقم العملية],0))</f>
        <v>الفرقة الثالثة</v>
      </c>
      <c r="T434" s="121">
        <f>IFERROR(INDEX(tablecost[رقم المركز],MATCH(TableDailyJournal[[#This Row],[مركـــــــزالتكلفــــــة]],tablecost[الاسم],0)),0)</f>
        <v>1</v>
      </c>
      <c r="U434" s="122">
        <f>IFERROR(DATE(TableDailyJournal[[#This Row],[السنــــة]],TableDailyJournal[[#This Row],[الشهــــر]],TableDailyJournal[[#This Row],[الـــــيوم]]),"01-01-2026")</f>
        <v>46187</v>
      </c>
      <c r="V434" s="126"/>
      <c r="W434" s="58"/>
      <c r="X434" s="58">
        <f>IFERROR(YEAR(TableDailyJournal[[#This Row],[التاريخ]]),"")</f>
        <v>2026</v>
      </c>
      <c r="Y434" s="58">
        <f>IFERROR(MONTH(TableDailyJournal[[#This Row],[التاريخ]]),"")</f>
        <v>6</v>
      </c>
      <c r="Z434" s="58">
        <f>IFERROR(DAY(TableDailyJournal[[#This Row],[التاريخ]]),"")</f>
        <v>14</v>
      </c>
      <c r="AA434" s="126" t="str">
        <f>INDEX(Tabledaily[المرجع البياني],MATCH(TableDailyJournal[[#This Row],[رقم العملية]],Tabledaily[رقم العملية],0))</f>
        <v>قيـد مقابـل:- (عهدة الفنية - الفنية - الفرقة الثالثة)  - استلام نقدي رقم   سند استلام - عهدة للفنية بامرالمستشار المالي</v>
      </c>
      <c r="AB434" s="121" t="str">
        <f>INDEX(Tabledaily[جهة الامر],MATCH(TableDailyJournal[[#This Row],[رقم العملية]],Tabledaily[رقم العملية],0))</f>
        <v>المستشار المالي</v>
      </c>
    </row>
    <row r="435" spans="2:28" ht="45.75" x14ac:dyDescent="0.55000000000000004">
      <c r="B435" s="58">
        <f t="shared" si="13"/>
        <v>431</v>
      </c>
      <c r="C435" s="59" t="s">
        <v>771</v>
      </c>
      <c r="D435" s="60">
        <f>INDEX(Tabledaily[date],MATCH(TableDailyJournal[[#This Row],[رقم العملية]],Tabledaily[رقم العملية],0))</f>
        <v>46187</v>
      </c>
      <c r="E435" s="58" t="str">
        <f>INDEX(Tabledaily[نوع العمليــة],MATCH(TableDailyJournal[[#This Row],[رقم العملية]],Tabledaily[رقم العملية],0))</f>
        <v>قيد عهده</v>
      </c>
      <c r="F435" s="58">
        <f>IFERROR(INDEX(TableJudje[رقم الحساب],MATCH(TableDailyJournal[[#This Row],[الحساب]],TableJudje[اسم الحساب],0)),0)</f>
        <v>11060205</v>
      </c>
      <c r="G435" s="58" t="s">
        <v>513</v>
      </c>
      <c r="H435" s="61" t="str">
        <f>INDEX(Tabledaily[المرجع البياني],MATCH(TableDailyJournal[[#This Row],[رقم العملية]],Tabledaily[رقم العملية],0))</f>
        <v>قيـد مقابـل:- (عهدة الفنية - الفنية - الفرقة الثالثة)  - استلام نقدي رقم   سند استلام - عهدة للفنية بامرالمستشار المالي</v>
      </c>
      <c r="I435" s="60" t="str">
        <f>INDEX(Tabledaily[العملـــة],MATCH(TableDailyJournal[[#This Row],[رقم العملية]],Tabledaily[رقم العملية],0))</f>
        <v>ريال سعودي</v>
      </c>
      <c r="J435" s="59">
        <f>IFERROR(INDEX(Tabledaily[سعــــــر
الصـــــرف],MATCH(C435,Tabledaily[رقم العملية],0)),1)</f>
        <v>1</v>
      </c>
      <c r="K435" s="123" cm="1">
        <f t="array" ref="K435">IFERROR(INDEX(Tabledaily[المبلـــــــغ],MATCH(1,(TableDailyJournal[[#This Row],[رقم العملية]]=Tabledaily[رقم العملية])*(TableDailyJournal[[#This Row],[الحساب]]=Tabledaily[الحســاب المديــــن]),0)),0)</f>
        <v>0</v>
      </c>
      <c r="L435" s="123" cm="1">
        <f t="array" ref="L435">IFERROR(INDEX(Tabledaily[المبلـــــــغ],MATCH(1,(TableDailyJournal[[#This Row],[رقم العملية]]=Tabledaily[رقم العملية])*(TableDailyJournal[[#This Row],[الحساب]]=Tabledaily[الحســاب الدئـــن]),0)),0)</f>
        <v>2000</v>
      </c>
      <c r="M435" s="119">
        <f>IFERROR(TableDailyJournal[[#This Row],[المبلغ مدين]]/TableDailyJournal[[#This Row],[سعــــــر
الصـــــرف]],0)</f>
        <v>0</v>
      </c>
      <c r="N435" s="119">
        <f>IFERROR(TableDailyJournal[[#This Row],[المبلغ دائن]]/TableDailyJournal[[#This Row],[سعــــــر
الصـــــرف]],0)</f>
        <v>2000</v>
      </c>
      <c r="O435" s="121" t="str">
        <f>INDEX(Tabledaily[المستفيــــــــد],MATCH(TableDailyJournal[[#This Row],[رقم العملية]],Tabledaily[رقم العملية],0))</f>
        <v>الفنية</v>
      </c>
      <c r="P435" s="121" t="str">
        <f>INDEX(Tabledaily[المــــرجـــــــــع],MATCH(TableDailyJournal[[#This Row],[رقم العملية]],Tabledaily[رقم العملية],0))</f>
        <v>استلام نقدي</v>
      </c>
      <c r="Q435" s="121" t="str">
        <f>INDEX(Tabledaily[اســـــــم المــــرجــــع],MATCH(TableDailyJournal[[#This Row],[رقم العملية]],Tabledaily[رقم العملية],0))</f>
        <v>سند استلام</v>
      </c>
      <c r="R435" s="121">
        <f>INDEX(Tabledaily[رقم المـــــرجـــع],MATCH(TableDailyJournal[[#This Row],[رقم العملية]],Tabledaily[رقم العملية],0))</f>
        <v>0</v>
      </c>
      <c r="S435" s="121" t="str">
        <f>INDEX(Tabledaily[مركـــــــزالتكلفــــــة],MATCH(TableDailyJournal[[#This Row],[رقم العملية]],Tabledaily[رقم العملية],0))</f>
        <v>الفرقة الثالثة</v>
      </c>
      <c r="T435" s="121">
        <f>IFERROR(INDEX(tablecost[رقم المركز],MATCH(TableDailyJournal[[#This Row],[مركـــــــزالتكلفــــــة]],tablecost[الاسم],0)),0)</f>
        <v>1</v>
      </c>
      <c r="U435" s="122">
        <f>IFERROR(DATE(TableDailyJournal[[#This Row],[السنــــة]],TableDailyJournal[[#This Row],[الشهــــر]],TableDailyJournal[[#This Row],[الـــــيوم]]),"01-01-2026")</f>
        <v>46187</v>
      </c>
      <c r="V435" s="126"/>
      <c r="W435" s="58"/>
      <c r="X435" s="58">
        <f>IFERROR(YEAR(TableDailyJournal[[#This Row],[التاريخ]]),"")</f>
        <v>2026</v>
      </c>
      <c r="Y435" s="58">
        <f>IFERROR(MONTH(TableDailyJournal[[#This Row],[التاريخ]]),"")</f>
        <v>6</v>
      </c>
      <c r="Z435" s="58">
        <f>IFERROR(DAY(TableDailyJournal[[#This Row],[التاريخ]]),"")</f>
        <v>14</v>
      </c>
      <c r="AA435" s="126" t="str">
        <f>INDEX(Tabledaily[المرجع البياني],MATCH(TableDailyJournal[[#This Row],[رقم العملية]],Tabledaily[رقم العملية],0))</f>
        <v>قيـد مقابـل:- (عهدة الفنية - الفنية - الفرقة الثالثة)  - استلام نقدي رقم   سند استلام - عهدة للفنية بامرالمستشار المالي</v>
      </c>
      <c r="AB435" s="121" t="str">
        <f>INDEX(Tabledaily[جهة الامر],MATCH(TableDailyJournal[[#This Row],[رقم العملية]],Tabledaily[رقم العملية],0))</f>
        <v>المستشار المالي</v>
      </c>
    </row>
    <row r="436" spans="2:28" ht="45.75" x14ac:dyDescent="0.55000000000000004">
      <c r="B436" s="58">
        <f t="shared" si="13"/>
        <v>432</v>
      </c>
      <c r="C436" s="59" t="s">
        <v>774</v>
      </c>
      <c r="D436" s="60">
        <f>INDEX(Tabledaily[date],MATCH(TableDailyJournal[[#This Row],[رقم العملية]],Tabledaily[رقم العملية],0))</f>
        <v>46187</v>
      </c>
      <c r="E436" s="58" t="str">
        <f>INDEX(Tabledaily[نوع العمليــة],MATCH(TableDailyJournal[[#This Row],[رقم العملية]],Tabledaily[رقم العملية],0))</f>
        <v>قيد عهده</v>
      </c>
      <c r="F436" s="58">
        <f>IFERROR(INDEX(TableJudje[رقم الحساب],MATCH(TableDailyJournal[[#This Row],[الحساب]],TableJudje[اسم الحساب],0)),0)</f>
        <v>31010103</v>
      </c>
      <c r="G436" s="58" t="s">
        <v>112</v>
      </c>
      <c r="H436" s="61" t="str">
        <f>INDEX(Tabledaily[المرجع البياني],MATCH(TableDailyJournal[[#This Row],[رقم العملية]],Tabledaily[رقم العملية],0))</f>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v>
      </c>
      <c r="I436" s="60" t="str">
        <f>INDEX(Tabledaily[العملـــة],MATCH(TableDailyJournal[[#This Row],[رقم العملية]],Tabledaily[رقم العملية],0))</f>
        <v>ريال يمني</v>
      </c>
      <c r="J436" s="59">
        <f>IFERROR(INDEX(Tabledaily[سعــــــر
الصـــــرف],MATCH(C436,Tabledaily[رقم العملية],0)),1)</f>
        <v>405</v>
      </c>
      <c r="K436" s="123" cm="1">
        <f t="array" ref="K436">IFERROR(INDEX(Tabledaily[المبلـــــــغ],MATCH(1,(TableDailyJournal[[#This Row],[رقم العملية]]=Tabledaily[رقم العملية])*(TableDailyJournal[[#This Row],[الحساب]]=Tabledaily[الحســاب المديــــن]),0)),0)</f>
        <v>449000</v>
      </c>
      <c r="L436" s="123" cm="1">
        <f t="array" ref="L436">IFERROR(INDEX(Tabledaily[المبلـــــــغ],MATCH(1,(TableDailyJournal[[#This Row],[رقم العملية]]=Tabledaily[رقم العملية])*(TableDailyJournal[[#This Row],[الحساب]]=Tabledaily[الحســاب الدئـــن]),0)),0)</f>
        <v>0</v>
      </c>
      <c r="M436" s="119">
        <f>IFERROR(TableDailyJournal[[#This Row],[المبلغ مدين]]/TableDailyJournal[[#This Row],[سعــــــر
الصـــــرف]],0)</f>
        <v>1108.641975308642</v>
      </c>
      <c r="N436" s="119">
        <f>IFERROR(TableDailyJournal[[#This Row],[المبلغ دائن]]/TableDailyJournal[[#This Row],[سعــــــر
الصـــــرف]],0)</f>
        <v>0</v>
      </c>
      <c r="O436" s="121" t="str">
        <f>INDEX(Tabledaily[المستفيــــــــد],MATCH(TableDailyJournal[[#This Row],[رقم العملية]],Tabledaily[رقم العملية],0))</f>
        <v>الجرحى</v>
      </c>
      <c r="P436" s="121" t="str">
        <f>INDEX(Tabledaily[المــــرجـــــــــع],MATCH(TableDailyJournal[[#This Row],[رقم العملية]],Tabledaily[رقم العملية],0))</f>
        <v>استلام نقدي</v>
      </c>
      <c r="Q436" s="121" t="str">
        <f>INDEX(Tabledaily[اســـــــم المــــرجــــع],MATCH(TableDailyJournal[[#This Row],[رقم العملية]],Tabledaily[رقم العملية],0))</f>
        <v>سند استلام</v>
      </c>
      <c r="R436" s="121">
        <f>INDEX(Tabledaily[رقم المـــــرجـــع],MATCH(TableDailyJournal[[#This Row],[رقم العملية]],Tabledaily[رقم العملية],0))</f>
        <v>0</v>
      </c>
      <c r="S436" s="121" t="str">
        <f>INDEX(Tabledaily[مركـــــــزالتكلفــــــة],MATCH(TableDailyJournal[[#This Row],[رقم العملية]],Tabledaily[رقم العملية],0))</f>
        <v>الفرقة الثالثة</v>
      </c>
      <c r="T436" s="121">
        <f>IFERROR(INDEX(tablecost[رقم المركز],MATCH(TableDailyJournal[[#This Row],[مركـــــــزالتكلفــــــة]],tablecost[الاسم],0)),0)</f>
        <v>1</v>
      </c>
      <c r="U436" s="122">
        <f>IFERROR(DATE(TableDailyJournal[[#This Row],[السنــــة]],TableDailyJournal[[#This Row],[الشهــــر]],TableDailyJournal[[#This Row],[الـــــيوم]]),"01-01-2026")</f>
        <v>46187</v>
      </c>
      <c r="V436" s="126"/>
      <c r="W436" s="58"/>
      <c r="X436" s="58">
        <f>IFERROR(YEAR(TableDailyJournal[[#This Row],[التاريخ]]),"")</f>
        <v>2026</v>
      </c>
      <c r="Y436" s="58">
        <f>IFERROR(MONTH(TableDailyJournal[[#This Row],[التاريخ]]),"")</f>
        <v>6</v>
      </c>
      <c r="Z436" s="58">
        <f>IFERROR(DAY(TableDailyJournal[[#This Row],[التاريخ]]),"")</f>
        <v>14</v>
      </c>
      <c r="AA436" s="126" t="str">
        <f>INDEX(Tabledaily[المرجع البياني],MATCH(TableDailyJournal[[#This Row],[رقم العملية]],Tabledaily[رقم العملية],0))</f>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v>
      </c>
      <c r="AB436" s="121">
        <f>INDEX(Tabledaily[جهة الامر],MATCH(TableDailyJournal[[#This Row],[رقم العملية]],Tabledaily[رقم العملية],0))</f>
        <v>0</v>
      </c>
    </row>
    <row r="437" spans="2:28" ht="45.75" x14ac:dyDescent="0.55000000000000004">
      <c r="B437" s="58">
        <f t="shared" si="13"/>
        <v>433</v>
      </c>
      <c r="C437" s="59" t="s">
        <v>774</v>
      </c>
      <c r="D437" s="60">
        <f>INDEX(Tabledaily[date],MATCH(TableDailyJournal[[#This Row],[رقم العملية]],Tabledaily[رقم العملية],0))</f>
        <v>46187</v>
      </c>
      <c r="E437" s="58" t="str">
        <f>INDEX(Tabledaily[نوع العمليــة],MATCH(TableDailyJournal[[#This Row],[رقم العملية]],Tabledaily[رقم العملية],0))</f>
        <v>قيد عهده</v>
      </c>
      <c r="F437" s="58">
        <f>IFERROR(INDEX(TableJudje[رقم الحساب],MATCH(TableDailyJournal[[#This Row],[الحساب]],TableJudje[اسم الحساب],0)),0)</f>
        <v>11060205</v>
      </c>
      <c r="G437" s="58" t="s">
        <v>513</v>
      </c>
      <c r="H437" s="61" t="str">
        <f>INDEX(Tabledaily[المرجع البياني],MATCH(TableDailyJournal[[#This Row],[رقم العملية]],Tabledaily[رقم العملية],0))</f>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v>
      </c>
      <c r="I437" s="60" t="str">
        <f>INDEX(Tabledaily[العملـــة],MATCH(TableDailyJournal[[#This Row],[رقم العملية]],Tabledaily[رقم العملية],0))</f>
        <v>ريال يمني</v>
      </c>
      <c r="J437" s="59">
        <f>IFERROR(INDEX(Tabledaily[سعــــــر
الصـــــرف],MATCH(C437,Tabledaily[رقم العملية],0)),1)</f>
        <v>405</v>
      </c>
      <c r="K437" s="123" cm="1">
        <f t="array" ref="K437">IFERROR(INDEX(Tabledaily[المبلـــــــغ],MATCH(1,(TableDailyJournal[[#This Row],[رقم العملية]]=Tabledaily[رقم العملية])*(TableDailyJournal[[#This Row],[الحساب]]=Tabledaily[الحســاب المديــــن]),0)),0)</f>
        <v>0</v>
      </c>
      <c r="L437" s="123" cm="1">
        <f t="array" ref="L437">IFERROR(INDEX(Tabledaily[المبلـــــــغ],MATCH(1,(TableDailyJournal[[#This Row],[رقم العملية]]=Tabledaily[رقم العملية])*(TableDailyJournal[[#This Row],[الحساب]]=Tabledaily[الحســاب الدئـــن]),0)),0)</f>
        <v>449000</v>
      </c>
      <c r="M437" s="119">
        <f>IFERROR(TableDailyJournal[[#This Row],[المبلغ مدين]]/TableDailyJournal[[#This Row],[سعــــــر
الصـــــرف]],0)</f>
        <v>0</v>
      </c>
      <c r="N437" s="119">
        <f>IFERROR(TableDailyJournal[[#This Row],[المبلغ دائن]]/TableDailyJournal[[#This Row],[سعــــــر
الصـــــرف]],0)</f>
        <v>1108.641975308642</v>
      </c>
      <c r="O437" s="121" t="str">
        <f>INDEX(Tabledaily[المستفيــــــــد],MATCH(TableDailyJournal[[#This Row],[رقم العملية]],Tabledaily[رقم العملية],0))</f>
        <v>الجرحى</v>
      </c>
      <c r="P437" s="121" t="str">
        <f>INDEX(Tabledaily[المــــرجـــــــــع],MATCH(TableDailyJournal[[#This Row],[رقم العملية]],Tabledaily[رقم العملية],0))</f>
        <v>استلام نقدي</v>
      </c>
      <c r="Q437" s="121" t="str">
        <f>INDEX(Tabledaily[اســـــــم المــــرجــــع],MATCH(TableDailyJournal[[#This Row],[رقم العملية]],Tabledaily[رقم العملية],0))</f>
        <v>سند استلام</v>
      </c>
      <c r="R437" s="121">
        <f>INDEX(Tabledaily[رقم المـــــرجـــع],MATCH(TableDailyJournal[[#This Row],[رقم العملية]],Tabledaily[رقم العملية],0))</f>
        <v>0</v>
      </c>
      <c r="S437" s="121" t="str">
        <f>INDEX(Tabledaily[مركـــــــزالتكلفــــــة],MATCH(TableDailyJournal[[#This Row],[رقم العملية]],Tabledaily[رقم العملية],0))</f>
        <v>الفرقة الثالثة</v>
      </c>
      <c r="T437" s="121">
        <f>IFERROR(INDEX(tablecost[رقم المركز],MATCH(TableDailyJournal[[#This Row],[مركـــــــزالتكلفــــــة]],tablecost[الاسم],0)),0)</f>
        <v>1</v>
      </c>
      <c r="U437" s="122">
        <f>IFERROR(DATE(TableDailyJournal[[#This Row],[السنــــة]],TableDailyJournal[[#This Row],[الشهــــر]],TableDailyJournal[[#This Row],[الـــــيوم]]),"01-01-2026")</f>
        <v>46187</v>
      </c>
      <c r="V437" s="126"/>
      <c r="W437" s="58"/>
      <c r="X437" s="58">
        <f>IFERROR(YEAR(TableDailyJournal[[#This Row],[التاريخ]]),"")</f>
        <v>2026</v>
      </c>
      <c r="Y437" s="58">
        <f>IFERROR(MONTH(TableDailyJournal[[#This Row],[التاريخ]]),"")</f>
        <v>6</v>
      </c>
      <c r="Z437" s="58">
        <f>IFERROR(DAY(TableDailyJournal[[#This Row],[التاريخ]]),"")</f>
        <v>14</v>
      </c>
      <c r="AA437" s="126" t="str">
        <f>INDEX(Tabledaily[المرجع البياني],MATCH(TableDailyJournal[[#This Row],[رقم العملية]],Tabledaily[رقم العملية],0))</f>
        <v>قيـد مقابـل:- (مصاريف طبية وعلاجات  - الجرحى - الفرقة الثالثة)  - استلام نقدي رقم   سند استلام - مصاريف الجرحى الذين تم انزالهم الى سيؤون للعلاج لمدة ثلاثة ايام بامر</v>
      </c>
      <c r="AB437" s="121">
        <f>INDEX(Tabledaily[جهة الامر],MATCH(TableDailyJournal[[#This Row],[رقم العملية]],Tabledaily[رقم العملية],0))</f>
        <v>0</v>
      </c>
    </row>
    <row r="438" spans="2:28" ht="45.75" x14ac:dyDescent="0.55000000000000004">
      <c r="B438" s="58">
        <f t="shared" si="13"/>
        <v>434</v>
      </c>
      <c r="C438" s="59" t="s">
        <v>790</v>
      </c>
      <c r="D438" s="60">
        <f>INDEX(Tabledaily[date],MATCH(TableDailyJournal[[#This Row],[رقم العملية]],Tabledaily[رقم العملية],0))</f>
        <v>46188</v>
      </c>
      <c r="E438" s="58" t="str">
        <f>INDEX(Tabledaily[نوع العمليــة],MATCH(TableDailyJournal[[#This Row],[رقم العملية]],Tabledaily[رقم العملية],0))</f>
        <v>قيد عهده</v>
      </c>
      <c r="F438" s="58">
        <f>IFERROR(INDEX(TableJudje[رقم الحساب],MATCH(TableDailyJournal[[#This Row],[الحساب]],TableJudje[اسم الحساب],0)),0)</f>
        <v>31010101</v>
      </c>
      <c r="G438" s="58" t="s">
        <v>111</v>
      </c>
      <c r="H438"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438" s="60" t="str">
        <f>INDEX(Tabledaily[العملـــة],MATCH(TableDailyJournal[[#This Row],[رقم العملية]],Tabledaily[رقم العملية],0))</f>
        <v>ريال يمني</v>
      </c>
      <c r="J438" s="59">
        <f>IFERROR(INDEX(Tabledaily[سعــــــر
الصـــــرف],MATCH(C438,Tabledaily[رقم العملية],0)),1)</f>
        <v>405</v>
      </c>
      <c r="K438" s="123" cm="1">
        <f t="array" ref="K438">IFERROR(INDEX(Tabledaily[المبلـــــــغ],MATCH(1,(TableDailyJournal[[#This Row],[رقم العملية]]=Tabledaily[رقم العملية])*(TableDailyJournal[[#This Row],[الحساب]]=Tabledaily[الحســاب المديــــن]),0)),0)</f>
        <v>52000</v>
      </c>
      <c r="L438" s="123" cm="1">
        <f t="array" ref="L438">IFERROR(INDEX(Tabledaily[المبلـــــــغ],MATCH(1,(TableDailyJournal[[#This Row],[رقم العملية]]=Tabledaily[رقم العملية])*(TableDailyJournal[[#This Row],[الحساب]]=Tabledaily[الحســاب الدئـــن]),0)),0)</f>
        <v>0</v>
      </c>
      <c r="M438" s="119">
        <f>IFERROR(TableDailyJournal[[#This Row],[المبلغ مدين]]/TableDailyJournal[[#This Row],[سعــــــر
الصـــــرف]],0)</f>
        <v>128.39506172839506</v>
      </c>
      <c r="N438" s="119">
        <f>IFERROR(TableDailyJournal[[#This Row],[المبلغ دائن]]/TableDailyJournal[[#This Row],[سعــــــر
الصـــــرف]],0)</f>
        <v>0</v>
      </c>
      <c r="O438" s="121" t="str">
        <f>INDEX(Tabledaily[المستفيــــــــد],MATCH(TableDailyJournal[[#This Row],[رقم العملية]],Tabledaily[رقم العملية],0))</f>
        <v>السيطرة والاتصالات</v>
      </c>
      <c r="P438" s="121" t="str">
        <f>INDEX(Tabledaily[المــــرجـــــــــع],MATCH(TableDailyJournal[[#This Row],[رقم العملية]],Tabledaily[رقم العملية],0))</f>
        <v>كشف صرف</v>
      </c>
      <c r="Q438" s="121" t="str">
        <f>INDEX(Tabledaily[اســـــــم المــــرجــــع],MATCH(TableDailyJournal[[#This Row],[رقم العملية]],Tabledaily[رقم العملية],0))</f>
        <v>كشف صرف</v>
      </c>
      <c r="R438" s="121">
        <f>INDEX(Tabledaily[رقم المـــــرجـــع],MATCH(TableDailyJournal[[#This Row],[رقم العملية]],Tabledaily[رقم العملية],0))</f>
        <v>0</v>
      </c>
      <c r="S438" s="121" t="str">
        <f>INDEX(Tabledaily[مركـــــــزالتكلفــــــة],MATCH(TableDailyJournal[[#This Row],[رقم العملية]],Tabledaily[رقم العملية],0))</f>
        <v>الفرقة الثالثة</v>
      </c>
      <c r="T438" s="121">
        <f>IFERROR(INDEX(tablecost[رقم المركز],MATCH(TableDailyJournal[[#This Row],[مركـــــــزالتكلفــــــة]],tablecost[الاسم],0)),0)</f>
        <v>1</v>
      </c>
      <c r="U438" s="122">
        <f>IFERROR(DATE(TableDailyJournal[[#This Row],[السنــــة]],TableDailyJournal[[#This Row],[الشهــــر]],TableDailyJournal[[#This Row],[الـــــيوم]]),"01-01-2026")</f>
        <v>46188</v>
      </c>
      <c r="V438" s="126"/>
      <c r="W438" s="58"/>
      <c r="X438" s="58">
        <f>IFERROR(YEAR(TableDailyJournal[[#This Row],[التاريخ]]),"")</f>
        <v>2026</v>
      </c>
      <c r="Y438" s="58">
        <f>IFERROR(MONTH(TableDailyJournal[[#This Row],[التاريخ]]),"")</f>
        <v>6</v>
      </c>
      <c r="Z438" s="58">
        <f>IFERROR(DAY(TableDailyJournal[[#This Row],[التاريخ]]),"")</f>
        <v>15</v>
      </c>
      <c r="AA438"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438" s="121">
        <f>INDEX(Tabledaily[جهة الامر],MATCH(TableDailyJournal[[#This Row],[رقم العملية]],Tabledaily[رقم العملية],0))</f>
        <v>0</v>
      </c>
    </row>
    <row r="439" spans="2:28" ht="45.75" x14ac:dyDescent="0.55000000000000004">
      <c r="B439" s="58">
        <f t="shared" si="13"/>
        <v>435</v>
      </c>
      <c r="C439" s="59" t="s">
        <v>790</v>
      </c>
      <c r="D439" s="60">
        <f>INDEX(Tabledaily[date],MATCH(TableDailyJournal[[#This Row],[رقم العملية]],Tabledaily[رقم العملية],0))</f>
        <v>46188</v>
      </c>
      <c r="E439" s="58" t="str">
        <f>INDEX(Tabledaily[نوع العمليــة],MATCH(TableDailyJournal[[#This Row],[رقم العملية]],Tabledaily[رقم العملية],0))</f>
        <v>قيد عهده</v>
      </c>
      <c r="F439" s="58">
        <f>IFERROR(INDEX(TableJudje[رقم الحساب],MATCH(TableDailyJournal[[#This Row],[الحساب]],TableJudje[اسم الحساب],0)),0)</f>
        <v>11060205</v>
      </c>
      <c r="G439" s="58" t="s">
        <v>513</v>
      </c>
      <c r="H439"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I439" s="60" t="str">
        <f>INDEX(Tabledaily[العملـــة],MATCH(TableDailyJournal[[#This Row],[رقم العملية]],Tabledaily[رقم العملية],0))</f>
        <v>ريال يمني</v>
      </c>
      <c r="J439" s="59">
        <f>IFERROR(INDEX(Tabledaily[سعــــــر
الصـــــرف],MATCH(C439,Tabledaily[رقم العملية],0)),1)</f>
        <v>405</v>
      </c>
      <c r="K439" s="123" cm="1">
        <f t="array" ref="K439">IFERROR(INDEX(Tabledaily[المبلـــــــغ],MATCH(1,(TableDailyJournal[[#This Row],[رقم العملية]]=Tabledaily[رقم العملية])*(TableDailyJournal[[#This Row],[الحساب]]=Tabledaily[الحســاب المديــــن]),0)),0)</f>
        <v>0</v>
      </c>
      <c r="L439" s="123" cm="1">
        <f t="array" ref="L439">IFERROR(INDEX(Tabledaily[المبلـــــــغ],MATCH(1,(TableDailyJournal[[#This Row],[رقم العملية]]=Tabledaily[رقم العملية])*(TableDailyJournal[[#This Row],[الحساب]]=Tabledaily[الحســاب الدئـــن]),0)),0)</f>
        <v>52000</v>
      </c>
      <c r="M439" s="119">
        <f>IFERROR(TableDailyJournal[[#This Row],[المبلغ مدين]]/TableDailyJournal[[#This Row],[سعــــــر
الصـــــرف]],0)</f>
        <v>0</v>
      </c>
      <c r="N439" s="119">
        <f>IFERROR(TableDailyJournal[[#This Row],[المبلغ دائن]]/TableDailyJournal[[#This Row],[سعــــــر
الصـــــرف]],0)</f>
        <v>128.39506172839506</v>
      </c>
      <c r="O439" s="121" t="str">
        <f>INDEX(Tabledaily[المستفيــــــــد],MATCH(TableDailyJournal[[#This Row],[رقم العملية]],Tabledaily[رقم العملية],0))</f>
        <v>السيطرة والاتصالات</v>
      </c>
      <c r="P439" s="121" t="str">
        <f>INDEX(Tabledaily[المــــرجـــــــــع],MATCH(TableDailyJournal[[#This Row],[رقم العملية]],Tabledaily[رقم العملية],0))</f>
        <v>كشف صرف</v>
      </c>
      <c r="Q439" s="121" t="str">
        <f>INDEX(Tabledaily[اســـــــم المــــرجــــع],MATCH(TableDailyJournal[[#This Row],[رقم العملية]],Tabledaily[رقم العملية],0))</f>
        <v>كشف صرف</v>
      </c>
      <c r="R439" s="121">
        <f>INDEX(Tabledaily[رقم المـــــرجـــع],MATCH(TableDailyJournal[[#This Row],[رقم العملية]],Tabledaily[رقم العملية],0))</f>
        <v>0</v>
      </c>
      <c r="S439" s="121" t="str">
        <f>INDEX(Tabledaily[مركـــــــزالتكلفــــــة],MATCH(TableDailyJournal[[#This Row],[رقم العملية]],Tabledaily[رقم العملية],0))</f>
        <v>الفرقة الثالثة</v>
      </c>
      <c r="T439" s="121">
        <f>IFERROR(INDEX(tablecost[رقم المركز],MATCH(TableDailyJournal[[#This Row],[مركـــــــزالتكلفــــــة]],tablecost[الاسم],0)),0)</f>
        <v>1</v>
      </c>
      <c r="U439" s="122">
        <f>IFERROR(DATE(TableDailyJournal[[#This Row],[السنــــة]],TableDailyJournal[[#This Row],[الشهــــر]],TableDailyJournal[[#This Row],[الـــــيوم]]),"01-01-2026")</f>
        <v>46188</v>
      </c>
      <c r="V439" s="126"/>
      <c r="W439" s="58"/>
      <c r="X439" s="58">
        <f>IFERROR(YEAR(TableDailyJournal[[#This Row],[التاريخ]]),"")</f>
        <v>2026</v>
      </c>
      <c r="Y439" s="58">
        <f>IFERROR(MONTH(TableDailyJournal[[#This Row],[التاريخ]]),"")</f>
        <v>6</v>
      </c>
      <c r="Z439" s="58">
        <f>IFERROR(DAY(TableDailyJournal[[#This Row],[التاريخ]]),"")</f>
        <v>15</v>
      </c>
      <c r="AA439"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8 بامر</v>
      </c>
      <c r="AB439" s="121">
        <f>INDEX(Tabledaily[جهة الامر],MATCH(TableDailyJournal[[#This Row],[رقم العملية]],Tabledaily[رقم العملية],0))</f>
        <v>0</v>
      </c>
    </row>
    <row r="440" spans="2:28" ht="45.75" x14ac:dyDescent="0.55000000000000004">
      <c r="B440" s="58">
        <f t="shared" si="13"/>
        <v>436</v>
      </c>
      <c r="C440" s="59" t="s">
        <v>792</v>
      </c>
      <c r="D440" s="60">
        <f>INDEX(Tabledaily[date],MATCH(TableDailyJournal[[#This Row],[رقم العملية]],Tabledaily[رقم العملية],0))</f>
        <v>46188</v>
      </c>
      <c r="E440" s="58" t="str">
        <f>INDEX(Tabledaily[نوع العمليــة],MATCH(TableDailyJournal[[#This Row],[رقم العملية]],Tabledaily[رقم العملية],0))</f>
        <v>قيد عهده</v>
      </c>
      <c r="F440" s="58">
        <f>IFERROR(INDEX(TableJudje[رقم الحساب],MATCH(TableDailyJournal[[#This Row],[الحساب]],TableJudje[اسم الحساب],0)),0)</f>
        <v>31010101</v>
      </c>
      <c r="G440" s="58" t="s">
        <v>111</v>
      </c>
      <c r="H440"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440" s="60" t="str">
        <f>INDEX(Tabledaily[العملـــة],MATCH(TableDailyJournal[[#This Row],[رقم العملية]],Tabledaily[رقم العملية],0))</f>
        <v>ريال يمني</v>
      </c>
      <c r="J440" s="59">
        <f>IFERROR(INDEX(Tabledaily[سعــــــر
الصـــــرف],MATCH(C440,Tabledaily[رقم العملية],0)),1)</f>
        <v>405</v>
      </c>
      <c r="K440" s="123" cm="1">
        <f t="array" ref="K440">IFERROR(INDEX(Tabledaily[المبلـــــــغ],MATCH(1,(TableDailyJournal[[#This Row],[رقم العملية]]=Tabledaily[رقم العملية])*(TableDailyJournal[[#This Row],[الحساب]]=Tabledaily[الحســاب المديــــن]),0)),0)</f>
        <v>30000</v>
      </c>
      <c r="L440" s="123" cm="1">
        <f t="array" ref="L440">IFERROR(INDEX(Tabledaily[المبلـــــــغ],MATCH(1,(TableDailyJournal[[#This Row],[رقم العملية]]=Tabledaily[رقم العملية])*(TableDailyJournal[[#This Row],[الحساب]]=Tabledaily[الحســاب الدئـــن]),0)),0)</f>
        <v>0</v>
      </c>
      <c r="M440" s="119">
        <f>IFERROR(TableDailyJournal[[#This Row],[المبلغ مدين]]/TableDailyJournal[[#This Row],[سعــــــر
الصـــــرف]],0)</f>
        <v>74.074074074074076</v>
      </c>
      <c r="N440" s="119">
        <f>IFERROR(TableDailyJournal[[#This Row],[المبلغ دائن]]/TableDailyJournal[[#This Row],[سعــــــر
الصـــــرف]],0)</f>
        <v>0</v>
      </c>
      <c r="O440" s="121" t="str">
        <f>INDEX(Tabledaily[المستفيــــــــد],MATCH(TableDailyJournal[[#This Row],[رقم العملية]],Tabledaily[رقم العملية],0))</f>
        <v>التوجيه</v>
      </c>
      <c r="P440" s="121" t="str">
        <f>INDEX(Tabledaily[المــــرجـــــــــع],MATCH(TableDailyJournal[[#This Row],[رقم العملية]],Tabledaily[رقم العملية],0))</f>
        <v>كشف صرف</v>
      </c>
      <c r="Q440" s="121" t="str">
        <f>INDEX(Tabledaily[اســـــــم المــــرجــــع],MATCH(TableDailyJournal[[#This Row],[رقم العملية]],Tabledaily[رقم العملية],0))</f>
        <v>كشف صرف</v>
      </c>
      <c r="R440" s="121">
        <f>INDEX(Tabledaily[رقم المـــــرجـــع],MATCH(TableDailyJournal[[#This Row],[رقم العملية]],Tabledaily[رقم العملية],0))</f>
        <v>0</v>
      </c>
      <c r="S440" s="121" t="str">
        <f>INDEX(Tabledaily[مركـــــــزالتكلفــــــة],MATCH(TableDailyJournal[[#This Row],[رقم العملية]],Tabledaily[رقم العملية],0))</f>
        <v>الفرقة الثالثة</v>
      </c>
      <c r="T440" s="121">
        <f>IFERROR(INDEX(tablecost[رقم المركز],MATCH(TableDailyJournal[[#This Row],[مركـــــــزالتكلفــــــة]],tablecost[الاسم],0)),0)</f>
        <v>1</v>
      </c>
      <c r="U440" s="122">
        <f>IFERROR(DATE(TableDailyJournal[[#This Row],[السنــــة]],TableDailyJournal[[#This Row],[الشهــــر]],TableDailyJournal[[#This Row],[الـــــيوم]]),"01-01-2026")</f>
        <v>46188</v>
      </c>
      <c r="V440" s="126"/>
      <c r="W440" s="58"/>
      <c r="X440" s="58">
        <f>IFERROR(YEAR(TableDailyJournal[[#This Row],[التاريخ]]),"")</f>
        <v>2026</v>
      </c>
      <c r="Y440" s="58">
        <f>IFERROR(MONTH(TableDailyJournal[[#This Row],[التاريخ]]),"")</f>
        <v>6</v>
      </c>
      <c r="Z440" s="58">
        <f>IFERROR(DAY(TableDailyJournal[[#This Row],[التاريخ]]),"")</f>
        <v>15</v>
      </c>
      <c r="AA440"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440" s="121">
        <f>INDEX(Tabledaily[جهة الامر],MATCH(TableDailyJournal[[#This Row],[رقم العملية]],Tabledaily[رقم العملية],0))</f>
        <v>0</v>
      </c>
    </row>
    <row r="441" spans="2:28" ht="45.75" x14ac:dyDescent="0.55000000000000004">
      <c r="B441" s="58">
        <f t="shared" si="13"/>
        <v>437</v>
      </c>
      <c r="C441" s="59" t="s">
        <v>792</v>
      </c>
      <c r="D441" s="60">
        <f>INDEX(Tabledaily[date],MATCH(TableDailyJournal[[#This Row],[رقم العملية]],Tabledaily[رقم العملية],0))</f>
        <v>46188</v>
      </c>
      <c r="E441" s="58" t="str">
        <f>INDEX(Tabledaily[نوع العمليــة],MATCH(TableDailyJournal[[#This Row],[رقم العملية]],Tabledaily[رقم العملية],0))</f>
        <v>قيد عهده</v>
      </c>
      <c r="F441" s="58">
        <f>IFERROR(INDEX(TableJudje[رقم الحساب],MATCH(TableDailyJournal[[#This Row],[الحساب]],TableJudje[اسم الحساب],0)),0)</f>
        <v>11060205</v>
      </c>
      <c r="G441" s="58" t="s">
        <v>513</v>
      </c>
      <c r="H441" s="61"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I441" s="60" t="str">
        <f>INDEX(Tabledaily[العملـــة],MATCH(TableDailyJournal[[#This Row],[رقم العملية]],Tabledaily[رقم العملية],0))</f>
        <v>ريال يمني</v>
      </c>
      <c r="J441" s="59">
        <f>IFERROR(INDEX(Tabledaily[سعــــــر
الصـــــرف],MATCH(C441,Tabledaily[رقم العملية],0)),1)</f>
        <v>405</v>
      </c>
      <c r="K441" s="123" cm="1">
        <f t="array" ref="K441">IFERROR(INDEX(Tabledaily[المبلـــــــغ],MATCH(1,(TableDailyJournal[[#This Row],[رقم العملية]]=Tabledaily[رقم العملية])*(TableDailyJournal[[#This Row],[الحساب]]=Tabledaily[الحســاب المديــــن]),0)),0)</f>
        <v>0</v>
      </c>
      <c r="L441" s="123" cm="1">
        <f t="array" ref="L441">IFERROR(INDEX(Tabledaily[المبلـــــــغ],MATCH(1,(TableDailyJournal[[#This Row],[رقم العملية]]=Tabledaily[رقم العملية])*(TableDailyJournal[[#This Row],[الحساب]]=Tabledaily[الحســاب الدئـــن]),0)),0)</f>
        <v>30000</v>
      </c>
      <c r="M441" s="119">
        <f>IFERROR(TableDailyJournal[[#This Row],[المبلغ مدين]]/TableDailyJournal[[#This Row],[سعــــــر
الصـــــرف]],0)</f>
        <v>0</v>
      </c>
      <c r="N441" s="119">
        <f>IFERROR(TableDailyJournal[[#This Row],[المبلغ دائن]]/TableDailyJournal[[#This Row],[سعــــــر
الصـــــرف]],0)</f>
        <v>74.074074074074076</v>
      </c>
      <c r="O441" s="121" t="str">
        <f>INDEX(Tabledaily[المستفيــــــــد],MATCH(TableDailyJournal[[#This Row],[رقم العملية]],Tabledaily[رقم العملية],0))</f>
        <v>التوجيه</v>
      </c>
      <c r="P441" s="121" t="str">
        <f>INDEX(Tabledaily[المــــرجـــــــــع],MATCH(TableDailyJournal[[#This Row],[رقم العملية]],Tabledaily[رقم العملية],0))</f>
        <v>كشف صرف</v>
      </c>
      <c r="Q441" s="121" t="str">
        <f>INDEX(Tabledaily[اســـــــم المــــرجــــع],MATCH(TableDailyJournal[[#This Row],[رقم العملية]],Tabledaily[رقم العملية],0))</f>
        <v>كشف صرف</v>
      </c>
      <c r="R441" s="121">
        <f>INDEX(Tabledaily[رقم المـــــرجـــع],MATCH(TableDailyJournal[[#This Row],[رقم العملية]],Tabledaily[رقم العملية],0))</f>
        <v>0</v>
      </c>
      <c r="S441" s="121" t="str">
        <f>INDEX(Tabledaily[مركـــــــزالتكلفــــــة],MATCH(TableDailyJournal[[#This Row],[رقم العملية]],Tabledaily[رقم العملية],0))</f>
        <v>الفرقة الثالثة</v>
      </c>
      <c r="T441" s="121">
        <f>IFERROR(INDEX(tablecost[رقم المركز],MATCH(TableDailyJournal[[#This Row],[مركـــــــزالتكلفــــــة]],tablecost[الاسم],0)),0)</f>
        <v>1</v>
      </c>
      <c r="U441" s="122">
        <f>IFERROR(DATE(TableDailyJournal[[#This Row],[السنــــة]],TableDailyJournal[[#This Row],[الشهــــر]],TableDailyJournal[[#This Row],[الـــــيوم]]),"01-01-2026")</f>
        <v>46188</v>
      </c>
      <c r="V441" s="126"/>
      <c r="W441" s="58"/>
      <c r="X441" s="58">
        <f>IFERROR(YEAR(TableDailyJournal[[#This Row],[التاريخ]]),"")</f>
        <v>2026</v>
      </c>
      <c r="Y441" s="58">
        <f>IFERROR(MONTH(TableDailyJournal[[#This Row],[التاريخ]]),"")</f>
        <v>6</v>
      </c>
      <c r="Z441" s="58">
        <f>IFERROR(DAY(TableDailyJournal[[#This Row],[التاريخ]]),"")</f>
        <v>15</v>
      </c>
      <c r="AA441" s="126" t="str">
        <f>INDEX(Tabledaily[المرجع البياني],MATCH(TableDailyJournal[[#This Row],[رقم العملية]],Tabledaily[رقم العملية],0))</f>
        <v>قيـد مقابـل:- (مصاريف  صرفة يومية للافراد  - التوجيه - الفرقة الثالثة)  - كشف صرف رقم   كشف صرف - صرف الصرفة اليومية للتوجيه عدد 2 بامر</v>
      </c>
      <c r="AB441" s="121">
        <f>INDEX(Tabledaily[جهة الامر],MATCH(TableDailyJournal[[#This Row],[رقم العملية]],Tabledaily[رقم العملية],0))</f>
        <v>0</v>
      </c>
    </row>
    <row r="442" spans="2:28" ht="45.75" x14ac:dyDescent="0.55000000000000004">
      <c r="B442" s="58">
        <f t="shared" si="13"/>
        <v>438</v>
      </c>
      <c r="C442" s="59" t="s">
        <v>793</v>
      </c>
      <c r="D442" s="60">
        <f>INDEX(Tabledaily[date],MATCH(TableDailyJournal[[#This Row],[رقم العملية]],Tabledaily[رقم العملية],0))</f>
        <v>46188</v>
      </c>
      <c r="E442" s="58" t="str">
        <f>INDEX(Tabledaily[نوع العمليــة],MATCH(TableDailyJournal[[#This Row],[رقم العملية]],Tabledaily[رقم العملية],0))</f>
        <v>قيد عهده</v>
      </c>
      <c r="F442" s="58">
        <f>IFERROR(INDEX(TableJudje[رقم الحساب],MATCH(TableDailyJournal[[#This Row],[الحساب]],TableJudje[اسم الحساب],0)),0)</f>
        <v>31010101</v>
      </c>
      <c r="G442" s="58" t="s">
        <v>111</v>
      </c>
      <c r="H442"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I442" s="60" t="str">
        <f>INDEX(Tabledaily[العملـــة],MATCH(TableDailyJournal[[#This Row],[رقم العملية]],Tabledaily[رقم العملية],0))</f>
        <v>ريال يمني</v>
      </c>
      <c r="J442" s="59">
        <f>IFERROR(INDEX(Tabledaily[سعــــــر
الصـــــرف],MATCH(C442,Tabledaily[رقم العملية],0)),1)</f>
        <v>405</v>
      </c>
      <c r="K442" s="123" cm="1">
        <f t="array" ref="K442">IFERROR(INDEX(Tabledaily[المبلـــــــغ],MATCH(1,(TableDailyJournal[[#This Row],[رقم العملية]]=Tabledaily[رقم العملية])*(TableDailyJournal[[#This Row],[الحساب]]=Tabledaily[الحســاب المديــــن]),0)),0)</f>
        <v>70000</v>
      </c>
      <c r="L442" s="123" cm="1">
        <f t="array" ref="L442">IFERROR(INDEX(Tabledaily[المبلـــــــغ],MATCH(1,(TableDailyJournal[[#This Row],[رقم العملية]]=Tabledaily[رقم العملية])*(TableDailyJournal[[#This Row],[الحساب]]=Tabledaily[الحســاب الدئـــن]),0)),0)</f>
        <v>0</v>
      </c>
      <c r="M442" s="119">
        <f>IFERROR(TableDailyJournal[[#This Row],[المبلغ مدين]]/TableDailyJournal[[#This Row],[سعــــــر
الصـــــرف]],0)</f>
        <v>172.83950617283949</v>
      </c>
      <c r="N442" s="119">
        <f>IFERROR(TableDailyJournal[[#This Row],[المبلغ دائن]]/TableDailyJournal[[#This Row],[سعــــــر
الصـــــرف]],0)</f>
        <v>0</v>
      </c>
      <c r="O442" s="121" t="str">
        <f>INDEX(Tabledaily[المستفيــــــــد],MATCH(TableDailyJournal[[#This Row],[رقم العملية]],Tabledaily[رقم العملية],0))</f>
        <v>الامداد</v>
      </c>
      <c r="P442" s="121" t="str">
        <f>INDEX(Tabledaily[المــــرجـــــــــع],MATCH(TableDailyJournal[[#This Row],[رقم العملية]],Tabledaily[رقم العملية],0))</f>
        <v>كشف صرف</v>
      </c>
      <c r="Q442" s="121" t="str">
        <f>INDEX(Tabledaily[اســـــــم المــــرجــــع],MATCH(TableDailyJournal[[#This Row],[رقم العملية]],Tabledaily[رقم العملية],0))</f>
        <v>كشف صرف</v>
      </c>
      <c r="R442" s="121">
        <f>INDEX(Tabledaily[رقم المـــــرجـــع],MATCH(TableDailyJournal[[#This Row],[رقم العملية]],Tabledaily[رقم العملية],0))</f>
        <v>0</v>
      </c>
      <c r="S442" s="121" t="str">
        <f>INDEX(Tabledaily[مركـــــــزالتكلفــــــة],MATCH(TableDailyJournal[[#This Row],[رقم العملية]],Tabledaily[رقم العملية],0))</f>
        <v>الفرقة الثالثة</v>
      </c>
      <c r="T442" s="121">
        <f>IFERROR(INDEX(tablecost[رقم المركز],MATCH(TableDailyJournal[[#This Row],[مركـــــــزالتكلفــــــة]],tablecost[الاسم],0)),0)</f>
        <v>1</v>
      </c>
      <c r="U442" s="122">
        <f>IFERROR(DATE(TableDailyJournal[[#This Row],[السنــــة]],TableDailyJournal[[#This Row],[الشهــــر]],TableDailyJournal[[#This Row],[الـــــيوم]]),"01-01-2026")</f>
        <v>46188</v>
      </c>
      <c r="V442" s="126"/>
      <c r="W442" s="58"/>
      <c r="X442" s="58">
        <f>IFERROR(YEAR(TableDailyJournal[[#This Row],[التاريخ]]),"")</f>
        <v>2026</v>
      </c>
      <c r="Y442" s="58">
        <f>IFERROR(MONTH(TableDailyJournal[[#This Row],[التاريخ]]),"")</f>
        <v>6</v>
      </c>
      <c r="Z442" s="58">
        <f>IFERROR(DAY(TableDailyJournal[[#This Row],[التاريخ]]),"")</f>
        <v>15</v>
      </c>
      <c r="AA442"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AB442" s="121">
        <f>INDEX(Tabledaily[جهة الامر],MATCH(TableDailyJournal[[#This Row],[رقم العملية]],Tabledaily[رقم العملية],0))</f>
        <v>0</v>
      </c>
    </row>
    <row r="443" spans="2:28" ht="45.75" x14ac:dyDescent="0.55000000000000004">
      <c r="B443" s="58">
        <f t="shared" si="13"/>
        <v>439</v>
      </c>
      <c r="C443" s="59" t="s">
        <v>793</v>
      </c>
      <c r="D443" s="60">
        <f>INDEX(Tabledaily[date],MATCH(TableDailyJournal[[#This Row],[رقم العملية]],Tabledaily[رقم العملية],0))</f>
        <v>46188</v>
      </c>
      <c r="E443" s="58" t="str">
        <f>INDEX(Tabledaily[نوع العمليــة],MATCH(TableDailyJournal[[#This Row],[رقم العملية]],Tabledaily[رقم العملية],0))</f>
        <v>قيد عهده</v>
      </c>
      <c r="F443" s="58">
        <f>IFERROR(INDEX(TableJudje[رقم الحساب],MATCH(TableDailyJournal[[#This Row],[الحساب]],TableJudje[اسم الحساب],0)),0)</f>
        <v>11060205</v>
      </c>
      <c r="G443" s="58" t="s">
        <v>513</v>
      </c>
      <c r="H443"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I443" s="60" t="str">
        <f>INDEX(Tabledaily[العملـــة],MATCH(TableDailyJournal[[#This Row],[رقم العملية]],Tabledaily[رقم العملية],0))</f>
        <v>ريال يمني</v>
      </c>
      <c r="J443" s="59">
        <f>IFERROR(INDEX(Tabledaily[سعــــــر
الصـــــرف],MATCH(C443,Tabledaily[رقم العملية],0)),1)</f>
        <v>405</v>
      </c>
      <c r="K443" s="123" cm="1">
        <f t="array" ref="K443">IFERROR(INDEX(Tabledaily[المبلـــــــغ],MATCH(1,(TableDailyJournal[[#This Row],[رقم العملية]]=Tabledaily[رقم العملية])*(TableDailyJournal[[#This Row],[الحساب]]=Tabledaily[الحســاب المديــــن]),0)),0)</f>
        <v>0</v>
      </c>
      <c r="L443" s="123" cm="1">
        <f t="array" ref="L443">IFERROR(INDEX(Tabledaily[المبلـــــــغ],MATCH(1,(TableDailyJournal[[#This Row],[رقم العملية]]=Tabledaily[رقم العملية])*(TableDailyJournal[[#This Row],[الحساب]]=Tabledaily[الحســاب الدئـــن]),0)),0)</f>
        <v>70000</v>
      </c>
      <c r="M443" s="119">
        <f>IFERROR(TableDailyJournal[[#This Row],[المبلغ مدين]]/TableDailyJournal[[#This Row],[سعــــــر
الصـــــرف]],0)</f>
        <v>0</v>
      </c>
      <c r="N443" s="119">
        <f>IFERROR(TableDailyJournal[[#This Row],[المبلغ دائن]]/TableDailyJournal[[#This Row],[سعــــــر
الصـــــرف]],0)</f>
        <v>172.83950617283949</v>
      </c>
      <c r="O443" s="121" t="str">
        <f>INDEX(Tabledaily[المستفيــــــــد],MATCH(TableDailyJournal[[#This Row],[رقم العملية]],Tabledaily[رقم العملية],0))</f>
        <v>الامداد</v>
      </c>
      <c r="P443" s="121" t="str">
        <f>INDEX(Tabledaily[المــــرجـــــــــع],MATCH(TableDailyJournal[[#This Row],[رقم العملية]],Tabledaily[رقم العملية],0))</f>
        <v>كشف صرف</v>
      </c>
      <c r="Q443" s="121" t="str">
        <f>INDEX(Tabledaily[اســـــــم المــــرجــــع],MATCH(TableDailyJournal[[#This Row],[رقم العملية]],Tabledaily[رقم العملية],0))</f>
        <v>كشف صرف</v>
      </c>
      <c r="R443" s="121">
        <f>INDEX(Tabledaily[رقم المـــــرجـــع],MATCH(TableDailyJournal[[#This Row],[رقم العملية]],Tabledaily[رقم العملية],0))</f>
        <v>0</v>
      </c>
      <c r="S443" s="121" t="str">
        <f>INDEX(Tabledaily[مركـــــــزالتكلفــــــة],MATCH(TableDailyJournal[[#This Row],[رقم العملية]],Tabledaily[رقم العملية],0))</f>
        <v>الفرقة الثالثة</v>
      </c>
      <c r="T443" s="121">
        <f>IFERROR(INDEX(tablecost[رقم المركز],MATCH(TableDailyJournal[[#This Row],[مركـــــــزالتكلفــــــة]],tablecost[الاسم],0)),0)</f>
        <v>1</v>
      </c>
      <c r="U443" s="122">
        <f>IFERROR(DATE(TableDailyJournal[[#This Row],[السنــــة]],TableDailyJournal[[#This Row],[الشهــــر]],TableDailyJournal[[#This Row],[الـــــيوم]]),"01-01-2026")</f>
        <v>46188</v>
      </c>
      <c r="V443" s="126"/>
      <c r="W443" s="58"/>
      <c r="X443" s="58">
        <f>IFERROR(YEAR(TableDailyJournal[[#This Row],[التاريخ]]),"")</f>
        <v>2026</v>
      </c>
      <c r="Y443" s="58">
        <f>IFERROR(MONTH(TableDailyJournal[[#This Row],[التاريخ]]),"")</f>
        <v>6</v>
      </c>
      <c r="Z443" s="58">
        <f>IFERROR(DAY(TableDailyJournal[[#This Row],[التاريخ]]),"")</f>
        <v>15</v>
      </c>
      <c r="AA443"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AB443" s="121">
        <f>INDEX(Tabledaily[جهة الامر],MATCH(TableDailyJournal[[#This Row],[رقم العملية]],Tabledaily[رقم العملية],0))</f>
        <v>0</v>
      </c>
    </row>
    <row r="444" spans="2:28" ht="45.75" x14ac:dyDescent="0.55000000000000004">
      <c r="B444" s="58">
        <f t="shared" si="13"/>
        <v>440</v>
      </c>
      <c r="C444" s="59" t="s">
        <v>795</v>
      </c>
      <c r="D444" s="60">
        <f>INDEX(Tabledaily[date],MATCH(TableDailyJournal[[#This Row],[رقم العملية]],Tabledaily[رقم العملية],0))</f>
        <v>46188</v>
      </c>
      <c r="E444" s="58" t="str">
        <f>INDEX(Tabledaily[نوع العمليــة],MATCH(TableDailyJournal[[#This Row],[رقم العملية]],Tabledaily[رقم العملية],0))</f>
        <v>قيد عهده</v>
      </c>
      <c r="F444" s="58">
        <f>IFERROR(INDEX(TableJudje[رقم الحساب],MATCH(TableDailyJournal[[#This Row],[الحساب]],TableJudje[اسم الحساب],0)),0)</f>
        <v>31010101</v>
      </c>
      <c r="G444" s="58" t="s">
        <v>111</v>
      </c>
      <c r="H444"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444" s="60" t="str">
        <f>INDEX(Tabledaily[العملـــة],MATCH(TableDailyJournal[[#This Row],[رقم العملية]],Tabledaily[رقم العملية],0))</f>
        <v>ريال يمني</v>
      </c>
      <c r="J444" s="59">
        <f>IFERROR(INDEX(Tabledaily[سعــــــر
الصـــــرف],MATCH(C444,Tabledaily[رقم العملية],0)),1)</f>
        <v>405</v>
      </c>
      <c r="K444" s="123" cm="1">
        <f t="array" ref="K444">IFERROR(INDEX(Tabledaily[المبلـــــــغ],MATCH(1,(TableDailyJournal[[#This Row],[رقم العملية]]=Tabledaily[رقم العملية])*(TableDailyJournal[[#This Row],[الحساب]]=Tabledaily[الحســاب المديــــن]),0)),0)</f>
        <v>15000</v>
      </c>
      <c r="L444" s="123" cm="1">
        <f t="array" ref="L444">IFERROR(INDEX(Tabledaily[المبلـــــــغ],MATCH(1,(TableDailyJournal[[#This Row],[رقم العملية]]=Tabledaily[رقم العملية])*(TableDailyJournal[[#This Row],[الحساب]]=Tabledaily[الحســاب الدئـــن]),0)),0)</f>
        <v>0</v>
      </c>
      <c r="M444" s="119">
        <f>IFERROR(TableDailyJournal[[#This Row],[المبلغ مدين]]/TableDailyJournal[[#This Row],[سعــــــر
الصـــــرف]],0)</f>
        <v>37.037037037037038</v>
      </c>
      <c r="N444" s="119">
        <f>IFERROR(TableDailyJournal[[#This Row],[المبلغ دائن]]/TableDailyJournal[[#This Row],[سعــــــر
الصـــــرف]],0)</f>
        <v>0</v>
      </c>
      <c r="O444" s="121" t="str">
        <f>INDEX(Tabledaily[المستفيــــــــد],MATCH(TableDailyJournal[[#This Row],[رقم العملية]],Tabledaily[رقم العملية],0))</f>
        <v>البشرية و الصراف</v>
      </c>
      <c r="P444" s="121" t="str">
        <f>INDEX(Tabledaily[المــــرجـــــــــع],MATCH(TableDailyJournal[[#This Row],[رقم العملية]],Tabledaily[رقم العملية],0))</f>
        <v>كشف صرف</v>
      </c>
      <c r="Q444" s="121" t="str">
        <f>INDEX(Tabledaily[اســـــــم المــــرجــــع],MATCH(TableDailyJournal[[#This Row],[رقم العملية]],Tabledaily[رقم العملية],0))</f>
        <v>كشف صرف</v>
      </c>
      <c r="R444" s="121">
        <f>INDEX(Tabledaily[رقم المـــــرجـــع],MATCH(TableDailyJournal[[#This Row],[رقم العملية]],Tabledaily[رقم العملية],0))</f>
        <v>0</v>
      </c>
      <c r="S444" s="121" t="str">
        <f>INDEX(Tabledaily[مركـــــــزالتكلفــــــة],MATCH(TableDailyJournal[[#This Row],[رقم العملية]],Tabledaily[رقم العملية],0))</f>
        <v>الفرقة الثالثة</v>
      </c>
      <c r="T444" s="121">
        <f>IFERROR(INDEX(tablecost[رقم المركز],MATCH(TableDailyJournal[[#This Row],[مركـــــــزالتكلفــــــة]],tablecost[الاسم],0)),0)</f>
        <v>1</v>
      </c>
      <c r="U444" s="122">
        <f>IFERROR(DATE(TableDailyJournal[[#This Row],[السنــــة]],TableDailyJournal[[#This Row],[الشهــــر]],TableDailyJournal[[#This Row],[الـــــيوم]]),"01-01-2026")</f>
        <v>46188</v>
      </c>
      <c r="V444" s="126"/>
      <c r="W444" s="58"/>
      <c r="X444" s="58">
        <f>IFERROR(YEAR(TableDailyJournal[[#This Row],[التاريخ]]),"")</f>
        <v>2026</v>
      </c>
      <c r="Y444" s="58">
        <f>IFERROR(MONTH(TableDailyJournal[[#This Row],[التاريخ]]),"")</f>
        <v>6</v>
      </c>
      <c r="Z444" s="58">
        <f>IFERROR(DAY(TableDailyJournal[[#This Row],[التاريخ]]),"")</f>
        <v>15</v>
      </c>
      <c r="AA444"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444" s="121">
        <f>INDEX(Tabledaily[جهة الامر],MATCH(TableDailyJournal[[#This Row],[رقم العملية]],Tabledaily[رقم العملية],0))</f>
        <v>0</v>
      </c>
    </row>
    <row r="445" spans="2:28" ht="45.75" x14ac:dyDescent="0.55000000000000004">
      <c r="B445" s="58">
        <f t="shared" si="13"/>
        <v>441</v>
      </c>
      <c r="C445" s="59" t="s">
        <v>795</v>
      </c>
      <c r="D445" s="60">
        <f>INDEX(Tabledaily[date],MATCH(TableDailyJournal[[#This Row],[رقم العملية]],Tabledaily[رقم العملية],0))</f>
        <v>46188</v>
      </c>
      <c r="E445" s="58" t="str">
        <f>INDEX(Tabledaily[نوع العمليــة],MATCH(TableDailyJournal[[#This Row],[رقم العملية]],Tabledaily[رقم العملية],0))</f>
        <v>قيد عهده</v>
      </c>
      <c r="F445" s="58">
        <f>IFERROR(INDEX(TableJudje[رقم الحساب],MATCH(TableDailyJournal[[#This Row],[الحساب]],TableJudje[اسم الحساب],0)),0)</f>
        <v>11060205</v>
      </c>
      <c r="G445" s="58" t="s">
        <v>513</v>
      </c>
      <c r="H445"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I445" s="60" t="str">
        <f>INDEX(Tabledaily[العملـــة],MATCH(TableDailyJournal[[#This Row],[رقم العملية]],Tabledaily[رقم العملية],0))</f>
        <v>ريال يمني</v>
      </c>
      <c r="J445" s="59">
        <f>IFERROR(INDEX(Tabledaily[سعــــــر
الصـــــرف],MATCH(C445,Tabledaily[رقم العملية],0)),1)</f>
        <v>405</v>
      </c>
      <c r="K445" s="123" cm="1">
        <f t="array" ref="K445">IFERROR(INDEX(Tabledaily[المبلـــــــغ],MATCH(1,(TableDailyJournal[[#This Row],[رقم العملية]]=Tabledaily[رقم العملية])*(TableDailyJournal[[#This Row],[الحساب]]=Tabledaily[الحســاب المديــــن]),0)),0)</f>
        <v>0</v>
      </c>
      <c r="L445" s="123" cm="1">
        <f t="array" ref="L445">IFERROR(INDEX(Tabledaily[المبلـــــــغ],MATCH(1,(TableDailyJournal[[#This Row],[رقم العملية]]=Tabledaily[رقم العملية])*(TableDailyJournal[[#This Row],[الحساب]]=Tabledaily[الحســاب الدئـــن]),0)),0)</f>
        <v>15000</v>
      </c>
      <c r="M445" s="119">
        <f>IFERROR(TableDailyJournal[[#This Row],[المبلغ مدين]]/TableDailyJournal[[#This Row],[سعــــــر
الصـــــرف]],0)</f>
        <v>0</v>
      </c>
      <c r="N445" s="119">
        <f>IFERROR(TableDailyJournal[[#This Row],[المبلغ دائن]]/TableDailyJournal[[#This Row],[سعــــــر
الصـــــرف]],0)</f>
        <v>37.037037037037038</v>
      </c>
      <c r="O445" s="121" t="str">
        <f>INDEX(Tabledaily[المستفيــــــــد],MATCH(TableDailyJournal[[#This Row],[رقم العملية]],Tabledaily[رقم العملية],0))</f>
        <v>البشرية و الصراف</v>
      </c>
      <c r="P445" s="121" t="str">
        <f>INDEX(Tabledaily[المــــرجـــــــــع],MATCH(TableDailyJournal[[#This Row],[رقم العملية]],Tabledaily[رقم العملية],0))</f>
        <v>كشف صرف</v>
      </c>
      <c r="Q445" s="121" t="str">
        <f>INDEX(Tabledaily[اســـــــم المــــرجــــع],MATCH(TableDailyJournal[[#This Row],[رقم العملية]],Tabledaily[رقم العملية],0))</f>
        <v>كشف صرف</v>
      </c>
      <c r="R445" s="121">
        <f>INDEX(Tabledaily[رقم المـــــرجـــع],MATCH(TableDailyJournal[[#This Row],[رقم العملية]],Tabledaily[رقم العملية],0))</f>
        <v>0</v>
      </c>
      <c r="S445" s="121" t="str">
        <f>INDEX(Tabledaily[مركـــــــزالتكلفــــــة],MATCH(TableDailyJournal[[#This Row],[رقم العملية]],Tabledaily[رقم العملية],0))</f>
        <v>الفرقة الثالثة</v>
      </c>
      <c r="T445" s="121">
        <f>IFERROR(INDEX(tablecost[رقم المركز],MATCH(TableDailyJournal[[#This Row],[مركـــــــزالتكلفــــــة]],tablecost[الاسم],0)),0)</f>
        <v>1</v>
      </c>
      <c r="U445" s="122">
        <f>IFERROR(DATE(TableDailyJournal[[#This Row],[السنــــة]],TableDailyJournal[[#This Row],[الشهــــر]],TableDailyJournal[[#This Row],[الـــــيوم]]),"01-01-2026")</f>
        <v>46188</v>
      </c>
      <c r="V445" s="126"/>
      <c r="W445" s="58"/>
      <c r="X445" s="58">
        <f>IFERROR(YEAR(TableDailyJournal[[#This Row],[التاريخ]]),"")</f>
        <v>2026</v>
      </c>
      <c r="Y445" s="58">
        <f>IFERROR(MONTH(TableDailyJournal[[#This Row],[التاريخ]]),"")</f>
        <v>6</v>
      </c>
      <c r="Z445" s="58">
        <f>IFERROR(DAY(TableDailyJournal[[#This Row],[التاريخ]]),"")</f>
        <v>15</v>
      </c>
      <c r="AA445"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للبشرة والصراف عدد 1 بامر</v>
      </c>
      <c r="AB445" s="121">
        <f>INDEX(Tabledaily[جهة الامر],MATCH(TableDailyJournal[[#This Row],[رقم العملية]],Tabledaily[رقم العملية],0))</f>
        <v>0</v>
      </c>
    </row>
    <row r="446" spans="2:28" ht="45.75" x14ac:dyDescent="0.55000000000000004">
      <c r="B446" s="58">
        <f t="shared" si="13"/>
        <v>442</v>
      </c>
      <c r="C446" s="59" t="s">
        <v>796</v>
      </c>
      <c r="D446" s="60">
        <f>INDEX(Tabledaily[date],MATCH(TableDailyJournal[[#This Row],[رقم العملية]],Tabledaily[رقم العملية],0))</f>
        <v>46188</v>
      </c>
      <c r="E446" s="58" t="str">
        <f>INDEX(Tabledaily[نوع العمليــة],MATCH(TableDailyJournal[[#This Row],[رقم العملية]],Tabledaily[رقم العملية],0))</f>
        <v>قيد عهده</v>
      </c>
      <c r="F446" s="58">
        <f>IFERROR(INDEX(TableJudje[رقم الحساب],MATCH(TableDailyJournal[[#This Row],[الحساب]],TableJudje[اسم الحساب],0)),0)</f>
        <v>31010101</v>
      </c>
      <c r="G446" s="58" t="s">
        <v>111</v>
      </c>
      <c r="H446"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446" s="60" t="str">
        <f>INDEX(Tabledaily[العملـــة],MATCH(TableDailyJournal[[#This Row],[رقم العملية]],Tabledaily[رقم العملية],0))</f>
        <v>ريال يمني</v>
      </c>
      <c r="J446" s="59">
        <f>IFERROR(INDEX(Tabledaily[سعــــــر
الصـــــرف],MATCH(C446,Tabledaily[رقم العملية],0)),1)</f>
        <v>405</v>
      </c>
      <c r="K446" s="123" cm="1">
        <f t="array" ref="K446">IFERROR(INDEX(Tabledaily[المبلـــــــغ],MATCH(1,(TableDailyJournal[[#This Row],[رقم العملية]]=Tabledaily[رقم العملية])*(TableDailyJournal[[#This Row],[الحساب]]=Tabledaily[الحســاب المديــــن]),0)),0)</f>
        <v>65000</v>
      </c>
      <c r="L446" s="123" cm="1">
        <f t="array" ref="L446">IFERROR(INDEX(Tabledaily[المبلـــــــغ],MATCH(1,(TableDailyJournal[[#This Row],[رقم العملية]]=Tabledaily[رقم العملية])*(TableDailyJournal[[#This Row],[الحساب]]=Tabledaily[الحســاب الدئـــن]),0)),0)</f>
        <v>0</v>
      </c>
      <c r="M446" s="119">
        <f>IFERROR(TableDailyJournal[[#This Row],[المبلغ مدين]]/TableDailyJournal[[#This Row],[سعــــــر
الصـــــرف]],0)</f>
        <v>160.49382716049382</v>
      </c>
      <c r="N446" s="119">
        <f>IFERROR(TableDailyJournal[[#This Row],[المبلغ دائن]]/TableDailyJournal[[#This Row],[سعــــــر
الصـــــرف]],0)</f>
        <v>0</v>
      </c>
      <c r="O446" s="121" t="str">
        <f>INDEX(Tabledaily[المستفيــــــــد],MATCH(TableDailyJournal[[#This Row],[رقم العملية]],Tabledaily[رقم العملية],0))</f>
        <v>الاستخبارات</v>
      </c>
      <c r="P446" s="121" t="str">
        <f>INDEX(Tabledaily[المــــرجـــــــــع],MATCH(TableDailyJournal[[#This Row],[رقم العملية]],Tabledaily[رقم العملية],0))</f>
        <v>كشف صرف</v>
      </c>
      <c r="Q446" s="121" t="str">
        <f>INDEX(Tabledaily[اســـــــم المــــرجــــع],MATCH(TableDailyJournal[[#This Row],[رقم العملية]],Tabledaily[رقم العملية],0))</f>
        <v>كشف صرف</v>
      </c>
      <c r="R446" s="121">
        <f>INDEX(Tabledaily[رقم المـــــرجـــع],MATCH(TableDailyJournal[[#This Row],[رقم العملية]],Tabledaily[رقم العملية],0))</f>
        <v>0</v>
      </c>
      <c r="S446" s="121" t="str">
        <f>INDEX(Tabledaily[مركـــــــزالتكلفــــــة],MATCH(TableDailyJournal[[#This Row],[رقم العملية]],Tabledaily[رقم العملية],0))</f>
        <v>الفرقة الثالثة</v>
      </c>
      <c r="T446" s="121">
        <f>IFERROR(INDEX(tablecost[رقم المركز],MATCH(TableDailyJournal[[#This Row],[مركـــــــزالتكلفــــــة]],tablecost[الاسم],0)),0)</f>
        <v>1</v>
      </c>
      <c r="U446" s="122">
        <f>IFERROR(DATE(TableDailyJournal[[#This Row],[السنــــة]],TableDailyJournal[[#This Row],[الشهــــر]],TableDailyJournal[[#This Row],[الـــــيوم]]),"01-01-2026")</f>
        <v>46188</v>
      </c>
      <c r="V446" s="126"/>
      <c r="W446" s="58"/>
      <c r="X446" s="58">
        <f>IFERROR(YEAR(TableDailyJournal[[#This Row],[التاريخ]]),"")</f>
        <v>2026</v>
      </c>
      <c r="Y446" s="58">
        <f>IFERROR(MONTH(TableDailyJournal[[#This Row],[التاريخ]]),"")</f>
        <v>6</v>
      </c>
      <c r="Z446" s="58">
        <f>IFERROR(DAY(TableDailyJournal[[#This Row],[التاريخ]]),"")</f>
        <v>15</v>
      </c>
      <c r="AA446"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446" s="121">
        <f>INDEX(Tabledaily[جهة الامر],MATCH(TableDailyJournal[[#This Row],[رقم العملية]],Tabledaily[رقم العملية],0))</f>
        <v>0</v>
      </c>
    </row>
    <row r="447" spans="2:28" ht="45.75" x14ac:dyDescent="0.55000000000000004">
      <c r="B447" s="58">
        <f t="shared" si="13"/>
        <v>443</v>
      </c>
      <c r="C447" s="59" t="s">
        <v>796</v>
      </c>
      <c r="D447" s="60">
        <f>INDEX(Tabledaily[date],MATCH(TableDailyJournal[[#This Row],[رقم العملية]],Tabledaily[رقم العملية],0))</f>
        <v>46188</v>
      </c>
      <c r="E447" s="58" t="str">
        <f>INDEX(Tabledaily[نوع العمليــة],MATCH(TableDailyJournal[[#This Row],[رقم العملية]],Tabledaily[رقم العملية],0))</f>
        <v>قيد عهده</v>
      </c>
      <c r="F447" s="58">
        <f>IFERROR(INDEX(TableJudje[رقم الحساب],MATCH(TableDailyJournal[[#This Row],[الحساب]],TableJudje[اسم الحساب],0)),0)</f>
        <v>11060205</v>
      </c>
      <c r="G447" s="58" t="s">
        <v>513</v>
      </c>
      <c r="H447"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I447" s="60" t="str">
        <f>INDEX(Tabledaily[العملـــة],MATCH(TableDailyJournal[[#This Row],[رقم العملية]],Tabledaily[رقم العملية],0))</f>
        <v>ريال يمني</v>
      </c>
      <c r="J447" s="59">
        <f>IFERROR(INDEX(Tabledaily[سعــــــر
الصـــــرف],MATCH(C447,Tabledaily[رقم العملية],0)),1)</f>
        <v>405</v>
      </c>
      <c r="K447" s="123" cm="1">
        <f t="array" ref="K447">IFERROR(INDEX(Tabledaily[المبلـــــــغ],MATCH(1,(TableDailyJournal[[#This Row],[رقم العملية]]=Tabledaily[رقم العملية])*(TableDailyJournal[[#This Row],[الحساب]]=Tabledaily[الحســاب المديــــن]),0)),0)</f>
        <v>0</v>
      </c>
      <c r="L447" s="123" cm="1">
        <f t="array" ref="L447">IFERROR(INDEX(Tabledaily[المبلـــــــغ],MATCH(1,(TableDailyJournal[[#This Row],[رقم العملية]]=Tabledaily[رقم العملية])*(TableDailyJournal[[#This Row],[الحساب]]=Tabledaily[الحســاب الدئـــن]),0)),0)</f>
        <v>65000</v>
      </c>
      <c r="M447" s="119">
        <f>IFERROR(TableDailyJournal[[#This Row],[المبلغ مدين]]/TableDailyJournal[[#This Row],[سعــــــر
الصـــــرف]],0)</f>
        <v>0</v>
      </c>
      <c r="N447" s="119">
        <f>IFERROR(TableDailyJournal[[#This Row],[المبلغ دائن]]/TableDailyJournal[[#This Row],[سعــــــر
الصـــــرف]],0)</f>
        <v>160.49382716049382</v>
      </c>
      <c r="O447" s="121" t="str">
        <f>INDEX(Tabledaily[المستفيــــــــد],MATCH(TableDailyJournal[[#This Row],[رقم العملية]],Tabledaily[رقم العملية],0))</f>
        <v>الاستخبارات</v>
      </c>
      <c r="P447" s="121" t="str">
        <f>INDEX(Tabledaily[المــــرجـــــــــع],MATCH(TableDailyJournal[[#This Row],[رقم العملية]],Tabledaily[رقم العملية],0))</f>
        <v>كشف صرف</v>
      </c>
      <c r="Q447" s="121" t="str">
        <f>INDEX(Tabledaily[اســـــــم المــــرجــــع],MATCH(TableDailyJournal[[#This Row],[رقم العملية]],Tabledaily[رقم العملية],0))</f>
        <v>كشف صرف</v>
      </c>
      <c r="R447" s="121">
        <f>INDEX(Tabledaily[رقم المـــــرجـــع],MATCH(TableDailyJournal[[#This Row],[رقم العملية]],Tabledaily[رقم العملية],0))</f>
        <v>0</v>
      </c>
      <c r="S447" s="121" t="str">
        <f>INDEX(Tabledaily[مركـــــــزالتكلفــــــة],MATCH(TableDailyJournal[[#This Row],[رقم العملية]],Tabledaily[رقم العملية],0))</f>
        <v>الفرقة الثالثة</v>
      </c>
      <c r="T447" s="121">
        <f>IFERROR(INDEX(tablecost[رقم المركز],MATCH(TableDailyJournal[[#This Row],[مركـــــــزالتكلفــــــة]],tablecost[الاسم],0)),0)</f>
        <v>1</v>
      </c>
      <c r="U447" s="122">
        <f>IFERROR(DATE(TableDailyJournal[[#This Row],[السنــــة]],TableDailyJournal[[#This Row],[الشهــــر]],TableDailyJournal[[#This Row],[الـــــيوم]]),"01-01-2026")</f>
        <v>46188</v>
      </c>
      <c r="V447" s="126"/>
      <c r="W447" s="58"/>
      <c r="X447" s="58">
        <f>IFERROR(YEAR(TableDailyJournal[[#This Row],[التاريخ]]),"")</f>
        <v>2026</v>
      </c>
      <c r="Y447" s="58">
        <f>IFERROR(MONTH(TableDailyJournal[[#This Row],[التاريخ]]),"")</f>
        <v>6</v>
      </c>
      <c r="Z447" s="58">
        <f>IFERROR(DAY(TableDailyJournal[[#This Row],[التاريخ]]),"")</f>
        <v>15</v>
      </c>
      <c r="AA447"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الاستخبارات لعدد 4 بامر</v>
      </c>
      <c r="AB447" s="121">
        <f>INDEX(Tabledaily[جهة الامر],MATCH(TableDailyJournal[[#This Row],[رقم العملية]],Tabledaily[رقم العملية],0))</f>
        <v>0</v>
      </c>
    </row>
    <row r="448" spans="2:28" ht="45.75" x14ac:dyDescent="0.55000000000000004">
      <c r="B448" s="58">
        <f t="shared" si="13"/>
        <v>444</v>
      </c>
      <c r="C448" s="59" t="s">
        <v>797</v>
      </c>
      <c r="D448" s="60">
        <f>INDEX(Tabledaily[date],MATCH(TableDailyJournal[[#This Row],[رقم العملية]],Tabledaily[رقم العملية],0))</f>
        <v>46188</v>
      </c>
      <c r="E448" s="58" t="str">
        <f>INDEX(Tabledaily[نوع العمليــة],MATCH(TableDailyJournal[[#This Row],[رقم العملية]],Tabledaily[رقم العملية],0))</f>
        <v>قيد عهده</v>
      </c>
      <c r="F448" s="58">
        <f>IFERROR(INDEX(TableJudje[رقم الحساب],MATCH(TableDailyJournal[[#This Row],[الحساب]],TableJudje[اسم الحساب],0)),0)</f>
        <v>31010101</v>
      </c>
      <c r="G448" s="58" t="s">
        <v>111</v>
      </c>
      <c r="H448"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448" s="60" t="str">
        <f>INDEX(Tabledaily[العملـــة],MATCH(TableDailyJournal[[#This Row],[رقم العملية]],Tabledaily[رقم العملية],0))</f>
        <v>ريال يمني</v>
      </c>
      <c r="J448" s="59">
        <f>IFERROR(INDEX(Tabledaily[سعــــــر
الصـــــرف],MATCH(C448,Tabledaily[رقم العملية],0)),1)</f>
        <v>405</v>
      </c>
      <c r="K448" s="123" cm="1">
        <f t="array" ref="K448">IFERROR(INDEX(Tabledaily[المبلـــــــغ],MATCH(1,(TableDailyJournal[[#This Row],[رقم العملية]]=Tabledaily[رقم العملية])*(TableDailyJournal[[#This Row],[الحساب]]=Tabledaily[الحســاب المديــــن]),0)),0)</f>
        <v>45000</v>
      </c>
      <c r="L448" s="123" cm="1">
        <f t="array" ref="L448">IFERROR(INDEX(Tabledaily[المبلـــــــغ],MATCH(1,(TableDailyJournal[[#This Row],[رقم العملية]]=Tabledaily[رقم العملية])*(TableDailyJournal[[#This Row],[الحساب]]=Tabledaily[الحســاب الدئـــن]),0)),0)</f>
        <v>0</v>
      </c>
      <c r="M448" s="119">
        <f>IFERROR(TableDailyJournal[[#This Row],[المبلغ مدين]]/TableDailyJournal[[#This Row],[سعــــــر
الصـــــرف]],0)</f>
        <v>111.11111111111111</v>
      </c>
      <c r="N448" s="119">
        <f>IFERROR(TableDailyJournal[[#This Row],[المبلغ دائن]]/TableDailyJournal[[#This Row],[سعــــــر
الصـــــرف]],0)</f>
        <v>0</v>
      </c>
      <c r="O448" s="121" t="str">
        <f>INDEX(Tabledaily[المستفيــــــــد],MATCH(TableDailyJournal[[#This Row],[رقم العملية]],Tabledaily[رقم العملية],0))</f>
        <v>المدفعية</v>
      </c>
      <c r="P448" s="121" t="str">
        <f>INDEX(Tabledaily[المــــرجـــــــــع],MATCH(TableDailyJournal[[#This Row],[رقم العملية]],Tabledaily[رقم العملية],0))</f>
        <v>كشف صرف</v>
      </c>
      <c r="Q448" s="121" t="str">
        <f>INDEX(Tabledaily[اســـــــم المــــرجــــع],MATCH(TableDailyJournal[[#This Row],[رقم العملية]],Tabledaily[رقم العملية],0))</f>
        <v>كشف صرف</v>
      </c>
      <c r="R448" s="121">
        <f>INDEX(Tabledaily[رقم المـــــرجـــع],MATCH(TableDailyJournal[[#This Row],[رقم العملية]],Tabledaily[رقم العملية],0))</f>
        <v>0</v>
      </c>
      <c r="S448" s="121" t="str">
        <f>INDEX(Tabledaily[مركـــــــزالتكلفــــــة],MATCH(TableDailyJournal[[#This Row],[رقم العملية]],Tabledaily[رقم العملية],0))</f>
        <v>الفرقة الثالثة</v>
      </c>
      <c r="T448" s="121">
        <f>IFERROR(INDEX(tablecost[رقم المركز],MATCH(TableDailyJournal[[#This Row],[مركـــــــزالتكلفــــــة]],tablecost[الاسم],0)),0)</f>
        <v>1</v>
      </c>
      <c r="U448" s="122">
        <f>IFERROR(DATE(TableDailyJournal[[#This Row],[السنــــة]],TableDailyJournal[[#This Row],[الشهــــر]],TableDailyJournal[[#This Row],[الـــــيوم]]),"01-01-2026")</f>
        <v>46188</v>
      </c>
      <c r="V448" s="126"/>
      <c r="W448" s="58"/>
      <c r="X448" s="58">
        <f>IFERROR(YEAR(TableDailyJournal[[#This Row],[التاريخ]]),"")</f>
        <v>2026</v>
      </c>
      <c r="Y448" s="58">
        <f>IFERROR(MONTH(TableDailyJournal[[#This Row],[التاريخ]]),"")</f>
        <v>6</v>
      </c>
      <c r="Z448" s="58">
        <f>IFERROR(DAY(TableDailyJournal[[#This Row],[التاريخ]]),"")</f>
        <v>15</v>
      </c>
      <c r="AA448"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448" s="121">
        <f>INDEX(Tabledaily[جهة الامر],MATCH(TableDailyJournal[[#This Row],[رقم العملية]],Tabledaily[رقم العملية],0))</f>
        <v>0</v>
      </c>
    </row>
    <row r="449" spans="2:28" ht="45.75" x14ac:dyDescent="0.55000000000000004">
      <c r="B449" s="58">
        <f t="shared" si="13"/>
        <v>445</v>
      </c>
      <c r="C449" s="59" t="s">
        <v>797</v>
      </c>
      <c r="D449" s="60">
        <f>INDEX(Tabledaily[date],MATCH(TableDailyJournal[[#This Row],[رقم العملية]],Tabledaily[رقم العملية],0))</f>
        <v>46188</v>
      </c>
      <c r="E449" s="58" t="str">
        <f>INDEX(Tabledaily[نوع العمليــة],MATCH(TableDailyJournal[[#This Row],[رقم العملية]],Tabledaily[رقم العملية],0))</f>
        <v>قيد عهده</v>
      </c>
      <c r="F449" s="58">
        <f>IFERROR(INDEX(TableJudje[رقم الحساب],MATCH(TableDailyJournal[[#This Row],[الحساب]],TableJudje[اسم الحساب],0)),0)</f>
        <v>11060205</v>
      </c>
      <c r="G449" s="58" t="s">
        <v>513</v>
      </c>
      <c r="H449"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I449" s="60" t="str">
        <f>INDEX(Tabledaily[العملـــة],MATCH(TableDailyJournal[[#This Row],[رقم العملية]],Tabledaily[رقم العملية],0))</f>
        <v>ريال يمني</v>
      </c>
      <c r="J449" s="59">
        <f>IFERROR(INDEX(Tabledaily[سعــــــر
الصـــــرف],MATCH(C449,Tabledaily[رقم العملية],0)),1)</f>
        <v>405</v>
      </c>
      <c r="K449" s="123" cm="1">
        <f t="array" ref="K449">IFERROR(INDEX(Tabledaily[المبلـــــــغ],MATCH(1,(TableDailyJournal[[#This Row],[رقم العملية]]=Tabledaily[رقم العملية])*(TableDailyJournal[[#This Row],[الحساب]]=Tabledaily[الحســاب المديــــن]),0)),0)</f>
        <v>0</v>
      </c>
      <c r="L449" s="123" cm="1">
        <f t="array" ref="L449">IFERROR(INDEX(Tabledaily[المبلـــــــغ],MATCH(1,(TableDailyJournal[[#This Row],[رقم العملية]]=Tabledaily[رقم العملية])*(TableDailyJournal[[#This Row],[الحساب]]=Tabledaily[الحســاب الدئـــن]),0)),0)</f>
        <v>45000</v>
      </c>
      <c r="M449" s="119">
        <f>IFERROR(TableDailyJournal[[#This Row],[المبلغ مدين]]/TableDailyJournal[[#This Row],[سعــــــر
الصـــــرف]],0)</f>
        <v>0</v>
      </c>
      <c r="N449" s="119">
        <f>IFERROR(TableDailyJournal[[#This Row],[المبلغ دائن]]/TableDailyJournal[[#This Row],[سعــــــر
الصـــــرف]],0)</f>
        <v>111.11111111111111</v>
      </c>
      <c r="O449" s="121" t="str">
        <f>INDEX(Tabledaily[المستفيــــــــد],MATCH(TableDailyJournal[[#This Row],[رقم العملية]],Tabledaily[رقم العملية],0))</f>
        <v>المدفعية</v>
      </c>
      <c r="P449" s="121" t="str">
        <f>INDEX(Tabledaily[المــــرجـــــــــع],MATCH(TableDailyJournal[[#This Row],[رقم العملية]],Tabledaily[رقم العملية],0))</f>
        <v>كشف صرف</v>
      </c>
      <c r="Q449" s="121" t="str">
        <f>INDEX(Tabledaily[اســـــــم المــــرجــــع],MATCH(TableDailyJournal[[#This Row],[رقم العملية]],Tabledaily[رقم العملية],0))</f>
        <v>كشف صرف</v>
      </c>
      <c r="R449" s="121">
        <f>INDEX(Tabledaily[رقم المـــــرجـــع],MATCH(TableDailyJournal[[#This Row],[رقم العملية]],Tabledaily[رقم العملية],0))</f>
        <v>0</v>
      </c>
      <c r="S449" s="121" t="str">
        <f>INDEX(Tabledaily[مركـــــــزالتكلفــــــة],MATCH(TableDailyJournal[[#This Row],[رقم العملية]],Tabledaily[رقم العملية],0))</f>
        <v>الفرقة الثالثة</v>
      </c>
      <c r="T449" s="121">
        <f>IFERROR(INDEX(tablecost[رقم المركز],MATCH(TableDailyJournal[[#This Row],[مركـــــــزالتكلفــــــة]],tablecost[الاسم],0)),0)</f>
        <v>1</v>
      </c>
      <c r="U449" s="122">
        <f>IFERROR(DATE(TableDailyJournal[[#This Row],[السنــــة]],TableDailyJournal[[#This Row],[الشهــــر]],TableDailyJournal[[#This Row],[الـــــيوم]]),"01-01-2026")</f>
        <v>46188</v>
      </c>
      <c r="V449" s="126"/>
      <c r="W449" s="58"/>
      <c r="X449" s="58">
        <f>IFERROR(YEAR(TableDailyJournal[[#This Row],[التاريخ]]),"")</f>
        <v>2026</v>
      </c>
      <c r="Y449" s="58">
        <f>IFERROR(MONTH(TableDailyJournal[[#This Row],[التاريخ]]),"")</f>
        <v>6</v>
      </c>
      <c r="Z449" s="58">
        <f>IFERROR(DAY(TableDailyJournal[[#This Row],[التاريخ]]),"")</f>
        <v>15</v>
      </c>
      <c r="AA449"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للمدفعية لعدد 5 بامر</v>
      </c>
      <c r="AB449" s="121">
        <f>INDEX(Tabledaily[جهة الامر],MATCH(TableDailyJournal[[#This Row],[رقم العملية]],Tabledaily[رقم العملية],0))</f>
        <v>0</v>
      </c>
    </row>
    <row r="450" spans="2:28" ht="45.75" x14ac:dyDescent="0.55000000000000004">
      <c r="B450" s="58">
        <f t="shared" si="13"/>
        <v>446</v>
      </c>
      <c r="C450" s="59" t="s">
        <v>798</v>
      </c>
      <c r="D450" s="60">
        <f>INDEX(Tabledaily[date],MATCH(TableDailyJournal[[#This Row],[رقم العملية]],Tabledaily[رقم العملية],0))</f>
        <v>46188</v>
      </c>
      <c r="E450" s="58" t="str">
        <f>INDEX(Tabledaily[نوع العمليــة],MATCH(TableDailyJournal[[#This Row],[رقم العملية]],Tabledaily[رقم العملية],0))</f>
        <v>قيد عهده</v>
      </c>
      <c r="F450" s="58">
        <f>IFERROR(INDEX(TableJudje[رقم الحساب],MATCH(TableDailyJournal[[#This Row],[الحساب]],TableJudje[اسم الحساب],0)),0)</f>
        <v>31010101</v>
      </c>
      <c r="G450" s="58" t="s">
        <v>111</v>
      </c>
      <c r="H450"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450" s="60" t="str">
        <f>INDEX(Tabledaily[العملـــة],MATCH(TableDailyJournal[[#This Row],[رقم العملية]],Tabledaily[رقم العملية],0))</f>
        <v>ريال يمني</v>
      </c>
      <c r="J450" s="59">
        <f>IFERROR(INDEX(Tabledaily[سعــــــر
الصـــــرف],MATCH(C450,Tabledaily[رقم العملية],0)),1)</f>
        <v>405</v>
      </c>
      <c r="K450" s="123" cm="1">
        <f t="array" ref="K450">IFERROR(INDEX(Tabledaily[المبلـــــــغ],MATCH(1,(TableDailyJournal[[#This Row],[رقم العملية]]=Tabledaily[رقم العملية])*(TableDailyJournal[[#This Row],[الحساب]]=Tabledaily[الحســاب المديــــن]),0)),0)</f>
        <v>95000</v>
      </c>
      <c r="L450" s="123" cm="1">
        <f t="array" ref="L450">IFERROR(INDEX(Tabledaily[المبلـــــــغ],MATCH(1,(TableDailyJournal[[#This Row],[رقم العملية]]=Tabledaily[رقم العملية])*(TableDailyJournal[[#This Row],[الحساب]]=Tabledaily[الحســاب الدئـــن]),0)),0)</f>
        <v>0</v>
      </c>
      <c r="M450" s="119">
        <f>IFERROR(TableDailyJournal[[#This Row],[المبلغ مدين]]/TableDailyJournal[[#This Row],[سعــــــر
الصـــــرف]],0)</f>
        <v>234.5679012345679</v>
      </c>
      <c r="N450" s="119">
        <f>IFERROR(TableDailyJournal[[#This Row],[المبلغ دائن]]/TableDailyJournal[[#This Row],[سعــــــر
الصـــــرف]],0)</f>
        <v>0</v>
      </c>
      <c r="O450" s="121" t="str">
        <f>INDEX(Tabledaily[المستفيــــــــد],MATCH(TableDailyJournal[[#This Row],[رقم العملية]],Tabledaily[رقم العملية],0))</f>
        <v>المستشارين والمساعدين</v>
      </c>
      <c r="P450" s="121" t="str">
        <f>INDEX(Tabledaily[المــــرجـــــــــع],MATCH(TableDailyJournal[[#This Row],[رقم العملية]],Tabledaily[رقم العملية],0))</f>
        <v>كشف صرف</v>
      </c>
      <c r="Q450" s="121" t="str">
        <f>INDEX(Tabledaily[اســـــــم المــــرجــــع],MATCH(TableDailyJournal[[#This Row],[رقم العملية]],Tabledaily[رقم العملية],0))</f>
        <v>كشف صرف</v>
      </c>
      <c r="R450" s="121">
        <f>INDEX(Tabledaily[رقم المـــــرجـــع],MATCH(TableDailyJournal[[#This Row],[رقم العملية]],Tabledaily[رقم العملية],0))</f>
        <v>0</v>
      </c>
      <c r="S450" s="121" t="str">
        <f>INDEX(Tabledaily[مركـــــــزالتكلفــــــة],MATCH(TableDailyJournal[[#This Row],[رقم العملية]],Tabledaily[رقم العملية],0))</f>
        <v>الفرقة الثالثة</v>
      </c>
      <c r="T450" s="121">
        <f>IFERROR(INDEX(tablecost[رقم المركز],MATCH(TableDailyJournal[[#This Row],[مركـــــــزالتكلفــــــة]],tablecost[الاسم],0)),0)</f>
        <v>1</v>
      </c>
      <c r="U450" s="122">
        <f>IFERROR(DATE(TableDailyJournal[[#This Row],[السنــــة]],TableDailyJournal[[#This Row],[الشهــــر]],TableDailyJournal[[#This Row],[الـــــيوم]]),"01-01-2026")</f>
        <v>46188</v>
      </c>
      <c r="V450" s="126"/>
      <c r="W450" s="58"/>
      <c r="X450" s="58">
        <f>IFERROR(YEAR(TableDailyJournal[[#This Row],[التاريخ]]),"")</f>
        <v>2026</v>
      </c>
      <c r="Y450" s="58">
        <f>IFERROR(MONTH(TableDailyJournal[[#This Row],[التاريخ]]),"")</f>
        <v>6</v>
      </c>
      <c r="Z450" s="58">
        <f>IFERROR(DAY(TableDailyJournal[[#This Row],[التاريخ]]),"")</f>
        <v>15</v>
      </c>
      <c r="AA450"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450" s="121">
        <f>INDEX(Tabledaily[جهة الامر],MATCH(TableDailyJournal[[#This Row],[رقم العملية]],Tabledaily[رقم العملية],0))</f>
        <v>0</v>
      </c>
    </row>
    <row r="451" spans="2:28" ht="45.75" x14ac:dyDescent="0.55000000000000004">
      <c r="B451" s="58">
        <f t="shared" si="13"/>
        <v>447</v>
      </c>
      <c r="C451" s="59" t="s">
        <v>798</v>
      </c>
      <c r="D451" s="60">
        <f>INDEX(Tabledaily[date],MATCH(TableDailyJournal[[#This Row],[رقم العملية]],Tabledaily[رقم العملية],0))</f>
        <v>46188</v>
      </c>
      <c r="E451" s="58" t="str">
        <f>INDEX(Tabledaily[نوع العمليــة],MATCH(TableDailyJournal[[#This Row],[رقم العملية]],Tabledaily[رقم العملية],0))</f>
        <v>قيد عهده</v>
      </c>
      <c r="F451" s="58">
        <f>IFERROR(INDEX(TableJudje[رقم الحساب],MATCH(TableDailyJournal[[#This Row],[الحساب]],TableJudje[اسم الحساب],0)),0)</f>
        <v>11060205</v>
      </c>
      <c r="G451" s="58" t="s">
        <v>513</v>
      </c>
      <c r="H451"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I451" s="60" t="str">
        <f>INDEX(Tabledaily[العملـــة],MATCH(TableDailyJournal[[#This Row],[رقم العملية]],Tabledaily[رقم العملية],0))</f>
        <v>ريال يمني</v>
      </c>
      <c r="J451" s="59">
        <f>IFERROR(INDEX(Tabledaily[سعــــــر
الصـــــرف],MATCH(C451,Tabledaily[رقم العملية],0)),1)</f>
        <v>405</v>
      </c>
      <c r="K451" s="123" cm="1">
        <f t="array" ref="K451">IFERROR(INDEX(Tabledaily[المبلـــــــغ],MATCH(1,(TableDailyJournal[[#This Row],[رقم العملية]]=Tabledaily[رقم العملية])*(TableDailyJournal[[#This Row],[الحساب]]=Tabledaily[الحســاب المديــــن]),0)),0)</f>
        <v>0</v>
      </c>
      <c r="L451" s="123" cm="1">
        <f t="array" ref="L451">IFERROR(INDEX(Tabledaily[المبلـــــــغ],MATCH(1,(TableDailyJournal[[#This Row],[رقم العملية]]=Tabledaily[رقم العملية])*(TableDailyJournal[[#This Row],[الحساب]]=Tabledaily[الحســاب الدئـــن]),0)),0)</f>
        <v>95000</v>
      </c>
      <c r="M451" s="119">
        <f>IFERROR(TableDailyJournal[[#This Row],[المبلغ مدين]]/TableDailyJournal[[#This Row],[سعــــــر
الصـــــرف]],0)</f>
        <v>0</v>
      </c>
      <c r="N451" s="119">
        <f>IFERROR(TableDailyJournal[[#This Row],[المبلغ دائن]]/TableDailyJournal[[#This Row],[سعــــــر
الصـــــرف]],0)</f>
        <v>234.5679012345679</v>
      </c>
      <c r="O451" s="121" t="str">
        <f>INDEX(Tabledaily[المستفيــــــــد],MATCH(TableDailyJournal[[#This Row],[رقم العملية]],Tabledaily[رقم العملية],0))</f>
        <v>المستشارين والمساعدين</v>
      </c>
      <c r="P451" s="121" t="str">
        <f>INDEX(Tabledaily[المــــرجـــــــــع],MATCH(TableDailyJournal[[#This Row],[رقم العملية]],Tabledaily[رقم العملية],0))</f>
        <v>كشف صرف</v>
      </c>
      <c r="Q451" s="121" t="str">
        <f>INDEX(Tabledaily[اســـــــم المــــرجــــع],MATCH(TableDailyJournal[[#This Row],[رقم العملية]],Tabledaily[رقم العملية],0))</f>
        <v>كشف صرف</v>
      </c>
      <c r="R451" s="121">
        <f>INDEX(Tabledaily[رقم المـــــرجـــع],MATCH(TableDailyJournal[[#This Row],[رقم العملية]],Tabledaily[رقم العملية],0))</f>
        <v>0</v>
      </c>
      <c r="S451" s="121" t="str">
        <f>INDEX(Tabledaily[مركـــــــزالتكلفــــــة],MATCH(TableDailyJournal[[#This Row],[رقم العملية]],Tabledaily[رقم العملية],0))</f>
        <v>الفرقة الثالثة</v>
      </c>
      <c r="T451" s="121">
        <f>IFERROR(INDEX(tablecost[رقم المركز],MATCH(TableDailyJournal[[#This Row],[مركـــــــزالتكلفــــــة]],tablecost[الاسم],0)),0)</f>
        <v>1</v>
      </c>
      <c r="U451" s="122">
        <f>IFERROR(DATE(TableDailyJournal[[#This Row],[السنــــة]],TableDailyJournal[[#This Row],[الشهــــر]],TableDailyJournal[[#This Row],[الـــــيوم]]),"01-01-2026")</f>
        <v>46188</v>
      </c>
      <c r="V451" s="126"/>
      <c r="W451" s="58"/>
      <c r="X451" s="58">
        <f>IFERROR(YEAR(TableDailyJournal[[#This Row],[التاريخ]]),"")</f>
        <v>2026</v>
      </c>
      <c r="Y451" s="58">
        <f>IFERROR(MONTH(TableDailyJournal[[#This Row],[التاريخ]]),"")</f>
        <v>6</v>
      </c>
      <c r="Z451" s="58">
        <f>IFERROR(DAY(TableDailyJournal[[#This Row],[التاريخ]]),"")</f>
        <v>15</v>
      </c>
      <c r="AA451"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9 بامر</v>
      </c>
      <c r="AB451" s="121">
        <f>INDEX(Tabledaily[جهة الامر],MATCH(TableDailyJournal[[#This Row],[رقم العملية]],Tabledaily[رقم العملية],0))</f>
        <v>0</v>
      </c>
    </row>
    <row r="452" spans="2:28" ht="45.75" x14ac:dyDescent="0.55000000000000004">
      <c r="B452" s="58">
        <f t="shared" si="13"/>
        <v>448</v>
      </c>
      <c r="C452" s="59" t="s">
        <v>799</v>
      </c>
      <c r="D452" s="60">
        <f>INDEX(Tabledaily[date],MATCH(TableDailyJournal[[#This Row],[رقم العملية]],Tabledaily[رقم العملية],0))</f>
        <v>46188</v>
      </c>
      <c r="E452" s="58" t="str">
        <f>INDEX(Tabledaily[نوع العمليــة],MATCH(TableDailyJournal[[#This Row],[رقم العملية]],Tabledaily[رقم العملية],0))</f>
        <v>قيد عهده</v>
      </c>
      <c r="F452" s="58">
        <f>IFERROR(INDEX(TableJudje[رقم الحساب],MATCH(TableDailyJournal[[#This Row],[الحساب]],TableJudje[اسم الحساب],0)),0)</f>
        <v>31010101</v>
      </c>
      <c r="G452" s="58" t="s">
        <v>111</v>
      </c>
      <c r="H452"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452" s="60" t="str">
        <f>INDEX(Tabledaily[العملـــة],MATCH(TableDailyJournal[[#This Row],[رقم العملية]],Tabledaily[رقم العملية],0))</f>
        <v>ريال يمني</v>
      </c>
      <c r="J452" s="59">
        <f>IFERROR(INDEX(Tabledaily[سعــــــر
الصـــــرف],MATCH(C452,Tabledaily[رقم العملية],0)),1)</f>
        <v>405</v>
      </c>
      <c r="K452" s="123" cm="1">
        <f t="array" ref="K452">IFERROR(INDEX(Tabledaily[المبلـــــــغ],MATCH(1,(TableDailyJournal[[#This Row],[رقم العملية]]=Tabledaily[رقم العملية])*(TableDailyJournal[[#This Row],[الحساب]]=Tabledaily[الحســاب المديــــن]),0)),0)</f>
        <v>14000</v>
      </c>
      <c r="L452" s="123" cm="1">
        <f t="array" ref="L452">IFERROR(INDEX(Tabledaily[المبلـــــــغ],MATCH(1,(TableDailyJournal[[#This Row],[رقم العملية]]=Tabledaily[رقم العملية])*(TableDailyJournal[[#This Row],[الحساب]]=Tabledaily[الحســاب الدئـــن]),0)),0)</f>
        <v>0</v>
      </c>
      <c r="M452" s="119">
        <f>IFERROR(TableDailyJournal[[#This Row],[المبلغ مدين]]/TableDailyJournal[[#This Row],[سعــــــر
الصـــــرف]],0)</f>
        <v>34.567901234567898</v>
      </c>
      <c r="N452" s="119">
        <f>IFERROR(TableDailyJournal[[#This Row],[المبلغ دائن]]/TableDailyJournal[[#This Row],[سعــــــر
الصـــــرف]],0)</f>
        <v>0</v>
      </c>
      <c r="O452" s="121" t="str">
        <f>INDEX(Tabledaily[المستفيــــــــد],MATCH(TableDailyJournal[[#This Row],[رقم العملية]],Tabledaily[رقم العملية],0))</f>
        <v>الطبية والمحاسبين</v>
      </c>
      <c r="P452" s="121" t="str">
        <f>INDEX(Tabledaily[المــــرجـــــــــع],MATCH(TableDailyJournal[[#This Row],[رقم العملية]],Tabledaily[رقم العملية],0))</f>
        <v>كشف صرف</v>
      </c>
      <c r="Q452" s="121" t="str">
        <f>INDEX(Tabledaily[اســـــــم المــــرجــــع],MATCH(TableDailyJournal[[#This Row],[رقم العملية]],Tabledaily[رقم العملية],0))</f>
        <v>كشف صرف</v>
      </c>
      <c r="R452" s="121">
        <f>INDEX(Tabledaily[رقم المـــــرجـــع],MATCH(TableDailyJournal[[#This Row],[رقم العملية]],Tabledaily[رقم العملية],0))</f>
        <v>0</v>
      </c>
      <c r="S452" s="121" t="str">
        <f>INDEX(Tabledaily[مركـــــــزالتكلفــــــة],MATCH(TableDailyJournal[[#This Row],[رقم العملية]],Tabledaily[رقم العملية],0))</f>
        <v>الفرقة الثالثة</v>
      </c>
      <c r="T452" s="121">
        <f>IFERROR(INDEX(tablecost[رقم المركز],MATCH(TableDailyJournal[[#This Row],[مركـــــــزالتكلفــــــة]],tablecost[الاسم],0)),0)</f>
        <v>1</v>
      </c>
      <c r="U452" s="122">
        <f>IFERROR(DATE(TableDailyJournal[[#This Row],[السنــــة]],TableDailyJournal[[#This Row],[الشهــــر]],TableDailyJournal[[#This Row],[الـــــيوم]]),"01-01-2026")</f>
        <v>46188</v>
      </c>
      <c r="V452" s="126"/>
      <c r="W452" s="58"/>
      <c r="X452" s="58">
        <f>IFERROR(YEAR(TableDailyJournal[[#This Row],[التاريخ]]),"")</f>
        <v>2026</v>
      </c>
      <c r="Y452" s="58">
        <f>IFERROR(MONTH(TableDailyJournal[[#This Row],[التاريخ]]),"")</f>
        <v>6</v>
      </c>
      <c r="Z452" s="58">
        <f>IFERROR(DAY(TableDailyJournal[[#This Row],[التاريخ]]),"")</f>
        <v>15</v>
      </c>
      <c r="AA452"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452" s="121">
        <f>INDEX(Tabledaily[جهة الامر],MATCH(TableDailyJournal[[#This Row],[رقم العملية]],Tabledaily[رقم العملية],0))</f>
        <v>0</v>
      </c>
    </row>
    <row r="453" spans="2:28" ht="45.75" x14ac:dyDescent="0.55000000000000004">
      <c r="B453" s="58">
        <f t="shared" si="13"/>
        <v>449</v>
      </c>
      <c r="C453" s="59" t="s">
        <v>799</v>
      </c>
      <c r="D453" s="60">
        <f>INDEX(Tabledaily[date],MATCH(TableDailyJournal[[#This Row],[رقم العملية]],Tabledaily[رقم العملية],0))</f>
        <v>46188</v>
      </c>
      <c r="E453" s="58" t="str">
        <f>INDEX(Tabledaily[نوع العمليــة],MATCH(TableDailyJournal[[#This Row],[رقم العملية]],Tabledaily[رقم العملية],0))</f>
        <v>قيد عهده</v>
      </c>
      <c r="F453" s="58">
        <f>IFERROR(INDEX(TableJudje[رقم الحساب],MATCH(TableDailyJournal[[#This Row],[الحساب]],TableJudje[اسم الحساب],0)),0)</f>
        <v>11060205</v>
      </c>
      <c r="G453" s="58" t="s">
        <v>513</v>
      </c>
      <c r="H453" s="61"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I453" s="60" t="str">
        <f>INDEX(Tabledaily[العملـــة],MATCH(TableDailyJournal[[#This Row],[رقم العملية]],Tabledaily[رقم العملية],0))</f>
        <v>ريال يمني</v>
      </c>
      <c r="J453" s="59">
        <f>IFERROR(INDEX(Tabledaily[سعــــــر
الصـــــرف],MATCH(C453,Tabledaily[رقم العملية],0)),1)</f>
        <v>405</v>
      </c>
      <c r="K453" s="123" cm="1">
        <f t="array" ref="K453">IFERROR(INDEX(Tabledaily[المبلـــــــغ],MATCH(1,(TableDailyJournal[[#This Row],[رقم العملية]]=Tabledaily[رقم العملية])*(TableDailyJournal[[#This Row],[الحساب]]=Tabledaily[الحســاب المديــــن]),0)),0)</f>
        <v>0</v>
      </c>
      <c r="L453" s="123" cm="1">
        <f t="array" ref="L453">IFERROR(INDEX(Tabledaily[المبلـــــــغ],MATCH(1,(TableDailyJournal[[#This Row],[رقم العملية]]=Tabledaily[رقم العملية])*(TableDailyJournal[[#This Row],[الحساب]]=Tabledaily[الحســاب الدئـــن]),0)),0)</f>
        <v>14000</v>
      </c>
      <c r="M453" s="119">
        <f>IFERROR(TableDailyJournal[[#This Row],[المبلغ مدين]]/TableDailyJournal[[#This Row],[سعــــــر
الصـــــرف]],0)</f>
        <v>0</v>
      </c>
      <c r="N453" s="119">
        <f>IFERROR(TableDailyJournal[[#This Row],[المبلغ دائن]]/TableDailyJournal[[#This Row],[سعــــــر
الصـــــرف]],0)</f>
        <v>34.567901234567898</v>
      </c>
      <c r="O453" s="121" t="str">
        <f>INDEX(Tabledaily[المستفيــــــــد],MATCH(TableDailyJournal[[#This Row],[رقم العملية]],Tabledaily[رقم العملية],0))</f>
        <v>الطبية والمحاسبين</v>
      </c>
      <c r="P453" s="121" t="str">
        <f>INDEX(Tabledaily[المــــرجـــــــــع],MATCH(TableDailyJournal[[#This Row],[رقم العملية]],Tabledaily[رقم العملية],0))</f>
        <v>كشف صرف</v>
      </c>
      <c r="Q453" s="121" t="str">
        <f>INDEX(Tabledaily[اســـــــم المــــرجــــع],MATCH(TableDailyJournal[[#This Row],[رقم العملية]],Tabledaily[رقم العملية],0))</f>
        <v>كشف صرف</v>
      </c>
      <c r="R453" s="121">
        <f>INDEX(Tabledaily[رقم المـــــرجـــع],MATCH(TableDailyJournal[[#This Row],[رقم العملية]],Tabledaily[رقم العملية],0))</f>
        <v>0</v>
      </c>
      <c r="S453" s="121" t="str">
        <f>INDEX(Tabledaily[مركـــــــزالتكلفــــــة],MATCH(TableDailyJournal[[#This Row],[رقم العملية]],Tabledaily[رقم العملية],0))</f>
        <v>الفرقة الثالثة</v>
      </c>
      <c r="T453" s="121">
        <f>IFERROR(INDEX(tablecost[رقم المركز],MATCH(TableDailyJournal[[#This Row],[مركـــــــزالتكلفــــــة]],tablecost[الاسم],0)),0)</f>
        <v>1</v>
      </c>
      <c r="U453" s="122">
        <f>IFERROR(DATE(TableDailyJournal[[#This Row],[السنــــة]],TableDailyJournal[[#This Row],[الشهــــر]],TableDailyJournal[[#This Row],[الـــــيوم]]),"01-01-2026")</f>
        <v>46188</v>
      </c>
      <c r="V453" s="126"/>
      <c r="W453" s="58"/>
      <c r="X453" s="58">
        <f>IFERROR(YEAR(TableDailyJournal[[#This Row],[التاريخ]]),"")</f>
        <v>2026</v>
      </c>
      <c r="Y453" s="58">
        <f>IFERROR(MONTH(TableDailyJournal[[#This Row],[التاريخ]]),"")</f>
        <v>6</v>
      </c>
      <c r="Z453" s="58">
        <f>IFERROR(DAY(TableDailyJournal[[#This Row],[التاريخ]]),"")</f>
        <v>15</v>
      </c>
      <c r="AA453" s="126" t="str">
        <f>INDEX(Tabledaily[المرجع البياني],MATCH(TableDailyJournal[[#This Row],[رقم العملية]],Tabledaily[رقم العملية],0))</f>
        <v>قيـد مقابـل:- (مصاريف  صرفة يومية للافراد  - الطبية والمحاسبين - الفرقة الثالثة)  - كشف صرف رقم   كشف صرف - صرف الصرفة اليومية للطبية والمحاسبين لعدد 2 بامر</v>
      </c>
      <c r="AB453" s="121">
        <f>INDEX(Tabledaily[جهة الامر],MATCH(TableDailyJournal[[#This Row],[رقم العملية]],Tabledaily[رقم العملية],0))</f>
        <v>0</v>
      </c>
    </row>
    <row r="454" spans="2:28" ht="45.75" x14ac:dyDescent="0.55000000000000004">
      <c r="B454" s="58">
        <f t="shared" si="13"/>
        <v>450</v>
      </c>
      <c r="C454" s="59" t="s">
        <v>800</v>
      </c>
      <c r="D454" s="60">
        <f>INDEX(Tabledaily[date],MATCH(TableDailyJournal[[#This Row],[رقم العملية]],Tabledaily[رقم العملية],0))</f>
        <v>46188</v>
      </c>
      <c r="E454" s="58" t="str">
        <f>INDEX(Tabledaily[نوع العمليــة],MATCH(TableDailyJournal[[#This Row],[رقم العملية]],Tabledaily[رقم العملية],0))</f>
        <v>قيد عهده</v>
      </c>
      <c r="F454" s="58">
        <f>IFERROR(INDEX(TableJudje[رقم الحساب],MATCH(TableDailyJournal[[#This Row],[الحساب]],TableJudje[اسم الحساب],0)),0)</f>
        <v>31010101</v>
      </c>
      <c r="G454" s="58" t="s">
        <v>111</v>
      </c>
      <c r="H454"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I454" s="60" t="str">
        <f>INDEX(Tabledaily[العملـــة],MATCH(TableDailyJournal[[#This Row],[رقم العملية]],Tabledaily[رقم العملية],0))</f>
        <v>ريال يمني</v>
      </c>
      <c r="J454" s="59">
        <f>IFERROR(INDEX(Tabledaily[سعــــــر
الصـــــرف],MATCH(C454,Tabledaily[رقم العملية],0)),1)</f>
        <v>405</v>
      </c>
      <c r="K454" s="123" cm="1">
        <f t="array" ref="K454">IFERROR(INDEX(Tabledaily[المبلـــــــغ],MATCH(1,(TableDailyJournal[[#This Row],[رقم العملية]]=Tabledaily[رقم العملية])*(TableDailyJournal[[#This Row],[الحساب]]=Tabledaily[الحســاب المديــــن]),0)),0)</f>
        <v>100000</v>
      </c>
      <c r="L454" s="123" cm="1">
        <f t="array" ref="L454">IFERROR(INDEX(Tabledaily[المبلـــــــغ],MATCH(1,(TableDailyJournal[[#This Row],[رقم العملية]]=Tabledaily[رقم العملية])*(TableDailyJournal[[#This Row],[الحساب]]=Tabledaily[الحســاب الدئـــن]),0)),0)</f>
        <v>0</v>
      </c>
      <c r="M454" s="119">
        <f>IFERROR(TableDailyJournal[[#This Row],[المبلغ مدين]]/TableDailyJournal[[#This Row],[سعــــــر
الصـــــرف]],0)</f>
        <v>246.91358024691357</v>
      </c>
      <c r="N454" s="119">
        <f>IFERROR(TableDailyJournal[[#This Row],[المبلغ دائن]]/TableDailyJournal[[#This Row],[سعــــــر
الصـــــرف]],0)</f>
        <v>0</v>
      </c>
      <c r="O454" s="121" t="str">
        <f>INDEX(Tabledaily[المستفيــــــــد],MATCH(TableDailyJournal[[#This Row],[رقم العملية]],Tabledaily[رقم العملية],0))</f>
        <v>الضباط السابقين</v>
      </c>
      <c r="P454" s="121" t="str">
        <f>INDEX(Tabledaily[المــــرجـــــــــع],MATCH(TableDailyJournal[[#This Row],[رقم العملية]],Tabledaily[رقم العملية],0))</f>
        <v>كشف صرف</v>
      </c>
      <c r="Q454" s="121" t="str">
        <f>INDEX(Tabledaily[اســـــــم المــــرجــــع],MATCH(TableDailyJournal[[#This Row],[رقم العملية]],Tabledaily[رقم العملية],0))</f>
        <v>كشف صرف</v>
      </c>
      <c r="R454" s="121">
        <f>INDEX(Tabledaily[رقم المـــــرجـــع],MATCH(TableDailyJournal[[#This Row],[رقم العملية]],Tabledaily[رقم العملية],0))</f>
        <v>0</v>
      </c>
      <c r="S454" s="121" t="str">
        <f>INDEX(Tabledaily[مركـــــــزالتكلفــــــة],MATCH(TableDailyJournal[[#This Row],[رقم العملية]],Tabledaily[رقم العملية],0))</f>
        <v>الفرقة الثالثة</v>
      </c>
      <c r="T454" s="121">
        <f>IFERROR(INDEX(tablecost[رقم المركز],MATCH(TableDailyJournal[[#This Row],[مركـــــــزالتكلفــــــة]],tablecost[الاسم],0)),0)</f>
        <v>1</v>
      </c>
      <c r="U454" s="122">
        <f>IFERROR(DATE(TableDailyJournal[[#This Row],[السنــــة]],TableDailyJournal[[#This Row],[الشهــــر]],TableDailyJournal[[#This Row],[الـــــيوم]]),"01-01-2026")</f>
        <v>46188</v>
      </c>
      <c r="V454" s="126"/>
      <c r="W454" s="58"/>
      <c r="X454" s="58">
        <f>IFERROR(YEAR(TableDailyJournal[[#This Row],[التاريخ]]),"")</f>
        <v>2026</v>
      </c>
      <c r="Y454" s="58">
        <f>IFERROR(MONTH(TableDailyJournal[[#This Row],[التاريخ]]),"")</f>
        <v>6</v>
      </c>
      <c r="Z454" s="58">
        <f>IFERROR(DAY(TableDailyJournal[[#This Row],[التاريخ]]),"")</f>
        <v>15</v>
      </c>
      <c r="AA454"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AB454" s="121">
        <f>INDEX(Tabledaily[جهة الامر],MATCH(TableDailyJournal[[#This Row],[رقم العملية]],Tabledaily[رقم العملية],0))</f>
        <v>0</v>
      </c>
    </row>
    <row r="455" spans="2:28" ht="45.75" x14ac:dyDescent="0.55000000000000004">
      <c r="B455" s="58">
        <f t="shared" si="13"/>
        <v>451</v>
      </c>
      <c r="C455" s="59" t="s">
        <v>800</v>
      </c>
      <c r="D455" s="60">
        <f>INDEX(Tabledaily[date],MATCH(TableDailyJournal[[#This Row],[رقم العملية]],Tabledaily[رقم العملية],0))</f>
        <v>46188</v>
      </c>
      <c r="E455" s="58" t="str">
        <f>INDEX(Tabledaily[نوع العمليــة],MATCH(TableDailyJournal[[#This Row],[رقم العملية]],Tabledaily[رقم العملية],0))</f>
        <v>قيد عهده</v>
      </c>
      <c r="F455" s="58">
        <f>IFERROR(INDEX(TableJudje[رقم الحساب],MATCH(TableDailyJournal[[#This Row],[الحساب]],TableJudje[اسم الحساب],0)),0)</f>
        <v>11060205</v>
      </c>
      <c r="G455" s="58" t="s">
        <v>513</v>
      </c>
      <c r="H455"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I455" s="60" t="str">
        <f>INDEX(Tabledaily[العملـــة],MATCH(TableDailyJournal[[#This Row],[رقم العملية]],Tabledaily[رقم العملية],0))</f>
        <v>ريال يمني</v>
      </c>
      <c r="J455" s="59">
        <f>IFERROR(INDEX(Tabledaily[سعــــــر
الصـــــرف],MATCH(C455,Tabledaily[رقم العملية],0)),1)</f>
        <v>405</v>
      </c>
      <c r="K455" s="123" cm="1">
        <f t="array" ref="K455">IFERROR(INDEX(Tabledaily[المبلـــــــغ],MATCH(1,(TableDailyJournal[[#This Row],[رقم العملية]]=Tabledaily[رقم العملية])*(TableDailyJournal[[#This Row],[الحساب]]=Tabledaily[الحســاب المديــــن]),0)),0)</f>
        <v>0</v>
      </c>
      <c r="L455" s="123" cm="1">
        <f t="array" ref="L455">IFERROR(INDEX(Tabledaily[المبلـــــــغ],MATCH(1,(TableDailyJournal[[#This Row],[رقم العملية]]=Tabledaily[رقم العملية])*(TableDailyJournal[[#This Row],[الحساب]]=Tabledaily[الحســاب الدئـــن]),0)),0)</f>
        <v>100000</v>
      </c>
      <c r="M455" s="119">
        <f>IFERROR(TableDailyJournal[[#This Row],[المبلغ مدين]]/TableDailyJournal[[#This Row],[سعــــــر
الصـــــرف]],0)</f>
        <v>0</v>
      </c>
      <c r="N455" s="119">
        <f>IFERROR(TableDailyJournal[[#This Row],[المبلغ دائن]]/TableDailyJournal[[#This Row],[سعــــــر
الصـــــرف]],0)</f>
        <v>246.91358024691357</v>
      </c>
      <c r="O455" s="121" t="str">
        <f>INDEX(Tabledaily[المستفيــــــــد],MATCH(TableDailyJournal[[#This Row],[رقم العملية]],Tabledaily[رقم العملية],0))</f>
        <v>الضباط السابقين</v>
      </c>
      <c r="P455" s="121" t="str">
        <f>INDEX(Tabledaily[المــــرجـــــــــع],MATCH(TableDailyJournal[[#This Row],[رقم العملية]],Tabledaily[رقم العملية],0))</f>
        <v>كشف صرف</v>
      </c>
      <c r="Q455" s="121" t="str">
        <f>INDEX(Tabledaily[اســـــــم المــــرجــــع],MATCH(TableDailyJournal[[#This Row],[رقم العملية]],Tabledaily[رقم العملية],0))</f>
        <v>كشف صرف</v>
      </c>
      <c r="R455" s="121">
        <f>INDEX(Tabledaily[رقم المـــــرجـــع],MATCH(TableDailyJournal[[#This Row],[رقم العملية]],Tabledaily[رقم العملية],0))</f>
        <v>0</v>
      </c>
      <c r="S455" s="121" t="str">
        <f>INDEX(Tabledaily[مركـــــــزالتكلفــــــة],MATCH(TableDailyJournal[[#This Row],[رقم العملية]],Tabledaily[رقم العملية],0))</f>
        <v>الفرقة الثالثة</v>
      </c>
      <c r="T455" s="121">
        <f>IFERROR(INDEX(tablecost[رقم المركز],MATCH(TableDailyJournal[[#This Row],[مركـــــــزالتكلفــــــة]],tablecost[الاسم],0)),0)</f>
        <v>1</v>
      </c>
      <c r="U455" s="122">
        <f>IFERROR(DATE(TableDailyJournal[[#This Row],[السنــــة]],TableDailyJournal[[#This Row],[الشهــــر]],TableDailyJournal[[#This Row],[الـــــيوم]]),"01-01-2026")</f>
        <v>46188</v>
      </c>
      <c r="V455" s="126"/>
      <c r="W455" s="58"/>
      <c r="X455" s="58">
        <f>IFERROR(YEAR(TableDailyJournal[[#This Row],[التاريخ]]),"")</f>
        <v>2026</v>
      </c>
      <c r="Y455" s="58">
        <f>IFERROR(MONTH(TableDailyJournal[[#This Row],[التاريخ]]),"")</f>
        <v>6</v>
      </c>
      <c r="Z455" s="58">
        <f>IFERROR(DAY(TableDailyJournal[[#This Row],[التاريخ]]),"")</f>
        <v>15</v>
      </c>
      <c r="AA455"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ضباط سابقين لعدد 10 بامر</v>
      </c>
      <c r="AB455" s="121">
        <f>INDEX(Tabledaily[جهة الامر],MATCH(TableDailyJournal[[#This Row],[رقم العملية]],Tabledaily[رقم العملية],0))</f>
        <v>0</v>
      </c>
    </row>
    <row r="456" spans="2:28" ht="45.75" x14ac:dyDescent="0.55000000000000004">
      <c r="B456" s="58">
        <f t="shared" ref="B456:B473" si="14">ROW()-4</f>
        <v>452</v>
      </c>
      <c r="C456" s="59" t="s">
        <v>801</v>
      </c>
      <c r="D456" s="60">
        <f>INDEX(Tabledaily[date],MATCH(TableDailyJournal[[#This Row],[رقم العملية]],Tabledaily[رقم العملية],0))</f>
        <v>46188</v>
      </c>
      <c r="E456" s="58" t="str">
        <f>INDEX(Tabledaily[نوع العمليــة],MATCH(TableDailyJournal[[#This Row],[رقم العملية]],Tabledaily[رقم العملية],0))</f>
        <v>قيد عهده</v>
      </c>
      <c r="F456" s="58">
        <f>IFERROR(INDEX(TableJudje[رقم الحساب],MATCH(TableDailyJournal[[#This Row],[الحساب]],TableJudje[اسم الحساب],0)),0)</f>
        <v>31010101</v>
      </c>
      <c r="G456" s="58" t="s">
        <v>111</v>
      </c>
      <c r="H456"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12 بامر</v>
      </c>
      <c r="I456" s="60" t="str">
        <f>INDEX(Tabledaily[العملـــة],MATCH(TableDailyJournal[[#This Row],[رقم العملية]],Tabledaily[رقم العملية],0))</f>
        <v>ريال يمني</v>
      </c>
      <c r="J456" s="59">
        <f>IFERROR(INDEX(Tabledaily[سعــــــر
الصـــــرف],MATCH(C456,Tabledaily[رقم العملية],0)),1)</f>
        <v>405</v>
      </c>
      <c r="K456" s="123" cm="1">
        <f t="array" ref="K456">IFERROR(INDEX(Tabledaily[المبلـــــــغ],MATCH(1,(TableDailyJournal[[#This Row],[رقم العملية]]=Tabledaily[رقم العملية])*(TableDailyJournal[[#This Row],[الحساب]]=Tabledaily[الحســاب المديــــن]),0)),0)</f>
        <v>126000</v>
      </c>
      <c r="L456" s="123" cm="1">
        <f t="array" ref="L456">IFERROR(INDEX(Tabledaily[المبلـــــــغ],MATCH(1,(TableDailyJournal[[#This Row],[رقم العملية]]=Tabledaily[رقم العملية])*(TableDailyJournal[[#This Row],[الحساب]]=Tabledaily[الحســاب الدئـــن]),0)),0)</f>
        <v>0</v>
      </c>
      <c r="M456" s="119">
        <f>IFERROR(TableDailyJournal[[#This Row],[المبلغ مدين]]/TableDailyJournal[[#This Row],[سعــــــر
الصـــــرف]],0)</f>
        <v>311.11111111111109</v>
      </c>
      <c r="N456" s="119">
        <f>IFERROR(TableDailyJournal[[#This Row],[المبلغ دائن]]/TableDailyJournal[[#This Row],[سعــــــر
الصـــــرف]],0)</f>
        <v>0</v>
      </c>
      <c r="O456" s="121" t="str">
        <f>INDEX(Tabledaily[المستفيــــــــد],MATCH(TableDailyJournal[[#This Row],[رقم العملية]],Tabledaily[رقم العملية],0))</f>
        <v>اخرون</v>
      </c>
      <c r="P456" s="121" t="str">
        <f>INDEX(Tabledaily[المــــرجـــــــــع],MATCH(TableDailyJournal[[#This Row],[رقم العملية]],Tabledaily[رقم العملية],0))</f>
        <v>كشف صرف</v>
      </c>
      <c r="Q456" s="121" t="str">
        <f>INDEX(Tabledaily[اســـــــم المــــرجــــع],MATCH(TableDailyJournal[[#This Row],[رقم العملية]],Tabledaily[رقم العملية],0))</f>
        <v>كشف صرف</v>
      </c>
      <c r="R456" s="121">
        <f>INDEX(Tabledaily[رقم المـــــرجـــع],MATCH(TableDailyJournal[[#This Row],[رقم العملية]],Tabledaily[رقم العملية],0))</f>
        <v>0</v>
      </c>
      <c r="S456" s="121" t="str">
        <f>INDEX(Tabledaily[مركـــــــزالتكلفــــــة],MATCH(TableDailyJournal[[#This Row],[رقم العملية]],Tabledaily[رقم العملية],0))</f>
        <v>الفرقة الثالثة</v>
      </c>
      <c r="T456" s="121">
        <f>IFERROR(INDEX(tablecost[رقم المركز],MATCH(TableDailyJournal[[#This Row],[مركـــــــزالتكلفــــــة]],tablecost[الاسم],0)),0)</f>
        <v>1</v>
      </c>
      <c r="U456" s="122">
        <f>IFERROR(DATE(TableDailyJournal[[#This Row],[السنــــة]],TableDailyJournal[[#This Row],[الشهــــر]],TableDailyJournal[[#This Row],[الـــــيوم]]),"01-01-2026")</f>
        <v>46188</v>
      </c>
      <c r="V456" s="126"/>
      <c r="W456" s="58"/>
      <c r="X456" s="58">
        <f>IFERROR(YEAR(TableDailyJournal[[#This Row],[التاريخ]]),"")</f>
        <v>2026</v>
      </c>
      <c r="Y456" s="58">
        <f>IFERROR(MONTH(TableDailyJournal[[#This Row],[التاريخ]]),"")</f>
        <v>6</v>
      </c>
      <c r="Z456" s="58">
        <f>IFERROR(DAY(TableDailyJournal[[#This Row],[التاريخ]]),"")</f>
        <v>15</v>
      </c>
      <c r="AA456"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12 بامر</v>
      </c>
      <c r="AB456" s="121">
        <f>INDEX(Tabledaily[جهة الامر],MATCH(TableDailyJournal[[#This Row],[رقم العملية]],Tabledaily[رقم العملية],0))</f>
        <v>0</v>
      </c>
    </row>
    <row r="457" spans="2:28" ht="45.75" x14ac:dyDescent="0.55000000000000004">
      <c r="B457" s="58">
        <f t="shared" si="14"/>
        <v>453</v>
      </c>
      <c r="C457" s="59" t="s">
        <v>801</v>
      </c>
      <c r="D457" s="60">
        <f>INDEX(Tabledaily[date],MATCH(TableDailyJournal[[#This Row],[رقم العملية]],Tabledaily[رقم العملية],0))</f>
        <v>46188</v>
      </c>
      <c r="E457" s="58" t="str">
        <f>INDEX(Tabledaily[نوع العمليــة],MATCH(TableDailyJournal[[#This Row],[رقم العملية]],Tabledaily[رقم العملية],0))</f>
        <v>قيد عهده</v>
      </c>
      <c r="F457" s="58">
        <f>IFERROR(INDEX(TableJudje[رقم الحساب],MATCH(TableDailyJournal[[#This Row],[الحساب]],TableJudje[اسم الحساب],0)),0)</f>
        <v>11060205</v>
      </c>
      <c r="G457" s="58" t="s">
        <v>513</v>
      </c>
      <c r="H457"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12 بامر</v>
      </c>
      <c r="I457" s="60" t="str">
        <f>INDEX(Tabledaily[العملـــة],MATCH(TableDailyJournal[[#This Row],[رقم العملية]],Tabledaily[رقم العملية],0))</f>
        <v>ريال يمني</v>
      </c>
      <c r="J457" s="59">
        <f>IFERROR(INDEX(Tabledaily[سعــــــر
الصـــــرف],MATCH(C457,Tabledaily[رقم العملية],0)),1)</f>
        <v>405</v>
      </c>
      <c r="K457" s="123" cm="1">
        <f t="array" ref="K457">IFERROR(INDEX(Tabledaily[المبلـــــــغ],MATCH(1,(TableDailyJournal[[#This Row],[رقم العملية]]=Tabledaily[رقم العملية])*(TableDailyJournal[[#This Row],[الحساب]]=Tabledaily[الحســاب المديــــن]),0)),0)</f>
        <v>0</v>
      </c>
      <c r="L457" s="123" cm="1">
        <f t="array" ref="L457">IFERROR(INDEX(Tabledaily[المبلـــــــغ],MATCH(1,(TableDailyJournal[[#This Row],[رقم العملية]]=Tabledaily[رقم العملية])*(TableDailyJournal[[#This Row],[الحساب]]=Tabledaily[الحســاب الدئـــن]),0)),0)</f>
        <v>126000</v>
      </c>
      <c r="M457" s="119">
        <f>IFERROR(TableDailyJournal[[#This Row],[المبلغ مدين]]/TableDailyJournal[[#This Row],[سعــــــر
الصـــــرف]],0)</f>
        <v>0</v>
      </c>
      <c r="N457" s="119">
        <f>IFERROR(TableDailyJournal[[#This Row],[المبلغ دائن]]/TableDailyJournal[[#This Row],[سعــــــر
الصـــــرف]],0)</f>
        <v>311.11111111111109</v>
      </c>
      <c r="O457" s="121" t="str">
        <f>INDEX(Tabledaily[المستفيــــــــد],MATCH(TableDailyJournal[[#This Row],[رقم العملية]],Tabledaily[رقم العملية],0))</f>
        <v>اخرون</v>
      </c>
      <c r="P457" s="121" t="str">
        <f>INDEX(Tabledaily[المــــرجـــــــــع],MATCH(TableDailyJournal[[#This Row],[رقم العملية]],Tabledaily[رقم العملية],0))</f>
        <v>كشف صرف</v>
      </c>
      <c r="Q457" s="121" t="str">
        <f>INDEX(Tabledaily[اســـــــم المــــرجــــع],MATCH(TableDailyJournal[[#This Row],[رقم العملية]],Tabledaily[رقم العملية],0))</f>
        <v>كشف صرف</v>
      </c>
      <c r="R457" s="121">
        <f>INDEX(Tabledaily[رقم المـــــرجـــع],MATCH(TableDailyJournal[[#This Row],[رقم العملية]],Tabledaily[رقم العملية],0))</f>
        <v>0</v>
      </c>
      <c r="S457" s="121" t="str">
        <f>INDEX(Tabledaily[مركـــــــزالتكلفــــــة],MATCH(TableDailyJournal[[#This Row],[رقم العملية]],Tabledaily[رقم العملية],0))</f>
        <v>الفرقة الثالثة</v>
      </c>
      <c r="T457" s="121">
        <f>IFERROR(INDEX(tablecost[رقم المركز],MATCH(TableDailyJournal[[#This Row],[مركـــــــزالتكلفــــــة]],tablecost[الاسم],0)),0)</f>
        <v>1</v>
      </c>
      <c r="U457" s="122">
        <f>IFERROR(DATE(TableDailyJournal[[#This Row],[السنــــة]],TableDailyJournal[[#This Row],[الشهــــر]],TableDailyJournal[[#This Row],[الـــــيوم]]),"01-01-2026")</f>
        <v>46188</v>
      </c>
      <c r="V457" s="126"/>
      <c r="W457" s="58"/>
      <c r="X457" s="58">
        <f>IFERROR(YEAR(TableDailyJournal[[#This Row],[التاريخ]]),"")</f>
        <v>2026</v>
      </c>
      <c r="Y457" s="58">
        <f>IFERROR(MONTH(TableDailyJournal[[#This Row],[التاريخ]]),"")</f>
        <v>6</v>
      </c>
      <c r="Z457" s="58">
        <f>IFERROR(DAY(TableDailyJournal[[#This Row],[التاريخ]]),"")</f>
        <v>15</v>
      </c>
      <c r="AA457"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12 بامر</v>
      </c>
      <c r="AB457" s="121">
        <f>INDEX(Tabledaily[جهة الامر],MATCH(TableDailyJournal[[#This Row],[رقم العملية]],Tabledaily[رقم العملية],0))</f>
        <v>0</v>
      </c>
    </row>
    <row r="458" spans="2:28" ht="45.75" x14ac:dyDescent="0.55000000000000004">
      <c r="B458" s="58">
        <f t="shared" si="14"/>
        <v>454</v>
      </c>
      <c r="C458" s="59" t="s">
        <v>803</v>
      </c>
      <c r="D458" s="60">
        <f>INDEX(Tabledaily[date],MATCH(TableDailyJournal[[#This Row],[رقم العملية]],Tabledaily[رقم العملية],0))</f>
        <v>46188</v>
      </c>
      <c r="E458" s="58" t="str">
        <f>INDEX(Tabledaily[نوع العمليــة],MATCH(TableDailyJournal[[#This Row],[رقم العملية]],Tabledaily[رقم العملية],0))</f>
        <v>قيد عهده</v>
      </c>
      <c r="F458" s="58">
        <f>IFERROR(INDEX(TableJudje[رقم الحساب],MATCH(TableDailyJournal[[#This Row],[الحساب]],TableJudje[اسم الحساب],0)),0)</f>
        <v>31010101</v>
      </c>
      <c r="G458" s="58" t="s">
        <v>111</v>
      </c>
      <c r="H458"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458" s="60" t="str">
        <f>INDEX(Tabledaily[العملـــة],MATCH(TableDailyJournal[[#This Row],[رقم العملية]],Tabledaily[رقم العملية],0))</f>
        <v>ريال يمني</v>
      </c>
      <c r="J458" s="59">
        <f>IFERROR(INDEX(Tabledaily[سعــــــر
الصـــــرف],MATCH(C458,Tabledaily[رقم العملية],0)),1)</f>
        <v>405</v>
      </c>
      <c r="K458" s="123" cm="1">
        <f t="array" ref="K458">IFERROR(INDEX(Tabledaily[المبلـــــــغ],MATCH(1,(TableDailyJournal[[#This Row],[رقم العملية]]=Tabledaily[رقم العملية])*(TableDailyJournal[[#This Row],[الحساب]]=Tabledaily[الحســاب المديــــن]),0)),0)</f>
        <v>25000</v>
      </c>
      <c r="L458" s="123" cm="1">
        <f t="array" ref="L458">IFERROR(INDEX(Tabledaily[المبلـــــــغ],MATCH(1,(TableDailyJournal[[#This Row],[رقم العملية]]=Tabledaily[رقم العملية])*(TableDailyJournal[[#This Row],[الحساب]]=Tabledaily[الحســاب الدئـــن]),0)),0)</f>
        <v>0</v>
      </c>
      <c r="M458" s="119">
        <f>IFERROR(TableDailyJournal[[#This Row],[المبلغ مدين]]/TableDailyJournal[[#This Row],[سعــــــر
الصـــــرف]],0)</f>
        <v>61.728395061728392</v>
      </c>
      <c r="N458" s="119">
        <f>IFERROR(TableDailyJournal[[#This Row],[المبلغ دائن]]/TableDailyJournal[[#This Row],[سعــــــر
الصـــــرف]],0)</f>
        <v>0</v>
      </c>
      <c r="O458" s="121" t="str">
        <f>INDEX(Tabledaily[المستفيــــــــد],MATCH(TableDailyJournal[[#This Row],[رقم العملية]],Tabledaily[رقم العملية],0))</f>
        <v>مرافقي الاركان</v>
      </c>
      <c r="P458" s="121" t="str">
        <f>INDEX(Tabledaily[المــــرجـــــــــع],MATCH(TableDailyJournal[[#This Row],[رقم العملية]],Tabledaily[رقم العملية],0))</f>
        <v>كشف صرف</v>
      </c>
      <c r="Q458" s="121" t="str">
        <f>INDEX(Tabledaily[اســـــــم المــــرجــــع],MATCH(TableDailyJournal[[#This Row],[رقم العملية]],Tabledaily[رقم العملية],0))</f>
        <v>كشف صرف</v>
      </c>
      <c r="R458" s="121">
        <f>INDEX(Tabledaily[رقم المـــــرجـــع],MATCH(TableDailyJournal[[#This Row],[رقم العملية]],Tabledaily[رقم العملية],0))</f>
        <v>0</v>
      </c>
      <c r="S458" s="121" t="str">
        <f>INDEX(Tabledaily[مركـــــــزالتكلفــــــة],MATCH(TableDailyJournal[[#This Row],[رقم العملية]],Tabledaily[رقم العملية],0))</f>
        <v>الفرقة الثالثة</v>
      </c>
      <c r="T458" s="121">
        <f>IFERROR(INDEX(tablecost[رقم المركز],MATCH(TableDailyJournal[[#This Row],[مركـــــــزالتكلفــــــة]],tablecost[الاسم],0)),0)</f>
        <v>1</v>
      </c>
      <c r="U458" s="122">
        <f>IFERROR(DATE(TableDailyJournal[[#This Row],[السنــــة]],TableDailyJournal[[#This Row],[الشهــــر]],TableDailyJournal[[#This Row],[الـــــيوم]]),"01-01-2026")</f>
        <v>46188</v>
      </c>
      <c r="V458" s="126"/>
      <c r="W458" s="58"/>
      <c r="X458" s="58">
        <f>IFERROR(YEAR(TableDailyJournal[[#This Row],[التاريخ]]),"")</f>
        <v>2026</v>
      </c>
      <c r="Y458" s="58">
        <f>IFERROR(MONTH(TableDailyJournal[[#This Row],[التاريخ]]),"")</f>
        <v>6</v>
      </c>
      <c r="Z458" s="58">
        <f>IFERROR(DAY(TableDailyJournal[[#This Row],[التاريخ]]),"")</f>
        <v>15</v>
      </c>
      <c r="AA458"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458" s="121">
        <f>INDEX(Tabledaily[جهة الامر],MATCH(TableDailyJournal[[#This Row],[رقم العملية]],Tabledaily[رقم العملية],0))</f>
        <v>0</v>
      </c>
    </row>
    <row r="459" spans="2:28" ht="45.75" x14ac:dyDescent="0.55000000000000004">
      <c r="B459" s="58">
        <f t="shared" si="14"/>
        <v>455</v>
      </c>
      <c r="C459" s="59" t="s">
        <v>803</v>
      </c>
      <c r="D459" s="60">
        <f>INDEX(Tabledaily[date],MATCH(TableDailyJournal[[#This Row],[رقم العملية]],Tabledaily[رقم العملية],0))</f>
        <v>46188</v>
      </c>
      <c r="E459" s="58" t="str">
        <f>INDEX(Tabledaily[نوع العمليــة],MATCH(TableDailyJournal[[#This Row],[رقم العملية]],Tabledaily[رقم العملية],0))</f>
        <v>قيد عهده</v>
      </c>
      <c r="F459" s="58">
        <f>IFERROR(INDEX(TableJudje[رقم الحساب],MATCH(TableDailyJournal[[#This Row],[الحساب]],TableJudje[اسم الحساب],0)),0)</f>
        <v>11060205</v>
      </c>
      <c r="G459" s="58" t="s">
        <v>513</v>
      </c>
      <c r="H459"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I459" s="60" t="str">
        <f>INDEX(Tabledaily[العملـــة],MATCH(TableDailyJournal[[#This Row],[رقم العملية]],Tabledaily[رقم العملية],0))</f>
        <v>ريال يمني</v>
      </c>
      <c r="J459" s="59">
        <f>IFERROR(INDEX(Tabledaily[سعــــــر
الصـــــرف],MATCH(C459,Tabledaily[رقم العملية],0)),1)</f>
        <v>405</v>
      </c>
      <c r="K459" s="123" cm="1">
        <f t="array" ref="K459">IFERROR(INDEX(Tabledaily[المبلـــــــغ],MATCH(1,(TableDailyJournal[[#This Row],[رقم العملية]]=Tabledaily[رقم العملية])*(TableDailyJournal[[#This Row],[الحساب]]=Tabledaily[الحســاب المديــــن]),0)),0)</f>
        <v>0</v>
      </c>
      <c r="L459" s="123" cm="1">
        <f t="array" ref="L459">IFERROR(INDEX(Tabledaily[المبلـــــــغ],MATCH(1,(TableDailyJournal[[#This Row],[رقم العملية]]=Tabledaily[رقم العملية])*(TableDailyJournal[[#This Row],[الحساب]]=Tabledaily[الحســاب الدئـــن]),0)),0)</f>
        <v>25000</v>
      </c>
      <c r="M459" s="119">
        <f>IFERROR(TableDailyJournal[[#This Row],[المبلغ مدين]]/TableDailyJournal[[#This Row],[سعــــــر
الصـــــرف]],0)</f>
        <v>0</v>
      </c>
      <c r="N459" s="119">
        <f>IFERROR(TableDailyJournal[[#This Row],[المبلغ دائن]]/TableDailyJournal[[#This Row],[سعــــــر
الصـــــرف]],0)</f>
        <v>61.728395061728392</v>
      </c>
      <c r="O459" s="121" t="str">
        <f>INDEX(Tabledaily[المستفيــــــــد],MATCH(TableDailyJournal[[#This Row],[رقم العملية]],Tabledaily[رقم العملية],0))</f>
        <v>مرافقي الاركان</v>
      </c>
      <c r="P459" s="121" t="str">
        <f>INDEX(Tabledaily[المــــرجـــــــــع],MATCH(TableDailyJournal[[#This Row],[رقم العملية]],Tabledaily[رقم العملية],0))</f>
        <v>كشف صرف</v>
      </c>
      <c r="Q459" s="121" t="str">
        <f>INDEX(Tabledaily[اســـــــم المــــرجــــع],MATCH(TableDailyJournal[[#This Row],[رقم العملية]],Tabledaily[رقم العملية],0))</f>
        <v>كشف صرف</v>
      </c>
      <c r="R459" s="121">
        <f>INDEX(Tabledaily[رقم المـــــرجـــع],MATCH(TableDailyJournal[[#This Row],[رقم العملية]],Tabledaily[رقم العملية],0))</f>
        <v>0</v>
      </c>
      <c r="S459" s="121" t="str">
        <f>INDEX(Tabledaily[مركـــــــزالتكلفــــــة],MATCH(TableDailyJournal[[#This Row],[رقم العملية]],Tabledaily[رقم العملية],0))</f>
        <v>الفرقة الثالثة</v>
      </c>
      <c r="T459" s="121">
        <f>IFERROR(INDEX(tablecost[رقم المركز],MATCH(TableDailyJournal[[#This Row],[مركـــــــزالتكلفــــــة]],tablecost[الاسم],0)),0)</f>
        <v>1</v>
      </c>
      <c r="U459" s="122">
        <f>IFERROR(DATE(TableDailyJournal[[#This Row],[السنــــة]],TableDailyJournal[[#This Row],[الشهــــر]],TableDailyJournal[[#This Row],[الـــــيوم]]),"01-01-2026")</f>
        <v>46188</v>
      </c>
      <c r="V459" s="126"/>
      <c r="W459" s="58"/>
      <c r="X459" s="58">
        <f>IFERROR(YEAR(TableDailyJournal[[#This Row],[التاريخ]]),"")</f>
        <v>2026</v>
      </c>
      <c r="Y459" s="58">
        <f>IFERROR(MONTH(TableDailyJournal[[#This Row],[التاريخ]]),"")</f>
        <v>6</v>
      </c>
      <c r="Z459" s="58">
        <f>IFERROR(DAY(TableDailyJournal[[#This Row],[التاريخ]]),"")</f>
        <v>15</v>
      </c>
      <c r="AA459"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 الاركان عدد 4 بامر</v>
      </c>
      <c r="AB459" s="121">
        <f>INDEX(Tabledaily[جهة الامر],MATCH(TableDailyJournal[[#This Row],[رقم العملية]],Tabledaily[رقم العملية],0))</f>
        <v>0</v>
      </c>
    </row>
    <row r="460" spans="2:28" ht="67.5" x14ac:dyDescent="0.55000000000000004">
      <c r="B460" s="58">
        <f t="shared" si="14"/>
        <v>456</v>
      </c>
      <c r="C460" s="59" t="s">
        <v>804</v>
      </c>
      <c r="D460" s="60">
        <f>INDEX(Tabledaily[date],MATCH(TableDailyJournal[[#This Row],[رقم العملية]],Tabledaily[رقم العملية],0))</f>
        <v>46188</v>
      </c>
      <c r="E460" s="58" t="str">
        <f>INDEX(Tabledaily[نوع العمليــة],MATCH(TableDailyJournal[[#This Row],[رقم العملية]],Tabledaily[رقم العملية],0))</f>
        <v>قيد عهده</v>
      </c>
      <c r="F460" s="58">
        <f>IFERROR(INDEX(TableJudje[رقم الحساب],MATCH(TableDailyJournal[[#This Row],[الحساب]],TableJudje[اسم الحساب],0)),0)</f>
        <v>31010101</v>
      </c>
      <c r="G460" s="58" t="s">
        <v>111</v>
      </c>
      <c r="H460"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460" s="60" t="str">
        <f>INDEX(Tabledaily[العملـــة],MATCH(TableDailyJournal[[#This Row],[رقم العملية]],Tabledaily[رقم العملية],0))</f>
        <v>ريال يمني</v>
      </c>
      <c r="J460" s="59">
        <f>IFERROR(INDEX(Tabledaily[سعــــــر
الصـــــرف],MATCH(C460,Tabledaily[رقم العملية],0)),1)</f>
        <v>405</v>
      </c>
      <c r="K460" s="123" cm="1">
        <f t="array" ref="K460">IFERROR(INDEX(Tabledaily[المبلـــــــغ],MATCH(1,(TableDailyJournal[[#This Row],[رقم العملية]]=Tabledaily[رقم العملية])*(TableDailyJournal[[#This Row],[الحساب]]=Tabledaily[الحســاب المديــــن]),0)),0)</f>
        <v>36000</v>
      </c>
      <c r="L460" s="123" cm="1">
        <f t="array" ref="L460">IFERROR(INDEX(Tabledaily[المبلـــــــغ],MATCH(1,(TableDailyJournal[[#This Row],[رقم العملية]]=Tabledaily[رقم العملية])*(TableDailyJournal[[#This Row],[الحساب]]=Tabledaily[الحســاب الدئـــن]),0)),0)</f>
        <v>0</v>
      </c>
      <c r="M460" s="119">
        <f>IFERROR(TableDailyJournal[[#This Row],[المبلغ مدين]]/TableDailyJournal[[#This Row],[سعــــــر
الصـــــرف]],0)</f>
        <v>88.888888888888886</v>
      </c>
      <c r="N460" s="119">
        <f>IFERROR(TableDailyJournal[[#This Row],[المبلغ دائن]]/TableDailyJournal[[#This Row],[سعــــــر
الصـــــرف]],0)</f>
        <v>0</v>
      </c>
      <c r="O460" s="121" t="str">
        <f>INDEX(Tabledaily[المستفيــــــــد],MATCH(TableDailyJournal[[#This Row],[رقم العملية]],Tabledaily[رقم العملية],0))</f>
        <v>افراد طقم اللواء السابع مرافقين</v>
      </c>
      <c r="P460" s="121" t="str">
        <f>INDEX(Tabledaily[المــــرجـــــــــع],MATCH(TableDailyJournal[[#This Row],[رقم العملية]],Tabledaily[رقم العملية],0))</f>
        <v>كشف صرف</v>
      </c>
      <c r="Q460" s="121" t="str">
        <f>INDEX(Tabledaily[اســـــــم المــــرجــــع],MATCH(TableDailyJournal[[#This Row],[رقم العملية]],Tabledaily[رقم العملية],0))</f>
        <v>كشف صرف</v>
      </c>
      <c r="R460" s="121">
        <f>INDEX(Tabledaily[رقم المـــــرجـــع],MATCH(TableDailyJournal[[#This Row],[رقم العملية]],Tabledaily[رقم العملية],0))</f>
        <v>0</v>
      </c>
      <c r="S460" s="121" t="str">
        <f>INDEX(Tabledaily[مركـــــــزالتكلفــــــة],MATCH(TableDailyJournal[[#This Row],[رقم العملية]],Tabledaily[رقم العملية],0))</f>
        <v>الفرقة الثالثة</v>
      </c>
      <c r="T460" s="121">
        <f>IFERROR(INDEX(tablecost[رقم المركز],MATCH(TableDailyJournal[[#This Row],[مركـــــــزالتكلفــــــة]],tablecost[الاسم],0)),0)</f>
        <v>1</v>
      </c>
      <c r="U460" s="122">
        <f>IFERROR(DATE(TableDailyJournal[[#This Row],[السنــــة]],TableDailyJournal[[#This Row],[الشهــــر]],TableDailyJournal[[#This Row],[الـــــيوم]]),"01-01-2026")</f>
        <v>46188</v>
      </c>
      <c r="V460" s="126"/>
      <c r="W460" s="58"/>
      <c r="X460" s="58">
        <f>IFERROR(YEAR(TableDailyJournal[[#This Row],[التاريخ]]),"")</f>
        <v>2026</v>
      </c>
      <c r="Y460" s="58">
        <f>IFERROR(MONTH(TableDailyJournal[[#This Row],[التاريخ]]),"")</f>
        <v>6</v>
      </c>
      <c r="Z460" s="58">
        <f>IFERROR(DAY(TableDailyJournal[[#This Row],[التاريخ]]),"")</f>
        <v>15</v>
      </c>
      <c r="AA460"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460" s="121">
        <f>INDEX(Tabledaily[جهة الامر],MATCH(TableDailyJournal[[#This Row],[رقم العملية]],Tabledaily[رقم العملية],0))</f>
        <v>0</v>
      </c>
    </row>
    <row r="461" spans="2:28" ht="67.5" x14ac:dyDescent="0.55000000000000004">
      <c r="B461" s="58">
        <f t="shared" si="14"/>
        <v>457</v>
      </c>
      <c r="C461" s="59" t="s">
        <v>804</v>
      </c>
      <c r="D461" s="60">
        <f>INDEX(Tabledaily[date],MATCH(TableDailyJournal[[#This Row],[رقم العملية]],Tabledaily[رقم العملية],0))</f>
        <v>46188</v>
      </c>
      <c r="E461" s="58" t="str">
        <f>INDEX(Tabledaily[نوع العمليــة],MATCH(TableDailyJournal[[#This Row],[رقم العملية]],Tabledaily[رقم العملية],0))</f>
        <v>قيد عهده</v>
      </c>
      <c r="F461" s="58">
        <f>IFERROR(INDEX(TableJudje[رقم الحساب],MATCH(TableDailyJournal[[#This Row],[الحساب]],TableJudje[اسم الحساب],0)),0)</f>
        <v>11060205</v>
      </c>
      <c r="G461" s="58" t="s">
        <v>513</v>
      </c>
      <c r="H461"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I461" s="60" t="str">
        <f>INDEX(Tabledaily[العملـــة],MATCH(TableDailyJournal[[#This Row],[رقم العملية]],Tabledaily[رقم العملية],0))</f>
        <v>ريال يمني</v>
      </c>
      <c r="J461" s="59">
        <f>IFERROR(INDEX(Tabledaily[سعــــــر
الصـــــرف],MATCH(C461,Tabledaily[رقم العملية],0)),1)</f>
        <v>405</v>
      </c>
      <c r="K461" s="123" cm="1">
        <f t="array" ref="K461">IFERROR(INDEX(Tabledaily[المبلـــــــغ],MATCH(1,(TableDailyJournal[[#This Row],[رقم العملية]]=Tabledaily[رقم العملية])*(TableDailyJournal[[#This Row],[الحساب]]=Tabledaily[الحســاب المديــــن]),0)),0)</f>
        <v>0</v>
      </c>
      <c r="L461" s="123" cm="1">
        <f t="array" ref="L461">IFERROR(INDEX(Tabledaily[المبلـــــــغ],MATCH(1,(TableDailyJournal[[#This Row],[رقم العملية]]=Tabledaily[رقم العملية])*(TableDailyJournal[[#This Row],[الحساب]]=Tabledaily[الحســاب الدئـــن]),0)),0)</f>
        <v>36000</v>
      </c>
      <c r="M461" s="119">
        <f>IFERROR(TableDailyJournal[[#This Row],[المبلغ مدين]]/TableDailyJournal[[#This Row],[سعــــــر
الصـــــرف]],0)</f>
        <v>0</v>
      </c>
      <c r="N461" s="119">
        <f>IFERROR(TableDailyJournal[[#This Row],[المبلغ دائن]]/TableDailyJournal[[#This Row],[سعــــــر
الصـــــرف]],0)</f>
        <v>88.888888888888886</v>
      </c>
      <c r="O461" s="121" t="str">
        <f>INDEX(Tabledaily[المستفيــــــــد],MATCH(TableDailyJournal[[#This Row],[رقم العملية]],Tabledaily[رقم العملية],0))</f>
        <v>افراد طقم اللواء السابع مرافقين</v>
      </c>
      <c r="P461" s="121" t="str">
        <f>INDEX(Tabledaily[المــــرجـــــــــع],MATCH(TableDailyJournal[[#This Row],[رقم العملية]],Tabledaily[رقم العملية],0))</f>
        <v>كشف صرف</v>
      </c>
      <c r="Q461" s="121" t="str">
        <f>INDEX(Tabledaily[اســـــــم المــــرجــــع],MATCH(TableDailyJournal[[#This Row],[رقم العملية]],Tabledaily[رقم العملية],0))</f>
        <v>كشف صرف</v>
      </c>
      <c r="R461" s="121">
        <f>INDEX(Tabledaily[رقم المـــــرجـــع],MATCH(TableDailyJournal[[#This Row],[رقم العملية]],Tabledaily[رقم العملية],0))</f>
        <v>0</v>
      </c>
      <c r="S461" s="121" t="str">
        <f>INDEX(Tabledaily[مركـــــــزالتكلفــــــة],MATCH(TableDailyJournal[[#This Row],[رقم العملية]],Tabledaily[رقم العملية],0))</f>
        <v>الفرقة الثالثة</v>
      </c>
      <c r="T461" s="121">
        <f>IFERROR(INDEX(tablecost[رقم المركز],MATCH(TableDailyJournal[[#This Row],[مركـــــــزالتكلفــــــة]],tablecost[الاسم],0)),0)</f>
        <v>1</v>
      </c>
      <c r="U461" s="122">
        <f>IFERROR(DATE(TableDailyJournal[[#This Row],[السنــــة]],TableDailyJournal[[#This Row],[الشهــــر]],TableDailyJournal[[#This Row],[الـــــيوم]]),"01-01-2026")</f>
        <v>46188</v>
      </c>
      <c r="V461" s="126"/>
      <c r="W461" s="58"/>
      <c r="X461" s="58">
        <f>IFERROR(YEAR(TableDailyJournal[[#This Row],[التاريخ]]),"")</f>
        <v>2026</v>
      </c>
      <c r="Y461" s="58">
        <f>IFERROR(MONTH(TableDailyJournal[[#This Row],[التاريخ]]),"")</f>
        <v>6</v>
      </c>
      <c r="Z461" s="58">
        <f>IFERROR(DAY(TableDailyJournal[[#This Row],[التاريخ]]),"")</f>
        <v>15</v>
      </c>
      <c r="AA461"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كشف صرف رقم   كشف صرف - صرف الصرفة اليومية لافراد طقم اللواء السابع مرافقين عدد 3 بامر</v>
      </c>
      <c r="AB461" s="121">
        <f>INDEX(Tabledaily[جهة الامر],MATCH(TableDailyJournal[[#This Row],[رقم العملية]],Tabledaily[رقم العملية],0))</f>
        <v>0</v>
      </c>
    </row>
    <row r="462" spans="2:28" ht="45.75" x14ac:dyDescent="0.55000000000000004">
      <c r="B462" s="58">
        <f t="shared" si="14"/>
        <v>458</v>
      </c>
      <c r="C462" s="59" t="s">
        <v>805</v>
      </c>
      <c r="D462" s="60">
        <f>INDEX(Tabledaily[date],MATCH(TableDailyJournal[[#This Row],[رقم العملية]],Tabledaily[رقم العملية],0))</f>
        <v>46188</v>
      </c>
      <c r="E462" s="58" t="str">
        <f>INDEX(Tabledaily[نوع العمليــة],MATCH(TableDailyJournal[[#This Row],[رقم العملية]],Tabledaily[رقم العملية],0))</f>
        <v>قيد عهده</v>
      </c>
      <c r="F462" s="58">
        <f>IFERROR(INDEX(TableJudje[رقم الحساب],MATCH(TableDailyJournal[[#This Row],[الحساب]],TableJudje[اسم الحساب],0)),0)</f>
        <v>31010101</v>
      </c>
      <c r="G462" s="58" t="s">
        <v>111</v>
      </c>
      <c r="H462"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462" s="60" t="str">
        <f>INDEX(Tabledaily[العملـــة],MATCH(TableDailyJournal[[#This Row],[رقم العملية]],Tabledaily[رقم العملية],0))</f>
        <v>ريال يمني</v>
      </c>
      <c r="J462" s="59">
        <f>IFERROR(INDEX(Tabledaily[سعــــــر
الصـــــرف],MATCH(C462,Tabledaily[رقم العملية],0)),1)</f>
        <v>405</v>
      </c>
      <c r="K462" s="123" cm="1">
        <f t="array" ref="K462">IFERROR(INDEX(Tabledaily[المبلـــــــغ],MATCH(1,(TableDailyJournal[[#This Row],[رقم العملية]]=Tabledaily[رقم العملية])*(TableDailyJournal[[#This Row],[الحساب]]=Tabledaily[الحســاب المديــــن]),0)),0)</f>
        <v>28000</v>
      </c>
      <c r="L462" s="123" cm="1">
        <f t="array" ref="L462">IFERROR(INDEX(Tabledaily[المبلـــــــغ],MATCH(1,(TableDailyJournal[[#This Row],[رقم العملية]]=Tabledaily[رقم العملية])*(TableDailyJournal[[#This Row],[الحساب]]=Tabledaily[الحســاب الدئـــن]),0)),0)</f>
        <v>0</v>
      </c>
      <c r="M462" s="119">
        <f>IFERROR(TableDailyJournal[[#This Row],[المبلغ مدين]]/TableDailyJournal[[#This Row],[سعــــــر
الصـــــرف]],0)</f>
        <v>69.135802469135797</v>
      </c>
      <c r="N462" s="119">
        <f>IFERROR(TableDailyJournal[[#This Row],[المبلغ دائن]]/TableDailyJournal[[#This Row],[سعــــــر
الصـــــرف]],0)</f>
        <v>0</v>
      </c>
      <c r="O462" s="121" t="str">
        <f>INDEX(Tabledaily[المستفيــــــــد],MATCH(TableDailyJournal[[#This Row],[رقم العملية]],Tabledaily[رقم العملية],0))</f>
        <v>الاشغال</v>
      </c>
      <c r="P462" s="121" t="str">
        <f>INDEX(Tabledaily[المــــرجـــــــــع],MATCH(TableDailyJournal[[#This Row],[رقم العملية]],Tabledaily[رقم العملية],0))</f>
        <v>كشف صرف</v>
      </c>
      <c r="Q462" s="121" t="str">
        <f>INDEX(Tabledaily[اســـــــم المــــرجــــع],MATCH(TableDailyJournal[[#This Row],[رقم العملية]],Tabledaily[رقم العملية],0))</f>
        <v>كشف صرف</v>
      </c>
      <c r="R462" s="121">
        <f>INDEX(Tabledaily[رقم المـــــرجـــع],MATCH(TableDailyJournal[[#This Row],[رقم العملية]],Tabledaily[رقم العملية],0))</f>
        <v>0</v>
      </c>
      <c r="S462" s="121" t="str">
        <f>INDEX(Tabledaily[مركـــــــزالتكلفــــــة],MATCH(TableDailyJournal[[#This Row],[رقم العملية]],Tabledaily[رقم العملية],0))</f>
        <v>الفرقة الثالثة</v>
      </c>
      <c r="T462" s="121">
        <f>IFERROR(INDEX(tablecost[رقم المركز],MATCH(TableDailyJournal[[#This Row],[مركـــــــزالتكلفــــــة]],tablecost[الاسم],0)),0)</f>
        <v>1</v>
      </c>
      <c r="U462" s="122">
        <f>IFERROR(DATE(TableDailyJournal[[#This Row],[السنــــة]],TableDailyJournal[[#This Row],[الشهــــر]],TableDailyJournal[[#This Row],[الـــــيوم]]),"01-01-2026")</f>
        <v>46188</v>
      </c>
      <c r="V462" s="126"/>
      <c r="W462" s="58"/>
      <c r="X462" s="58">
        <f>IFERROR(YEAR(TableDailyJournal[[#This Row],[التاريخ]]),"")</f>
        <v>2026</v>
      </c>
      <c r="Y462" s="58">
        <f>IFERROR(MONTH(TableDailyJournal[[#This Row],[التاريخ]]),"")</f>
        <v>6</v>
      </c>
      <c r="Z462" s="58">
        <f>IFERROR(DAY(TableDailyJournal[[#This Row],[التاريخ]]),"")</f>
        <v>15</v>
      </c>
      <c r="AA462"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462" s="121">
        <f>INDEX(Tabledaily[جهة الامر],MATCH(TableDailyJournal[[#This Row],[رقم العملية]],Tabledaily[رقم العملية],0))</f>
        <v>0</v>
      </c>
    </row>
    <row r="463" spans="2:28" ht="45.75" x14ac:dyDescent="0.55000000000000004">
      <c r="B463" s="58">
        <f t="shared" si="14"/>
        <v>459</v>
      </c>
      <c r="C463" s="59" t="s">
        <v>805</v>
      </c>
      <c r="D463" s="60">
        <f>INDEX(Tabledaily[date],MATCH(TableDailyJournal[[#This Row],[رقم العملية]],Tabledaily[رقم العملية],0))</f>
        <v>46188</v>
      </c>
      <c r="E463" s="58" t="str">
        <f>INDEX(Tabledaily[نوع العمليــة],MATCH(TableDailyJournal[[#This Row],[رقم العملية]],Tabledaily[رقم العملية],0))</f>
        <v>قيد عهده</v>
      </c>
      <c r="F463" s="58">
        <f>IFERROR(INDEX(TableJudje[رقم الحساب],MATCH(TableDailyJournal[[#This Row],[الحساب]],TableJudje[اسم الحساب],0)),0)</f>
        <v>11060205</v>
      </c>
      <c r="G463" s="58" t="s">
        <v>513</v>
      </c>
      <c r="H463"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463" s="60" t="str">
        <f>INDEX(Tabledaily[العملـــة],MATCH(TableDailyJournal[[#This Row],[رقم العملية]],Tabledaily[رقم العملية],0))</f>
        <v>ريال يمني</v>
      </c>
      <c r="J463" s="59">
        <f>IFERROR(INDEX(Tabledaily[سعــــــر
الصـــــرف],MATCH(C463,Tabledaily[رقم العملية],0)),1)</f>
        <v>405</v>
      </c>
      <c r="K463" s="123" cm="1">
        <f t="array" ref="K463">IFERROR(INDEX(Tabledaily[المبلـــــــغ],MATCH(1,(TableDailyJournal[[#This Row],[رقم العملية]]=Tabledaily[رقم العملية])*(TableDailyJournal[[#This Row],[الحساب]]=Tabledaily[الحســاب المديــــن]),0)),0)</f>
        <v>0</v>
      </c>
      <c r="L463" s="123" cm="1">
        <f t="array" ref="L463">IFERROR(INDEX(Tabledaily[المبلـــــــغ],MATCH(1,(TableDailyJournal[[#This Row],[رقم العملية]]=Tabledaily[رقم العملية])*(TableDailyJournal[[#This Row],[الحساب]]=Tabledaily[الحســاب الدئـــن]),0)),0)</f>
        <v>28000</v>
      </c>
      <c r="M463" s="119">
        <f>IFERROR(TableDailyJournal[[#This Row],[المبلغ مدين]]/TableDailyJournal[[#This Row],[سعــــــر
الصـــــرف]],0)</f>
        <v>0</v>
      </c>
      <c r="N463" s="119">
        <f>IFERROR(TableDailyJournal[[#This Row],[المبلغ دائن]]/TableDailyJournal[[#This Row],[سعــــــر
الصـــــرف]],0)</f>
        <v>69.135802469135797</v>
      </c>
      <c r="O463" s="121" t="str">
        <f>INDEX(Tabledaily[المستفيــــــــد],MATCH(TableDailyJournal[[#This Row],[رقم العملية]],Tabledaily[رقم العملية],0))</f>
        <v>الاشغال</v>
      </c>
      <c r="P463" s="121" t="str">
        <f>INDEX(Tabledaily[المــــرجـــــــــع],MATCH(TableDailyJournal[[#This Row],[رقم العملية]],Tabledaily[رقم العملية],0))</f>
        <v>كشف صرف</v>
      </c>
      <c r="Q463" s="121" t="str">
        <f>INDEX(Tabledaily[اســـــــم المــــرجــــع],MATCH(TableDailyJournal[[#This Row],[رقم العملية]],Tabledaily[رقم العملية],0))</f>
        <v>كشف صرف</v>
      </c>
      <c r="R463" s="121">
        <f>INDEX(Tabledaily[رقم المـــــرجـــع],MATCH(TableDailyJournal[[#This Row],[رقم العملية]],Tabledaily[رقم العملية],0))</f>
        <v>0</v>
      </c>
      <c r="S463" s="121" t="str">
        <f>INDEX(Tabledaily[مركـــــــزالتكلفــــــة],MATCH(TableDailyJournal[[#This Row],[رقم العملية]],Tabledaily[رقم العملية],0))</f>
        <v>الفرقة الثالثة</v>
      </c>
      <c r="T463" s="121">
        <f>IFERROR(INDEX(tablecost[رقم المركز],MATCH(TableDailyJournal[[#This Row],[مركـــــــزالتكلفــــــة]],tablecost[الاسم],0)),0)</f>
        <v>1</v>
      </c>
      <c r="U463" s="122">
        <f>IFERROR(DATE(TableDailyJournal[[#This Row],[السنــــة]],TableDailyJournal[[#This Row],[الشهــــر]],TableDailyJournal[[#This Row],[الـــــيوم]]),"01-01-2026")</f>
        <v>46188</v>
      </c>
      <c r="V463" s="126"/>
      <c r="W463" s="58"/>
      <c r="X463" s="58">
        <f>IFERROR(YEAR(TableDailyJournal[[#This Row],[التاريخ]]),"")</f>
        <v>2026</v>
      </c>
      <c r="Y463" s="58">
        <f>IFERROR(MONTH(TableDailyJournal[[#This Row],[التاريخ]]),"")</f>
        <v>6</v>
      </c>
      <c r="Z463" s="58">
        <f>IFERROR(DAY(TableDailyJournal[[#This Row],[التاريخ]]),"")</f>
        <v>15</v>
      </c>
      <c r="AA463"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463" s="121">
        <f>INDEX(Tabledaily[جهة الامر],MATCH(TableDailyJournal[[#This Row],[رقم العملية]],Tabledaily[رقم العملية],0))</f>
        <v>0</v>
      </c>
    </row>
    <row r="464" spans="2:28" ht="45.75" x14ac:dyDescent="0.55000000000000004">
      <c r="B464" s="58">
        <f t="shared" si="14"/>
        <v>460</v>
      </c>
      <c r="C464" s="59" t="s">
        <v>806</v>
      </c>
      <c r="D464" s="60">
        <f>INDEX(Tabledaily[date],MATCH(TableDailyJournal[[#This Row],[رقم العملية]],Tabledaily[رقم العملية],0))</f>
        <v>46188</v>
      </c>
      <c r="E464" s="58" t="str">
        <f>INDEX(Tabledaily[نوع العمليــة],MATCH(TableDailyJournal[[#This Row],[رقم العملية]],Tabledaily[رقم العملية],0))</f>
        <v>قيد عهده</v>
      </c>
      <c r="F464" s="58">
        <f>IFERROR(INDEX(TableJudje[رقم الحساب],MATCH(TableDailyJournal[[#This Row],[الحساب]],TableJudje[اسم الحساب],0)),0)</f>
        <v>31010101</v>
      </c>
      <c r="G464" s="58" t="s">
        <v>111</v>
      </c>
      <c r="H464"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33 بامر</v>
      </c>
      <c r="I464" s="60" t="str">
        <f>INDEX(Tabledaily[العملـــة],MATCH(TableDailyJournal[[#This Row],[رقم العملية]],Tabledaily[رقم العملية],0))</f>
        <v>ريال يمني</v>
      </c>
      <c r="J464" s="59">
        <f>IFERROR(INDEX(Tabledaily[سعــــــر
الصـــــرف],MATCH(C464,Tabledaily[رقم العملية],0)),1)</f>
        <v>405</v>
      </c>
      <c r="K464" s="123" cm="1">
        <f t="array" ref="K464">IFERROR(INDEX(Tabledaily[المبلـــــــغ],MATCH(1,(TableDailyJournal[[#This Row],[رقم العملية]]=Tabledaily[رقم العملية])*(TableDailyJournal[[#This Row],[الحساب]]=Tabledaily[الحســاب المديــــن]),0)),0)</f>
        <v>132000</v>
      </c>
      <c r="L464" s="123" cm="1">
        <f t="array" ref="L464">IFERROR(INDEX(Tabledaily[المبلـــــــغ],MATCH(1,(TableDailyJournal[[#This Row],[رقم العملية]]=Tabledaily[رقم العملية])*(TableDailyJournal[[#This Row],[الحساب]]=Tabledaily[الحســاب الدئـــن]),0)),0)</f>
        <v>0</v>
      </c>
      <c r="M464" s="119">
        <f>IFERROR(TableDailyJournal[[#This Row],[المبلغ مدين]]/TableDailyJournal[[#This Row],[سعــــــر
الصـــــرف]],0)</f>
        <v>325.92592592592592</v>
      </c>
      <c r="N464" s="119">
        <f>IFERROR(TableDailyJournal[[#This Row],[المبلغ دائن]]/TableDailyJournal[[#This Row],[سعــــــر
الصـــــرف]],0)</f>
        <v>0</v>
      </c>
      <c r="O464" s="121" t="str">
        <f>INDEX(Tabledaily[المستفيــــــــد],MATCH(TableDailyJournal[[#This Row],[رقم العملية]],Tabledaily[رقم العملية],0))</f>
        <v>سرية اللواء السادس</v>
      </c>
      <c r="P464" s="121" t="str">
        <f>INDEX(Tabledaily[المــــرجـــــــــع],MATCH(TableDailyJournal[[#This Row],[رقم العملية]],Tabledaily[رقم العملية],0))</f>
        <v>كشف صرف</v>
      </c>
      <c r="Q464" s="121" t="str">
        <f>INDEX(Tabledaily[اســـــــم المــــرجــــع],MATCH(TableDailyJournal[[#This Row],[رقم العملية]],Tabledaily[رقم العملية],0))</f>
        <v>كشف صرف</v>
      </c>
      <c r="R464" s="121">
        <f>INDEX(Tabledaily[رقم المـــــرجـــع],MATCH(TableDailyJournal[[#This Row],[رقم العملية]],Tabledaily[رقم العملية],0))</f>
        <v>0</v>
      </c>
      <c r="S464" s="121" t="str">
        <f>INDEX(Tabledaily[مركـــــــزالتكلفــــــة],MATCH(TableDailyJournal[[#This Row],[رقم العملية]],Tabledaily[رقم العملية],0))</f>
        <v>اللواء السادس</v>
      </c>
      <c r="T464" s="121">
        <f>IFERROR(INDEX(tablecost[رقم المركز],MATCH(TableDailyJournal[[#This Row],[مركـــــــزالتكلفــــــة]],tablecost[الاسم],0)),0)</f>
        <v>7</v>
      </c>
      <c r="U464" s="122">
        <f>IFERROR(DATE(TableDailyJournal[[#This Row],[السنــــة]],TableDailyJournal[[#This Row],[الشهــــر]],TableDailyJournal[[#This Row],[الـــــيوم]]),"01-01-2026")</f>
        <v>46188</v>
      </c>
      <c r="V464" s="126"/>
      <c r="W464" s="58"/>
      <c r="X464" s="58">
        <f>IFERROR(YEAR(TableDailyJournal[[#This Row],[التاريخ]]),"")</f>
        <v>2026</v>
      </c>
      <c r="Y464" s="58">
        <f>IFERROR(MONTH(TableDailyJournal[[#This Row],[التاريخ]]),"")</f>
        <v>6</v>
      </c>
      <c r="Z464" s="58">
        <f>IFERROR(DAY(TableDailyJournal[[#This Row],[التاريخ]]),"")</f>
        <v>15</v>
      </c>
      <c r="AA464"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33 بامر</v>
      </c>
      <c r="AB464" s="121">
        <f>INDEX(Tabledaily[جهة الامر],MATCH(TableDailyJournal[[#This Row],[رقم العملية]],Tabledaily[رقم العملية],0))</f>
        <v>0</v>
      </c>
    </row>
    <row r="465" spans="2:28" ht="45.75" x14ac:dyDescent="0.55000000000000004">
      <c r="B465" s="58">
        <f t="shared" si="14"/>
        <v>461</v>
      </c>
      <c r="C465" s="59" t="s">
        <v>806</v>
      </c>
      <c r="D465" s="60">
        <f>INDEX(Tabledaily[date],MATCH(TableDailyJournal[[#This Row],[رقم العملية]],Tabledaily[رقم العملية],0))</f>
        <v>46188</v>
      </c>
      <c r="E465" s="58" t="str">
        <f>INDEX(Tabledaily[نوع العمليــة],MATCH(TableDailyJournal[[#This Row],[رقم العملية]],Tabledaily[رقم العملية],0))</f>
        <v>قيد عهده</v>
      </c>
      <c r="F465" s="58">
        <f>IFERROR(INDEX(TableJudje[رقم الحساب],MATCH(TableDailyJournal[[#This Row],[الحساب]],TableJudje[اسم الحساب],0)),0)</f>
        <v>11060205</v>
      </c>
      <c r="G465" s="58" t="s">
        <v>513</v>
      </c>
      <c r="H465"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33 بامر</v>
      </c>
      <c r="I465" s="60" t="str">
        <f>INDEX(Tabledaily[العملـــة],MATCH(TableDailyJournal[[#This Row],[رقم العملية]],Tabledaily[رقم العملية],0))</f>
        <v>ريال يمني</v>
      </c>
      <c r="J465" s="59">
        <f>IFERROR(INDEX(Tabledaily[سعــــــر
الصـــــرف],MATCH(C465,Tabledaily[رقم العملية],0)),1)</f>
        <v>405</v>
      </c>
      <c r="K465" s="123" cm="1">
        <f t="array" ref="K465">IFERROR(INDEX(Tabledaily[المبلـــــــغ],MATCH(1,(TableDailyJournal[[#This Row],[رقم العملية]]=Tabledaily[رقم العملية])*(TableDailyJournal[[#This Row],[الحساب]]=Tabledaily[الحســاب المديــــن]),0)),0)</f>
        <v>0</v>
      </c>
      <c r="L465" s="123" cm="1">
        <f t="array" ref="L465">IFERROR(INDEX(Tabledaily[المبلـــــــغ],MATCH(1,(TableDailyJournal[[#This Row],[رقم العملية]]=Tabledaily[رقم العملية])*(TableDailyJournal[[#This Row],[الحساب]]=Tabledaily[الحســاب الدئـــن]),0)),0)</f>
        <v>132000</v>
      </c>
      <c r="M465" s="119">
        <f>IFERROR(TableDailyJournal[[#This Row],[المبلغ مدين]]/TableDailyJournal[[#This Row],[سعــــــر
الصـــــرف]],0)</f>
        <v>0</v>
      </c>
      <c r="N465" s="119">
        <f>IFERROR(TableDailyJournal[[#This Row],[المبلغ دائن]]/TableDailyJournal[[#This Row],[سعــــــر
الصـــــرف]],0)</f>
        <v>325.92592592592592</v>
      </c>
      <c r="O465" s="121" t="str">
        <f>INDEX(Tabledaily[المستفيــــــــد],MATCH(TableDailyJournal[[#This Row],[رقم العملية]],Tabledaily[رقم العملية],0))</f>
        <v>سرية اللواء السادس</v>
      </c>
      <c r="P465" s="121" t="str">
        <f>INDEX(Tabledaily[المــــرجـــــــــع],MATCH(TableDailyJournal[[#This Row],[رقم العملية]],Tabledaily[رقم العملية],0))</f>
        <v>كشف صرف</v>
      </c>
      <c r="Q465" s="121" t="str">
        <f>INDEX(Tabledaily[اســـــــم المــــرجــــع],MATCH(TableDailyJournal[[#This Row],[رقم العملية]],Tabledaily[رقم العملية],0))</f>
        <v>كشف صرف</v>
      </c>
      <c r="R465" s="121">
        <f>INDEX(Tabledaily[رقم المـــــرجـــع],MATCH(TableDailyJournal[[#This Row],[رقم العملية]],Tabledaily[رقم العملية],0))</f>
        <v>0</v>
      </c>
      <c r="S465" s="121" t="str">
        <f>INDEX(Tabledaily[مركـــــــزالتكلفــــــة],MATCH(TableDailyJournal[[#This Row],[رقم العملية]],Tabledaily[رقم العملية],0))</f>
        <v>اللواء السادس</v>
      </c>
      <c r="T465" s="121">
        <f>IFERROR(INDEX(tablecost[رقم المركز],MATCH(TableDailyJournal[[#This Row],[مركـــــــزالتكلفــــــة]],tablecost[الاسم],0)),0)</f>
        <v>7</v>
      </c>
      <c r="U465" s="122">
        <f>IFERROR(DATE(TableDailyJournal[[#This Row],[السنــــة]],TableDailyJournal[[#This Row],[الشهــــر]],TableDailyJournal[[#This Row],[الـــــيوم]]),"01-01-2026")</f>
        <v>46188</v>
      </c>
      <c r="V465" s="126"/>
      <c r="W465" s="58"/>
      <c r="X465" s="58">
        <f>IFERROR(YEAR(TableDailyJournal[[#This Row],[التاريخ]]),"")</f>
        <v>2026</v>
      </c>
      <c r="Y465" s="58">
        <f>IFERROR(MONTH(TableDailyJournal[[#This Row],[التاريخ]]),"")</f>
        <v>6</v>
      </c>
      <c r="Z465" s="58">
        <f>IFERROR(DAY(TableDailyJournal[[#This Row],[التاريخ]]),"")</f>
        <v>15</v>
      </c>
      <c r="AA465"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33 بامر</v>
      </c>
      <c r="AB465" s="121">
        <f>INDEX(Tabledaily[جهة الامر],MATCH(TableDailyJournal[[#This Row],[رقم العملية]],Tabledaily[رقم العملية],0))</f>
        <v>0</v>
      </c>
    </row>
    <row r="466" spans="2:28" ht="45.75" x14ac:dyDescent="0.55000000000000004">
      <c r="B466" s="58">
        <f t="shared" si="14"/>
        <v>462</v>
      </c>
      <c r="C466" s="59" t="s">
        <v>808</v>
      </c>
      <c r="D466" s="60">
        <f>INDEX(Tabledaily[date],MATCH(TableDailyJournal[[#This Row],[رقم العملية]],Tabledaily[رقم العملية],0))</f>
        <v>46188</v>
      </c>
      <c r="E466" s="58" t="str">
        <f>INDEX(Tabledaily[نوع العمليــة],MATCH(TableDailyJournal[[#This Row],[رقم العملية]],Tabledaily[رقم العملية],0))</f>
        <v>قيد عهده</v>
      </c>
      <c r="F466" s="58">
        <f>IFERROR(INDEX(TableJudje[رقم الحساب],MATCH(TableDailyJournal[[#This Row],[الحساب]],TableJudje[اسم الحساب],0)),0)</f>
        <v>31010116</v>
      </c>
      <c r="G466" s="58" t="s">
        <v>122</v>
      </c>
      <c r="H466" s="61" t="str">
        <f>INDEX(Tabledaily[المرجع البياني],MATCH(TableDailyJournal[[#This Row],[رقم العملية]],Tabledaily[رقم العملية],0))</f>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v>
      </c>
      <c r="I466" s="60" t="str">
        <f>INDEX(Tabledaily[العملـــة],MATCH(TableDailyJournal[[#This Row],[رقم العملية]],Tabledaily[رقم العملية],0))</f>
        <v>ريال سعودي</v>
      </c>
      <c r="J466" s="59">
        <f>IFERROR(INDEX(Tabledaily[سعــــــر
الصـــــرف],MATCH(C466,Tabledaily[رقم العملية],0)),1)</f>
        <v>1</v>
      </c>
      <c r="K466" s="123" cm="1">
        <f t="array" ref="K466">IFERROR(INDEX(Tabledaily[المبلـــــــغ],MATCH(1,(TableDailyJournal[[#This Row],[رقم العملية]]=Tabledaily[رقم العملية])*(TableDailyJournal[[#This Row],[الحساب]]=Tabledaily[الحســاب المديــــن]),0)),0)</f>
        <v>1000</v>
      </c>
      <c r="L466" s="123" cm="1">
        <f t="array" ref="L466">IFERROR(INDEX(Tabledaily[المبلـــــــغ],MATCH(1,(TableDailyJournal[[#This Row],[رقم العملية]]=Tabledaily[رقم العملية])*(TableDailyJournal[[#This Row],[الحساب]]=Tabledaily[الحســاب الدئـــن]),0)),0)</f>
        <v>0</v>
      </c>
      <c r="M466" s="119">
        <f>IFERROR(TableDailyJournal[[#This Row],[المبلغ مدين]]/TableDailyJournal[[#This Row],[سعــــــر
الصـــــرف]],0)</f>
        <v>1000</v>
      </c>
      <c r="N466" s="119">
        <f>IFERROR(TableDailyJournal[[#This Row],[المبلغ دائن]]/TableDailyJournal[[#This Row],[سعــــــر
الصـــــرف]],0)</f>
        <v>0</v>
      </c>
      <c r="O466" s="121" t="str">
        <f>INDEX(Tabledaily[المستفيــــــــد],MATCH(TableDailyJournal[[#This Row],[رقم العملية]],Tabledaily[رقم العملية],0))</f>
        <v>جمال مسدوس</v>
      </c>
      <c r="P466" s="121" t="str">
        <f>INDEX(Tabledaily[المــــرجـــــــــع],MATCH(TableDailyJournal[[#This Row],[رقم العملية]],Tabledaily[رقم العملية],0))</f>
        <v>استلام نقدي</v>
      </c>
      <c r="Q466" s="121" t="str">
        <f>INDEX(Tabledaily[اســـــــم المــــرجــــع],MATCH(TableDailyJournal[[#This Row],[رقم العملية]],Tabledaily[رقم العملية],0))</f>
        <v>سند استلام</v>
      </c>
      <c r="R466" s="121">
        <f>INDEX(Tabledaily[رقم المـــــرجـــع],MATCH(TableDailyJournal[[#This Row],[رقم العملية]],Tabledaily[رقم العملية],0))</f>
        <v>0</v>
      </c>
      <c r="S466" s="121" t="str">
        <f>INDEX(Tabledaily[مركـــــــزالتكلفــــــة],MATCH(TableDailyJournal[[#This Row],[رقم العملية]],Tabledaily[رقم العملية],0))</f>
        <v>اللواء السابع</v>
      </c>
      <c r="T466" s="121">
        <f>IFERROR(INDEX(tablecost[رقم المركز],MATCH(TableDailyJournal[[#This Row],[مركـــــــزالتكلفــــــة]],tablecost[الاسم],0)),0)</f>
        <v>8</v>
      </c>
      <c r="U466" s="122">
        <f>IFERROR(DATE(TableDailyJournal[[#This Row],[السنــــة]],TableDailyJournal[[#This Row],[الشهــــر]],TableDailyJournal[[#This Row],[الـــــيوم]]),"01-01-2026")</f>
        <v>46188</v>
      </c>
      <c r="V466" s="126"/>
      <c r="W466" s="58"/>
      <c r="X466" s="58">
        <f>IFERROR(YEAR(TableDailyJournal[[#This Row],[التاريخ]]),"")</f>
        <v>2026</v>
      </c>
      <c r="Y466" s="58">
        <f>IFERROR(MONTH(TableDailyJournal[[#This Row],[التاريخ]]),"")</f>
        <v>6</v>
      </c>
      <c r="Z466" s="58">
        <f>IFERROR(DAY(TableDailyJournal[[#This Row],[التاريخ]]),"")</f>
        <v>15</v>
      </c>
      <c r="AA466" s="126" t="str">
        <f>INDEX(Tabledaily[المرجع البياني],MATCH(TableDailyJournal[[#This Row],[رقم العملية]],Tabledaily[رقم العملية],0))</f>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v>
      </c>
      <c r="AB466" s="121">
        <f>INDEX(Tabledaily[جهة الامر],MATCH(TableDailyJournal[[#This Row],[رقم العملية]],Tabledaily[رقم العملية],0))</f>
        <v>0</v>
      </c>
    </row>
    <row r="467" spans="2:28" ht="45.75" x14ac:dyDescent="0.55000000000000004">
      <c r="B467" s="58">
        <f t="shared" si="14"/>
        <v>463</v>
      </c>
      <c r="C467" s="59" t="s">
        <v>808</v>
      </c>
      <c r="D467" s="60">
        <f>INDEX(Tabledaily[date],MATCH(TableDailyJournal[[#This Row],[رقم العملية]],Tabledaily[رقم العملية],0))</f>
        <v>46188</v>
      </c>
      <c r="E467" s="58" t="str">
        <f>INDEX(Tabledaily[نوع العمليــة],MATCH(TableDailyJournal[[#This Row],[رقم العملية]],Tabledaily[رقم العملية],0))</f>
        <v>قيد عهده</v>
      </c>
      <c r="F467" s="58">
        <f>IFERROR(INDEX(TableJudje[رقم الحساب],MATCH(TableDailyJournal[[#This Row],[الحساب]],TableJudje[اسم الحساب],0)),0)</f>
        <v>11060205</v>
      </c>
      <c r="G467" s="58" t="s">
        <v>513</v>
      </c>
      <c r="H467" s="61" t="str">
        <f>INDEX(Tabledaily[المرجع البياني],MATCH(TableDailyJournal[[#This Row],[رقم العملية]],Tabledaily[رقم العملية],0))</f>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v>
      </c>
      <c r="I467" s="60" t="str">
        <f>INDEX(Tabledaily[العملـــة],MATCH(TableDailyJournal[[#This Row],[رقم العملية]],Tabledaily[رقم العملية],0))</f>
        <v>ريال سعودي</v>
      </c>
      <c r="J467" s="59">
        <f>IFERROR(INDEX(Tabledaily[سعــــــر
الصـــــرف],MATCH(C467,Tabledaily[رقم العملية],0)),1)</f>
        <v>1</v>
      </c>
      <c r="K467" s="123" cm="1">
        <f t="array" ref="K467">IFERROR(INDEX(Tabledaily[المبلـــــــغ],MATCH(1,(TableDailyJournal[[#This Row],[رقم العملية]]=Tabledaily[رقم العملية])*(TableDailyJournal[[#This Row],[الحساب]]=Tabledaily[الحســاب المديــــن]),0)),0)</f>
        <v>0</v>
      </c>
      <c r="L467" s="123" cm="1">
        <f t="array" ref="L467">IFERROR(INDEX(Tabledaily[المبلـــــــغ],MATCH(1,(TableDailyJournal[[#This Row],[رقم العملية]]=Tabledaily[رقم العملية])*(TableDailyJournal[[#This Row],[الحساب]]=Tabledaily[الحســاب الدئـــن]),0)),0)</f>
        <v>1000</v>
      </c>
      <c r="M467" s="119">
        <f>IFERROR(TableDailyJournal[[#This Row],[المبلغ مدين]]/TableDailyJournal[[#This Row],[سعــــــر
الصـــــرف]],0)</f>
        <v>0</v>
      </c>
      <c r="N467" s="119">
        <f>IFERROR(TableDailyJournal[[#This Row],[المبلغ دائن]]/TableDailyJournal[[#This Row],[سعــــــر
الصـــــرف]],0)</f>
        <v>1000</v>
      </c>
      <c r="O467" s="121" t="str">
        <f>INDEX(Tabledaily[المستفيــــــــد],MATCH(TableDailyJournal[[#This Row],[رقم العملية]],Tabledaily[رقم العملية],0))</f>
        <v>جمال مسدوس</v>
      </c>
      <c r="P467" s="121" t="str">
        <f>INDEX(Tabledaily[المــــرجـــــــــع],MATCH(TableDailyJournal[[#This Row],[رقم العملية]],Tabledaily[رقم العملية],0))</f>
        <v>استلام نقدي</v>
      </c>
      <c r="Q467" s="121" t="str">
        <f>INDEX(Tabledaily[اســـــــم المــــرجــــع],MATCH(TableDailyJournal[[#This Row],[رقم العملية]],Tabledaily[رقم العملية],0))</f>
        <v>سند استلام</v>
      </c>
      <c r="R467" s="121">
        <f>INDEX(Tabledaily[رقم المـــــرجـــع],MATCH(TableDailyJournal[[#This Row],[رقم العملية]],Tabledaily[رقم العملية],0))</f>
        <v>0</v>
      </c>
      <c r="S467" s="121" t="str">
        <f>INDEX(Tabledaily[مركـــــــزالتكلفــــــة],MATCH(TableDailyJournal[[#This Row],[رقم العملية]],Tabledaily[رقم العملية],0))</f>
        <v>اللواء السابع</v>
      </c>
      <c r="T467" s="121">
        <f>IFERROR(INDEX(tablecost[رقم المركز],MATCH(TableDailyJournal[[#This Row],[مركـــــــزالتكلفــــــة]],tablecost[الاسم],0)),0)</f>
        <v>8</v>
      </c>
      <c r="U467" s="122">
        <f>IFERROR(DATE(TableDailyJournal[[#This Row],[السنــــة]],TableDailyJournal[[#This Row],[الشهــــر]],TableDailyJournal[[#This Row],[الـــــيوم]]),"01-01-2026")</f>
        <v>46188</v>
      </c>
      <c r="V467" s="126"/>
      <c r="W467" s="58"/>
      <c r="X467" s="58">
        <f>IFERROR(YEAR(TableDailyJournal[[#This Row],[التاريخ]]),"")</f>
        <v>2026</v>
      </c>
      <c r="Y467" s="58">
        <f>IFERROR(MONTH(TableDailyJournal[[#This Row],[التاريخ]]),"")</f>
        <v>6</v>
      </c>
      <c r="Z467" s="58">
        <f>IFERROR(DAY(TableDailyJournal[[#This Row],[التاريخ]]),"")</f>
        <v>15</v>
      </c>
      <c r="AA467" s="126" t="str">
        <f>INDEX(Tabledaily[المرجع البياني],MATCH(TableDailyJournal[[#This Row],[رقم العملية]],Tabledaily[رقم العملية],0))</f>
        <v>قيـد مقابـل:- (مصاريف نزول مهام  - جمال مسدوس - اللواء السابع)  - استلام نقدي رقم   سند استلام - صرف مبلغ لرئيس هيئة الاركان لمتابعة البرنامج التدريبي للواء السابع بامر</v>
      </c>
      <c r="AB467" s="121">
        <f>INDEX(Tabledaily[جهة الامر],MATCH(TableDailyJournal[[#This Row],[رقم العملية]],Tabledaily[رقم العملية],0))</f>
        <v>0</v>
      </c>
    </row>
    <row r="468" spans="2:28" ht="45.75" x14ac:dyDescent="0.55000000000000004">
      <c r="B468" s="58">
        <f t="shared" si="14"/>
        <v>464</v>
      </c>
      <c r="C468" s="59" t="s">
        <v>810</v>
      </c>
      <c r="D468" s="60">
        <f>INDEX(Tabledaily[date],MATCH(TableDailyJournal[[#This Row],[رقم العملية]],Tabledaily[رقم العملية],0))</f>
        <v>46188</v>
      </c>
      <c r="E468" s="58" t="str">
        <f>INDEX(Tabledaily[نوع العمليــة],MATCH(TableDailyJournal[[#This Row],[رقم العملية]],Tabledaily[رقم العملية],0))</f>
        <v>قيد عهده</v>
      </c>
      <c r="F468" s="58">
        <f>IFERROR(INDEX(TableJudje[رقم الحساب],MATCH(TableDailyJournal[[#This Row],[الحساب]],TableJudje[اسم الحساب],0)),0)</f>
        <v>31010101</v>
      </c>
      <c r="G468" s="58" t="s">
        <v>111</v>
      </c>
      <c r="H468" s="61" t="str">
        <f>INDEX(Tabledaily[المرجع البياني],MATCH(TableDailyJournal[[#This Row],[رقم العملية]],Tabledaily[رقم العملية],0))</f>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v>
      </c>
      <c r="I468" s="60" t="str">
        <f>INDEX(Tabledaily[العملـــة],MATCH(TableDailyJournal[[#This Row],[رقم العملية]],Tabledaily[رقم العملية],0))</f>
        <v>ريال يمني</v>
      </c>
      <c r="J468" s="59">
        <f>IFERROR(INDEX(Tabledaily[سعــــــر
الصـــــرف],MATCH(C468,Tabledaily[رقم العملية],0)),1)</f>
        <v>405</v>
      </c>
      <c r="K468" s="123" cm="1">
        <f t="array" ref="K468">IFERROR(INDEX(Tabledaily[المبلـــــــغ],MATCH(1,(TableDailyJournal[[#This Row],[رقم العملية]]=Tabledaily[رقم العملية])*(TableDailyJournal[[#This Row],[الحساب]]=Tabledaily[الحســاب المديــــن]),0)),0)</f>
        <v>45000</v>
      </c>
      <c r="L468" s="123" cm="1">
        <f t="array" ref="L468">IFERROR(INDEX(Tabledaily[المبلـــــــغ],MATCH(1,(TableDailyJournal[[#This Row],[رقم العملية]]=Tabledaily[رقم العملية])*(TableDailyJournal[[#This Row],[الحساب]]=Tabledaily[الحســاب الدئـــن]),0)),0)</f>
        <v>0</v>
      </c>
      <c r="M468" s="119">
        <f>IFERROR(TableDailyJournal[[#This Row],[المبلغ مدين]]/TableDailyJournal[[#This Row],[سعــــــر
الصـــــرف]],0)</f>
        <v>111.11111111111111</v>
      </c>
      <c r="N468" s="119">
        <f>IFERROR(TableDailyJournal[[#This Row],[المبلغ دائن]]/TableDailyJournal[[#This Row],[سعــــــر
الصـــــرف]],0)</f>
        <v>0</v>
      </c>
      <c r="O468" s="121" t="str">
        <f>INDEX(Tabledaily[المستفيــــــــد],MATCH(TableDailyJournal[[#This Row],[رقم العملية]],Tabledaily[رقم العملية],0))</f>
        <v>مرافقي الاركان</v>
      </c>
      <c r="P468" s="121" t="str">
        <f>INDEX(Tabledaily[المــــرجـــــــــع],MATCH(TableDailyJournal[[#This Row],[رقم العملية]],Tabledaily[رقم العملية],0))</f>
        <v>استلام نقدي</v>
      </c>
      <c r="Q468" s="121" t="str">
        <f>INDEX(Tabledaily[اســـــــم المــــرجــــع],MATCH(TableDailyJournal[[#This Row],[رقم العملية]],Tabledaily[رقم العملية],0))</f>
        <v>سند استلام</v>
      </c>
      <c r="R468" s="121">
        <f>INDEX(Tabledaily[رقم المـــــرجـــع],MATCH(TableDailyJournal[[#This Row],[رقم العملية]],Tabledaily[رقم العملية],0))</f>
        <v>0</v>
      </c>
      <c r="S468" s="121" t="str">
        <f>INDEX(Tabledaily[مركـــــــزالتكلفــــــة],MATCH(TableDailyJournal[[#This Row],[رقم العملية]],Tabledaily[رقم العملية],0))</f>
        <v>الفرقة الثالثة</v>
      </c>
      <c r="T468" s="121">
        <f>IFERROR(INDEX(tablecost[رقم المركز],MATCH(TableDailyJournal[[#This Row],[مركـــــــزالتكلفــــــة]],tablecost[الاسم],0)),0)</f>
        <v>1</v>
      </c>
      <c r="U468" s="122">
        <f>IFERROR(DATE(TableDailyJournal[[#This Row],[السنــــة]],TableDailyJournal[[#This Row],[الشهــــر]],TableDailyJournal[[#This Row],[الـــــيوم]]),"01-01-2026")</f>
        <v>46188</v>
      </c>
      <c r="V468" s="126"/>
      <c r="W468" s="58"/>
      <c r="X468" s="58">
        <f>IFERROR(YEAR(TableDailyJournal[[#This Row],[التاريخ]]),"")</f>
        <v>2026</v>
      </c>
      <c r="Y468" s="58">
        <f>IFERROR(MONTH(TableDailyJournal[[#This Row],[التاريخ]]),"")</f>
        <v>6</v>
      </c>
      <c r="Z468" s="58">
        <f>IFERROR(DAY(TableDailyJournal[[#This Row],[التاريخ]]),"")</f>
        <v>15</v>
      </c>
      <c r="AA468" s="126" t="str">
        <f>INDEX(Tabledaily[المرجع البياني],MATCH(TableDailyJournal[[#This Row],[رقم العملية]],Tabledaily[رقم العملية],0))</f>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v>
      </c>
      <c r="AB468" s="121">
        <f>INDEX(Tabledaily[جهة الامر],MATCH(TableDailyJournal[[#This Row],[رقم العملية]],Tabledaily[رقم العملية],0))</f>
        <v>0</v>
      </c>
    </row>
    <row r="469" spans="2:28" ht="45.75" x14ac:dyDescent="0.55000000000000004">
      <c r="B469" s="58">
        <f t="shared" si="14"/>
        <v>465</v>
      </c>
      <c r="C469" s="59" t="s">
        <v>810</v>
      </c>
      <c r="D469" s="60">
        <f>INDEX(Tabledaily[date],MATCH(TableDailyJournal[[#This Row],[رقم العملية]],Tabledaily[رقم العملية],0))</f>
        <v>46188</v>
      </c>
      <c r="E469" s="58" t="str">
        <f>INDEX(Tabledaily[نوع العمليــة],MATCH(TableDailyJournal[[#This Row],[رقم العملية]],Tabledaily[رقم العملية],0))</f>
        <v>قيد عهده</v>
      </c>
      <c r="F469" s="58">
        <f>IFERROR(INDEX(TableJudje[رقم الحساب],MATCH(TableDailyJournal[[#This Row],[الحساب]],TableJudje[اسم الحساب],0)),0)</f>
        <v>11060205</v>
      </c>
      <c r="G469" s="58" t="s">
        <v>513</v>
      </c>
      <c r="H469" s="61" t="str">
        <f>INDEX(Tabledaily[المرجع البياني],MATCH(TableDailyJournal[[#This Row],[رقم العملية]],Tabledaily[رقم العملية],0))</f>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v>
      </c>
      <c r="I469" s="60" t="str">
        <f>INDEX(Tabledaily[العملـــة],MATCH(TableDailyJournal[[#This Row],[رقم العملية]],Tabledaily[رقم العملية],0))</f>
        <v>ريال يمني</v>
      </c>
      <c r="J469" s="59">
        <f>IFERROR(INDEX(Tabledaily[سعــــــر
الصـــــرف],MATCH(C469,Tabledaily[رقم العملية],0)),1)</f>
        <v>405</v>
      </c>
      <c r="K469" s="123" cm="1">
        <f t="array" ref="K469">IFERROR(INDEX(Tabledaily[المبلـــــــغ],MATCH(1,(TableDailyJournal[[#This Row],[رقم العملية]]=Tabledaily[رقم العملية])*(TableDailyJournal[[#This Row],[الحساب]]=Tabledaily[الحســاب المديــــن]),0)),0)</f>
        <v>0</v>
      </c>
      <c r="L469" s="123" cm="1">
        <f t="array" ref="L469">IFERROR(INDEX(Tabledaily[المبلـــــــغ],MATCH(1,(TableDailyJournal[[#This Row],[رقم العملية]]=Tabledaily[رقم العملية])*(TableDailyJournal[[#This Row],[الحساب]]=Tabledaily[الحســاب الدئـــن]),0)),0)</f>
        <v>45000</v>
      </c>
      <c r="M469" s="119">
        <f>IFERROR(TableDailyJournal[[#This Row],[المبلغ مدين]]/TableDailyJournal[[#This Row],[سعــــــر
الصـــــرف]],0)</f>
        <v>0</v>
      </c>
      <c r="N469" s="119">
        <f>IFERROR(TableDailyJournal[[#This Row],[المبلغ دائن]]/TableDailyJournal[[#This Row],[سعــــــر
الصـــــرف]],0)</f>
        <v>111.11111111111111</v>
      </c>
      <c r="O469" s="121" t="str">
        <f>INDEX(Tabledaily[المستفيــــــــد],MATCH(TableDailyJournal[[#This Row],[رقم العملية]],Tabledaily[رقم العملية],0))</f>
        <v>مرافقي الاركان</v>
      </c>
      <c r="P469" s="121" t="str">
        <f>INDEX(Tabledaily[المــــرجـــــــــع],MATCH(TableDailyJournal[[#This Row],[رقم العملية]],Tabledaily[رقم العملية],0))</f>
        <v>استلام نقدي</v>
      </c>
      <c r="Q469" s="121" t="str">
        <f>INDEX(Tabledaily[اســـــــم المــــرجــــع],MATCH(TableDailyJournal[[#This Row],[رقم العملية]],Tabledaily[رقم العملية],0))</f>
        <v>سند استلام</v>
      </c>
      <c r="R469" s="121">
        <f>INDEX(Tabledaily[رقم المـــــرجـــع],MATCH(TableDailyJournal[[#This Row],[رقم العملية]],Tabledaily[رقم العملية],0))</f>
        <v>0</v>
      </c>
      <c r="S469" s="121" t="str">
        <f>INDEX(Tabledaily[مركـــــــزالتكلفــــــة],MATCH(TableDailyJournal[[#This Row],[رقم العملية]],Tabledaily[رقم العملية],0))</f>
        <v>الفرقة الثالثة</v>
      </c>
      <c r="T469" s="121">
        <f>IFERROR(INDEX(tablecost[رقم المركز],MATCH(TableDailyJournal[[#This Row],[مركـــــــزالتكلفــــــة]],tablecost[الاسم],0)),0)</f>
        <v>1</v>
      </c>
      <c r="U469" s="122">
        <f>IFERROR(DATE(TableDailyJournal[[#This Row],[السنــــة]],TableDailyJournal[[#This Row],[الشهــــر]],TableDailyJournal[[#This Row],[الـــــيوم]]),"01-01-2026")</f>
        <v>46188</v>
      </c>
      <c r="V469" s="126"/>
      <c r="W469" s="58"/>
      <c r="X469" s="58">
        <f>IFERROR(YEAR(TableDailyJournal[[#This Row],[التاريخ]]),"")</f>
        <v>2026</v>
      </c>
      <c r="Y469" s="58">
        <f>IFERROR(MONTH(TableDailyJournal[[#This Row],[التاريخ]]),"")</f>
        <v>6</v>
      </c>
      <c r="Z469" s="58">
        <f>IFERROR(DAY(TableDailyJournal[[#This Row],[التاريخ]]),"")</f>
        <v>15</v>
      </c>
      <c r="AA469" s="126" t="str">
        <f>INDEX(Tabledaily[المرجع البياني],MATCH(TableDailyJournal[[#This Row],[رقم العملية]],Tabledaily[رقم العملية],0))</f>
        <v>قيـد مقابـل:- (مصاريف  صرفة يومية للافراد  - مرافقي الاركان - الفرقة الثالثة)  - استلام نقدي رقم   سند استلام - تقديم الصرفة اليومية لتاريخ 16 لخروجهم في مهمة عمل بامر</v>
      </c>
      <c r="AB469" s="121">
        <f>INDEX(Tabledaily[جهة الامر],MATCH(TableDailyJournal[[#This Row],[رقم العملية]],Tabledaily[رقم العملية],0))</f>
        <v>0</v>
      </c>
    </row>
    <row r="470" spans="2:28" ht="67.5" x14ac:dyDescent="0.55000000000000004">
      <c r="B470" s="58">
        <f t="shared" si="14"/>
        <v>466</v>
      </c>
      <c r="C470" s="59" t="s">
        <v>812</v>
      </c>
      <c r="D470" s="60">
        <f>INDEX(Tabledaily[date],MATCH(TableDailyJournal[[#This Row],[رقم العملية]],Tabledaily[رقم العملية],0))</f>
        <v>46188</v>
      </c>
      <c r="E470" s="58" t="str">
        <f>INDEX(Tabledaily[نوع العمليــة],MATCH(TableDailyJournal[[#This Row],[رقم العملية]],Tabledaily[رقم العملية],0))</f>
        <v>قيد عهده</v>
      </c>
      <c r="F470" s="58">
        <f>IFERROR(INDEX(TableJudje[رقم الحساب],MATCH(TableDailyJournal[[#This Row],[الحساب]],TableJudje[اسم الحساب],0)),0)</f>
        <v>31010126</v>
      </c>
      <c r="G470" s="58" t="s">
        <v>131</v>
      </c>
      <c r="H470" s="61" t="str">
        <f>INDEX(Tabledaily[المرجع البياني],MATCH(TableDailyJournal[[#This Row],[رقم العملية]],Tabledaily[رقم العملية],0))</f>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v>
      </c>
      <c r="I470" s="60" t="str">
        <f>INDEX(Tabledaily[العملـــة],MATCH(TableDailyJournal[[#This Row],[رقم العملية]],Tabledaily[رقم العملية],0))</f>
        <v>ريال سعودي</v>
      </c>
      <c r="J470" s="59">
        <f>IFERROR(INDEX(Tabledaily[سعــــــر
الصـــــرف],MATCH(C470,Tabledaily[رقم العملية],0)),1)</f>
        <v>1</v>
      </c>
      <c r="K470" s="123" cm="1">
        <f t="array" ref="K470">IFERROR(INDEX(Tabledaily[المبلـــــــغ],MATCH(1,(TableDailyJournal[[#This Row],[رقم العملية]]=Tabledaily[رقم العملية])*(TableDailyJournal[[#This Row],[الحساب]]=Tabledaily[الحســاب المديــــن]),0)),0)</f>
        <v>140</v>
      </c>
      <c r="L470" s="123" cm="1">
        <f t="array" ref="L470">IFERROR(INDEX(Tabledaily[المبلـــــــغ],MATCH(1,(TableDailyJournal[[#This Row],[رقم العملية]]=Tabledaily[رقم العملية])*(TableDailyJournal[[#This Row],[الحساب]]=Tabledaily[الحســاب الدئـــن]),0)),0)</f>
        <v>0</v>
      </c>
      <c r="M470" s="119">
        <f>IFERROR(TableDailyJournal[[#This Row],[المبلغ مدين]]/TableDailyJournal[[#This Row],[سعــــــر
الصـــــرف]],0)</f>
        <v>140</v>
      </c>
      <c r="N470" s="119">
        <f>IFERROR(TableDailyJournal[[#This Row],[المبلغ دائن]]/TableDailyJournal[[#This Row],[سعــــــر
الصـــــرف]],0)</f>
        <v>0</v>
      </c>
      <c r="O470" s="121">
        <f>INDEX(Tabledaily[المستفيــــــــد],MATCH(TableDailyJournal[[#This Row],[رقم العملية]],Tabledaily[رقم العملية],0))</f>
        <v>0</v>
      </c>
      <c r="P470" s="121" t="str">
        <f>INDEX(Tabledaily[المــــرجـــــــــع],MATCH(TableDailyJournal[[#This Row],[رقم العملية]],Tabledaily[رقم العملية],0))</f>
        <v>فاتورة</v>
      </c>
      <c r="Q470" s="121" t="str">
        <f>INDEX(Tabledaily[اســـــــم المــــرجــــع],MATCH(TableDailyJournal[[#This Row],[رقم العملية]],Tabledaily[رقم العملية],0))</f>
        <v>اصول التقنية للتجارة</v>
      </c>
      <c r="R470" s="121">
        <f>INDEX(Tabledaily[رقم المـــــرجـــع],MATCH(TableDailyJournal[[#This Row],[رقم العملية]],Tabledaily[رقم العملية],0))</f>
        <v>724</v>
      </c>
      <c r="S470" s="121" t="str">
        <f>INDEX(Tabledaily[مركـــــــزالتكلفــــــة],MATCH(TableDailyJournal[[#This Row],[رقم العملية]],Tabledaily[رقم العملية],0))</f>
        <v>الفرقة الثالثة</v>
      </c>
      <c r="T470" s="121">
        <f>IFERROR(INDEX(tablecost[رقم المركز],MATCH(TableDailyJournal[[#This Row],[مركـــــــزالتكلفــــــة]],tablecost[الاسم],0)),0)</f>
        <v>1</v>
      </c>
      <c r="U470" s="122">
        <f>IFERROR(DATE(TableDailyJournal[[#This Row],[السنــــة]],TableDailyJournal[[#This Row],[الشهــــر]],TableDailyJournal[[#This Row],[الـــــيوم]]),"01-01-2026")</f>
        <v>46188</v>
      </c>
      <c r="V470" s="126"/>
      <c r="W470" s="58"/>
      <c r="X470" s="58">
        <f>IFERROR(YEAR(TableDailyJournal[[#This Row],[التاريخ]]),"")</f>
        <v>2026</v>
      </c>
      <c r="Y470" s="58">
        <f>IFERROR(MONTH(TableDailyJournal[[#This Row],[التاريخ]]),"")</f>
        <v>6</v>
      </c>
      <c r="Z470" s="58">
        <f>IFERROR(DAY(TableDailyJournal[[#This Row],[التاريخ]]),"")</f>
        <v>15</v>
      </c>
      <c r="AA470" s="126" t="str">
        <f>INDEX(Tabledaily[المرجع البياني],MATCH(TableDailyJournal[[#This Row],[رقم العملية]],Tabledaily[رقم العملية],0))</f>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v>
      </c>
      <c r="AB470" s="121" t="str">
        <f>INDEX(Tabledaily[جهة الامر],MATCH(TableDailyJournal[[#This Row],[رقم العملية]],Tabledaily[رقم العملية],0))</f>
        <v>المستشار المالي</v>
      </c>
    </row>
    <row r="471" spans="2:28" ht="67.5" x14ac:dyDescent="0.55000000000000004">
      <c r="B471" s="58">
        <f t="shared" si="14"/>
        <v>467</v>
      </c>
      <c r="C471" s="59" t="s">
        <v>812</v>
      </c>
      <c r="D471" s="60">
        <f>INDEX(Tabledaily[date],MATCH(TableDailyJournal[[#This Row],[رقم العملية]],Tabledaily[رقم العملية],0))</f>
        <v>46188</v>
      </c>
      <c r="E471" s="58" t="str">
        <f>INDEX(Tabledaily[نوع العمليــة],MATCH(TableDailyJournal[[#This Row],[رقم العملية]],Tabledaily[رقم العملية],0))</f>
        <v>قيد عهده</v>
      </c>
      <c r="F471" s="58">
        <f>IFERROR(INDEX(TableJudje[رقم الحساب],MATCH(TableDailyJournal[[#This Row],[الحساب]],TableJudje[اسم الحساب],0)),0)</f>
        <v>11060205</v>
      </c>
      <c r="G471" s="58" t="s">
        <v>513</v>
      </c>
      <c r="H471" s="61" t="str">
        <f>INDEX(Tabledaily[المرجع البياني],MATCH(TableDailyJournal[[#This Row],[رقم العملية]],Tabledaily[رقم العملية],0))</f>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v>
      </c>
      <c r="I471" s="60" t="str">
        <f>INDEX(Tabledaily[العملـــة],MATCH(TableDailyJournal[[#This Row],[رقم العملية]],Tabledaily[رقم العملية],0))</f>
        <v>ريال سعودي</v>
      </c>
      <c r="J471" s="59">
        <f>IFERROR(INDEX(Tabledaily[سعــــــر
الصـــــرف],MATCH(C471,Tabledaily[رقم العملية],0)),1)</f>
        <v>1</v>
      </c>
      <c r="K471" s="123" cm="1">
        <f t="array" ref="K471">IFERROR(INDEX(Tabledaily[المبلـــــــغ],MATCH(1,(TableDailyJournal[[#This Row],[رقم العملية]]=Tabledaily[رقم العملية])*(TableDailyJournal[[#This Row],[الحساب]]=Tabledaily[الحســاب المديــــن]),0)),0)</f>
        <v>0</v>
      </c>
      <c r="L471" s="123" cm="1">
        <f t="array" ref="L471">IFERROR(INDEX(Tabledaily[المبلـــــــغ],MATCH(1,(TableDailyJournal[[#This Row],[رقم العملية]]=Tabledaily[رقم العملية])*(TableDailyJournal[[#This Row],[الحساب]]=Tabledaily[الحســاب الدئـــن]),0)),0)</f>
        <v>140</v>
      </c>
      <c r="M471" s="119">
        <f>IFERROR(TableDailyJournal[[#This Row],[المبلغ مدين]]/TableDailyJournal[[#This Row],[سعــــــر
الصـــــرف]],0)</f>
        <v>0</v>
      </c>
      <c r="N471" s="119">
        <f>IFERROR(TableDailyJournal[[#This Row],[المبلغ دائن]]/TableDailyJournal[[#This Row],[سعــــــر
الصـــــرف]],0)</f>
        <v>140</v>
      </c>
      <c r="O471" s="121">
        <f>INDEX(Tabledaily[المستفيــــــــد],MATCH(TableDailyJournal[[#This Row],[رقم العملية]],Tabledaily[رقم العملية],0))</f>
        <v>0</v>
      </c>
      <c r="P471" s="121" t="str">
        <f>INDEX(Tabledaily[المــــرجـــــــــع],MATCH(TableDailyJournal[[#This Row],[رقم العملية]],Tabledaily[رقم العملية],0))</f>
        <v>فاتورة</v>
      </c>
      <c r="Q471" s="121" t="str">
        <f>INDEX(Tabledaily[اســـــــم المــــرجــــع],MATCH(TableDailyJournal[[#This Row],[رقم العملية]],Tabledaily[رقم العملية],0))</f>
        <v>اصول التقنية للتجارة</v>
      </c>
      <c r="R471" s="121">
        <f>INDEX(Tabledaily[رقم المـــــرجـــع],MATCH(TableDailyJournal[[#This Row],[رقم العملية]],Tabledaily[رقم العملية],0))</f>
        <v>724</v>
      </c>
      <c r="S471" s="121" t="str">
        <f>INDEX(Tabledaily[مركـــــــزالتكلفــــــة],MATCH(TableDailyJournal[[#This Row],[رقم العملية]],Tabledaily[رقم العملية],0))</f>
        <v>الفرقة الثالثة</v>
      </c>
      <c r="T471" s="121">
        <f>IFERROR(INDEX(tablecost[رقم المركز],MATCH(TableDailyJournal[[#This Row],[مركـــــــزالتكلفــــــة]],tablecost[الاسم],0)),0)</f>
        <v>1</v>
      </c>
      <c r="U471" s="122">
        <f>IFERROR(DATE(TableDailyJournal[[#This Row],[السنــــة]],TableDailyJournal[[#This Row],[الشهــــر]],TableDailyJournal[[#This Row],[الـــــيوم]]),"01-01-2026")</f>
        <v>46188</v>
      </c>
      <c r="V471" s="126"/>
      <c r="W471" s="58"/>
      <c r="X471" s="58">
        <f>IFERROR(YEAR(TableDailyJournal[[#This Row],[التاريخ]]),"")</f>
        <v>2026</v>
      </c>
      <c r="Y471" s="58">
        <f>IFERROR(MONTH(TableDailyJournal[[#This Row],[التاريخ]]),"")</f>
        <v>6</v>
      </c>
      <c r="Z471" s="58">
        <f>IFERROR(DAY(TableDailyJournal[[#This Row],[التاريخ]]),"")</f>
        <v>15</v>
      </c>
      <c r="AA471" s="126" t="str">
        <f>INDEX(Tabledaily[المرجع البياني],MATCH(TableDailyJournal[[#This Row],[رقم العملية]],Tabledaily[رقم العملية],0))</f>
        <v>قيـد مقابـل:- (مصاريف صيانة متنوعة  -  - الفرقة الثالثة)  - فاتورة رقم 724  اصول التقنية للتجارة - شراء كيبل شبكة 1.5 متر + كيبل شبكة 3 متر + كيبل طابعة 1.5 متر + موزع شبكة  D-Link ب36 دولار  بامرالمستشار المالي</v>
      </c>
      <c r="AB471" s="121" t="str">
        <f>INDEX(Tabledaily[جهة الامر],MATCH(TableDailyJournal[[#This Row],[رقم العملية]],Tabledaily[رقم العملية],0))</f>
        <v>المستشار المالي</v>
      </c>
    </row>
    <row r="472" spans="2:28" ht="45.75" x14ac:dyDescent="0.55000000000000004">
      <c r="B472" s="58">
        <f t="shared" si="14"/>
        <v>468</v>
      </c>
      <c r="C472" s="59" t="s">
        <v>815</v>
      </c>
      <c r="D472" s="60">
        <f>INDEX(Tabledaily[date],MATCH(TableDailyJournal[[#This Row],[رقم العملية]],Tabledaily[رقم العملية],0))</f>
        <v>46188</v>
      </c>
      <c r="E472" s="58" t="str">
        <f>INDEX(Tabledaily[نوع العمليــة],MATCH(TableDailyJournal[[#This Row],[رقم العملية]],Tabledaily[رقم العملية],0))</f>
        <v>قيد عهده</v>
      </c>
      <c r="F472" s="58">
        <f>IFERROR(INDEX(TableJudje[رقم الحساب],MATCH(TableDailyJournal[[#This Row],[الحساب]],TableJudje[اسم الحساب],0)),0)</f>
        <v>31010101</v>
      </c>
      <c r="G472" s="58" t="s">
        <v>111</v>
      </c>
      <c r="H472"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15 بامر</v>
      </c>
      <c r="I472" s="60" t="str">
        <f>INDEX(Tabledaily[العملـــة],MATCH(TableDailyJournal[[#This Row],[رقم العملية]],Tabledaily[رقم العملية],0))</f>
        <v>ريال يمني</v>
      </c>
      <c r="J472" s="59">
        <f>IFERROR(INDEX(Tabledaily[سعــــــر
الصـــــرف],MATCH(C472,Tabledaily[رقم العملية],0)),1)</f>
        <v>405</v>
      </c>
      <c r="K472" s="123" cm="1">
        <f t="array" ref="K472">IFERROR(INDEX(Tabledaily[المبلـــــــغ],MATCH(1,(TableDailyJournal[[#This Row],[رقم العملية]]=Tabledaily[رقم العملية])*(TableDailyJournal[[#This Row],[الحساب]]=Tabledaily[الحســاب المديــــن]),0)),0)</f>
        <v>10000</v>
      </c>
      <c r="L472" s="123" cm="1">
        <f t="array" ref="L472">IFERROR(INDEX(Tabledaily[المبلـــــــغ],MATCH(1,(TableDailyJournal[[#This Row],[رقم العملية]]=Tabledaily[رقم العملية])*(TableDailyJournal[[#This Row],[الحساب]]=Tabledaily[الحســاب الدئـــن]),0)),0)</f>
        <v>0</v>
      </c>
      <c r="M472" s="119">
        <f>IFERROR(TableDailyJournal[[#This Row],[المبلغ مدين]]/TableDailyJournal[[#This Row],[سعــــــر
الصـــــرف]],0)</f>
        <v>24.691358024691358</v>
      </c>
      <c r="N472" s="119">
        <f>IFERROR(TableDailyJournal[[#This Row],[المبلغ دائن]]/TableDailyJournal[[#This Row],[سعــــــر
الصـــــرف]],0)</f>
        <v>0</v>
      </c>
      <c r="O472" s="121" t="str">
        <f>INDEX(Tabledaily[المستفيــــــــد],MATCH(TableDailyJournal[[#This Row],[رقم العملية]],Tabledaily[رقم العملية],0))</f>
        <v>محمد عبدالصمد عبدالله</v>
      </c>
      <c r="P472" s="121" t="str">
        <f>INDEX(Tabledaily[المــــرجـــــــــع],MATCH(TableDailyJournal[[#This Row],[رقم العملية]],Tabledaily[رقم العملية],0))</f>
        <v>استلام نقدي</v>
      </c>
      <c r="Q472" s="121" t="str">
        <f>INDEX(Tabledaily[اســـــــم المــــرجــــع],MATCH(TableDailyJournal[[#This Row],[رقم العملية]],Tabledaily[رقم العملية],0))</f>
        <v>سند استلام</v>
      </c>
      <c r="R472" s="121">
        <f>INDEX(Tabledaily[رقم المـــــرجـــع],MATCH(TableDailyJournal[[#This Row],[رقم العملية]],Tabledaily[رقم العملية],0))</f>
        <v>0</v>
      </c>
      <c r="S472" s="121" t="str">
        <f>INDEX(Tabledaily[مركـــــــزالتكلفــــــة],MATCH(TableDailyJournal[[#This Row],[رقم العملية]],Tabledaily[رقم العملية],0))</f>
        <v>اللواء السادس</v>
      </c>
      <c r="T472" s="121">
        <f>IFERROR(INDEX(tablecost[رقم المركز],MATCH(TableDailyJournal[[#This Row],[مركـــــــزالتكلفــــــة]],tablecost[الاسم],0)),0)</f>
        <v>7</v>
      </c>
      <c r="U472" s="122">
        <f>IFERROR(DATE(TableDailyJournal[[#This Row],[السنــــة]],TableDailyJournal[[#This Row],[الشهــــر]],TableDailyJournal[[#This Row],[الـــــيوم]]),"01-01-2026")</f>
        <v>46188</v>
      </c>
      <c r="V472" s="126"/>
      <c r="W472" s="58"/>
      <c r="X472" s="58">
        <f>IFERROR(YEAR(TableDailyJournal[[#This Row],[التاريخ]]),"")</f>
        <v>2026</v>
      </c>
      <c r="Y472" s="58">
        <f>IFERROR(MONTH(TableDailyJournal[[#This Row],[التاريخ]]),"")</f>
        <v>6</v>
      </c>
      <c r="Z472" s="58">
        <f>IFERROR(DAY(TableDailyJournal[[#This Row],[التاريخ]]),"")</f>
        <v>15</v>
      </c>
      <c r="AA472"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15 بامر</v>
      </c>
      <c r="AB472" s="121">
        <f>INDEX(Tabledaily[جهة الامر],MATCH(TableDailyJournal[[#This Row],[رقم العملية]],Tabledaily[رقم العملية],0))</f>
        <v>0</v>
      </c>
    </row>
    <row r="473" spans="2:28" ht="45.75" x14ac:dyDescent="0.55000000000000004">
      <c r="B473" s="58">
        <f t="shared" si="14"/>
        <v>469</v>
      </c>
      <c r="C473" s="59" t="s">
        <v>815</v>
      </c>
      <c r="D473" s="60">
        <f>INDEX(Tabledaily[date],MATCH(TableDailyJournal[[#This Row],[رقم العملية]],Tabledaily[رقم العملية],0))</f>
        <v>46188</v>
      </c>
      <c r="E473" s="58" t="str">
        <f>INDEX(Tabledaily[نوع العمليــة],MATCH(TableDailyJournal[[#This Row],[رقم العملية]],Tabledaily[رقم العملية],0))</f>
        <v>قيد عهده</v>
      </c>
      <c r="F473" s="58">
        <f>IFERROR(INDEX(TableJudje[رقم الحساب],MATCH(TableDailyJournal[[#This Row],[الحساب]],TableJudje[اسم الحساب],0)),0)</f>
        <v>11060205</v>
      </c>
      <c r="G473" s="58" t="s">
        <v>513</v>
      </c>
      <c r="H473" s="61"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15 بامر</v>
      </c>
      <c r="I473" s="60" t="str">
        <f>INDEX(Tabledaily[العملـــة],MATCH(TableDailyJournal[[#This Row],[رقم العملية]],Tabledaily[رقم العملية],0))</f>
        <v>ريال يمني</v>
      </c>
      <c r="J473" s="59">
        <f>IFERROR(INDEX(Tabledaily[سعــــــر
الصـــــرف],MATCH(C473,Tabledaily[رقم العملية],0)),1)</f>
        <v>405</v>
      </c>
      <c r="K473" s="123" cm="1">
        <f t="array" ref="K473">IFERROR(INDEX(Tabledaily[المبلـــــــغ],MATCH(1,(TableDailyJournal[[#This Row],[رقم العملية]]=Tabledaily[رقم العملية])*(TableDailyJournal[[#This Row],[الحساب]]=Tabledaily[الحســاب المديــــن]),0)),0)</f>
        <v>0</v>
      </c>
      <c r="L473" s="123" cm="1">
        <f t="array" ref="L473">IFERROR(INDEX(Tabledaily[المبلـــــــغ],MATCH(1,(TableDailyJournal[[#This Row],[رقم العملية]]=Tabledaily[رقم العملية])*(TableDailyJournal[[#This Row],[الحساب]]=Tabledaily[الحســاب الدئـــن]),0)),0)</f>
        <v>10000</v>
      </c>
      <c r="M473" s="119">
        <f>IFERROR(TableDailyJournal[[#This Row],[المبلغ مدين]]/TableDailyJournal[[#This Row],[سعــــــر
الصـــــرف]],0)</f>
        <v>0</v>
      </c>
      <c r="N473" s="119">
        <f>IFERROR(TableDailyJournal[[#This Row],[المبلغ دائن]]/TableDailyJournal[[#This Row],[سعــــــر
الصـــــرف]],0)</f>
        <v>24.691358024691358</v>
      </c>
      <c r="O473" s="121" t="str">
        <f>INDEX(Tabledaily[المستفيــــــــد],MATCH(TableDailyJournal[[#This Row],[رقم العملية]],Tabledaily[رقم العملية],0))</f>
        <v>محمد عبدالصمد عبدالله</v>
      </c>
      <c r="P473" s="121" t="str">
        <f>INDEX(Tabledaily[المــــرجـــــــــع],MATCH(TableDailyJournal[[#This Row],[رقم العملية]],Tabledaily[رقم العملية],0))</f>
        <v>استلام نقدي</v>
      </c>
      <c r="Q473" s="121" t="str">
        <f>INDEX(Tabledaily[اســـــــم المــــرجــــع],MATCH(TableDailyJournal[[#This Row],[رقم العملية]],Tabledaily[رقم العملية],0))</f>
        <v>سند استلام</v>
      </c>
      <c r="R473" s="121">
        <f>INDEX(Tabledaily[رقم المـــــرجـــع],MATCH(TableDailyJournal[[#This Row],[رقم العملية]],Tabledaily[رقم العملية],0))</f>
        <v>0</v>
      </c>
      <c r="S473" s="121" t="str">
        <f>INDEX(Tabledaily[مركـــــــزالتكلفــــــة],MATCH(TableDailyJournal[[#This Row],[رقم العملية]],Tabledaily[رقم العملية],0))</f>
        <v>اللواء السادس</v>
      </c>
      <c r="T473" s="121">
        <f>IFERROR(INDEX(tablecost[رقم المركز],MATCH(TableDailyJournal[[#This Row],[مركـــــــزالتكلفــــــة]],tablecost[الاسم],0)),0)</f>
        <v>7</v>
      </c>
      <c r="U473" s="122">
        <f>IFERROR(DATE(TableDailyJournal[[#This Row],[السنــــة]],TableDailyJournal[[#This Row],[الشهــــر]],TableDailyJournal[[#This Row],[الـــــيوم]]),"01-01-2026")</f>
        <v>46188</v>
      </c>
      <c r="V473" s="126"/>
      <c r="W473" s="58"/>
      <c r="X473" s="58">
        <f>IFERROR(YEAR(TableDailyJournal[[#This Row],[التاريخ]]),"")</f>
        <v>2026</v>
      </c>
      <c r="Y473" s="58">
        <f>IFERROR(MONTH(TableDailyJournal[[#This Row],[التاريخ]]),"")</f>
        <v>6</v>
      </c>
      <c r="Z473" s="58">
        <f>IFERROR(DAY(TableDailyJournal[[#This Row],[التاريخ]]),"")</f>
        <v>15</v>
      </c>
      <c r="AA473" s="126" t="str">
        <f>INDEX(Tabledaily[المرجع البياني],MATCH(TableDailyJournal[[#This Row],[رقم العملية]],Tabledaily[رقم العملية],0))</f>
        <v>قيـد مقابـل:- (مصاريف  صرفة يومية للافراد  - محمد عبدالصمد عبدالله - اللواء السادس)  - استلام نقدي رقم   سند استلام - صرف صرفة يومية ليوم 15 بامر</v>
      </c>
      <c r="AB473" s="121">
        <f>INDEX(Tabledaily[جهة الامر],MATCH(TableDailyJournal[[#This Row],[رقم العملية]],Tabledaily[رقم العملية],0))</f>
        <v>0</v>
      </c>
    </row>
    <row r="474" spans="2:28" ht="45.75" x14ac:dyDescent="0.55000000000000004">
      <c r="B474" s="58">
        <f t="shared" ref="B474:B493" si="15">ROW()-4</f>
        <v>470</v>
      </c>
      <c r="C474" s="59" t="s">
        <v>825</v>
      </c>
      <c r="D474" s="60">
        <f>INDEX(Tabledaily[date],MATCH(TableDailyJournal[[#This Row],[رقم العملية]],Tabledaily[رقم العملية],0))</f>
        <v>46181</v>
      </c>
      <c r="E474" s="58" t="str">
        <f>INDEX(Tabledaily[نوع العمليــة],MATCH(TableDailyJournal[[#This Row],[رقم العملية]],Tabledaily[رقم العملية],0))</f>
        <v>قبض عهدة</v>
      </c>
      <c r="F474" s="58">
        <f>IFERROR(INDEX(TableJudje[رقم الحساب],MATCH(TableDailyJournal[[#This Row],[الحساب]],TableJudje[اسم الحساب],0)),0)</f>
        <v>11060205</v>
      </c>
      <c r="G474" s="58" t="s">
        <v>513</v>
      </c>
      <c r="H474" s="61"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إستلام عهدة من عبدالله باعمر  بامر</v>
      </c>
      <c r="I474" s="60" t="str">
        <f>INDEX(Tabledaily[العملـــة],MATCH(TableDailyJournal[[#This Row],[رقم العملية]],Tabledaily[رقم العملية],0))</f>
        <v>ريال سعودي</v>
      </c>
      <c r="J474" s="59">
        <f>IFERROR(INDEX(Tabledaily[سعــــــر
الصـــــرف],MATCH(C474,Tabledaily[رقم العملية],0)),1)</f>
        <v>1</v>
      </c>
      <c r="K474" s="123" cm="1">
        <f t="array" ref="K474">IFERROR(INDEX(Tabledaily[المبلـــــــغ],MATCH(1,(TableDailyJournal[[#This Row],[رقم العملية]]=Tabledaily[رقم العملية])*(TableDailyJournal[[#This Row],[الحساب]]=Tabledaily[الحســاب المديــــن]),0)),0)</f>
        <v>3000</v>
      </c>
      <c r="L474" s="123" cm="1">
        <f t="array" ref="L474">IFERROR(INDEX(Tabledaily[المبلـــــــغ],MATCH(1,(TableDailyJournal[[#This Row],[رقم العملية]]=Tabledaily[رقم العملية])*(TableDailyJournal[[#This Row],[الحساب]]=Tabledaily[الحســاب الدئـــن]),0)),0)</f>
        <v>0</v>
      </c>
      <c r="M474" s="119">
        <f>IFERROR(TableDailyJournal[[#This Row],[المبلغ مدين]]/TableDailyJournal[[#This Row],[سعــــــر
الصـــــرف]],0)</f>
        <v>3000</v>
      </c>
      <c r="N474" s="119">
        <f>IFERROR(TableDailyJournal[[#This Row],[المبلغ دائن]]/TableDailyJournal[[#This Row],[سعــــــر
الصـــــرف]],0)</f>
        <v>0</v>
      </c>
      <c r="O474" s="121" t="str">
        <f>INDEX(Tabledaily[المستفيــــــــد],MATCH(TableDailyJournal[[#This Row],[رقم العملية]],Tabledaily[رقم العملية],0))</f>
        <v>عبدالحفيظ</v>
      </c>
      <c r="P474" s="121" t="str">
        <f>INDEX(Tabledaily[المــــرجـــــــــع],MATCH(TableDailyJournal[[#This Row],[رقم العملية]],Tabledaily[رقم العملية],0))</f>
        <v>استلام نقدي</v>
      </c>
      <c r="Q474" s="121" t="str">
        <f>INDEX(Tabledaily[اســـــــم المــــرجــــع],MATCH(TableDailyJournal[[#This Row],[رقم العملية]],Tabledaily[رقم العملية],0))</f>
        <v>سند استلام</v>
      </c>
      <c r="R474" s="121">
        <f>INDEX(Tabledaily[رقم المـــــرجـــع],MATCH(TableDailyJournal[[#This Row],[رقم العملية]],Tabledaily[رقم العملية],0))</f>
        <v>0</v>
      </c>
      <c r="S474" s="121" t="str">
        <f>INDEX(Tabledaily[مركـــــــزالتكلفــــــة],MATCH(TableDailyJournal[[#This Row],[رقم العملية]],Tabledaily[رقم العملية],0))</f>
        <v>الفرقة الثالثة</v>
      </c>
      <c r="T474" s="121">
        <f>IFERROR(INDEX(tablecost[رقم المركز],MATCH(TableDailyJournal[[#This Row],[مركـــــــزالتكلفــــــة]],tablecost[الاسم],0)),0)</f>
        <v>1</v>
      </c>
      <c r="U474" s="122">
        <f>IFERROR(DATE(TableDailyJournal[[#This Row],[السنــــة]],TableDailyJournal[[#This Row],[الشهــــر]],TableDailyJournal[[#This Row],[الـــــيوم]]),"01-01-2026")</f>
        <v>46181</v>
      </c>
      <c r="V474" s="126"/>
      <c r="W474" s="58"/>
      <c r="X474" s="58">
        <f>IFERROR(YEAR(TableDailyJournal[[#This Row],[التاريخ]]),"")</f>
        <v>2026</v>
      </c>
      <c r="Y474" s="58">
        <f>IFERROR(MONTH(TableDailyJournal[[#This Row],[التاريخ]]),"")</f>
        <v>6</v>
      </c>
      <c r="Z474" s="58">
        <f>IFERROR(DAY(TableDailyJournal[[#This Row],[التاريخ]]),"")</f>
        <v>8</v>
      </c>
      <c r="AA474" s="126"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إستلام عهدة من عبدالله باعمر  بامر</v>
      </c>
      <c r="AB474" s="121">
        <f>INDEX(Tabledaily[جهة الامر],MATCH(TableDailyJournal[[#This Row],[رقم العملية]],Tabledaily[رقم العملية],0))</f>
        <v>0</v>
      </c>
    </row>
    <row r="475" spans="2:28" ht="45.75" x14ac:dyDescent="0.55000000000000004">
      <c r="B475" s="58">
        <f t="shared" si="15"/>
        <v>471</v>
      </c>
      <c r="C475" s="59" t="s">
        <v>825</v>
      </c>
      <c r="D475" s="60">
        <f>INDEX(Tabledaily[date],MATCH(TableDailyJournal[[#This Row],[رقم العملية]],Tabledaily[رقم العملية],0))</f>
        <v>46181</v>
      </c>
      <c r="E475" s="58" t="str">
        <f>INDEX(Tabledaily[نوع العمليــة],MATCH(TableDailyJournal[[#This Row],[رقم العملية]],Tabledaily[رقم العملية],0))</f>
        <v>قبض عهدة</v>
      </c>
      <c r="F475" s="58">
        <f>IFERROR(INDEX(TableJudje[رقم الحساب],MATCH(TableDailyJournal[[#This Row],[الحساب]],TableJudje[اسم الحساب],0)),0)</f>
        <v>11010101</v>
      </c>
      <c r="G475" s="58" t="s">
        <v>23</v>
      </c>
      <c r="H475" s="61"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إستلام عهدة من عبدالله باعمر  بامر</v>
      </c>
      <c r="I475" s="60" t="str">
        <f>INDEX(Tabledaily[العملـــة],MATCH(TableDailyJournal[[#This Row],[رقم العملية]],Tabledaily[رقم العملية],0))</f>
        <v>ريال سعودي</v>
      </c>
      <c r="J475" s="59">
        <f>IFERROR(INDEX(Tabledaily[سعــــــر
الصـــــرف],MATCH(C475,Tabledaily[رقم العملية],0)),1)</f>
        <v>1</v>
      </c>
      <c r="K475" s="123" cm="1">
        <f t="array" ref="K475">IFERROR(INDEX(Tabledaily[المبلـــــــغ],MATCH(1,(TableDailyJournal[[#This Row],[رقم العملية]]=Tabledaily[رقم العملية])*(TableDailyJournal[[#This Row],[الحساب]]=Tabledaily[الحســاب المديــــن]),0)),0)</f>
        <v>0</v>
      </c>
      <c r="L475" s="123" cm="1">
        <f t="array" ref="L475">IFERROR(INDEX(Tabledaily[المبلـــــــغ],MATCH(1,(TableDailyJournal[[#This Row],[رقم العملية]]=Tabledaily[رقم العملية])*(TableDailyJournal[[#This Row],[الحساب]]=Tabledaily[الحســاب الدئـــن]),0)),0)</f>
        <v>3000</v>
      </c>
      <c r="M475" s="119">
        <f>IFERROR(TableDailyJournal[[#This Row],[المبلغ مدين]]/TableDailyJournal[[#This Row],[سعــــــر
الصـــــرف]],0)</f>
        <v>0</v>
      </c>
      <c r="N475" s="119">
        <f>IFERROR(TableDailyJournal[[#This Row],[المبلغ دائن]]/TableDailyJournal[[#This Row],[سعــــــر
الصـــــرف]],0)</f>
        <v>3000</v>
      </c>
      <c r="O475" s="121" t="str">
        <f>INDEX(Tabledaily[المستفيــــــــد],MATCH(TableDailyJournal[[#This Row],[رقم العملية]],Tabledaily[رقم العملية],0))</f>
        <v>عبدالحفيظ</v>
      </c>
      <c r="P475" s="121" t="str">
        <f>INDEX(Tabledaily[المــــرجـــــــــع],MATCH(TableDailyJournal[[#This Row],[رقم العملية]],Tabledaily[رقم العملية],0))</f>
        <v>استلام نقدي</v>
      </c>
      <c r="Q475" s="121" t="str">
        <f>INDEX(Tabledaily[اســـــــم المــــرجــــع],MATCH(TableDailyJournal[[#This Row],[رقم العملية]],Tabledaily[رقم العملية],0))</f>
        <v>سند استلام</v>
      </c>
      <c r="R475" s="121">
        <f>INDEX(Tabledaily[رقم المـــــرجـــع],MATCH(TableDailyJournal[[#This Row],[رقم العملية]],Tabledaily[رقم العملية],0))</f>
        <v>0</v>
      </c>
      <c r="S475" s="121" t="str">
        <f>INDEX(Tabledaily[مركـــــــزالتكلفــــــة],MATCH(TableDailyJournal[[#This Row],[رقم العملية]],Tabledaily[رقم العملية],0))</f>
        <v>الفرقة الثالثة</v>
      </c>
      <c r="T475" s="121">
        <f>IFERROR(INDEX(tablecost[رقم المركز],MATCH(TableDailyJournal[[#This Row],[مركـــــــزالتكلفــــــة]],tablecost[الاسم],0)),0)</f>
        <v>1</v>
      </c>
      <c r="U475" s="122">
        <f>IFERROR(DATE(TableDailyJournal[[#This Row],[السنــــة]],TableDailyJournal[[#This Row],[الشهــــر]],TableDailyJournal[[#This Row],[الـــــيوم]]),"01-01-2026")</f>
        <v>46181</v>
      </c>
      <c r="V475" s="126"/>
      <c r="W475" s="58"/>
      <c r="X475" s="58">
        <f>IFERROR(YEAR(TableDailyJournal[[#This Row],[التاريخ]]),"")</f>
        <v>2026</v>
      </c>
      <c r="Y475" s="58">
        <f>IFERROR(MONTH(TableDailyJournal[[#This Row],[التاريخ]]),"")</f>
        <v>6</v>
      </c>
      <c r="Z475" s="58">
        <f>IFERROR(DAY(TableDailyJournal[[#This Row],[التاريخ]]),"")</f>
        <v>8</v>
      </c>
      <c r="AA475" s="126"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إستلام عهدة من عبدالله باعمر  بامر</v>
      </c>
      <c r="AB475" s="121">
        <f>INDEX(Tabledaily[جهة الامر],MATCH(TableDailyJournal[[#This Row],[رقم العملية]],Tabledaily[رقم العملية],0))</f>
        <v>0</v>
      </c>
    </row>
    <row r="476" spans="2:28" ht="45.75" x14ac:dyDescent="0.55000000000000004">
      <c r="B476" s="58">
        <f t="shared" si="15"/>
        <v>472</v>
      </c>
      <c r="C476" s="59" t="s">
        <v>827</v>
      </c>
      <c r="D476" s="60">
        <f>INDEX(Tabledaily[date],MATCH(TableDailyJournal[[#This Row],[رقم العملية]],Tabledaily[رقم العملية],0))</f>
        <v>46189</v>
      </c>
      <c r="E476" s="58" t="str">
        <f>INDEX(Tabledaily[نوع العمليــة],MATCH(TableDailyJournal[[#This Row],[رقم العملية]],Tabledaily[رقم العملية],0))</f>
        <v>قيد عهده</v>
      </c>
      <c r="F476" s="58">
        <f>IFERROR(INDEX(TableJudje[رقم الحساب],MATCH(TableDailyJournal[[#This Row],[الحساب]],TableJudje[اسم الحساب],0)),0)</f>
        <v>31010101</v>
      </c>
      <c r="G476" s="58" t="s">
        <v>111</v>
      </c>
      <c r="H476"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476" s="60" t="str">
        <f>INDEX(Tabledaily[العملـــة],MATCH(TableDailyJournal[[#This Row],[رقم العملية]],Tabledaily[رقم العملية],0))</f>
        <v>ريال يمني</v>
      </c>
      <c r="J476" s="59">
        <f>IFERROR(INDEX(Tabledaily[سعــــــر
الصـــــرف],MATCH(C476,Tabledaily[رقم العملية],0)),1)</f>
        <v>405</v>
      </c>
      <c r="K476" s="123" cm="1">
        <f t="array" ref="K476">IFERROR(INDEX(Tabledaily[المبلـــــــغ],MATCH(1,(TableDailyJournal[[#This Row],[رقم العملية]]=Tabledaily[رقم العملية])*(TableDailyJournal[[#This Row],[الحساب]]=Tabledaily[الحســاب المديــــن]),0)),0)</f>
        <v>55000</v>
      </c>
      <c r="L476" s="123" cm="1">
        <f t="array" ref="L476">IFERROR(INDEX(Tabledaily[المبلـــــــغ],MATCH(1,(TableDailyJournal[[#This Row],[رقم العملية]]=Tabledaily[رقم العملية])*(TableDailyJournal[[#This Row],[الحساب]]=Tabledaily[الحســاب الدئـــن]),0)),0)</f>
        <v>0</v>
      </c>
      <c r="M476" s="119">
        <f>IFERROR(TableDailyJournal[[#This Row],[المبلغ مدين]]/TableDailyJournal[[#This Row],[سعــــــر
الصـــــرف]],0)</f>
        <v>135.80246913580248</v>
      </c>
      <c r="N476" s="119">
        <f>IFERROR(TableDailyJournal[[#This Row],[المبلغ دائن]]/TableDailyJournal[[#This Row],[سعــــــر
الصـــــرف]],0)</f>
        <v>0</v>
      </c>
      <c r="O476" s="121" t="str">
        <f>INDEX(Tabledaily[المستفيــــــــد],MATCH(TableDailyJournal[[#This Row],[رقم العملية]],Tabledaily[رقم العملية],0))</f>
        <v>السيطرة والاتصالات</v>
      </c>
      <c r="P476" s="121" t="str">
        <f>INDEX(Tabledaily[المــــرجـــــــــع],MATCH(TableDailyJournal[[#This Row],[رقم العملية]],Tabledaily[رقم العملية],0))</f>
        <v>كشف صرف</v>
      </c>
      <c r="Q476" s="121" t="str">
        <f>INDEX(Tabledaily[اســـــــم المــــرجــــع],MATCH(TableDailyJournal[[#This Row],[رقم العملية]],Tabledaily[رقم العملية],0))</f>
        <v>كشف صرف</v>
      </c>
      <c r="R476" s="121">
        <f>INDEX(Tabledaily[رقم المـــــرجـــع],MATCH(TableDailyJournal[[#This Row],[رقم العملية]],Tabledaily[رقم العملية],0))</f>
        <v>0</v>
      </c>
      <c r="S476" s="121" t="str">
        <f>INDEX(Tabledaily[مركـــــــزالتكلفــــــة],MATCH(TableDailyJournal[[#This Row],[رقم العملية]],Tabledaily[رقم العملية],0))</f>
        <v>الفرقة الثالثة</v>
      </c>
      <c r="T476" s="121">
        <f>IFERROR(INDEX(tablecost[رقم المركز],MATCH(TableDailyJournal[[#This Row],[مركـــــــزالتكلفــــــة]],tablecost[الاسم],0)),0)</f>
        <v>1</v>
      </c>
      <c r="U476" s="122">
        <f>IFERROR(DATE(TableDailyJournal[[#This Row],[السنــــة]],TableDailyJournal[[#This Row],[الشهــــر]],TableDailyJournal[[#This Row],[الـــــيوم]]),"01-01-2026")</f>
        <v>46189</v>
      </c>
      <c r="V476" s="126"/>
      <c r="W476" s="58"/>
      <c r="X476" s="58">
        <f>IFERROR(YEAR(TableDailyJournal[[#This Row],[التاريخ]]),"")</f>
        <v>2026</v>
      </c>
      <c r="Y476" s="58">
        <f>IFERROR(MONTH(TableDailyJournal[[#This Row],[التاريخ]]),"")</f>
        <v>6</v>
      </c>
      <c r="Z476" s="58">
        <f>IFERROR(DAY(TableDailyJournal[[#This Row],[التاريخ]]),"")</f>
        <v>16</v>
      </c>
      <c r="AA476"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476" s="121">
        <f>INDEX(Tabledaily[جهة الامر],MATCH(TableDailyJournal[[#This Row],[رقم العملية]],Tabledaily[رقم العملية],0))</f>
        <v>0</v>
      </c>
    </row>
    <row r="477" spans="2:28" ht="45.75" x14ac:dyDescent="0.55000000000000004">
      <c r="B477" s="58">
        <f t="shared" si="15"/>
        <v>473</v>
      </c>
      <c r="C477" s="59" t="s">
        <v>827</v>
      </c>
      <c r="D477" s="60">
        <f>INDEX(Tabledaily[date],MATCH(TableDailyJournal[[#This Row],[رقم العملية]],Tabledaily[رقم العملية],0))</f>
        <v>46189</v>
      </c>
      <c r="E477" s="58" t="str">
        <f>INDEX(Tabledaily[نوع العمليــة],MATCH(TableDailyJournal[[#This Row],[رقم العملية]],Tabledaily[رقم العملية],0))</f>
        <v>قيد عهده</v>
      </c>
      <c r="F477" s="58">
        <f>IFERROR(INDEX(TableJudje[رقم الحساب],MATCH(TableDailyJournal[[#This Row],[الحساب]],TableJudje[اسم الحساب],0)),0)</f>
        <v>11060205</v>
      </c>
      <c r="G477" s="58" t="s">
        <v>513</v>
      </c>
      <c r="H477"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477" s="60" t="str">
        <f>INDEX(Tabledaily[العملـــة],MATCH(TableDailyJournal[[#This Row],[رقم العملية]],Tabledaily[رقم العملية],0))</f>
        <v>ريال يمني</v>
      </c>
      <c r="J477" s="59">
        <f>IFERROR(INDEX(Tabledaily[سعــــــر
الصـــــرف],MATCH(C477,Tabledaily[رقم العملية],0)),1)</f>
        <v>405</v>
      </c>
      <c r="K477" s="123" cm="1">
        <f t="array" ref="K477">IFERROR(INDEX(Tabledaily[المبلـــــــغ],MATCH(1,(TableDailyJournal[[#This Row],[رقم العملية]]=Tabledaily[رقم العملية])*(TableDailyJournal[[#This Row],[الحساب]]=Tabledaily[الحســاب المديــــن]),0)),0)</f>
        <v>0</v>
      </c>
      <c r="L477" s="123" cm="1">
        <f t="array" ref="L477">IFERROR(INDEX(Tabledaily[المبلـــــــغ],MATCH(1,(TableDailyJournal[[#This Row],[رقم العملية]]=Tabledaily[رقم العملية])*(TableDailyJournal[[#This Row],[الحساب]]=Tabledaily[الحســاب الدئـــن]),0)),0)</f>
        <v>55000</v>
      </c>
      <c r="M477" s="119">
        <f>IFERROR(TableDailyJournal[[#This Row],[المبلغ مدين]]/TableDailyJournal[[#This Row],[سعــــــر
الصـــــرف]],0)</f>
        <v>0</v>
      </c>
      <c r="N477" s="119">
        <f>IFERROR(TableDailyJournal[[#This Row],[المبلغ دائن]]/TableDailyJournal[[#This Row],[سعــــــر
الصـــــرف]],0)</f>
        <v>135.80246913580248</v>
      </c>
      <c r="O477" s="121" t="str">
        <f>INDEX(Tabledaily[المستفيــــــــد],MATCH(TableDailyJournal[[#This Row],[رقم العملية]],Tabledaily[رقم العملية],0))</f>
        <v>السيطرة والاتصالات</v>
      </c>
      <c r="P477" s="121" t="str">
        <f>INDEX(Tabledaily[المــــرجـــــــــع],MATCH(TableDailyJournal[[#This Row],[رقم العملية]],Tabledaily[رقم العملية],0))</f>
        <v>كشف صرف</v>
      </c>
      <c r="Q477" s="121" t="str">
        <f>INDEX(Tabledaily[اســـــــم المــــرجــــع],MATCH(TableDailyJournal[[#This Row],[رقم العملية]],Tabledaily[رقم العملية],0))</f>
        <v>كشف صرف</v>
      </c>
      <c r="R477" s="121">
        <f>INDEX(Tabledaily[رقم المـــــرجـــع],MATCH(TableDailyJournal[[#This Row],[رقم العملية]],Tabledaily[رقم العملية],0))</f>
        <v>0</v>
      </c>
      <c r="S477" s="121" t="str">
        <f>INDEX(Tabledaily[مركـــــــزالتكلفــــــة],MATCH(TableDailyJournal[[#This Row],[رقم العملية]],Tabledaily[رقم العملية],0))</f>
        <v>الفرقة الثالثة</v>
      </c>
      <c r="T477" s="121">
        <f>IFERROR(INDEX(tablecost[رقم المركز],MATCH(TableDailyJournal[[#This Row],[مركـــــــزالتكلفــــــة]],tablecost[الاسم],0)),0)</f>
        <v>1</v>
      </c>
      <c r="U477" s="122">
        <f>IFERROR(DATE(TableDailyJournal[[#This Row],[السنــــة]],TableDailyJournal[[#This Row],[الشهــــر]],TableDailyJournal[[#This Row],[الـــــيوم]]),"01-01-2026")</f>
        <v>46189</v>
      </c>
      <c r="V477" s="126"/>
      <c r="W477" s="58"/>
      <c r="X477" s="58">
        <f>IFERROR(YEAR(TableDailyJournal[[#This Row],[التاريخ]]),"")</f>
        <v>2026</v>
      </c>
      <c r="Y477" s="58">
        <f>IFERROR(MONTH(TableDailyJournal[[#This Row],[التاريخ]]),"")</f>
        <v>6</v>
      </c>
      <c r="Z477" s="58">
        <f>IFERROR(DAY(TableDailyJournal[[#This Row],[التاريخ]]),"")</f>
        <v>16</v>
      </c>
      <c r="AA477"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477" s="121">
        <f>INDEX(Tabledaily[جهة الامر],MATCH(TableDailyJournal[[#This Row],[رقم العملية]],Tabledaily[رقم العملية],0))</f>
        <v>0</v>
      </c>
    </row>
    <row r="478" spans="2:28" ht="45.75" x14ac:dyDescent="0.55000000000000004">
      <c r="B478" s="58">
        <f t="shared" si="15"/>
        <v>474</v>
      </c>
      <c r="C478" s="59" t="s">
        <v>830</v>
      </c>
      <c r="D478" s="60">
        <f>INDEX(Tabledaily[date],MATCH(TableDailyJournal[[#This Row],[رقم العملية]],Tabledaily[رقم العملية],0))</f>
        <v>46189</v>
      </c>
      <c r="E478" s="58" t="str">
        <f>INDEX(Tabledaily[نوع العمليــة],MATCH(TableDailyJournal[[#This Row],[رقم العملية]],Tabledaily[رقم العملية],0))</f>
        <v>قيد عهده</v>
      </c>
      <c r="F478" s="58">
        <f>IFERROR(INDEX(TableJudje[رقم الحساب],MATCH(TableDailyJournal[[#This Row],[الحساب]],TableJudje[اسم الحساب],0)),0)</f>
        <v>31010101</v>
      </c>
      <c r="G478" s="58" t="s">
        <v>111</v>
      </c>
      <c r="H478"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478" s="60" t="str">
        <f>INDEX(Tabledaily[العملـــة],MATCH(TableDailyJournal[[#This Row],[رقم العملية]],Tabledaily[رقم العملية],0))</f>
        <v>ريال يمني</v>
      </c>
      <c r="J478" s="59">
        <f>IFERROR(INDEX(Tabledaily[سعــــــر
الصـــــرف],MATCH(C478,Tabledaily[رقم العملية],0)),1)</f>
        <v>405</v>
      </c>
      <c r="K478" s="123" cm="1">
        <f t="array" ref="K478">IFERROR(INDEX(Tabledaily[المبلـــــــغ],MATCH(1,(TableDailyJournal[[#This Row],[رقم العملية]]=Tabledaily[رقم العملية])*(TableDailyJournal[[#This Row],[الحساب]]=Tabledaily[الحســاب المديــــن]),0)),0)</f>
        <v>70000</v>
      </c>
      <c r="L478" s="123" cm="1">
        <f t="array" ref="L478">IFERROR(INDEX(Tabledaily[المبلـــــــغ],MATCH(1,(TableDailyJournal[[#This Row],[رقم العملية]]=Tabledaily[رقم العملية])*(TableDailyJournal[[#This Row],[الحساب]]=Tabledaily[الحســاب الدئـــن]),0)),0)</f>
        <v>0</v>
      </c>
      <c r="M478" s="119">
        <f>IFERROR(TableDailyJournal[[#This Row],[المبلغ مدين]]/TableDailyJournal[[#This Row],[سعــــــر
الصـــــرف]],0)</f>
        <v>172.83950617283949</v>
      </c>
      <c r="N478" s="119">
        <f>IFERROR(TableDailyJournal[[#This Row],[المبلغ دائن]]/TableDailyJournal[[#This Row],[سعــــــر
الصـــــرف]],0)</f>
        <v>0</v>
      </c>
      <c r="O478" s="121" t="str">
        <f>INDEX(Tabledaily[المستفيــــــــد],MATCH(TableDailyJournal[[#This Row],[رقم العملية]],Tabledaily[رقم العملية],0))</f>
        <v>الامداد</v>
      </c>
      <c r="P478" s="121" t="str">
        <f>INDEX(Tabledaily[المــــرجـــــــــع],MATCH(TableDailyJournal[[#This Row],[رقم العملية]],Tabledaily[رقم العملية],0))</f>
        <v>كشف صرف</v>
      </c>
      <c r="Q478" s="121" t="str">
        <f>INDEX(Tabledaily[اســـــــم المــــرجــــع],MATCH(TableDailyJournal[[#This Row],[رقم العملية]],Tabledaily[رقم العملية],0))</f>
        <v>كشف صرف</v>
      </c>
      <c r="R478" s="121">
        <f>INDEX(Tabledaily[رقم المـــــرجـــع],MATCH(TableDailyJournal[[#This Row],[رقم العملية]],Tabledaily[رقم العملية],0))</f>
        <v>0</v>
      </c>
      <c r="S478" s="121" t="str">
        <f>INDEX(Tabledaily[مركـــــــزالتكلفــــــة],MATCH(TableDailyJournal[[#This Row],[رقم العملية]],Tabledaily[رقم العملية],0))</f>
        <v>الفرقة الثالثة</v>
      </c>
      <c r="T478" s="121">
        <f>IFERROR(INDEX(tablecost[رقم المركز],MATCH(TableDailyJournal[[#This Row],[مركـــــــزالتكلفــــــة]],tablecost[الاسم],0)),0)</f>
        <v>1</v>
      </c>
      <c r="U478" s="122">
        <f>IFERROR(DATE(TableDailyJournal[[#This Row],[السنــــة]],TableDailyJournal[[#This Row],[الشهــــر]],TableDailyJournal[[#This Row],[الـــــيوم]]),"01-01-2026")</f>
        <v>46189</v>
      </c>
      <c r="V478" s="126"/>
      <c r="W478" s="58"/>
      <c r="X478" s="58">
        <f>IFERROR(YEAR(TableDailyJournal[[#This Row],[التاريخ]]),"")</f>
        <v>2026</v>
      </c>
      <c r="Y478" s="58">
        <f>IFERROR(MONTH(TableDailyJournal[[#This Row],[التاريخ]]),"")</f>
        <v>6</v>
      </c>
      <c r="Z478" s="58">
        <f>IFERROR(DAY(TableDailyJournal[[#This Row],[التاريخ]]),"")</f>
        <v>16</v>
      </c>
      <c r="AA478"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478" s="121">
        <f>INDEX(Tabledaily[جهة الامر],MATCH(TableDailyJournal[[#This Row],[رقم العملية]],Tabledaily[رقم العملية],0))</f>
        <v>0</v>
      </c>
    </row>
    <row r="479" spans="2:28" ht="45.75" x14ac:dyDescent="0.55000000000000004">
      <c r="B479" s="58">
        <f t="shared" si="15"/>
        <v>475</v>
      </c>
      <c r="C479" s="59" t="s">
        <v>830</v>
      </c>
      <c r="D479" s="60">
        <f>INDEX(Tabledaily[date],MATCH(TableDailyJournal[[#This Row],[رقم العملية]],Tabledaily[رقم العملية],0))</f>
        <v>46189</v>
      </c>
      <c r="E479" s="58" t="str">
        <f>INDEX(Tabledaily[نوع العمليــة],MATCH(TableDailyJournal[[#This Row],[رقم العملية]],Tabledaily[رقم العملية],0))</f>
        <v>قيد عهده</v>
      </c>
      <c r="F479" s="58">
        <f>IFERROR(INDEX(TableJudje[رقم الحساب],MATCH(TableDailyJournal[[#This Row],[الحساب]],TableJudje[اسم الحساب],0)),0)</f>
        <v>11060205</v>
      </c>
      <c r="G479" s="58" t="s">
        <v>513</v>
      </c>
      <c r="H479"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479" s="60" t="str">
        <f>INDEX(Tabledaily[العملـــة],MATCH(TableDailyJournal[[#This Row],[رقم العملية]],Tabledaily[رقم العملية],0))</f>
        <v>ريال يمني</v>
      </c>
      <c r="J479" s="59">
        <f>IFERROR(INDEX(Tabledaily[سعــــــر
الصـــــرف],MATCH(C479,Tabledaily[رقم العملية],0)),1)</f>
        <v>405</v>
      </c>
      <c r="K479" s="123" cm="1">
        <f t="array" ref="K479">IFERROR(INDEX(Tabledaily[المبلـــــــغ],MATCH(1,(TableDailyJournal[[#This Row],[رقم العملية]]=Tabledaily[رقم العملية])*(TableDailyJournal[[#This Row],[الحساب]]=Tabledaily[الحســاب المديــــن]),0)),0)</f>
        <v>0</v>
      </c>
      <c r="L479" s="123" cm="1">
        <f t="array" ref="L479">IFERROR(INDEX(Tabledaily[المبلـــــــغ],MATCH(1,(TableDailyJournal[[#This Row],[رقم العملية]]=Tabledaily[رقم العملية])*(TableDailyJournal[[#This Row],[الحساب]]=Tabledaily[الحســاب الدئـــن]),0)),0)</f>
        <v>70000</v>
      </c>
      <c r="M479" s="119">
        <f>IFERROR(TableDailyJournal[[#This Row],[المبلغ مدين]]/TableDailyJournal[[#This Row],[سعــــــر
الصـــــرف]],0)</f>
        <v>0</v>
      </c>
      <c r="N479" s="119">
        <f>IFERROR(TableDailyJournal[[#This Row],[المبلغ دائن]]/TableDailyJournal[[#This Row],[سعــــــر
الصـــــرف]],0)</f>
        <v>172.83950617283949</v>
      </c>
      <c r="O479" s="121" t="str">
        <f>INDEX(Tabledaily[المستفيــــــــد],MATCH(TableDailyJournal[[#This Row],[رقم العملية]],Tabledaily[رقم العملية],0))</f>
        <v>الامداد</v>
      </c>
      <c r="P479" s="121" t="str">
        <f>INDEX(Tabledaily[المــــرجـــــــــع],MATCH(TableDailyJournal[[#This Row],[رقم العملية]],Tabledaily[رقم العملية],0))</f>
        <v>كشف صرف</v>
      </c>
      <c r="Q479" s="121" t="str">
        <f>INDEX(Tabledaily[اســـــــم المــــرجــــع],MATCH(TableDailyJournal[[#This Row],[رقم العملية]],Tabledaily[رقم العملية],0))</f>
        <v>كشف صرف</v>
      </c>
      <c r="R479" s="121">
        <f>INDEX(Tabledaily[رقم المـــــرجـــع],MATCH(TableDailyJournal[[#This Row],[رقم العملية]],Tabledaily[رقم العملية],0))</f>
        <v>0</v>
      </c>
      <c r="S479" s="121" t="str">
        <f>INDEX(Tabledaily[مركـــــــزالتكلفــــــة],MATCH(TableDailyJournal[[#This Row],[رقم العملية]],Tabledaily[رقم العملية],0))</f>
        <v>الفرقة الثالثة</v>
      </c>
      <c r="T479" s="121">
        <f>IFERROR(INDEX(tablecost[رقم المركز],MATCH(TableDailyJournal[[#This Row],[مركـــــــزالتكلفــــــة]],tablecost[الاسم],0)),0)</f>
        <v>1</v>
      </c>
      <c r="U479" s="122">
        <f>IFERROR(DATE(TableDailyJournal[[#This Row],[السنــــة]],TableDailyJournal[[#This Row],[الشهــــر]],TableDailyJournal[[#This Row],[الـــــيوم]]),"01-01-2026")</f>
        <v>46189</v>
      </c>
      <c r="V479" s="126"/>
      <c r="W479" s="58"/>
      <c r="X479" s="58">
        <f>IFERROR(YEAR(TableDailyJournal[[#This Row],[التاريخ]]),"")</f>
        <v>2026</v>
      </c>
      <c r="Y479" s="58">
        <f>IFERROR(MONTH(TableDailyJournal[[#This Row],[التاريخ]]),"")</f>
        <v>6</v>
      </c>
      <c r="Z479" s="58">
        <f>IFERROR(DAY(TableDailyJournal[[#This Row],[التاريخ]]),"")</f>
        <v>16</v>
      </c>
      <c r="AA479"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479" s="121">
        <f>INDEX(Tabledaily[جهة الامر],MATCH(TableDailyJournal[[#This Row],[رقم العملية]],Tabledaily[رقم العملية],0))</f>
        <v>0</v>
      </c>
    </row>
    <row r="480" spans="2:28" ht="45.75" x14ac:dyDescent="0.55000000000000004">
      <c r="B480" s="58">
        <f t="shared" si="15"/>
        <v>476</v>
      </c>
      <c r="C480" s="59" t="s">
        <v>832</v>
      </c>
      <c r="D480" s="60">
        <f>INDEX(Tabledaily[date],MATCH(TableDailyJournal[[#This Row],[رقم العملية]],Tabledaily[رقم العملية],0))</f>
        <v>46189</v>
      </c>
      <c r="E480" s="58" t="str">
        <f>INDEX(Tabledaily[نوع العمليــة],MATCH(TableDailyJournal[[#This Row],[رقم العملية]],Tabledaily[رقم العملية],0))</f>
        <v>قيد عهده</v>
      </c>
      <c r="F480" s="58">
        <f>IFERROR(INDEX(TableJudje[رقم الحساب],MATCH(TableDailyJournal[[#This Row],[الحساب]],TableJudje[اسم الحساب],0)),0)</f>
        <v>31010101</v>
      </c>
      <c r="G480" s="58" t="s">
        <v>111</v>
      </c>
      <c r="H480"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للبشرية والصراف عدد 1 بامر</v>
      </c>
      <c r="I480" s="60" t="str">
        <f>INDEX(Tabledaily[العملـــة],MATCH(TableDailyJournal[[#This Row],[رقم العملية]],Tabledaily[رقم العملية],0))</f>
        <v>ريال يمني</v>
      </c>
      <c r="J480" s="59">
        <f>IFERROR(INDEX(Tabledaily[سعــــــر
الصـــــرف],MATCH(C480,Tabledaily[رقم العملية],0)),1)</f>
        <v>405</v>
      </c>
      <c r="K480" s="123" cm="1">
        <f t="array" ref="K480">IFERROR(INDEX(Tabledaily[المبلـــــــغ],MATCH(1,(TableDailyJournal[[#This Row],[رقم العملية]]=Tabledaily[رقم العملية])*(TableDailyJournal[[#This Row],[الحساب]]=Tabledaily[الحســاب المديــــن]),0)),0)</f>
        <v>15000</v>
      </c>
      <c r="L480" s="123" cm="1">
        <f t="array" ref="L480">IFERROR(INDEX(Tabledaily[المبلـــــــغ],MATCH(1,(TableDailyJournal[[#This Row],[رقم العملية]]=Tabledaily[رقم العملية])*(TableDailyJournal[[#This Row],[الحساب]]=Tabledaily[الحســاب الدئـــن]),0)),0)</f>
        <v>0</v>
      </c>
      <c r="M480" s="119">
        <f>IFERROR(TableDailyJournal[[#This Row],[المبلغ مدين]]/TableDailyJournal[[#This Row],[سعــــــر
الصـــــرف]],0)</f>
        <v>37.037037037037038</v>
      </c>
      <c r="N480" s="119">
        <f>IFERROR(TableDailyJournal[[#This Row],[المبلغ دائن]]/TableDailyJournal[[#This Row],[سعــــــر
الصـــــرف]],0)</f>
        <v>0</v>
      </c>
      <c r="O480" s="121" t="str">
        <f>INDEX(Tabledaily[المستفيــــــــد],MATCH(TableDailyJournal[[#This Row],[رقم العملية]],Tabledaily[رقم العملية],0))</f>
        <v>البشرية و الصراف</v>
      </c>
      <c r="P480" s="121" t="str">
        <f>INDEX(Tabledaily[المــــرجـــــــــع],MATCH(TableDailyJournal[[#This Row],[رقم العملية]],Tabledaily[رقم العملية],0))</f>
        <v>كشف صرف</v>
      </c>
      <c r="Q480" s="121" t="str">
        <f>INDEX(Tabledaily[اســـــــم المــــرجــــع],MATCH(TableDailyJournal[[#This Row],[رقم العملية]],Tabledaily[رقم العملية],0))</f>
        <v>كشف صرف</v>
      </c>
      <c r="R480" s="121">
        <f>INDEX(Tabledaily[رقم المـــــرجـــع],MATCH(TableDailyJournal[[#This Row],[رقم العملية]],Tabledaily[رقم العملية],0))</f>
        <v>0</v>
      </c>
      <c r="S480" s="121" t="str">
        <f>INDEX(Tabledaily[مركـــــــزالتكلفــــــة],MATCH(TableDailyJournal[[#This Row],[رقم العملية]],Tabledaily[رقم العملية],0))</f>
        <v>الفرقة الثالثة</v>
      </c>
      <c r="T480" s="121">
        <f>IFERROR(INDEX(tablecost[رقم المركز],MATCH(TableDailyJournal[[#This Row],[مركـــــــزالتكلفــــــة]],tablecost[الاسم],0)),0)</f>
        <v>1</v>
      </c>
      <c r="U480" s="122">
        <f>IFERROR(DATE(TableDailyJournal[[#This Row],[السنــــة]],TableDailyJournal[[#This Row],[الشهــــر]],TableDailyJournal[[#This Row],[الـــــيوم]]),"01-01-2026")</f>
        <v>46189</v>
      </c>
      <c r="V480" s="126"/>
      <c r="W480" s="58"/>
      <c r="X480" s="58">
        <f>IFERROR(YEAR(TableDailyJournal[[#This Row],[التاريخ]]),"")</f>
        <v>2026</v>
      </c>
      <c r="Y480" s="58">
        <f>IFERROR(MONTH(TableDailyJournal[[#This Row],[التاريخ]]),"")</f>
        <v>6</v>
      </c>
      <c r="Z480" s="58">
        <f>IFERROR(DAY(TableDailyJournal[[#This Row],[التاريخ]]),"")</f>
        <v>16</v>
      </c>
      <c r="AA480"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للبشرية والصراف عدد 1 بامر</v>
      </c>
      <c r="AB480" s="121">
        <f>INDEX(Tabledaily[جهة الامر],MATCH(TableDailyJournal[[#This Row],[رقم العملية]],Tabledaily[رقم العملية],0))</f>
        <v>0</v>
      </c>
    </row>
    <row r="481" spans="2:28" ht="45.75" x14ac:dyDescent="0.55000000000000004">
      <c r="B481" s="58">
        <f t="shared" si="15"/>
        <v>477</v>
      </c>
      <c r="C481" s="59" t="s">
        <v>832</v>
      </c>
      <c r="D481" s="60">
        <f>INDEX(Tabledaily[date],MATCH(TableDailyJournal[[#This Row],[رقم العملية]],Tabledaily[رقم العملية],0))</f>
        <v>46189</v>
      </c>
      <c r="E481" s="58" t="str">
        <f>INDEX(Tabledaily[نوع العمليــة],MATCH(TableDailyJournal[[#This Row],[رقم العملية]],Tabledaily[رقم العملية],0))</f>
        <v>قيد عهده</v>
      </c>
      <c r="F481" s="58">
        <f>IFERROR(INDEX(TableJudje[رقم الحساب],MATCH(TableDailyJournal[[#This Row],[الحساب]],TableJudje[اسم الحساب],0)),0)</f>
        <v>11060205</v>
      </c>
      <c r="G481" s="58" t="s">
        <v>513</v>
      </c>
      <c r="H481" s="61"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للبشرية والصراف عدد 1 بامر</v>
      </c>
      <c r="I481" s="60" t="str">
        <f>INDEX(Tabledaily[العملـــة],MATCH(TableDailyJournal[[#This Row],[رقم العملية]],Tabledaily[رقم العملية],0))</f>
        <v>ريال يمني</v>
      </c>
      <c r="J481" s="59">
        <f>IFERROR(INDEX(Tabledaily[سعــــــر
الصـــــرف],MATCH(C481,Tabledaily[رقم العملية],0)),1)</f>
        <v>405</v>
      </c>
      <c r="K481" s="123" cm="1">
        <f t="array" ref="K481">IFERROR(INDEX(Tabledaily[المبلـــــــغ],MATCH(1,(TableDailyJournal[[#This Row],[رقم العملية]]=Tabledaily[رقم العملية])*(TableDailyJournal[[#This Row],[الحساب]]=Tabledaily[الحســاب المديــــن]),0)),0)</f>
        <v>0</v>
      </c>
      <c r="L481" s="123" cm="1">
        <f t="array" ref="L481">IFERROR(INDEX(Tabledaily[المبلـــــــغ],MATCH(1,(TableDailyJournal[[#This Row],[رقم العملية]]=Tabledaily[رقم العملية])*(TableDailyJournal[[#This Row],[الحساب]]=Tabledaily[الحســاب الدئـــن]),0)),0)</f>
        <v>15000</v>
      </c>
      <c r="M481" s="119">
        <f>IFERROR(TableDailyJournal[[#This Row],[المبلغ مدين]]/TableDailyJournal[[#This Row],[سعــــــر
الصـــــرف]],0)</f>
        <v>0</v>
      </c>
      <c r="N481" s="119">
        <f>IFERROR(TableDailyJournal[[#This Row],[المبلغ دائن]]/TableDailyJournal[[#This Row],[سعــــــر
الصـــــرف]],0)</f>
        <v>37.037037037037038</v>
      </c>
      <c r="O481" s="121" t="str">
        <f>INDEX(Tabledaily[المستفيــــــــد],MATCH(TableDailyJournal[[#This Row],[رقم العملية]],Tabledaily[رقم العملية],0))</f>
        <v>البشرية و الصراف</v>
      </c>
      <c r="P481" s="121" t="str">
        <f>INDEX(Tabledaily[المــــرجـــــــــع],MATCH(TableDailyJournal[[#This Row],[رقم العملية]],Tabledaily[رقم العملية],0))</f>
        <v>كشف صرف</v>
      </c>
      <c r="Q481" s="121" t="str">
        <f>INDEX(Tabledaily[اســـــــم المــــرجــــع],MATCH(TableDailyJournal[[#This Row],[رقم العملية]],Tabledaily[رقم العملية],0))</f>
        <v>كشف صرف</v>
      </c>
      <c r="R481" s="121">
        <f>INDEX(Tabledaily[رقم المـــــرجـــع],MATCH(TableDailyJournal[[#This Row],[رقم العملية]],Tabledaily[رقم العملية],0))</f>
        <v>0</v>
      </c>
      <c r="S481" s="121" t="str">
        <f>INDEX(Tabledaily[مركـــــــزالتكلفــــــة],MATCH(TableDailyJournal[[#This Row],[رقم العملية]],Tabledaily[رقم العملية],0))</f>
        <v>الفرقة الثالثة</v>
      </c>
      <c r="T481" s="121">
        <f>IFERROR(INDEX(tablecost[رقم المركز],MATCH(TableDailyJournal[[#This Row],[مركـــــــزالتكلفــــــة]],tablecost[الاسم],0)),0)</f>
        <v>1</v>
      </c>
      <c r="U481" s="122">
        <f>IFERROR(DATE(TableDailyJournal[[#This Row],[السنــــة]],TableDailyJournal[[#This Row],[الشهــــر]],TableDailyJournal[[#This Row],[الـــــيوم]]),"01-01-2026")</f>
        <v>46189</v>
      </c>
      <c r="V481" s="126"/>
      <c r="W481" s="58"/>
      <c r="X481" s="58">
        <f>IFERROR(YEAR(TableDailyJournal[[#This Row],[التاريخ]]),"")</f>
        <v>2026</v>
      </c>
      <c r="Y481" s="58">
        <f>IFERROR(MONTH(TableDailyJournal[[#This Row],[التاريخ]]),"")</f>
        <v>6</v>
      </c>
      <c r="Z481" s="58">
        <f>IFERROR(DAY(TableDailyJournal[[#This Row],[التاريخ]]),"")</f>
        <v>16</v>
      </c>
      <c r="AA481" s="126" t="str">
        <f>INDEX(Tabledaily[المرجع البياني],MATCH(TableDailyJournal[[#This Row],[رقم العملية]],Tabledaily[رقم العملية],0))</f>
        <v>قيـد مقابـل:- (مصاريف  صرفة يومية للافراد  - البشرية و الصراف - الفرقة الثالثة)  - كشف صرف رقم   كشف صرف - صرف الصرفة اليومية  للبشرية والصراف عدد 1 بامر</v>
      </c>
      <c r="AB481" s="121">
        <f>INDEX(Tabledaily[جهة الامر],MATCH(TableDailyJournal[[#This Row],[رقم العملية]],Tabledaily[رقم العملية],0))</f>
        <v>0</v>
      </c>
    </row>
    <row r="482" spans="2:28" ht="45.75" x14ac:dyDescent="0.55000000000000004">
      <c r="B482" s="58">
        <f t="shared" si="15"/>
        <v>478</v>
      </c>
      <c r="C482" s="59" t="s">
        <v>834</v>
      </c>
      <c r="D482" s="60">
        <f>INDEX(Tabledaily[date],MATCH(TableDailyJournal[[#This Row],[رقم العملية]],Tabledaily[رقم العملية],0))</f>
        <v>46189</v>
      </c>
      <c r="E482" s="58" t="str">
        <f>INDEX(Tabledaily[نوع العمليــة],MATCH(TableDailyJournal[[#This Row],[رقم العملية]],Tabledaily[رقم العملية],0))</f>
        <v>قيد عهده</v>
      </c>
      <c r="F482" s="58">
        <f>IFERROR(INDEX(TableJudje[رقم الحساب],MATCH(TableDailyJournal[[#This Row],[الحساب]],TableJudje[اسم الحساب],0)),0)</f>
        <v>31010101</v>
      </c>
      <c r="G482" s="58" t="s">
        <v>111</v>
      </c>
      <c r="H482" s="61" t="str">
        <f>INDEX(Tabledaily[المرجع البياني],MATCH(TableDailyJournal[[#This Row],[رقم العملية]],Tabledaily[رقم العملية],0))</f>
        <v>قيـد مقابـل:- (مصاريف  صرفة يومية للافراد  - الاستخبارات - الفرقة الثالثة)  -  رقم    - صرف الصرفة اليومية  الاستخبارات لعدد 7 بامر</v>
      </c>
      <c r="I482" s="60" t="str">
        <f>INDEX(Tabledaily[العملـــة],MATCH(TableDailyJournal[[#This Row],[رقم العملية]],Tabledaily[رقم العملية],0))</f>
        <v>ريال يمني</v>
      </c>
      <c r="J482" s="59">
        <f>IFERROR(INDEX(Tabledaily[سعــــــر
الصـــــرف],MATCH(C482,Tabledaily[رقم العملية],0)),1)</f>
        <v>405</v>
      </c>
      <c r="K482" s="123" cm="1">
        <f t="array" ref="K482">IFERROR(INDEX(Tabledaily[المبلـــــــغ],MATCH(1,(TableDailyJournal[[#This Row],[رقم العملية]]=Tabledaily[رقم العملية])*(TableDailyJournal[[#This Row],[الحساب]]=Tabledaily[الحســاب المديــــن]),0)),0)</f>
        <v>110000</v>
      </c>
      <c r="L482" s="123" cm="1">
        <f t="array" ref="L482">IFERROR(INDEX(Tabledaily[المبلـــــــغ],MATCH(1,(TableDailyJournal[[#This Row],[رقم العملية]]=Tabledaily[رقم العملية])*(TableDailyJournal[[#This Row],[الحساب]]=Tabledaily[الحســاب الدئـــن]),0)),0)</f>
        <v>0</v>
      </c>
      <c r="M482" s="119">
        <f>IFERROR(TableDailyJournal[[#This Row],[المبلغ مدين]]/TableDailyJournal[[#This Row],[سعــــــر
الصـــــرف]],0)</f>
        <v>271.60493827160496</v>
      </c>
      <c r="N482" s="119">
        <f>IFERROR(TableDailyJournal[[#This Row],[المبلغ دائن]]/TableDailyJournal[[#This Row],[سعــــــر
الصـــــرف]],0)</f>
        <v>0</v>
      </c>
      <c r="O482" s="121" t="str">
        <f>INDEX(Tabledaily[المستفيــــــــد],MATCH(TableDailyJournal[[#This Row],[رقم العملية]],Tabledaily[رقم العملية],0))</f>
        <v>الاستخبارات</v>
      </c>
      <c r="P482" s="121">
        <f>INDEX(Tabledaily[المــــرجـــــــــع],MATCH(TableDailyJournal[[#This Row],[رقم العملية]],Tabledaily[رقم العملية],0))</f>
        <v>0</v>
      </c>
      <c r="Q482" s="121">
        <f>INDEX(Tabledaily[اســـــــم المــــرجــــع],MATCH(TableDailyJournal[[#This Row],[رقم العملية]],Tabledaily[رقم العملية],0))</f>
        <v>0</v>
      </c>
      <c r="R482" s="121">
        <f>INDEX(Tabledaily[رقم المـــــرجـــع],MATCH(TableDailyJournal[[#This Row],[رقم العملية]],Tabledaily[رقم العملية],0))</f>
        <v>0</v>
      </c>
      <c r="S482" s="121" t="str">
        <f>INDEX(Tabledaily[مركـــــــزالتكلفــــــة],MATCH(TableDailyJournal[[#This Row],[رقم العملية]],Tabledaily[رقم العملية],0))</f>
        <v>الفرقة الثالثة</v>
      </c>
      <c r="T482" s="121">
        <f>IFERROR(INDEX(tablecost[رقم المركز],MATCH(TableDailyJournal[[#This Row],[مركـــــــزالتكلفــــــة]],tablecost[الاسم],0)),0)</f>
        <v>1</v>
      </c>
      <c r="U482" s="122">
        <f>IFERROR(DATE(TableDailyJournal[[#This Row],[السنــــة]],TableDailyJournal[[#This Row],[الشهــــر]],TableDailyJournal[[#This Row],[الـــــيوم]]),"01-01-2026")</f>
        <v>46189</v>
      </c>
      <c r="V482" s="126"/>
      <c r="W482" s="58"/>
      <c r="X482" s="58">
        <f>IFERROR(YEAR(TableDailyJournal[[#This Row],[التاريخ]]),"")</f>
        <v>2026</v>
      </c>
      <c r="Y482" s="58">
        <f>IFERROR(MONTH(TableDailyJournal[[#This Row],[التاريخ]]),"")</f>
        <v>6</v>
      </c>
      <c r="Z482" s="58">
        <f>IFERROR(DAY(TableDailyJournal[[#This Row],[التاريخ]]),"")</f>
        <v>16</v>
      </c>
      <c r="AA482" s="126" t="str">
        <f>INDEX(Tabledaily[المرجع البياني],MATCH(TableDailyJournal[[#This Row],[رقم العملية]],Tabledaily[رقم العملية],0))</f>
        <v>قيـد مقابـل:- (مصاريف  صرفة يومية للافراد  - الاستخبارات - الفرقة الثالثة)  -  رقم    - صرف الصرفة اليومية  الاستخبارات لعدد 7 بامر</v>
      </c>
      <c r="AB482" s="121">
        <f>INDEX(Tabledaily[جهة الامر],MATCH(TableDailyJournal[[#This Row],[رقم العملية]],Tabledaily[رقم العملية],0))</f>
        <v>0</v>
      </c>
    </row>
    <row r="483" spans="2:28" ht="45.75" x14ac:dyDescent="0.55000000000000004">
      <c r="B483" s="58">
        <f t="shared" si="15"/>
        <v>479</v>
      </c>
      <c r="C483" s="59" t="s">
        <v>834</v>
      </c>
      <c r="D483" s="60">
        <f>INDEX(Tabledaily[date],MATCH(TableDailyJournal[[#This Row],[رقم العملية]],Tabledaily[رقم العملية],0))</f>
        <v>46189</v>
      </c>
      <c r="E483" s="58" t="str">
        <f>INDEX(Tabledaily[نوع العمليــة],MATCH(TableDailyJournal[[#This Row],[رقم العملية]],Tabledaily[رقم العملية],0))</f>
        <v>قيد عهده</v>
      </c>
      <c r="F483" s="58">
        <f>IFERROR(INDEX(TableJudje[رقم الحساب],MATCH(TableDailyJournal[[#This Row],[الحساب]],TableJudje[اسم الحساب],0)),0)</f>
        <v>11060205</v>
      </c>
      <c r="G483" s="58" t="s">
        <v>513</v>
      </c>
      <c r="H483" s="61" t="str">
        <f>INDEX(Tabledaily[المرجع البياني],MATCH(TableDailyJournal[[#This Row],[رقم العملية]],Tabledaily[رقم العملية],0))</f>
        <v>قيـد مقابـل:- (مصاريف  صرفة يومية للافراد  - الاستخبارات - الفرقة الثالثة)  -  رقم    - صرف الصرفة اليومية  الاستخبارات لعدد 7 بامر</v>
      </c>
      <c r="I483" s="60" t="str">
        <f>INDEX(Tabledaily[العملـــة],MATCH(TableDailyJournal[[#This Row],[رقم العملية]],Tabledaily[رقم العملية],0))</f>
        <v>ريال يمني</v>
      </c>
      <c r="J483" s="59">
        <f>IFERROR(INDEX(Tabledaily[سعــــــر
الصـــــرف],MATCH(C483,Tabledaily[رقم العملية],0)),1)</f>
        <v>405</v>
      </c>
      <c r="K483" s="123" cm="1">
        <f t="array" ref="K483">IFERROR(INDEX(Tabledaily[المبلـــــــغ],MATCH(1,(TableDailyJournal[[#This Row],[رقم العملية]]=Tabledaily[رقم العملية])*(TableDailyJournal[[#This Row],[الحساب]]=Tabledaily[الحســاب المديــــن]),0)),0)</f>
        <v>0</v>
      </c>
      <c r="L483" s="123" cm="1">
        <f t="array" ref="L483">IFERROR(INDEX(Tabledaily[المبلـــــــغ],MATCH(1,(TableDailyJournal[[#This Row],[رقم العملية]]=Tabledaily[رقم العملية])*(TableDailyJournal[[#This Row],[الحساب]]=Tabledaily[الحســاب الدئـــن]),0)),0)</f>
        <v>110000</v>
      </c>
      <c r="M483" s="119">
        <f>IFERROR(TableDailyJournal[[#This Row],[المبلغ مدين]]/TableDailyJournal[[#This Row],[سعــــــر
الصـــــرف]],0)</f>
        <v>0</v>
      </c>
      <c r="N483" s="119">
        <f>IFERROR(TableDailyJournal[[#This Row],[المبلغ دائن]]/TableDailyJournal[[#This Row],[سعــــــر
الصـــــرف]],0)</f>
        <v>271.60493827160496</v>
      </c>
      <c r="O483" s="121" t="str">
        <f>INDEX(Tabledaily[المستفيــــــــد],MATCH(TableDailyJournal[[#This Row],[رقم العملية]],Tabledaily[رقم العملية],0))</f>
        <v>الاستخبارات</v>
      </c>
      <c r="P483" s="121">
        <f>INDEX(Tabledaily[المــــرجـــــــــع],MATCH(TableDailyJournal[[#This Row],[رقم العملية]],Tabledaily[رقم العملية],0))</f>
        <v>0</v>
      </c>
      <c r="Q483" s="121">
        <f>INDEX(Tabledaily[اســـــــم المــــرجــــع],MATCH(TableDailyJournal[[#This Row],[رقم العملية]],Tabledaily[رقم العملية],0))</f>
        <v>0</v>
      </c>
      <c r="R483" s="121">
        <f>INDEX(Tabledaily[رقم المـــــرجـــع],MATCH(TableDailyJournal[[#This Row],[رقم العملية]],Tabledaily[رقم العملية],0))</f>
        <v>0</v>
      </c>
      <c r="S483" s="121" t="str">
        <f>INDEX(Tabledaily[مركـــــــزالتكلفــــــة],MATCH(TableDailyJournal[[#This Row],[رقم العملية]],Tabledaily[رقم العملية],0))</f>
        <v>الفرقة الثالثة</v>
      </c>
      <c r="T483" s="121">
        <f>IFERROR(INDEX(tablecost[رقم المركز],MATCH(TableDailyJournal[[#This Row],[مركـــــــزالتكلفــــــة]],tablecost[الاسم],0)),0)</f>
        <v>1</v>
      </c>
      <c r="U483" s="122">
        <f>IFERROR(DATE(TableDailyJournal[[#This Row],[السنــــة]],TableDailyJournal[[#This Row],[الشهــــر]],TableDailyJournal[[#This Row],[الـــــيوم]]),"01-01-2026")</f>
        <v>46189</v>
      </c>
      <c r="V483" s="126"/>
      <c r="W483" s="58"/>
      <c r="X483" s="58">
        <f>IFERROR(YEAR(TableDailyJournal[[#This Row],[التاريخ]]),"")</f>
        <v>2026</v>
      </c>
      <c r="Y483" s="58">
        <f>IFERROR(MONTH(TableDailyJournal[[#This Row],[التاريخ]]),"")</f>
        <v>6</v>
      </c>
      <c r="Z483" s="58">
        <f>IFERROR(DAY(TableDailyJournal[[#This Row],[التاريخ]]),"")</f>
        <v>16</v>
      </c>
      <c r="AA483" s="126" t="str">
        <f>INDEX(Tabledaily[المرجع البياني],MATCH(TableDailyJournal[[#This Row],[رقم العملية]],Tabledaily[رقم العملية],0))</f>
        <v>قيـد مقابـل:- (مصاريف  صرفة يومية للافراد  - الاستخبارات - الفرقة الثالثة)  -  رقم    - صرف الصرفة اليومية  الاستخبارات لعدد 7 بامر</v>
      </c>
      <c r="AB483" s="121">
        <f>INDEX(Tabledaily[جهة الامر],MATCH(TableDailyJournal[[#This Row],[رقم العملية]],Tabledaily[رقم العملية],0))</f>
        <v>0</v>
      </c>
    </row>
    <row r="484" spans="2:28" ht="45.75" x14ac:dyDescent="0.55000000000000004">
      <c r="B484" s="58">
        <f t="shared" si="15"/>
        <v>480</v>
      </c>
      <c r="C484" s="59" t="s">
        <v>836</v>
      </c>
      <c r="D484" s="60">
        <f>INDEX(Tabledaily[date],MATCH(TableDailyJournal[[#This Row],[رقم العملية]],Tabledaily[رقم العملية],0))</f>
        <v>46189</v>
      </c>
      <c r="E484" s="58" t="str">
        <f>INDEX(Tabledaily[نوع العمليــة],MATCH(TableDailyJournal[[#This Row],[رقم العملية]],Tabledaily[رقم العملية],0))</f>
        <v>قيد عهده</v>
      </c>
      <c r="F484" s="58">
        <f>IFERROR(INDEX(TableJudje[رقم الحساب],MATCH(TableDailyJournal[[#This Row],[الحساب]],TableJudje[اسم الحساب],0)),0)</f>
        <v>31010101</v>
      </c>
      <c r="G484" s="58" t="s">
        <v>111</v>
      </c>
      <c r="H484" s="61" t="str">
        <f>INDEX(Tabledaily[المرجع البياني],MATCH(TableDailyJournal[[#This Row],[رقم العملية]],Tabledaily[رقم العملية],0))</f>
        <v>قيـد مقابـل:- (مصاريف  صرفة يومية للافراد  - المدفعية - الفرقة الثالثة)  -  رقم    - صرف الصرفة اليومية للمدفعية لعدد 3 بامر</v>
      </c>
      <c r="I484" s="60" t="str">
        <f>INDEX(Tabledaily[العملـــة],MATCH(TableDailyJournal[[#This Row],[رقم العملية]],Tabledaily[رقم العملية],0))</f>
        <v>ريال يمني</v>
      </c>
      <c r="J484" s="59">
        <f>IFERROR(INDEX(Tabledaily[سعــــــر
الصـــــرف],MATCH(C484,Tabledaily[رقم العملية],0)),1)</f>
        <v>405</v>
      </c>
      <c r="K484" s="123" cm="1">
        <f t="array" ref="K484">IFERROR(INDEX(Tabledaily[المبلـــــــغ],MATCH(1,(TableDailyJournal[[#This Row],[رقم العملية]]=Tabledaily[رقم العملية])*(TableDailyJournal[[#This Row],[الحساب]]=Tabledaily[الحســاب المديــــن]),0)),0)</f>
        <v>25000</v>
      </c>
      <c r="L484" s="123" cm="1">
        <f t="array" ref="L484">IFERROR(INDEX(Tabledaily[المبلـــــــغ],MATCH(1,(TableDailyJournal[[#This Row],[رقم العملية]]=Tabledaily[رقم العملية])*(TableDailyJournal[[#This Row],[الحساب]]=Tabledaily[الحســاب الدئـــن]),0)),0)</f>
        <v>0</v>
      </c>
      <c r="M484" s="119">
        <f>IFERROR(TableDailyJournal[[#This Row],[المبلغ مدين]]/TableDailyJournal[[#This Row],[سعــــــر
الصـــــرف]],0)</f>
        <v>61.728395061728392</v>
      </c>
      <c r="N484" s="119">
        <f>IFERROR(TableDailyJournal[[#This Row],[المبلغ دائن]]/TableDailyJournal[[#This Row],[سعــــــر
الصـــــرف]],0)</f>
        <v>0</v>
      </c>
      <c r="O484" s="121" t="str">
        <f>INDEX(Tabledaily[المستفيــــــــد],MATCH(TableDailyJournal[[#This Row],[رقم العملية]],Tabledaily[رقم العملية],0))</f>
        <v>المدفعية</v>
      </c>
      <c r="P484" s="121">
        <f>INDEX(Tabledaily[المــــرجـــــــــع],MATCH(TableDailyJournal[[#This Row],[رقم العملية]],Tabledaily[رقم العملية],0))</f>
        <v>0</v>
      </c>
      <c r="Q484" s="121">
        <f>INDEX(Tabledaily[اســـــــم المــــرجــــع],MATCH(TableDailyJournal[[#This Row],[رقم العملية]],Tabledaily[رقم العملية],0))</f>
        <v>0</v>
      </c>
      <c r="R484" s="121">
        <f>INDEX(Tabledaily[رقم المـــــرجـــع],MATCH(TableDailyJournal[[#This Row],[رقم العملية]],Tabledaily[رقم العملية],0))</f>
        <v>0</v>
      </c>
      <c r="S484" s="121" t="str">
        <f>INDEX(Tabledaily[مركـــــــزالتكلفــــــة],MATCH(TableDailyJournal[[#This Row],[رقم العملية]],Tabledaily[رقم العملية],0))</f>
        <v>الفرقة الثالثة</v>
      </c>
      <c r="T484" s="121">
        <f>IFERROR(INDEX(tablecost[رقم المركز],MATCH(TableDailyJournal[[#This Row],[مركـــــــزالتكلفــــــة]],tablecost[الاسم],0)),0)</f>
        <v>1</v>
      </c>
      <c r="U484" s="122">
        <f>IFERROR(DATE(TableDailyJournal[[#This Row],[السنــــة]],TableDailyJournal[[#This Row],[الشهــــر]],TableDailyJournal[[#This Row],[الـــــيوم]]),"01-01-2026")</f>
        <v>46189</v>
      </c>
      <c r="V484" s="126"/>
      <c r="W484" s="58"/>
      <c r="X484" s="58">
        <f>IFERROR(YEAR(TableDailyJournal[[#This Row],[التاريخ]]),"")</f>
        <v>2026</v>
      </c>
      <c r="Y484" s="58">
        <f>IFERROR(MONTH(TableDailyJournal[[#This Row],[التاريخ]]),"")</f>
        <v>6</v>
      </c>
      <c r="Z484" s="58">
        <f>IFERROR(DAY(TableDailyJournal[[#This Row],[التاريخ]]),"")</f>
        <v>16</v>
      </c>
      <c r="AA484" s="126" t="str">
        <f>INDEX(Tabledaily[المرجع البياني],MATCH(TableDailyJournal[[#This Row],[رقم العملية]],Tabledaily[رقم العملية],0))</f>
        <v>قيـد مقابـل:- (مصاريف  صرفة يومية للافراد  - المدفعية - الفرقة الثالثة)  -  رقم    - صرف الصرفة اليومية للمدفعية لعدد 3 بامر</v>
      </c>
      <c r="AB484" s="121">
        <f>INDEX(Tabledaily[جهة الامر],MATCH(TableDailyJournal[[#This Row],[رقم العملية]],Tabledaily[رقم العملية],0))</f>
        <v>0</v>
      </c>
    </row>
    <row r="485" spans="2:28" ht="45.75" x14ac:dyDescent="0.55000000000000004">
      <c r="B485" s="58">
        <f t="shared" si="15"/>
        <v>481</v>
      </c>
      <c r="C485" s="59" t="s">
        <v>836</v>
      </c>
      <c r="D485" s="60">
        <f>INDEX(Tabledaily[date],MATCH(TableDailyJournal[[#This Row],[رقم العملية]],Tabledaily[رقم العملية],0))</f>
        <v>46189</v>
      </c>
      <c r="E485" s="58" t="str">
        <f>INDEX(Tabledaily[نوع العمليــة],MATCH(TableDailyJournal[[#This Row],[رقم العملية]],Tabledaily[رقم العملية],0))</f>
        <v>قيد عهده</v>
      </c>
      <c r="F485" s="58">
        <f>IFERROR(INDEX(TableJudje[رقم الحساب],MATCH(TableDailyJournal[[#This Row],[الحساب]],TableJudje[اسم الحساب],0)),0)</f>
        <v>11060205</v>
      </c>
      <c r="G485" s="58" t="s">
        <v>513</v>
      </c>
      <c r="H485" s="61" t="str">
        <f>INDEX(Tabledaily[المرجع البياني],MATCH(TableDailyJournal[[#This Row],[رقم العملية]],Tabledaily[رقم العملية],0))</f>
        <v>قيـد مقابـل:- (مصاريف  صرفة يومية للافراد  - المدفعية - الفرقة الثالثة)  -  رقم    - صرف الصرفة اليومية للمدفعية لعدد 3 بامر</v>
      </c>
      <c r="I485" s="60" t="str">
        <f>INDEX(Tabledaily[العملـــة],MATCH(TableDailyJournal[[#This Row],[رقم العملية]],Tabledaily[رقم العملية],0))</f>
        <v>ريال يمني</v>
      </c>
      <c r="J485" s="59">
        <f>IFERROR(INDEX(Tabledaily[سعــــــر
الصـــــرف],MATCH(C485,Tabledaily[رقم العملية],0)),1)</f>
        <v>405</v>
      </c>
      <c r="K485" s="123" cm="1">
        <f t="array" ref="K485">IFERROR(INDEX(Tabledaily[المبلـــــــغ],MATCH(1,(TableDailyJournal[[#This Row],[رقم العملية]]=Tabledaily[رقم العملية])*(TableDailyJournal[[#This Row],[الحساب]]=Tabledaily[الحســاب المديــــن]),0)),0)</f>
        <v>0</v>
      </c>
      <c r="L485" s="123" cm="1">
        <f t="array" ref="L485">IFERROR(INDEX(Tabledaily[المبلـــــــغ],MATCH(1,(TableDailyJournal[[#This Row],[رقم العملية]]=Tabledaily[رقم العملية])*(TableDailyJournal[[#This Row],[الحساب]]=Tabledaily[الحســاب الدئـــن]),0)),0)</f>
        <v>25000</v>
      </c>
      <c r="M485" s="119">
        <f>IFERROR(TableDailyJournal[[#This Row],[المبلغ مدين]]/TableDailyJournal[[#This Row],[سعــــــر
الصـــــرف]],0)</f>
        <v>0</v>
      </c>
      <c r="N485" s="119">
        <f>IFERROR(TableDailyJournal[[#This Row],[المبلغ دائن]]/TableDailyJournal[[#This Row],[سعــــــر
الصـــــرف]],0)</f>
        <v>61.728395061728392</v>
      </c>
      <c r="O485" s="121" t="str">
        <f>INDEX(Tabledaily[المستفيــــــــد],MATCH(TableDailyJournal[[#This Row],[رقم العملية]],Tabledaily[رقم العملية],0))</f>
        <v>المدفعية</v>
      </c>
      <c r="P485" s="121">
        <f>INDEX(Tabledaily[المــــرجـــــــــع],MATCH(TableDailyJournal[[#This Row],[رقم العملية]],Tabledaily[رقم العملية],0))</f>
        <v>0</v>
      </c>
      <c r="Q485" s="121">
        <f>INDEX(Tabledaily[اســـــــم المــــرجــــع],MATCH(TableDailyJournal[[#This Row],[رقم العملية]],Tabledaily[رقم العملية],0))</f>
        <v>0</v>
      </c>
      <c r="R485" s="121">
        <f>INDEX(Tabledaily[رقم المـــــرجـــع],MATCH(TableDailyJournal[[#This Row],[رقم العملية]],Tabledaily[رقم العملية],0))</f>
        <v>0</v>
      </c>
      <c r="S485" s="121" t="str">
        <f>INDEX(Tabledaily[مركـــــــزالتكلفــــــة],MATCH(TableDailyJournal[[#This Row],[رقم العملية]],Tabledaily[رقم العملية],0))</f>
        <v>الفرقة الثالثة</v>
      </c>
      <c r="T485" s="121">
        <f>IFERROR(INDEX(tablecost[رقم المركز],MATCH(TableDailyJournal[[#This Row],[مركـــــــزالتكلفــــــة]],tablecost[الاسم],0)),0)</f>
        <v>1</v>
      </c>
      <c r="U485" s="122">
        <f>IFERROR(DATE(TableDailyJournal[[#This Row],[السنــــة]],TableDailyJournal[[#This Row],[الشهــــر]],TableDailyJournal[[#This Row],[الـــــيوم]]),"01-01-2026")</f>
        <v>46189</v>
      </c>
      <c r="V485" s="126"/>
      <c r="W485" s="58"/>
      <c r="X485" s="58">
        <f>IFERROR(YEAR(TableDailyJournal[[#This Row],[التاريخ]]),"")</f>
        <v>2026</v>
      </c>
      <c r="Y485" s="58">
        <f>IFERROR(MONTH(TableDailyJournal[[#This Row],[التاريخ]]),"")</f>
        <v>6</v>
      </c>
      <c r="Z485" s="58">
        <f>IFERROR(DAY(TableDailyJournal[[#This Row],[التاريخ]]),"")</f>
        <v>16</v>
      </c>
      <c r="AA485" s="126" t="str">
        <f>INDEX(Tabledaily[المرجع البياني],MATCH(TableDailyJournal[[#This Row],[رقم العملية]],Tabledaily[رقم العملية],0))</f>
        <v>قيـد مقابـل:- (مصاريف  صرفة يومية للافراد  - المدفعية - الفرقة الثالثة)  -  رقم    - صرف الصرفة اليومية للمدفعية لعدد 3 بامر</v>
      </c>
      <c r="AB485" s="121">
        <f>INDEX(Tabledaily[جهة الامر],MATCH(TableDailyJournal[[#This Row],[رقم العملية]],Tabledaily[رقم العملية],0))</f>
        <v>0</v>
      </c>
    </row>
    <row r="486" spans="2:28" ht="45.75" x14ac:dyDescent="0.55000000000000004">
      <c r="B486" s="58">
        <f t="shared" si="15"/>
        <v>482</v>
      </c>
      <c r="C486" s="59" t="s">
        <v>837</v>
      </c>
      <c r="D486" s="60">
        <f>INDEX(Tabledaily[date],MATCH(TableDailyJournal[[#This Row],[رقم العملية]],Tabledaily[رقم العملية],0))</f>
        <v>46189</v>
      </c>
      <c r="E486" s="58" t="str">
        <f>INDEX(Tabledaily[نوع العمليــة],MATCH(TableDailyJournal[[#This Row],[رقم العملية]],Tabledaily[رقم العملية],0))</f>
        <v>قيد عهده</v>
      </c>
      <c r="F486" s="58">
        <f>IFERROR(INDEX(TableJudje[رقم الحساب],MATCH(TableDailyJournal[[#This Row],[الحساب]],TableJudje[اسم الحساب],0)),0)</f>
        <v>31010101</v>
      </c>
      <c r="G486" s="58" t="s">
        <v>111</v>
      </c>
      <c r="H486"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رقم    - صرف الصرفة اليومية للمستشارين والمساعدين عدد 11 بامر</v>
      </c>
      <c r="I486" s="60" t="str">
        <f>INDEX(Tabledaily[العملـــة],MATCH(TableDailyJournal[[#This Row],[رقم العملية]],Tabledaily[رقم العملية],0))</f>
        <v>ريال يمني</v>
      </c>
      <c r="J486" s="59">
        <f>IFERROR(INDEX(Tabledaily[سعــــــر
الصـــــرف],MATCH(C486,Tabledaily[رقم العملية],0)),1)</f>
        <v>405</v>
      </c>
      <c r="K486" s="123" cm="1">
        <f t="array" ref="K486">IFERROR(INDEX(Tabledaily[المبلـــــــغ],MATCH(1,(TableDailyJournal[[#This Row],[رقم العملية]]=Tabledaily[رقم العملية])*(TableDailyJournal[[#This Row],[الحساب]]=Tabledaily[الحســاب المديــــن]),0)),0)</f>
        <v>112000</v>
      </c>
      <c r="L486" s="123" cm="1">
        <f t="array" ref="L486">IFERROR(INDEX(Tabledaily[المبلـــــــغ],MATCH(1,(TableDailyJournal[[#This Row],[رقم العملية]]=Tabledaily[رقم العملية])*(TableDailyJournal[[#This Row],[الحساب]]=Tabledaily[الحســاب الدئـــن]),0)),0)</f>
        <v>0</v>
      </c>
      <c r="M486" s="119">
        <f>IFERROR(TableDailyJournal[[#This Row],[المبلغ مدين]]/TableDailyJournal[[#This Row],[سعــــــر
الصـــــرف]],0)</f>
        <v>276.54320987654319</v>
      </c>
      <c r="N486" s="119">
        <f>IFERROR(TableDailyJournal[[#This Row],[المبلغ دائن]]/TableDailyJournal[[#This Row],[سعــــــر
الصـــــرف]],0)</f>
        <v>0</v>
      </c>
      <c r="O486" s="121" t="str">
        <f>INDEX(Tabledaily[المستفيــــــــد],MATCH(TableDailyJournal[[#This Row],[رقم العملية]],Tabledaily[رقم العملية],0))</f>
        <v>المستشارين والمساعدين</v>
      </c>
      <c r="P486" s="121">
        <f>INDEX(Tabledaily[المــــرجـــــــــع],MATCH(TableDailyJournal[[#This Row],[رقم العملية]],Tabledaily[رقم العملية],0))</f>
        <v>0</v>
      </c>
      <c r="Q486" s="121">
        <f>INDEX(Tabledaily[اســـــــم المــــرجــــع],MATCH(TableDailyJournal[[#This Row],[رقم العملية]],Tabledaily[رقم العملية],0))</f>
        <v>0</v>
      </c>
      <c r="R486" s="121">
        <f>INDEX(Tabledaily[رقم المـــــرجـــع],MATCH(TableDailyJournal[[#This Row],[رقم العملية]],Tabledaily[رقم العملية],0))</f>
        <v>0</v>
      </c>
      <c r="S486" s="121" t="str">
        <f>INDEX(Tabledaily[مركـــــــزالتكلفــــــة],MATCH(TableDailyJournal[[#This Row],[رقم العملية]],Tabledaily[رقم العملية],0))</f>
        <v>الفرقة الثالثة</v>
      </c>
      <c r="T486" s="121">
        <f>IFERROR(INDEX(tablecost[رقم المركز],MATCH(TableDailyJournal[[#This Row],[مركـــــــزالتكلفــــــة]],tablecost[الاسم],0)),0)</f>
        <v>1</v>
      </c>
      <c r="U486" s="122">
        <f>IFERROR(DATE(TableDailyJournal[[#This Row],[السنــــة]],TableDailyJournal[[#This Row],[الشهــــر]],TableDailyJournal[[#This Row],[الـــــيوم]]),"01-01-2026")</f>
        <v>46189</v>
      </c>
      <c r="V486" s="126"/>
      <c r="W486" s="58"/>
      <c r="X486" s="58">
        <f>IFERROR(YEAR(TableDailyJournal[[#This Row],[التاريخ]]),"")</f>
        <v>2026</v>
      </c>
      <c r="Y486" s="58">
        <f>IFERROR(MONTH(TableDailyJournal[[#This Row],[التاريخ]]),"")</f>
        <v>6</v>
      </c>
      <c r="Z486" s="58">
        <f>IFERROR(DAY(TableDailyJournal[[#This Row],[التاريخ]]),"")</f>
        <v>16</v>
      </c>
      <c r="AA486"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رقم    - صرف الصرفة اليومية للمستشارين والمساعدين عدد 11 بامر</v>
      </c>
      <c r="AB486" s="121">
        <f>INDEX(Tabledaily[جهة الامر],MATCH(TableDailyJournal[[#This Row],[رقم العملية]],Tabledaily[رقم العملية],0))</f>
        <v>0</v>
      </c>
    </row>
    <row r="487" spans="2:28" ht="45.75" x14ac:dyDescent="0.55000000000000004">
      <c r="B487" s="58">
        <f t="shared" si="15"/>
        <v>483</v>
      </c>
      <c r="C487" s="59" t="s">
        <v>837</v>
      </c>
      <c r="D487" s="60">
        <f>INDEX(Tabledaily[date],MATCH(TableDailyJournal[[#This Row],[رقم العملية]],Tabledaily[رقم العملية],0))</f>
        <v>46189</v>
      </c>
      <c r="E487" s="58" t="str">
        <f>INDEX(Tabledaily[نوع العمليــة],MATCH(TableDailyJournal[[#This Row],[رقم العملية]],Tabledaily[رقم العملية],0))</f>
        <v>قيد عهده</v>
      </c>
      <c r="F487" s="58">
        <f>IFERROR(INDEX(TableJudje[رقم الحساب],MATCH(TableDailyJournal[[#This Row],[الحساب]],TableJudje[اسم الحساب],0)),0)</f>
        <v>11060205</v>
      </c>
      <c r="G487" s="58" t="s">
        <v>513</v>
      </c>
      <c r="H487"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رقم    - صرف الصرفة اليومية للمستشارين والمساعدين عدد 11 بامر</v>
      </c>
      <c r="I487" s="60" t="str">
        <f>INDEX(Tabledaily[العملـــة],MATCH(TableDailyJournal[[#This Row],[رقم العملية]],Tabledaily[رقم العملية],0))</f>
        <v>ريال يمني</v>
      </c>
      <c r="J487" s="59">
        <f>IFERROR(INDEX(Tabledaily[سعــــــر
الصـــــرف],MATCH(C487,Tabledaily[رقم العملية],0)),1)</f>
        <v>405</v>
      </c>
      <c r="K487" s="123" cm="1">
        <f t="array" ref="K487">IFERROR(INDEX(Tabledaily[المبلـــــــغ],MATCH(1,(TableDailyJournal[[#This Row],[رقم العملية]]=Tabledaily[رقم العملية])*(TableDailyJournal[[#This Row],[الحساب]]=Tabledaily[الحســاب المديــــن]),0)),0)</f>
        <v>0</v>
      </c>
      <c r="L487" s="123" cm="1">
        <f t="array" ref="L487">IFERROR(INDEX(Tabledaily[المبلـــــــغ],MATCH(1,(TableDailyJournal[[#This Row],[رقم العملية]]=Tabledaily[رقم العملية])*(TableDailyJournal[[#This Row],[الحساب]]=Tabledaily[الحســاب الدئـــن]),0)),0)</f>
        <v>112000</v>
      </c>
      <c r="M487" s="119">
        <f>IFERROR(TableDailyJournal[[#This Row],[المبلغ مدين]]/TableDailyJournal[[#This Row],[سعــــــر
الصـــــرف]],0)</f>
        <v>0</v>
      </c>
      <c r="N487" s="119">
        <f>IFERROR(TableDailyJournal[[#This Row],[المبلغ دائن]]/TableDailyJournal[[#This Row],[سعــــــر
الصـــــرف]],0)</f>
        <v>276.54320987654319</v>
      </c>
      <c r="O487" s="121" t="str">
        <f>INDEX(Tabledaily[المستفيــــــــد],MATCH(TableDailyJournal[[#This Row],[رقم العملية]],Tabledaily[رقم العملية],0))</f>
        <v>المستشارين والمساعدين</v>
      </c>
      <c r="P487" s="121">
        <f>INDEX(Tabledaily[المــــرجـــــــــع],MATCH(TableDailyJournal[[#This Row],[رقم العملية]],Tabledaily[رقم العملية],0))</f>
        <v>0</v>
      </c>
      <c r="Q487" s="121">
        <f>INDEX(Tabledaily[اســـــــم المــــرجــــع],MATCH(TableDailyJournal[[#This Row],[رقم العملية]],Tabledaily[رقم العملية],0))</f>
        <v>0</v>
      </c>
      <c r="R487" s="121">
        <f>INDEX(Tabledaily[رقم المـــــرجـــع],MATCH(TableDailyJournal[[#This Row],[رقم العملية]],Tabledaily[رقم العملية],0))</f>
        <v>0</v>
      </c>
      <c r="S487" s="121" t="str">
        <f>INDEX(Tabledaily[مركـــــــزالتكلفــــــة],MATCH(TableDailyJournal[[#This Row],[رقم العملية]],Tabledaily[رقم العملية],0))</f>
        <v>الفرقة الثالثة</v>
      </c>
      <c r="T487" s="121">
        <f>IFERROR(INDEX(tablecost[رقم المركز],MATCH(TableDailyJournal[[#This Row],[مركـــــــزالتكلفــــــة]],tablecost[الاسم],0)),0)</f>
        <v>1</v>
      </c>
      <c r="U487" s="122">
        <f>IFERROR(DATE(TableDailyJournal[[#This Row],[السنــــة]],TableDailyJournal[[#This Row],[الشهــــر]],TableDailyJournal[[#This Row],[الـــــيوم]]),"01-01-2026")</f>
        <v>46189</v>
      </c>
      <c r="V487" s="126"/>
      <c r="W487" s="58"/>
      <c r="X487" s="58">
        <f>IFERROR(YEAR(TableDailyJournal[[#This Row],[التاريخ]]),"")</f>
        <v>2026</v>
      </c>
      <c r="Y487" s="58">
        <f>IFERROR(MONTH(TableDailyJournal[[#This Row],[التاريخ]]),"")</f>
        <v>6</v>
      </c>
      <c r="Z487" s="58">
        <f>IFERROR(DAY(TableDailyJournal[[#This Row],[التاريخ]]),"")</f>
        <v>16</v>
      </c>
      <c r="AA487"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رقم    - صرف الصرفة اليومية للمستشارين والمساعدين عدد 11 بامر</v>
      </c>
      <c r="AB487" s="121">
        <f>INDEX(Tabledaily[جهة الامر],MATCH(TableDailyJournal[[#This Row],[رقم العملية]],Tabledaily[رقم العملية],0))</f>
        <v>0</v>
      </c>
    </row>
    <row r="488" spans="2:28" ht="45.75" x14ac:dyDescent="0.55000000000000004">
      <c r="B488" s="58">
        <f t="shared" si="15"/>
        <v>484</v>
      </c>
      <c r="C488" s="59" t="s">
        <v>839</v>
      </c>
      <c r="D488" s="60">
        <f>INDEX(Tabledaily[date],MATCH(TableDailyJournal[[#This Row],[رقم العملية]],Tabledaily[رقم العملية],0))</f>
        <v>46189</v>
      </c>
      <c r="E488" s="58" t="str">
        <f>INDEX(Tabledaily[نوع العمليــة],MATCH(TableDailyJournal[[#This Row],[رقم العملية]],Tabledaily[رقم العملية],0))</f>
        <v>قيد عهده</v>
      </c>
      <c r="F488" s="58">
        <f>IFERROR(INDEX(TableJudje[رقم الحساب],MATCH(TableDailyJournal[[#This Row],[الحساب]],TableJudje[اسم الحساب],0)),0)</f>
        <v>31010101</v>
      </c>
      <c r="G488" s="58" t="s">
        <v>111</v>
      </c>
      <c r="H488" s="61" t="str">
        <f>INDEX(Tabledaily[المرجع البياني],MATCH(TableDailyJournal[[#This Row],[رقم العملية]],Tabledaily[رقم العملية],0))</f>
        <v>قيـد مقابـل:- (مصاريف  صرفة يومية للافراد  - الاشغال - الفرقة الثالثة)  -  رقم    - صرف الصرفة اليومية للاشغال لعدد 3 بامر</v>
      </c>
      <c r="I488" s="60" t="str">
        <f>INDEX(Tabledaily[العملـــة],MATCH(TableDailyJournal[[#This Row],[رقم العملية]],Tabledaily[رقم العملية],0))</f>
        <v>ريال يمني</v>
      </c>
      <c r="J488" s="59">
        <f>IFERROR(INDEX(Tabledaily[سعــــــر
الصـــــرف],MATCH(C488,Tabledaily[رقم العملية],0)),1)</f>
        <v>405</v>
      </c>
      <c r="K488" s="123" cm="1">
        <f t="array" ref="K488">IFERROR(INDEX(Tabledaily[المبلـــــــغ],MATCH(1,(TableDailyJournal[[#This Row],[رقم العملية]]=Tabledaily[رقم العملية])*(TableDailyJournal[[#This Row],[الحساب]]=Tabledaily[الحســاب المديــــن]),0)),0)</f>
        <v>28000</v>
      </c>
      <c r="L488" s="123" cm="1">
        <f t="array" ref="L488">IFERROR(INDEX(Tabledaily[المبلـــــــغ],MATCH(1,(TableDailyJournal[[#This Row],[رقم العملية]]=Tabledaily[رقم العملية])*(TableDailyJournal[[#This Row],[الحساب]]=Tabledaily[الحســاب الدئـــن]),0)),0)</f>
        <v>0</v>
      </c>
      <c r="M488" s="119">
        <f>IFERROR(TableDailyJournal[[#This Row],[المبلغ مدين]]/TableDailyJournal[[#This Row],[سعــــــر
الصـــــرف]],0)</f>
        <v>69.135802469135797</v>
      </c>
      <c r="N488" s="119">
        <f>IFERROR(TableDailyJournal[[#This Row],[المبلغ دائن]]/TableDailyJournal[[#This Row],[سعــــــر
الصـــــرف]],0)</f>
        <v>0</v>
      </c>
      <c r="O488" s="121" t="str">
        <f>INDEX(Tabledaily[المستفيــــــــد],MATCH(TableDailyJournal[[#This Row],[رقم العملية]],Tabledaily[رقم العملية],0))</f>
        <v>الاشغال</v>
      </c>
      <c r="P488" s="121">
        <f>INDEX(Tabledaily[المــــرجـــــــــع],MATCH(TableDailyJournal[[#This Row],[رقم العملية]],Tabledaily[رقم العملية],0))</f>
        <v>0</v>
      </c>
      <c r="Q488" s="121">
        <f>INDEX(Tabledaily[اســـــــم المــــرجــــع],MATCH(TableDailyJournal[[#This Row],[رقم العملية]],Tabledaily[رقم العملية],0))</f>
        <v>0</v>
      </c>
      <c r="R488" s="121">
        <f>INDEX(Tabledaily[رقم المـــــرجـــع],MATCH(TableDailyJournal[[#This Row],[رقم العملية]],Tabledaily[رقم العملية],0))</f>
        <v>0</v>
      </c>
      <c r="S488" s="121" t="str">
        <f>INDEX(Tabledaily[مركـــــــزالتكلفــــــة],MATCH(TableDailyJournal[[#This Row],[رقم العملية]],Tabledaily[رقم العملية],0))</f>
        <v>الفرقة الثالثة</v>
      </c>
      <c r="T488" s="121">
        <f>IFERROR(INDEX(tablecost[رقم المركز],MATCH(TableDailyJournal[[#This Row],[مركـــــــزالتكلفــــــة]],tablecost[الاسم],0)),0)</f>
        <v>1</v>
      </c>
      <c r="U488" s="122">
        <f>IFERROR(DATE(TableDailyJournal[[#This Row],[السنــــة]],TableDailyJournal[[#This Row],[الشهــــر]],TableDailyJournal[[#This Row],[الـــــيوم]]),"01-01-2026")</f>
        <v>46189</v>
      </c>
      <c r="V488" s="126"/>
      <c r="W488" s="58"/>
      <c r="X488" s="58">
        <f>IFERROR(YEAR(TableDailyJournal[[#This Row],[التاريخ]]),"")</f>
        <v>2026</v>
      </c>
      <c r="Y488" s="58">
        <f>IFERROR(MONTH(TableDailyJournal[[#This Row],[التاريخ]]),"")</f>
        <v>6</v>
      </c>
      <c r="Z488" s="58">
        <f>IFERROR(DAY(TableDailyJournal[[#This Row],[التاريخ]]),"")</f>
        <v>16</v>
      </c>
      <c r="AA488" s="126" t="str">
        <f>INDEX(Tabledaily[المرجع البياني],MATCH(TableDailyJournal[[#This Row],[رقم العملية]],Tabledaily[رقم العملية],0))</f>
        <v>قيـد مقابـل:- (مصاريف  صرفة يومية للافراد  - الاشغال - الفرقة الثالثة)  -  رقم    - صرف الصرفة اليومية للاشغال لعدد 3 بامر</v>
      </c>
      <c r="AB488" s="121">
        <f>INDEX(Tabledaily[جهة الامر],MATCH(TableDailyJournal[[#This Row],[رقم العملية]],Tabledaily[رقم العملية],0))</f>
        <v>0</v>
      </c>
    </row>
    <row r="489" spans="2:28" ht="45.75" x14ac:dyDescent="0.55000000000000004">
      <c r="B489" s="58">
        <f t="shared" si="15"/>
        <v>485</v>
      </c>
      <c r="C489" s="59" t="s">
        <v>839</v>
      </c>
      <c r="D489" s="60">
        <f>INDEX(Tabledaily[date],MATCH(TableDailyJournal[[#This Row],[رقم العملية]],Tabledaily[رقم العملية],0))</f>
        <v>46189</v>
      </c>
      <c r="E489" s="58" t="str">
        <f>INDEX(Tabledaily[نوع العمليــة],MATCH(TableDailyJournal[[#This Row],[رقم العملية]],Tabledaily[رقم العملية],0))</f>
        <v>قيد عهده</v>
      </c>
      <c r="F489" s="58">
        <f>IFERROR(INDEX(TableJudje[رقم الحساب],MATCH(TableDailyJournal[[#This Row],[الحساب]],TableJudje[اسم الحساب],0)),0)</f>
        <v>11060205</v>
      </c>
      <c r="G489" s="58" t="s">
        <v>513</v>
      </c>
      <c r="H489" s="61" t="str">
        <f>INDEX(Tabledaily[المرجع البياني],MATCH(TableDailyJournal[[#This Row],[رقم العملية]],Tabledaily[رقم العملية],0))</f>
        <v>قيـد مقابـل:- (مصاريف  صرفة يومية للافراد  - الاشغال - الفرقة الثالثة)  -  رقم    - صرف الصرفة اليومية للاشغال لعدد 3 بامر</v>
      </c>
      <c r="I489" s="60" t="str">
        <f>INDEX(Tabledaily[العملـــة],MATCH(TableDailyJournal[[#This Row],[رقم العملية]],Tabledaily[رقم العملية],0))</f>
        <v>ريال يمني</v>
      </c>
      <c r="J489" s="59">
        <f>IFERROR(INDEX(Tabledaily[سعــــــر
الصـــــرف],MATCH(C489,Tabledaily[رقم العملية],0)),1)</f>
        <v>405</v>
      </c>
      <c r="K489" s="123" cm="1">
        <f t="array" ref="K489">IFERROR(INDEX(Tabledaily[المبلـــــــغ],MATCH(1,(TableDailyJournal[[#This Row],[رقم العملية]]=Tabledaily[رقم العملية])*(TableDailyJournal[[#This Row],[الحساب]]=Tabledaily[الحســاب المديــــن]),0)),0)</f>
        <v>0</v>
      </c>
      <c r="L489" s="123" cm="1">
        <f t="array" ref="L489">IFERROR(INDEX(Tabledaily[المبلـــــــغ],MATCH(1,(TableDailyJournal[[#This Row],[رقم العملية]]=Tabledaily[رقم العملية])*(TableDailyJournal[[#This Row],[الحساب]]=Tabledaily[الحســاب الدئـــن]),0)),0)</f>
        <v>28000</v>
      </c>
      <c r="M489" s="119">
        <f>IFERROR(TableDailyJournal[[#This Row],[المبلغ مدين]]/TableDailyJournal[[#This Row],[سعــــــر
الصـــــرف]],0)</f>
        <v>0</v>
      </c>
      <c r="N489" s="119">
        <f>IFERROR(TableDailyJournal[[#This Row],[المبلغ دائن]]/TableDailyJournal[[#This Row],[سعــــــر
الصـــــرف]],0)</f>
        <v>69.135802469135797</v>
      </c>
      <c r="O489" s="121" t="str">
        <f>INDEX(Tabledaily[المستفيــــــــد],MATCH(TableDailyJournal[[#This Row],[رقم العملية]],Tabledaily[رقم العملية],0))</f>
        <v>الاشغال</v>
      </c>
      <c r="P489" s="121">
        <f>INDEX(Tabledaily[المــــرجـــــــــع],MATCH(TableDailyJournal[[#This Row],[رقم العملية]],Tabledaily[رقم العملية],0))</f>
        <v>0</v>
      </c>
      <c r="Q489" s="121">
        <f>INDEX(Tabledaily[اســـــــم المــــرجــــع],MATCH(TableDailyJournal[[#This Row],[رقم العملية]],Tabledaily[رقم العملية],0))</f>
        <v>0</v>
      </c>
      <c r="R489" s="121">
        <f>INDEX(Tabledaily[رقم المـــــرجـــع],MATCH(TableDailyJournal[[#This Row],[رقم العملية]],Tabledaily[رقم العملية],0))</f>
        <v>0</v>
      </c>
      <c r="S489" s="121" t="str">
        <f>INDEX(Tabledaily[مركـــــــزالتكلفــــــة],MATCH(TableDailyJournal[[#This Row],[رقم العملية]],Tabledaily[رقم العملية],0))</f>
        <v>الفرقة الثالثة</v>
      </c>
      <c r="T489" s="121">
        <f>IFERROR(INDEX(tablecost[رقم المركز],MATCH(TableDailyJournal[[#This Row],[مركـــــــزالتكلفــــــة]],tablecost[الاسم],0)),0)</f>
        <v>1</v>
      </c>
      <c r="U489" s="122">
        <f>IFERROR(DATE(TableDailyJournal[[#This Row],[السنــــة]],TableDailyJournal[[#This Row],[الشهــــر]],TableDailyJournal[[#This Row],[الـــــيوم]]),"01-01-2026")</f>
        <v>46189</v>
      </c>
      <c r="V489" s="126"/>
      <c r="W489" s="58"/>
      <c r="X489" s="58">
        <f>IFERROR(YEAR(TableDailyJournal[[#This Row],[التاريخ]]),"")</f>
        <v>2026</v>
      </c>
      <c r="Y489" s="58">
        <f>IFERROR(MONTH(TableDailyJournal[[#This Row],[التاريخ]]),"")</f>
        <v>6</v>
      </c>
      <c r="Z489" s="58">
        <f>IFERROR(DAY(TableDailyJournal[[#This Row],[التاريخ]]),"")</f>
        <v>16</v>
      </c>
      <c r="AA489" s="126" t="str">
        <f>INDEX(Tabledaily[المرجع البياني],MATCH(TableDailyJournal[[#This Row],[رقم العملية]],Tabledaily[رقم العملية],0))</f>
        <v>قيـد مقابـل:- (مصاريف  صرفة يومية للافراد  - الاشغال - الفرقة الثالثة)  -  رقم    - صرف الصرفة اليومية للاشغال لعدد 3 بامر</v>
      </c>
      <c r="AB489" s="121">
        <f>INDEX(Tabledaily[جهة الامر],MATCH(TableDailyJournal[[#This Row],[رقم العملية]],Tabledaily[رقم العملية],0))</f>
        <v>0</v>
      </c>
    </row>
    <row r="490" spans="2:28" ht="45.75" x14ac:dyDescent="0.55000000000000004">
      <c r="B490" s="58">
        <f t="shared" si="15"/>
        <v>486</v>
      </c>
      <c r="C490" s="59" t="s">
        <v>840</v>
      </c>
      <c r="D490" s="60">
        <f>INDEX(Tabledaily[date],MATCH(TableDailyJournal[[#This Row],[رقم العملية]],Tabledaily[رقم العملية],0))</f>
        <v>46189</v>
      </c>
      <c r="E490" s="58" t="str">
        <f>INDEX(Tabledaily[نوع العمليــة],MATCH(TableDailyJournal[[#This Row],[رقم العملية]],Tabledaily[رقم العملية],0))</f>
        <v>قيد عهده</v>
      </c>
      <c r="F490" s="58">
        <f>IFERROR(INDEX(TableJudje[رقم الحساب],MATCH(TableDailyJournal[[#This Row],[الحساب]],TableJudje[اسم الحساب],0)),0)</f>
        <v>31010101</v>
      </c>
      <c r="G490" s="58" t="s">
        <v>111</v>
      </c>
      <c r="H490"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v>
      </c>
      <c r="I490" s="60" t="str">
        <f>INDEX(Tabledaily[العملـــة],MATCH(TableDailyJournal[[#This Row],[رقم العملية]],Tabledaily[رقم العملية],0))</f>
        <v>ريال يمني</v>
      </c>
      <c r="J490" s="59">
        <f>IFERROR(INDEX(Tabledaily[سعــــــر
الصـــــرف],MATCH(C490,Tabledaily[رقم العملية],0)),1)</f>
        <v>405</v>
      </c>
      <c r="K490" s="123" cm="1">
        <f t="array" ref="K490">IFERROR(INDEX(Tabledaily[المبلـــــــغ],MATCH(1,(TableDailyJournal[[#This Row],[رقم العملية]]=Tabledaily[رقم العملية])*(TableDailyJournal[[#This Row],[الحساب]]=Tabledaily[الحســاب المديــــن]),0)),0)</f>
        <v>18000</v>
      </c>
      <c r="L490" s="123" cm="1">
        <f t="array" ref="L490">IFERROR(INDEX(Tabledaily[المبلـــــــغ],MATCH(1,(TableDailyJournal[[#This Row],[رقم العملية]]=Tabledaily[رقم العملية])*(TableDailyJournal[[#This Row],[الحساب]]=Tabledaily[الحســاب الدئـــن]),0)),0)</f>
        <v>0</v>
      </c>
      <c r="M490" s="119">
        <f>IFERROR(TableDailyJournal[[#This Row],[المبلغ مدين]]/TableDailyJournal[[#This Row],[سعــــــر
الصـــــرف]],0)</f>
        <v>44.444444444444443</v>
      </c>
      <c r="N490" s="119">
        <f>IFERROR(TableDailyJournal[[#This Row],[المبلغ دائن]]/TableDailyJournal[[#This Row],[سعــــــر
الصـــــرف]],0)</f>
        <v>0</v>
      </c>
      <c r="O490" s="121" t="str">
        <f>INDEX(Tabledaily[المستفيــــــــد],MATCH(TableDailyJournal[[#This Row],[رقم العملية]],Tabledaily[رقم العملية],0))</f>
        <v>افراد طقم اللواء السابع مرافقين</v>
      </c>
      <c r="P490" s="121">
        <f>INDEX(Tabledaily[المــــرجـــــــــع],MATCH(TableDailyJournal[[#This Row],[رقم العملية]],Tabledaily[رقم العملية],0))</f>
        <v>0</v>
      </c>
      <c r="Q490" s="121">
        <f>INDEX(Tabledaily[اســـــــم المــــرجــــع],MATCH(TableDailyJournal[[#This Row],[رقم العملية]],Tabledaily[رقم العملية],0))</f>
        <v>0</v>
      </c>
      <c r="R490" s="121">
        <f>INDEX(Tabledaily[رقم المـــــرجـــع],MATCH(TableDailyJournal[[#This Row],[رقم العملية]],Tabledaily[رقم العملية],0))</f>
        <v>0</v>
      </c>
      <c r="S490" s="121" t="str">
        <f>INDEX(Tabledaily[مركـــــــزالتكلفــــــة],MATCH(TableDailyJournal[[#This Row],[رقم العملية]],Tabledaily[رقم العملية],0))</f>
        <v>الفرقة الثالثة</v>
      </c>
      <c r="T490" s="121">
        <f>IFERROR(INDEX(tablecost[رقم المركز],MATCH(TableDailyJournal[[#This Row],[مركـــــــزالتكلفــــــة]],tablecost[الاسم],0)),0)</f>
        <v>1</v>
      </c>
      <c r="U490" s="122">
        <f>IFERROR(DATE(TableDailyJournal[[#This Row],[السنــــة]],TableDailyJournal[[#This Row],[الشهــــر]],TableDailyJournal[[#This Row],[الـــــيوم]]),"01-01-2026")</f>
        <v>46189</v>
      </c>
      <c r="V490" s="126"/>
      <c r="W490" s="58"/>
      <c r="X490" s="58">
        <f>IFERROR(YEAR(TableDailyJournal[[#This Row],[التاريخ]]),"")</f>
        <v>2026</v>
      </c>
      <c r="Y490" s="58">
        <f>IFERROR(MONTH(TableDailyJournal[[#This Row],[التاريخ]]),"")</f>
        <v>6</v>
      </c>
      <c r="Z490" s="58">
        <f>IFERROR(DAY(TableDailyJournal[[#This Row],[التاريخ]]),"")</f>
        <v>16</v>
      </c>
      <c r="AA490"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v>
      </c>
      <c r="AB490" s="121">
        <f>INDEX(Tabledaily[جهة الامر],MATCH(TableDailyJournal[[#This Row],[رقم العملية]],Tabledaily[رقم العملية],0))</f>
        <v>0</v>
      </c>
    </row>
    <row r="491" spans="2:28" ht="45.75" x14ac:dyDescent="0.55000000000000004">
      <c r="B491" s="58">
        <f t="shared" si="15"/>
        <v>487</v>
      </c>
      <c r="C491" s="59" t="s">
        <v>840</v>
      </c>
      <c r="D491" s="60">
        <f>INDEX(Tabledaily[date],MATCH(TableDailyJournal[[#This Row],[رقم العملية]],Tabledaily[رقم العملية],0))</f>
        <v>46189</v>
      </c>
      <c r="E491" s="58" t="str">
        <f>INDEX(Tabledaily[نوع العمليــة],MATCH(TableDailyJournal[[#This Row],[رقم العملية]],Tabledaily[رقم العملية],0))</f>
        <v>قيد عهده</v>
      </c>
      <c r="F491" s="58">
        <f>IFERROR(INDEX(TableJudje[رقم الحساب],MATCH(TableDailyJournal[[#This Row],[الحساب]],TableJudje[اسم الحساب],0)),0)</f>
        <v>11060205</v>
      </c>
      <c r="G491" s="58" t="s">
        <v>513</v>
      </c>
      <c r="H491" s="61"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v>
      </c>
      <c r="I491" s="60" t="str">
        <f>INDEX(Tabledaily[العملـــة],MATCH(TableDailyJournal[[#This Row],[رقم العملية]],Tabledaily[رقم العملية],0))</f>
        <v>ريال يمني</v>
      </c>
      <c r="J491" s="59">
        <f>IFERROR(INDEX(Tabledaily[سعــــــر
الصـــــرف],MATCH(C491,Tabledaily[رقم العملية],0)),1)</f>
        <v>405</v>
      </c>
      <c r="K491" s="123" cm="1">
        <f t="array" ref="K491">IFERROR(INDEX(Tabledaily[المبلـــــــغ],MATCH(1,(TableDailyJournal[[#This Row],[رقم العملية]]=Tabledaily[رقم العملية])*(TableDailyJournal[[#This Row],[الحساب]]=Tabledaily[الحســاب المديــــن]),0)),0)</f>
        <v>0</v>
      </c>
      <c r="L491" s="123" cm="1">
        <f t="array" ref="L491">IFERROR(INDEX(Tabledaily[المبلـــــــغ],MATCH(1,(TableDailyJournal[[#This Row],[رقم العملية]]=Tabledaily[رقم العملية])*(TableDailyJournal[[#This Row],[الحساب]]=Tabledaily[الحســاب الدئـــن]),0)),0)</f>
        <v>18000</v>
      </c>
      <c r="M491" s="119">
        <f>IFERROR(TableDailyJournal[[#This Row],[المبلغ مدين]]/TableDailyJournal[[#This Row],[سعــــــر
الصـــــرف]],0)</f>
        <v>0</v>
      </c>
      <c r="N491" s="119">
        <f>IFERROR(TableDailyJournal[[#This Row],[المبلغ دائن]]/TableDailyJournal[[#This Row],[سعــــــر
الصـــــرف]],0)</f>
        <v>44.444444444444443</v>
      </c>
      <c r="O491" s="121" t="str">
        <f>INDEX(Tabledaily[المستفيــــــــد],MATCH(TableDailyJournal[[#This Row],[رقم العملية]],Tabledaily[رقم العملية],0))</f>
        <v>افراد طقم اللواء السابع مرافقين</v>
      </c>
      <c r="P491" s="121">
        <f>INDEX(Tabledaily[المــــرجـــــــــع],MATCH(TableDailyJournal[[#This Row],[رقم العملية]],Tabledaily[رقم العملية],0))</f>
        <v>0</v>
      </c>
      <c r="Q491" s="121">
        <f>INDEX(Tabledaily[اســـــــم المــــرجــــع],MATCH(TableDailyJournal[[#This Row],[رقم العملية]],Tabledaily[رقم العملية],0))</f>
        <v>0</v>
      </c>
      <c r="R491" s="121">
        <f>INDEX(Tabledaily[رقم المـــــرجـــع],MATCH(TableDailyJournal[[#This Row],[رقم العملية]],Tabledaily[رقم العملية],0))</f>
        <v>0</v>
      </c>
      <c r="S491" s="121" t="str">
        <f>INDEX(Tabledaily[مركـــــــزالتكلفــــــة],MATCH(TableDailyJournal[[#This Row],[رقم العملية]],Tabledaily[رقم العملية],0))</f>
        <v>الفرقة الثالثة</v>
      </c>
      <c r="T491" s="121">
        <f>IFERROR(INDEX(tablecost[رقم المركز],MATCH(TableDailyJournal[[#This Row],[مركـــــــزالتكلفــــــة]],tablecost[الاسم],0)),0)</f>
        <v>1</v>
      </c>
      <c r="U491" s="122">
        <f>IFERROR(DATE(TableDailyJournal[[#This Row],[السنــــة]],TableDailyJournal[[#This Row],[الشهــــر]],TableDailyJournal[[#This Row],[الـــــيوم]]),"01-01-2026")</f>
        <v>46189</v>
      </c>
      <c r="V491" s="126"/>
      <c r="W491" s="58"/>
      <c r="X491" s="58">
        <f>IFERROR(YEAR(TableDailyJournal[[#This Row],[التاريخ]]),"")</f>
        <v>2026</v>
      </c>
      <c r="Y491" s="58">
        <f>IFERROR(MONTH(TableDailyJournal[[#This Row],[التاريخ]]),"")</f>
        <v>6</v>
      </c>
      <c r="Z491" s="58">
        <f>IFERROR(DAY(TableDailyJournal[[#This Row],[التاريخ]]),"")</f>
        <v>16</v>
      </c>
      <c r="AA491" s="126" t="str">
        <f>INDEX(Tabledaily[المرجع البياني],MATCH(TableDailyJournal[[#This Row],[رقم العملية]],Tabledaily[رقم العملية],0))</f>
        <v>قيـد مقابـل:- (مصاريف  صرفة يومية للافراد  - افراد طقم اللواء السابع مرافقين - الفرقة الثالثة)  -  رقم    - صرف الصرفة اليومية لافراد طقم اللواء السابع مرافقين عدد 3 بامر</v>
      </c>
      <c r="AB491" s="121">
        <f>INDEX(Tabledaily[جهة الامر],MATCH(TableDailyJournal[[#This Row],[رقم العملية]],Tabledaily[رقم العملية],0))</f>
        <v>0</v>
      </c>
    </row>
    <row r="492" spans="2:28" ht="45.75" x14ac:dyDescent="0.55000000000000004">
      <c r="B492" s="58">
        <f t="shared" si="15"/>
        <v>488</v>
      </c>
      <c r="C492" s="59" t="s">
        <v>841</v>
      </c>
      <c r="D492" s="60">
        <f>INDEX(Tabledaily[date],MATCH(TableDailyJournal[[#This Row],[رقم العملية]],Tabledaily[رقم العملية],0))</f>
        <v>46189</v>
      </c>
      <c r="E492" s="58" t="str">
        <f>INDEX(Tabledaily[نوع العمليــة],MATCH(TableDailyJournal[[#This Row],[رقم العملية]],Tabledaily[رقم العملية],0))</f>
        <v>قيد عهده</v>
      </c>
      <c r="F492" s="58">
        <f>IFERROR(INDEX(TableJudje[رقم الحساب],MATCH(TableDailyJournal[[#This Row],[الحساب]],TableJudje[اسم الحساب],0)),0)</f>
        <v>31010101</v>
      </c>
      <c r="G492" s="58" t="s">
        <v>111</v>
      </c>
      <c r="H492" s="61" t="str">
        <f>INDEX(Tabledaily[المرجع البياني],MATCH(TableDailyJournal[[#This Row],[رقم العملية]],Tabledaily[رقم العملية],0))</f>
        <v>قيـد مقابـل:- (مصاريف  صرفة يومية للافراد  - الضباط السابقين - الفرقة الثالثة)  -  رقم    - صرف الصرفة اليومية ضباط سابقين لعدد 10 بامر</v>
      </c>
      <c r="I492" s="60" t="str">
        <f>INDEX(Tabledaily[العملـــة],MATCH(TableDailyJournal[[#This Row],[رقم العملية]],Tabledaily[رقم العملية],0))</f>
        <v>ريال يمني</v>
      </c>
      <c r="J492" s="59">
        <f>IFERROR(INDEX(Tabledaily[سعــــــر
الصـــــرف],MATCH(C492,Tabledaily[رقم العملية],0)),1)</f>
        <v>405</v>
      </c>
      <c r="K492" s="123" cm="1">
        <f t="array" ref="K492">IFERROR(INDEX(Tabledaily[المبلـــــــغ],MATCH(1,(TableDailyJournal[[#This Row],[رقم العملية]]=Tabledaily[رقم العملية])*(TableDailyJournal[[#This Row],[الحساب]]=Tabledaily[الحســاب المديــــن]),0)),0)</f>
        <v>100000</v>
      </c>
      <c r="L492" s="123" cm="1">
        <f t="array" ref="L492">IFERROR(INDEX(Tabledaily[المبلـــــــغ],MATCH(1,(TableDailyJournal[[#This Row],[رقم العملية]]=Tabledaily[رقم العملية])*(TableDailyJournal[[#This Row],[الحساب]]=Tabledaily[الحســاب الدئـــن]),0)),0)</f>
        <v>0</v>
      </c>
      <c r="M492" s="119">
        <f>IFERROR(TableDailyJournal[[#This Row],[المبلغ مدين]]/TableDailyJournal[[#This Row],[سعــــــر
الصـــــرف]],0)</f>
        <v>246.91358024691357</v>
      </c>
      <c r="N492" s="119">
        <f>IFERROR(TableDailyJournal[[#This Row],[المبلغ دائن]]/TableDailyJournal[[#This Row],[سعــــــر
الصـــــرف]],0)</f>
        <v>0</v>
      </c>
      <c r="O492" s="121" t="str">
        <f>INDEX(Tabledaily[المستفيــــــــد],MATCH(TableDailyJournal[[#This Row],[رقم العملية]],Tabledaily[رقم العملية],0))</f>
        <v>الضباط السابقين</v>
      </c>
      <c r="P492" s="121">
        <f>INDEX(Tabledaily[المــــرجـــــــــع],MATCH(TableDailyJournal[[#This Row],[رقم العملية]],Tabledaily[رقم العملية],0))</f>
        <v>0</v>
      </c>
      <c r="Q492" s="121">
        <f>INDEX(Tabledaily[اســـــــم المــــرجــــع],MATCH(TableDailyJournal[[#This Row],[رقم العملية]],Tabledaily[رقم العملية],0))</f>
        <v>0</v>
      </c>
      <c r="R492" s="121">
        <f>INDEX(Tabledaily[رقم المـــــرجـــع],MATCH(TableDailyJournal[[#This Row],[رقم العملية]],Tabledaily[رقم العملية],0))</f>
        <v>0</v>
      </c>
      <c r="S492" s="121" t="str">
        <f>INDEX(Tabledaily[مركـــــــزالتكلفــــــة],MATCH(TableDailyJournal[[#This Row],[رقم العملية]],Tabledaily[رقم العملية],0))</f>
        <v>الفرقة الثالثة</v>
      </c>
      <c r="T492" s="121">
        <f>IFERROR(INDEX(tablecost[رقم المركز],MATCH(TableDailyJournal[[#This Row],[مركـــــــزالتكلفــــــة]],tablecost[الاسم],0)),0)</f>
        <v>1</v>
      </c>
      <c r="U492" s="122">
        <f>IFERROR(DATE(TableDailyJournal[[#This Row],[السنــــة]],TableDailyJournal[[#This Row],[الشهــــر]],TableDailyJournal[[#This Row],[الـــــيوم]]),"01-01-2026")</f>
        <v>46189</v>
      </c>
      <c r="V492" s="126"/>
      <c r="W492" s="58"/>
      <c r="X492" s="58">
        <f>IFERROR(YEAR(TableDailyJournal[[#This Row],[التاريخ]]),"")</f>
        <v>2026</v>
      </c>
      <c r="Y492" s="58">
        <f>IFERROR(MONTH(TableDailyJournal[[#This Row],[التاريخ]]),"")</f>
        <v>6</v>
      </c>
      <c r="Z492" s="58">
        <f>IFERROR(DAY(TableDailyJournal[[#This Row],[التاريخ]]),"")</f>
        <v>16</v>
      </c>
      <c r="AA492" s="126" t="str">
        <f>INDEX(Tabledaily[المرجع البياني],MATCH(TableDailyJournal[[#This Row],[رقم العملية]],Tabledaily[رقم العملية],0))</f>
        <v>قيـد مقابـل:- (مصاريف  صرفة يومية للافراد  - الضباط السابقين - الفرقة الثالثة)  -  رقم    - صرف الصرفة اليومية ضباط سابقين لعدد 10 بامر</v>
      </c>
      <c r="AB492" s="121">
        <f>INDEX(Tabledaily[جهة الامر],MATCH(TableDailyJournal[[#This Row],[رقم العملية]],Tabledaily[رقم العملية],0))</f>
        <v>0</v>
      </c>
    </row>
    <row r="493" spans="2:28" ht="45.75" x14ac:dyDescent="0.55000000000000004">
      <c r="B493" s="58">
        <f t="shared" si="15"/>
        <v>489</v>
      </c>
      <c r="C493" s="59" t="s">
        <v>841</v>
      </c>
      <c r="D493" s="60">
        <f>INDEX(Tabledaily[date],MATCH(TableDailyJournal[[#This Row],[رقم العملية]],Tabledaily[رقم العملية],0))</f>
        <v>46189</v>
      </c>
      <c r="E493" s="58" t="str">
        <f>INDEX(Tabledaily[نوع العمليــة],MATCH(TableDailyJournal[[#This Row],[رقم العملية]],Tabledaily[رقم العملية],0))</f>
        <v>قيد عهده</v>
      </c>
      <c r="F493" s="58">
        <f>IFERROR(INDEX(TableJudje[رقم الحساب],MATCH(TableDailyJournal[[#This Row],[الحساب]],TableJudje[اسم الحساب],0)),0)</f>
        <v>11060205</v>
      </c>
      <c r="G493" s="58" t="s">
        <v>513</v>
      </c>
      <c r="H493" s="61" t="str">
        <f>INDEX(Tabledaily[المرجع البياني],MATCH(TableDailyJournal[[#This Row],[رقم العملية]],Tabledaily[رقم العملية],0))</f>
        <v>قيـد مقابـل:- (مصاريف  صرفة يومية للافراد  - الضباط السابقين - الفرقة الثالثة)  -  رقم    - صرف الصرفة اليومية ضباط سابقين لعدد 10 بامر</v>
      </c>
      <c r="I493" s="60" t="str">
        <f>INDEX(Tabledaily[العملـــة],MATCH(TableDailyJournal[[#This Row],[رقم العملية]],Tabledaily[رقم العملية],0))</f>
        <v>ريال يمني</v>
      </c>
      <c r="J493" s="59">
        <f>IFERROR(INDEX(Tabledaily[سعــــــر
الصـــــرف],MATCH(C493,Tabledaily[رقم العملية],0)),1)</f>
        <v>405</v>
      </c>
      <c r="K493" s="123" cm="1">
        <f t="array" ref="K493">IFERROR(INDEX(Tabledaily[المبلـــــــغ],MATCH(1,(TableDailyJournal[[#This Row],[رقم العملية]]=Tabledaily[رقم العملية])*(TableDailyJournal[[#This Row],[الحساب]]=Tabledaily[الحســاب المديــــن]),0)),0)</f>
        <v>0</v>
      </c>
      <c r="L493" s="123" cm="1">
        <f t="array" ref="L493">IFERROR(INDEX(Tabledaily[المبلـــــــغ],MATCH(1,(TableDailyJournal[[#This Row],[رقم العملية]]=Tabledaily[رقم العملية])*(TableDailyJournal[[#This Row],[الحساب]]=Tabledaily[الحســاب الدئـــن]),0)),0)</f>
        <v>100000</v>
      </c>
      <c r="M493" s="119">
        <f>IFERROR(TableDailyJournal[[#This Row],[المبلغ مدين]]/TableDailyJournal[[#This Row],[سعــــــر
الصـــــرف]],0)</f>
        <v>0</v>
      </c>
      <c r="N493" s="119">
        <f>IFERROR(TableDailyJournal[[#This Row],[المبلغ دائن]]/TableDailyJournal[[#This Row],[سعــــــر
الصـــــرف]],0)</f>
        <v>246.91358024691357</v>
      </c>
      <c r="O493" s="121" t="str">
        <f>INDEX(Tabledaily[المستفيــــــــد],MATCH(TableDailyJournal[[#This Row],[رقم العملية]],Tabledaily[رقم العملية],0))</f>
        <v>الضباط السابقين</v>
      </c>
      <c r="P493" s="121">
        <f>INDEX(Tabledaily[المــــرجـــــــــع],MATCH(TableDailyJournal[[#This Row],[رقم العملية]],Tabledaily[رقم العملية],0))</f>
        <v>0</v>
      </c>
      <c r="Q493" s="121">
        <f>INDEX(Tabledaily[اســـــــم المــــرجــــع],MATCH(TableDailyJournal[[#This Row],[رقم العملية]],Tabledaily[رقم العملية],0))</f>
        <v>0</v>
      </c>
      <c r="R493" s="121">
        <f>INDEX(Tabledaily[رقم المـــــرجـــع],MATCH(TableDailyJournal[[#This Row],[رقم العملية]],Tabledaily[رقم العملية],0))</f>
        <v>0</v>
      </c>
      <c r="S493" s="121" t="str">
        <f>INDEX(Tabledaily[مركـــــــزالتكلفــــــة],MATCH(TableDailyJournal[[#This Row],[رقم العملية]],Tabledaily[رقم العملية],0))</f>
        <v>الفرقة الثالثة</v>
      </c>
      <c r="T493" s="121">
        <f>IFERROR(INDEX(tablecost[رقم المركز],MATCH(TableDailyJournal[[#This Row],[مركـــــــزالتكلفــــــة]],tablecost[الاسم],0)),0)</f>
        <v>1</v>
      </c>
      <c r="U493" s="122">
        <f>IFERROR(DATE(TableDailyJournal[[#This Row],[السنــــة]],TableDailyJournal[[#This Row],[الشهــــر]],TableDailyJournal[[#This Row],[الـــــيوم]]),"01-01-2026")</f>
        <v>46189</v>
      </c>
      <c r="V493" s="126"/>
      <c r="W493" s="58"/>
      <c r="X493" s="58">
        <f>IFERROR(YEAR(TableDailyJournal[[#This Row],[التاريخ]]),"")</f>
        <v>2026</v>
      </c>
      <c r="Y493" s="58">
        <f>IFERROR(MONTH(TableDailyJournal[[#This Row],[التاريخ]]),"")</f>
        <v>6</v>
      </c>
      <c r="Z493" s="58">
        <f>IFERROR(DAY(TableDailyJournal[[#This Row],[التاريخ]]),"")</f>
        <v>16</v>
      </c>
      <c r="AA493" s="126" t="str">
        <f>INDEX(Tabledaily[المرجع البياني],MATCH(TableDailyJournal[[#This Row],[رقم العملية]],Tabledaily[رقم العملية],0))</f>
        <v>قيـد مقابـل:- (مصاريف  صرفة يومية للافراد  - الضباط السابقين - الفرقة الثالثة)  -  رقم    - صرف الصرفة اليومية ضباط سابقين لعدد 10 بامر</v>
      </c>
      <c r="AB493" s="121">
        <f>INDEX(Tabledaily[جهة الامر],MATCH(TableDailyJournal[[#This Row],[رقم العملية]],Tabledaily[رقم العملية],0))</f>
        <v>0</v>
      </c>
    </row>
    <row r="494" spans="2:28" ht="45.75" x14ac:dyDescent="0.55000000000000004">
      <c r="B494" s="58">
        <f t="shared" ref="B494:B501" si="16">ROW()-4</f>
        <v>490</v>
      </c>
      <c r="C494" s="59" t="s">
        <v>851</v>
      </c>
      <c r="D494" s="60">
        <f>INDEX(Tabledaily[date],MATCH(TableDailyJournal[[#This Row],[رقم العملية]],Tabledaily[رقم العملية],0))</f>
        <v>46189</v>
      </c>
      <c r="E494" s="58" t="str">
        <f>INDEX(Tabledaily[نوع العمليــة],MATCH(TableDailyJournal[[#This Row],[رقم العملية]],Tabledaily[رقم العملية],0))</f>
        <v>قيد عهده</v>
      </c>
      <c r="F494" s="58">
        <f>IFERROR(INDEX(TableJudje[رقم الحساب],MATCH(TableDailyJournal[[#This Row],[الحساب]],TableJudje[اسم الحساب],0)),0)</f>
        <v>31010101</v>
      </c>
      <c r="G494" s="58" t="s">
        <v>111</v>
      </c>
      <c r="H494" s="61" t="str">
        <f>INDEX(Tabledaily[المرجع البياني],MATCH(TableDailyJournal[[#This Row],[رقم العملية]],Tabledaily[رقم العملية],0))</f>
        <v>قيـد مقابـل:- (مصاريف  صرفة يومية للافراد  - اخرون - الفرقة الثالثة)  -  رقم    - الصرفة اليومية اخرون عدد 9 بامر</v>
      </c>
      <c r="I494" s="60" t="str">
        <f>INDEX(Tabledaily[العملـــة],MATCH(TableDailyJournal[[#This Row],[رقم العملية]],Tabledaily[رقم العملية],0))</f>
        <v>ريال يمني</v>
      </c>
      <c r="J494" s="59">
        <f>IFERROR(INDEX(Tabledaily[سعــــــر
الصـــــرف],MATCH(C494,Tabledaily[رقم العملية],0)),1)</f>
        <v>405</v>
      </c>
      <c r="K494" s="123" cm="1">
        <f t="array" ref="K494">IFERROR(INDEX(Tabledaily[المبلـــــــغ],MATCH(1,(TableDailyJournal[[#This Row],[رقم العملية]]=Tabledaily[رقم العملية])*(TableDailyJournal[[#This Row],[الحساب]]=Tabledaily[الحســاب المديــــن]),0)),0)</f>
        <v>78000</v>
      </c>
      <c r="L494" s="123" cm="1">
        <f t="array" ref="L494">IFERROR(INDEX(Tabledaily[المبلـــــــغ],MATCH(1,(TableDailyJournal[[#This Row],[رقم العملية]]=Tabledaily[رقم العملية])*(TableDailyJournal[[#This Row],[الحساب]]=Tabledaily[الحســاب الدئـــن]),0)),0)</f>
        <v>0</v>
      </c>
      <c r="M494" s="119">
        <f>IFERROR(TableDailyJournal[[#This Row],[المبلغ مدين]]/TableDailyJournal[[#This Row],[سعــــــر
الصـــــرف]],0)</f>
        <v>192.59259259259258</v>
      </c>
      <c r="N494" s="119">
        <f>IFERROR(TableDailyJournal[[#This Row],[المبلغ دائن]]/TableDailyJournal[[#This Row],[سعــــــر
الصـــــرف]],0)</f>
        <v>0</v>
      </c>
      <c r="O494" s="121" t="str">
        <f>INDEX(Tabledaily[المستفيــــــــد],MATCH(TableDailyJournal[[#This Row],[رقم العملية]],Tabledaily[رقم العملية],0))</f>
        <v>اخرون</v>
      </c>
      <c r="P494" s="121">
        <f>INDEX(Tabledaily[المــــرجـــــــــع],MATCH(TableDailyJournal[[#This Row],[رقم العملية]],Tabledaily[رقم العملية],0))</f>
        <v>0</v>
      </c>
      <c r="Q494" s="121">
        <f>INDEX(Tabledaily[اســـــــم المــــرجــــع],MATCH(TableDailyJournal[[#This Row],[رقم العملية]],Tabledaily[رقم العملية],0))</f>
        <v>0</v>
      </c>
      <c r="R494" s="121">
        <f>INDEX(Tabledaily[رقم المـــــرجـــع],MATCH(TableDailyJournal[[#This Row],[رقم العملية]],Tabledaily[رقم العملية],0))</f>
        <v>0</v>
      </c>
      <c r="S494" s="121" t="str">
        <f>INDEX(Tabledaily[مركـــــــزالتكلفــــــة],MATCH(TableDailyJournal[[#This Row],[رقم العملية]],Tabledaily[رقم العملية],0))</f>
        <v>الفرقة الثالثة</v>
      </c>
      <c r="T494" s="121">
        <f>IFERROR(INDEX(tablecost[رقم المركز],MATCH(TableDailyJournal[[#This Row],[مركـــــــزالتكلفــــــة]],tablecost[الاسم],0)),0)</f>
        <v>1</v>
      </c>
      <c r="U494" s="122">
        <f>IFERROR(DATE(TableDailyJournal[[#This Row],[السنــــة]],TableDailyJournal[[#This Row],[الشهــــر]],TableDailyJournal[[#This Row],[الـــــيوم]]),"01-01-2026")</f>
        <v>46189</v>
      </c>
      <c r="V494" s="126"/>
      <c r="W494" s="58"/>
      <c r="X494" s="58">
        <f>IFERROR(YEAR(TableDailyJournal[[#This Row],[التاريخ]]),"")</f>
        <v>2026</v>
      </c>
      <c r="Y494" s="58">
        <f>IFERROR(MONTH(TableDailyJournal[[#This Row],[التاريخ]]),"")</f>
        <v>6</v>
      </c>
      <c r="Z494" s="58">
        <f>IFERROR(DAY(TableDailyJournal[[#This Row],[التاريخ]]),"")</f>
        <v>16</v>
      </c>
      <c r="AA494" s="126" t="str">
        <f>INDEX(Tabledaily[المرجع البياني],MATCH(TableDailyJournal[[#This Row],[رقم العملية]],Tabledaily[رقم العملية],0))</f>
        <v>قيـد مقابـل:- (مصاريف  صرفة يومية للافراد  - اخرون - الفرقة الثالثة)  -  رقم    - الصرفة اليومية اخرون عدد 9 بامر</v>
      </c>
      <c r="AB494" s="121">
        <f>INDEX(Tabledaily[جهة الامر],MATCH(TableDailyJournal[[#This Row],[رقم العملية]],Tabledaily[رقم العملية],0))</f>
        <v>0</v>
      </c>
    </row>
    <row r="495" spans="2:28" ht="45.75" x14ac:dyDescent="0.55000000000000004">
      <c r="B495" s="58">
        <f t="shared" si="16"/>
        <v>491</v>
      </c>
      <c r="C495" s="59" t="s">
        <v>851</v>
      </c>
      <c r="D495" s="60">
        <f>INDEX(Tabledaily[date],MATCH(TableDailyJournal[[#This Row],[رقم العملية]],Tabledaily[رقم العملية],0))</f>
        <v>46189</v>
      </c>
      <c r="E495" s="58" t="str">
        <f>INDEX(Tabledaily[نوع العمليــة],MATCH(TableDailyJournal[[#This Row],[رقم العملية]],Tabledaily[رقم العملية],0))</f>
        <v>قيد عهده</v>
      </c>
      <c r="F495" s="58">
        <f>IFERROR(INDEX(TableJudje[رقم الحساب],MATCH(TableDailyJournal[[#This Row],[الحساب]],TableJudje[اسم الحساب],0)),0)</f>
        <v>11060205</v>
      </c>
      <c r="G495" s="58" t="s">
        <v>513</v>
      </c>
      <c r="H495" s="61" t="str">
        <f>INDEX(Tabledaily[المرجع البياني],MATCH(TableDailyJournal[[#This Row],[رقم العملية]],Tabledaily[رقم العملية],0))</f>
        <v>قيـد مقابـل:- (مصاريف  صرفة يومية للافراد  - اخرون - الفرقة الثالثة)  -  رقم    - الصرفة اليومية اخرون عدد 9 بامر</v>
      </c>
      <c r="I495" s="60" t="str">
        <f>INDEX(Tabledaily[العملـــة],MATCH(TableDailyJournal[[#This Row],[رقم العملية]],Tabledaily[رقم العملية],0))</f>
        <v>ريال يمني</v>
      </c>
      <c r="J495" s="59">
        <f>IFERROR(INDEX(Tabledaily[سعــــــر
الصـــــرف],MATCH(C495,Tabledaily[رقم العملية],0)),1)</f>
        <v>405</v>
      </c>
      <c r="K495" s="123" cm="1">
        <f t="array" ref="K495">IFERROR(INDEX(Tabledaily[المبلـــــــغ],MATCH(1,(TableDailyJournal[[#This Row],[رقم العملية]]=Tabledaily[رقم العملية])*(TableDailyJournal[[#This Row],[الحساب]]=Tabledaily[الحســاب المديــــن]),0)),0)</f>
        <v>0</v>
      </c>
      <c r="L495" s="123" cm="1">
        <f t="array" ref="L495">IFERROR(INDEX(Tabledaily[المبلـــــــغ],MATCH(1,(TableDailyJournal[[#This Row],[رقم العملية]]=Tabledaily[رقم العملية])*(TableDailyJournal[[#This Row],[الحساب]]=Tabledaily[الحســاب الدئـــن]),0)),0)</f>
        <v>78000</v>
      </c>
      <c r="M495" s="119">
        <f>IFERROR(TableDailyJournal[[#This Row],[المبلغ مدين]]/TableDailyJournal[[#This Row],[سعــــــر
الصـــــرف]],0)</f>
        <v>0</v>
      </c>
      <c r="N495" s="119">
        <f>IFERROR(TableDailyJournal[[#This Row],[المبلغ دائن]]/TableDailyJournal[[#This Row],[سعــــــر
الصـــــرف]],0)</f>
        <v>192.59259259259258</v>
      </c>
      <c r="O495" s="121" t="str">
        <f>INDEX(Tabledaily[المستفيــــــــد],MATCH(TableDailyJournal[[#This Row],[رقم العملية]],Tabledaily[رقم العملية],0))</f>
        <v>اخرون</v>
      </c>
      <c r="P495" s="121">
        <f>INDEX(Tabledaily[المــــرجـــــــــع],MATCH(TableDailyJournal[[#This Row],[رقم العملية]],Tabledaily[رقم العملية],0))</f>
        <v>0</v>
      </c>
      <c r="Q495" s="121">
        <f>INDEX(Tabledaily[اســـــــم المــــرجــــع],MATCH(TableDailyJournal[[#This Row],[رقم العملية]],Tabledaily[رقم العملية],0))</f>
        <v>0</v>
      </c>
      <c r="R495" s="121">
        <f>INDEX(Tabledaily[رقم المـــــرجـــع],MATCH(TableDailyJournal[[#This Row],[رقم العملية]],Tabledaily[رقم العملية],0))</f>
        <v>0</v>
      </c>
      <c r="S495" s="121" t="str">
        <f>INDEX(Tabledaily[مركـــــــزالتكلفــــــة],MATCH(TableDailyJournal[[#This Row],[رقم العملية]],Tabledaily[رقم العملية],0))</f>
        <v>الفرقة الثالثة</v>
      </c>
      <c r="T495" s="121">
        <f>IFERROR(INDEX(tablecost[رقم المركز],MATCH(TableDailyJournal[[#This Row],[مركـــــــزالتكلفــــــة]],tablecost[الاسم],0)),0)</f>
        <v>1</v>
      </c>
      <c r="U495" s="122">
        <f>IFERROR(DATE(TableDailyJournal[[#This Row],[السنــــة]],TableDailyJournal[[#This Row],[الشهــــر]],TableDailyJournal[[#This Row],[الـــــيوم]]),"01-01-2026")</f>
        <v>46189</v>
      </c>
      <c r="V495" s="126"/>
      <c r="W495" s="58"/>
      <c r="X495" s="58">
        <f>IFERROR(YEAR(TableDailyJournal[[#This Row],[التاريخ]]),"")</f>
        <v>2026</v>
      </c>
      <c r="Y495" s="58">
        <f>IFERROR(MONTH(TableDailyJournal[[#This Row],[التاريخ]]),"")</f>
        <v>6</v>
      </c>
      <c r="Z495" s="58">
        <f>IFERROR(DAY(TableDailyJournal[[#This Row],[التاريخ]]),"")</f>
        <v>16</v>
      </c>
      <c r="AA495" s="126" t="str">
        <f>INDEX(Tabledaily[المرجع البياني],MATCH(TableDailyJournal[[#This Row],[رقم العملية]],Tabledaily[رقم العملية],0))</f>
        <v>قيـد مقابـل:- (مصاريف  صرفة يومية للافراد  - اخرون - الفرقة الثالثة)  -  رقم    - الصرفة اليومية اخرون عدد 9 بامر</v>
      </c>
      <c r="AB495" s="121">
        <f>INDEX(Tabledaily[جهة الامر],MATCH(TableDailyJournal[[#This Row],[رقم العملية]],Tabledaily[رقم العملية],0))</f>
        <v>0</v>
      </c>
    </row>
    <row r="496" spans="2:28" ht="45.75" x14ac:dyDescent="0.55000000000000004">
      <c r="B496" s="58">
        <f t="shared" si="16"/>
        <v>492</v>
      </c>
      <c r="C496" s="59" t="s">
        <v>853</v>
      </c>
      <c r="D496" s="60">
        <f>INDEX(Tabledaily[date],MATCH(TableDailyJournal[[#This Row],[رقم العملية]],Tabledaily[رقم العملية],0))</f>
        <v>46189</v>
      </c>
      <c r="E496" s="58" t="str">
        <f>INDEX(Tabledaily[نوع العمليــة],MATCH(TableDailyJournal[[#This Row],[رقم العملية]],Tabledaily[رقم العملية],0))</f>
        <v>قيد عهده</v>
      </c>
      <c r="F496" s="58">
        <f>IFERROR(INDEX(TableJudje[رقم الحساب],MATCH(TableDailyJournal[[#This Row],[الحساب]],TableJudje[اسم الحساب],0)),0)</f>
        <v>31010101</v>
      </c>
      <c r="G496" s="58" t="s">
        <v>111</v>
      </c>
      <c r="H496" s="61" t="str">
        <f>INDEX(Tabledaily[المرجع البياني],MATCH(TableDailyJournal[[#This Row],[رقم العملية]],Tabledaily[رقم العملية],0))</f>
        <v>قيـد مقابـل:- (مصاريف  صرفة يومية للافراد  - سرية اللواء السادس - اللواء السادس)  -  رقم    - مصاريف يومية سرية اللواء السادس عدد 31 بامر</v>
      </c>
      <c r="I496" s="60" t="str">
        <f>INDEX(Tabledaily[العملـــة],MATCH(TableDailyJournal[[#This Row],[رقم العملية]],Tabledaily[رقم العملية],0))</f>
        <v>ريال يمني</v>
      </c>
      <c r="J496" s="59">
        <f>IFERROR(INDEX(Tabledaily[سعــــــر
الصـــــرف],MATCH(C496,Tabledaily[رقم العملية],0)),1)</f>
        <v>405</v>
      </c>
      <c r="K496" s="123" cm="1">
        <f t="array" ref="K496">IFERROR(INDEX(Tabledaily[المبلـــــــغ],MATCH(1,(TableDailyJournal[[#This Row],[رقم العملية]]=Tabledaily[رقم العملية])*(TableDailyJournal[[#This Row],[الحساب]]=Tabledaily[الحســاب المديــــن]),0)),0)</f>
        <v>124000</v>
      </c>
      <c r="L496" s="123" cm="1">
        <f t="array" ref="L496">IFERROR(INDEX(Tabledaily[المبلـــــــغ],MATCH(1,(TableDailyJournal[[#This Row],[رقم العملية]]=Tabledaily[رقم العملية])*(TableDailyJournal[[#This Row],[الحساب]]=Tabledaily[الحســاب الدئـــن]),0)),0)</f>
        <v>0</v>
      </c>
      <c r="M496" s="119">
        <f>IFERROR(TableDailyJournal[[#This Row],[المبلغ مدين]]/TableDailyJournal[[#This Row],[سعــــــر
الصـــــرف]],0)</f>
        <v>306.17283950617286</v>
      </c>
      <c r="N496" s="119">
        <f>IFERROR(TableDailyJournal[[#This Row],[المبلغ دائن]]/TableDailyJournal[[#This Row],[سعــــــر
الصـــــرف]],0)</f>
        <v>0</v>
      </c>
      <c r="O496" s="121" t="str">
        <f>INDEX(Tabledaily[المستفيــــــــد],MATCH(TableDailyJournal[[#This Row],[رقم العملية]],Tabledaily[رقم العملية],0))</f>
        <v>سرية اللواء السادس</v>
      </c>
      <c r="P496" s="121">
        <f>INDEX(Tabledaily[المــــرجـــــــــع],MATCH(TableDailyJournal[[#This Row],[رقم العملية]],Tabledaily[رقم العملية],0))</f>
        <v>0</v>
      </c>
      <c r="Q496" s="121">
        <f>INDEX(Tabledaily[اســـــــم المــــرجــــع],MATCH(TableDailyJournal[[#This Row],[رقم العملية]],Tabledaily[رقم العملية],0))</f>
        <v>0</v>
      </c>
      <c r="R496" s="121">
        <f>INDEX(Tabledaily[رقم المـــــرجـــع],MATCH(TableDailyJournal[[#This Row],[رقم العملية]],Tabledaily[رقم العملية],0))</f>
        <v>0</v>
      </c>
      <c r="S496" s="121" t="str">
        <f>INDEX(Tabledaily[مركـــــــزالتكلفــــــة],MATCH(TableDailyJournal[[#This Row],[رقم العملية]],Tabledaily[رقم العملية],0))</f>
        <v>اللواء السادس</v>
      </c>
      <c r="T496" s="121">
        <f>IFERROR(INDEX(tablecost[رقم المركز],MATCH(TableDailyJournal[[#This Row],[مركـــــــزالتكلفــــــة]],tablecost[الاسم],0)),0)</f>
        <v>7</v>
      </c>
      <c r="U496" s="122">
        <f>IFERROR(DATE(TableDailyJournal[[#This Row],[السنــــة]],TableDailyJournal[[#This Row],[الشهــــر]],TableDailyJournal[[#This Row],[الـــــيوم]]),"01-01-2026")</f>
        <v>46189</v>
      </c>
      <c r="V496" s="126"/>
      <c r="W496" s="58"/>
      <c r="X496" s="58">
        <f>IFERROR(YEAR(TableDailyJournal[[#This Row],[التاريخ]]),"")</f>
        <v>2026</v>
      </c>
      <c r="Y496" s="58">
        <f>IFERROR(MONTH(TableDailyJournal[[#This Row],[التاريخ]]),"")</f>
        <v>6</v>
      </c>
      <c r="Z496" s="58">
        <f>IFERROR(DAY(TableDailyJournal[[#This Row],[التاريخ]]),"")</f>
        <v>16</v>
      </c>
      <c r="AA496" s="126" t="str">
        <f>INDEX(Tabledaily[المرجع البياني],MATCH(TableDailyJournal[[#This Row],[رقم العملية]],Tabledaily[رقم العملية],0))</f>
        <v>قيـد مقابـل:- (مصاريف  صرفة يومية للافراد  - سرية اللواء السادس - اللواء السادس)  -  رقم    - مصاريف يومية سرية اللواء السادس عدد 31 بامر</v>
      </c>
      <c r="AB496" s="121">
        <f>INDEX(Tabledaily[جهة الامر],MATCH(TableDailyJournal[[#This Row],[رقم العملية]],Tabledaily[رقم العملية],0))</f>
        <v>0</v>
      </c>
    </row>
    <row r="497" spans="2:28" ht="45.75" x14ac:dyDescent="0.55000000000000004">
      <c r="B497" s="58">
        <f t="shared" si="16"/>
        <v>493</v>
      </c>
      <c r="C497" s="59" t="s">
        <v>853</v>
      </c>
      <c r="D497" s="60">
        <f>INDEX(Tabledaily[date],MATCH(TableDailyJournal[[#This Row],[رقم العملية]],Tabledaily[رقم العملية],0))</f>
        <v>46189</v>
      </c>
      <c r="E497" s="58" t="str">
        <f>INDEX(Tabledaily[نوع العمليــة],MATCH(TableDailyJournal[[#This Row],[رقم العملية]],Tabledaily[رقم العملية],0))</f>
        <v>قيد عهده</v>
      </c>
      <c r="F497" s="58">
        <f>IFERROR(INDEX(TableJudje[رقم الحساب],MATCH(TableDailyJournal[[#This Row],[الحساب]],TableJudje[اسم الحساب],0)),0)</f>
        <v>11060205</v>
      </c>
      <c r="G497" s="58" t="s">
        <v>513</v>
      </c>
      <c r="H497" s="61" t="str">
        <f>INDEX(Tabledaily[المرجع البياني],MATCH(TableDailyJournal[[#This Row],[رقم العملية]],Tabledaily[رقم العملية],0))</f>
        <v>قيـد مقابـل:- (مصاريف  صرفة يومية للافراد  - سرية اللواء السادس - اللواء السادس)  -  رقم    - مصاريف يومية سرية اللواء السادس عدد 31 بامر</v>
      </c>
      <c r="I497" s="60" t="str">
        <f>INDEX(Tabledaily[العملـــة],MATCH(TableDailyJournal[[#This Row],[رقم العملية]],Tabledaily[رقم العملية],0))</f>
        <v>ريال يمني</v>
      </c>
      <c r="J497" s="59">
        <f>IFERROR(INDEX(Tabledaily[سعــــــر
الصـــــرف],MATCH(C497,Tabledaily[رقم العملية],0)),1)</f>
        <v>405</v>
      </c>
      <c r="K497" s="123" cm="1">
        <f t="array" ref="K497">IFERROR(INDEX(Tabledaily[المبلـــــــغ],MATCH(1,(TableDailyJournal[[#This Row],[رقم العملية]]=Tabledaily[رقم العملية])*(TableDailyJournal[[#This Row],[الحساب]]=Tabledaily[الحســاب المديــــن]),0)),0)</f>
        <v>0</v>
      </c>
      <c r="L497" s="123" cm="1">
        <f t="array" ref="L497">IFERROR(INDEX(Tabledaily[المبلـــــــغ],MATCH(1,(TableDailyJournal[[#This Row],[رقم العملية]]=Tabledaily[رقم العملية])*(TableDailyJournal[[#This Row],[الحساب]]=Tabledaily[الحســاب الدئـــن]),0)),0)</f>
        <v>124000</v>
      </c>
      <c r="M497" s="119">
        <f>IFERROR(TableDailyJournal[[#This Row],[المبلغ مدين]]/TableDailyJournal[[#This Row],[سعــــــر
الصـــــرف]],0)</f>
        <v>0</v>
      </c>
      <c r="N497" s="119">
        <f>IFERROR(TableDailyJournal[[#This Row],[المبلغ دائن]]/TableDailyJournal[[#This Row],[سعــــــر
الصـــــرف]],0)</f>
        <v>306.17283950617286</v>
      </c>
      <c r="O497" s="121" t="str">
        <f>INDEX(Tabledaily[المستفيــــــــد],MATCH(TableDailyJournal[[#This Row],[رقم العملية]],Tabledaily[رقم العملية],0))</f>
        <v>سرية اللواء السادس</v>
      </c>
      <c r="P497" s="121">
        <f>INDEX(Tabledaily[المــــرجـــــــــع],MATCH(TableDailyJournal[[#This Row],[رقم العملية]],Tabledaily[رقم العملية],0))</f>
        <v>0</v>
      </c>
      <c r="Q497" s="121">
        <f>INDEX(Tabledaily[اســـــــم المــــرجــــع],MATCH(TableDailyJournal[[#This Row],[رقم العملية]],Tabledaily[رقم العملية],0))</f>
        <v>0</v>
      </c>
      <c r="R497" s="121">
        <f>INDEX(Tabledaily[رقم المـــــرجـــع],MATCH(TableDailyJournal[[#This Row],[رقم العملية]],Tabledaily[رقم العملية],0))</f>
        <v>0</v>
      </c>
      <c r="S497" s="121" t="str">
        <f>INDEX(Tabledaily[مركـــــــزالتكلفــــــة],MATCH(TableDailyJournal[[#This Row],[رقم العملية]],Tabledaily[رقم العملية],0))</f>
        <v>اللواء السادس</v>
      </c>
      <c r="T497" s="121">
        <f>IFERROR(INDEX(tablecost[رقم المركز],MATCH(TableDailyJournal[[#This Row],[مركـــــــزالتكلفــــــة]],tablecost[الاسم],0)),0)</f>
        <v>7</v>
      </c>
      <c r="U497" s="122">
        <f>IFERROR(DATE(TableDailyJournal[[#This Row],[السنــــة]],TableDailyJournal[[#This Row],[الشهــــر]],TableDailyJournal[[#This Row],[الـــــيوم]]),"01-01-2026")</f>
        <v>46189</v>
      </c>
      <c r="V497" s="126"/>
      <c r="W497" s="58"/>
      <c r="X497" s="58">
        <f>IFERROR(YEAR(TableDailyJournal[[#This Row],[التاريخ]]),"")</f>
        <v>2026</v>
      </c>
      <c r="Y497" s="58">
        <f>IFERROR(MONTH(TableDailyJournal[[#This Row],[التاريخ]]),"")</f>
        <v>6</v>
      </c>
      <c r="Z497" s="58">
        <f>IFERROR(DAY(TableDailyJournal[[#This Row],[التاريخ]]),"")</f>
        <v>16</v>
      </c>
      <c r="AA497" s="126" t="str">
        <f>INDEX(Tabledaily[المرجع البياني],MATCH(TableDailyJournal[[#This Row],[رقم العملية]],Tabledaily[رقم العملية],0))</f>
        <v>قيـد مقابـل:- (مصاريف  صرفة يومية للافراد  - سرية اللواء السادس - اللواء السادس)  -  رقم    - مصاريف يومية سرية اللواء السادس عدد 31 بامر</v>
      </c>
      <c r="AB497" s="121">
        <f>INDEX(Tabledaily[جهة الامر],MATCH(TableDailyJournal[[#This Row],[رقم العملية]],Tabledaily[رقم العملية],0))</f>
        <v>0</v>
      </c>
    </row>
    <row r="498" spans="2:28" ht="45.75" x14ac:dyDescent="0.55000000000000004">
      <c r="B498" s="58">
        <f t="shared" si="16"/>
        <v>494</v>
      </c>
      <c r="C498" s="59" t="s">
        <v>856</v>
      </c>
      <c r="D498" s="60">
        <f>INDEX(Tabledaily[date],MATCH(TableDailyJournal[[#This Row],[رقم العملية]],Tabledaily[رقم العملية],0))</f>
        <v>46189</v>
      </c>
      <c r="E498" s="58" t="str">
        <f>INDEX(Tabledaily[نوع العمليــة],MATCH(TableDailyJournal[[#This Row],[رقم العملية]],Tabledaily[رقم العملية],0))</f>
        <v>قيد عهده</v>
      </c>
      <c r="F498" s="58">
        <f>IFERROR(INDEX(TableJudje[رقم الحساب],MATCH(TableDailyJournal[[#This Row],[الحساب]],TableJudje[اسم الحساب],0)),0)</f>
        <v>11060210</v>
      </c>
      <c r="G498" s="58" t="s">
        <v>855</v>
      </c>
      <c r="H498" s="61" t="str">
        <f>INDEX(Tabledaily[المرجع البياني],MATCH(TableDailyJournal[[#This Row],[رقم العملية]],Tabledaily[رقم العملية],0))</f>
        <v>قيـد مقابـل:- (عهدة جمال مسدوس - عبدالله باعمر - الفرقة الثالثة)  - استلام نقدي رقم   سند استلام - صرف مبلغ بيد عبدالله باعمر بامر</v>
      </c>
      <c r="I498" s="60" t="str">
        <f>INDEX(Tabledaily[العملـــة],MATCH(TableDailyJournal[[#This Row],[رقم العملية]],Tabledaily[رقم العملية],0))</f>
        <v>ريال سعودي</v>
      </c>
      <c r="J498" s="59">
        <f>IFERROR(INDEX(Tabledaily[سعــــــر
الصـــــرف],MATCH(C498,Tabledaily[رقم العملية],0)),1)</f>
        <v>1</v>
      </c>
      <c r="K498" s="123" cm="1">
        <f t="array" ref="K498">IFERROR(INDEX(Tabledaily[المبلـــــــغ],MATCH(1,(TableDailyJournal[[#This Row],[رقم العملية]]=Tabledaily[رقم العملية])*(TableDailyJournal[[#This Row],[الحساب]]=Tabledaily[الحســاب المديــــن]),0)),0)</f>
        <v>0</v>
      </c>
      <c r="L498" s="123" cm="1">
        <f t="array" ref="L498">IFERROR(INDEX(Tabledaily[المبلـــــــغ],MATCH(1,(TableDailyJournal[[#This Row],[رقم العملية]]=Tabledaily[رقم العملية])*(TableDailyJournal[[#This Row],[الحساب]]=Tabledaily[الحســاب الدئـــن]),0)),0)</f>
        <v>0</v>
      </c>
      <c r="M498" s="119">
        <f>IFERROR(TableDailyJournal[[#This Row],[المبلغ مدين]]/TableDailyJournal[[#This Row],[سعــــــر
الصـــــرف]],0)</f>
        <v>0</v>
      </c>
      <c r="N498" s="119">
        <f>IFERROR(TableDailyJournal[[#This Row],[المبلغ دائن]]/TableDailyJournal[[#This Row],[سعــــــر
الصـــــرف]],0)</f>
        <v>0</v>
      </c>
      <c r="O498" s="121" t="str">
        <f>INDEX(Tabledaily[المستفيــــــــد],MATCH(TableDailyJournal[[#This Row],[رقم العملية]],Tabledaily[رقم العملية],0))</f>
        <v>عبدالله باعمر</v>
      </c>
      <c r="P498" s="121" t="str">
        <f>INDEX(Tabledaily[المــــرجـــــــــع],MATCH(TableDailyJournal[[#This Row],[رقم العملية]],Tabledaily[رقم العملية],0))</f>
        <v>استلام نقدي</v>
      </c>
      <c r="Q498" s="121" t="str">
        <f>INDEX(Tabledaily[اســـــــم المــــرجــــع],MATCH(TableDailyJournal[[#This Row],[رقم العملية]],Tabledaily[رقم العملية],0))</f>
        <v>سند استلام</v>
      </c>
      <c r="R498" s="121">
        <f>INDEX(Tabledaily[رقم المـــــرجـــع],MATCH(TableDailyJournal[[#This Row],[رقم العملية]],Tabledaily[رقم العملية],0))</f>
        <v>0</v>
      </c>
      <c r="S498" s="121" t="str">
        <f>INDEX(Tabledaily[مركـــــــزالتكلفــــــة],MATCH(TableDailyJournal[[#This Row],[رقم العملية]],Tabledaily[رقم العملية],0))</f>
        <v>الفرقة الثالثة</v>
      </c>
      <c r="T498" s="121">
        <f>IFERROR(INDEX(tablecost[رقم المركز],MATCH(TableDailyJournal[[#This Row],[مركـــــــزالتكلفــــــة]],tablecost[الاسم],0)),0)</f>
        <v>1</v>
      </c>
      <c r="U498" s="122">
        <f>IFERROR(DATE(TableDailyJournal[[#This Row],[السنــــة]],TableDailyJournal[[#This Row],[الشهــــر]],TableDailyJournal[[#This Row],[الـــــيوم]]),"01-01-2026")</f>
        <v>46189</v>
      </c>
      <c r="V498" s="126"/>
      <c r="W498" s="58"/>
      <c r="X498" s="58">
        <f>IFERROR(YEAR(TableDailyJournal[[#This Row],[التاريخ]]),"")</f>
        <v>2026</v>
      </c>
      <c r="Y498" s="58">
        <f>IFERROR(MONTH(TableDailyJournal[[#This Row],[التاريخ]]),"")</f>
        <v>6</v>
      </c>
      <c r="Z498" s="58">
        <f>IFERROR(DAY(TableDailyJournal[[#This Row],[التاريخ]]),"")</f>
        <v>16</v>
      </c>
      <c r="AA498" s="126" t="str">
        <f>INDEX(Tabledaily[المرجع البياني],MATCH(TableDailyJournal[[#This Row],[رقم العملية]],Tabledaily[رقم العملية],0))</f>
        <v>قيـد مقابـل:- (عهدة جمال مسدوس - عبدالله باعمر - الفرقة الثالثة)  - استلام نقدي رقم   سند استلام - صرف مبلغ بيد عبدالله باعمر بامر</v>
      </c>
      <c r="AB498" s="121">
        <f>INDEX(Tabledaily[جهة الامر],MATCH(TableDailyJournal[[#This Row],[رقم العملية]],Tabledaily[رقم العملية],0))</f>
        <v>0</v>
      </c>
    </row>
    <row r="499" spans="2:28" ht="45.75" x14ac:dyDescent="0.55000000000000004">
      <c r="B499" s="58">
        <f t="shared" si="16"/>
        <v>495</v>
      </c>
      <c r="C499" s="59" t="s">
        <v>856</v>
      </c>
      <c r="D499" s="60">
        <f>INDEX(Tabledaily[date],MATCH(TableDailyJournal[[#This Row],[رقم العملية]],Tabledaily[رقم العملية],0))</f>
        <v>46189</v>
      </c>
      <c r="E499" s="58" t="str">
        <f>INDEX(Tabledaily[نوع العمليــة],MATCH(TableDailyJournal[[#This Row],[رقم العملية]],Tabledaily[رقم العملية],0))</f>
        <v>قيد عهده</v>
      </c>
      <c r="F499" s="58">
        <f>IFERROR(INDEX(TableJudje[رقم الحساب],MATCH(TableDailyJournal[[#This Row],[الحساب]],TableJudje[اسم الحساب],0)),0)</f>
        <v>11060205</v>
      </c>
      <c r="G499" s="58" t="s">
        <v>513</v>
      </c>
      <c r="H499" s="61" t="str">
        <f>INDEX(Tabledaily[المرجع البياني],MATCH(TableDailyJournal[[#This Row],[رقم العملية]],Tabledaily[رقم العملية],0))</f>
        <v>قيـد مقابـل:- (عهدة جمال مسدوس - عبدالله باعمر - الفرقة الثالثة)  - استلام نقدي رقم   سند استلام - صرف مبلغ بيد عبدالله باعمر بامر</v>
      </c>
      <c r="I499" s="60" t="str">
        <f>INDEX(Tabledaily[العملـــة],MATCH(TableDailyJournal[[#This Row],[رقم العملية]],Tabledaily[رقم العملية],0))</f>
        <v>ريال سعودي</v>
      </c>
      <c r="J499" s="59">
        <f>IFERROR(INDEX(Tabledaily[سعــــــر
الصـــــرف],MATCH(C499,Tabledaily[رقم العملية],0)),1)</f>
        <v>1</v>
      </c>
      <c r="K499" s="123" cm="1">
        <f t="array" ref="K499">IFERROR(INDEX(Tabledaily[المبلـــــــغ],MATCH(1,(TableDailyJournal[[#This Row],[رقم العملية]]=Tabledaily[رقم العملية])*(TableDailyJournal[[#This Row],[الحساب]]=Tabledaily[الحســاب المديــــن]),0)),0)</f>
        <v>0</v>
      </c>
      <c r="L499" s="123" cm="1">
        <f t="array" ref="L499">IFERROR(INDEX(Tabledaily[المبلـــــــغ],MATCH(1,(TableDailyJournal[[#This Row],[رقم العملية]]=Tabledaily[رقم العملية])*(TableDailyJournal[[#This Row],[الحساب]]=Tabledaily[الحســاب الدئـــن]),0)),0)</f>
        <v>2000</v>
      </c>
      <c r="M499" s="119">
        <f>IFERROR(TableDailyJournal[[#This Row],[المبلغ مدين]]/TableDailyJournal[[#This Row],[سعــــــر
الصـــــرف]],0)</f>
        <v>0</v>
      </c>
      <c r="N499" s="119">
        <f>IFERROR(TableDailyJournal[[#This Row],[المبلغ دائن]]/TableDailyJournal[[#This Row],[سعــــــر
الصـــــرف]],0)</f>
        <v>2000</v>
      </c>
      <c r="O499" s="121" t="str">
        <f>INDEX(Tabledaily[المستفيــــــــد],MATCH(TableDailyJournal[[#This Row],[رقم العملية]],Tabledaily[رقم العملية],0))</f>
        <v>عبدالله باعمر</v>
      </c>
      <c r="P499" s="121" t="str">
        <f>INDEX(Tabledaily[المــــرجـــــــــع],MATCH(TableDailyJournal[[#This Row],[رقم العملية]],Tabledaily[رقم العملية],0))</f>
        <v>استلام نقدي</v>
      </c>
      <c r="Q499" s="121" t="str">
        <f>INDEX(Tabledaily[اســـــــم المــــرجــــع],MATCH(TableDailyJournal[[#This Row],[رقم العملية]],Tabledaily[رقم العملية],0))</f>
        <v>سند استلام</v>
      </c>
      <c r="R499" s="121">
        <f>INDEX(Tabledaily[رقم المـــــرجـــع],MATCH(TableDailyJournal[[#This Row],[رقم العملية]],Tabledaily[رقم العملية],0))</f>
        <v>0</v>
      </c>
      <c r="S499" s="121" t="str">
        <f>INDEX(Tabledaily[مركـــــــزالتكلفــــــة],MATCH(TableDailyJournal[[#This Row],[رقم العملية]],Tabledaily[رقم العملية],0))</f>
        <v>الفرقة الثالثة</v>
      </c>
      <c r="T499" s="121">
        <f>IFERROR(INDEX(tablecost[رقم المركز],MATCH(TableDailyJournal[[#This Row],[مركـــــــزالتكلفــــــة]],tablecost[الاسم],0)),0)</f>
        <v>1</v>
      </c>
      <c r="U499" s="122">
        <f>IFERROR(DATE(TableDailyJournal[[#This Row],[السنــــة]],TableDailyJournal[[#This Row],[الشهــــر]],TableDailyJournal[[#This Row],[الـــــيوم]]),"01-01-2026")</f>
        <v>46189</v>
      </c>
      <c r="V499" s="126"/>
      <c r="W499" s="58"/>
      <c r="X499" s="58">
        <f>IFERROR(YEAR(TableDailyJournal[[#This Row],[التاريخ]]),"")</f>
        <v>2026</v>
      </c>
      <c r="Y499" s="58">
        <f>IFERROR(MONTH(TableDailyJournal[[#This Row],[التاريخ]]),"")</f>
        <v>6</v>
      </c>
      <c r="Z499" s="58">
        <f>IFERROR(DAY(TableDailyJournal[[#This Row],[التاريخ]]),"")</f>
        <v>16</v>
      </c>
      <c r="AA499" s="126" t="str">
        <f>INDEX(Tabledaily[المرجع البياني],MATCH(TableDailyJournal[[#This Row],[رقم العملية]],Tabledaily[رقم العملية],0))</f>
        <v>قيـد مقابـل:- (عهدة جمال مسدوس - عبدالله باعمر - الفرقة الثالثة)  - استلام نقدي رقم   سند استلام - صرف مبلغ بيد عبدالله باعمر بامر</v>
      </c>
      <c r="AB499" s="121">
        <f>INDEX(Tabledaily[جهة الامر],MATCH(TableDailyJournal[[#This Row],[رقم العملية]],Tabledaily[رقم العملية],0))</f>
        <v>0</v>
      </c>
    </row>
    <row r="500" spans="2:28" ht="45.75" x14ac:dyDescent="0.55000000000000004">
      <c r="B500" s="58">
        <f t="shared" si="16"/>
        <v>496</v>
      </c>
      <c r="C500" s="59" t="s">
        <v>859</v>
      </c>
      <c r="D500" s="60">
        <f>INDEX(Tabledaily[date],MATCH(TableDailyJournal[[#This Row],[رقم العملية]],Tabledaily[رقم العملية],0))</f>
        <v>46192</v>
      </c>
      <c r="E500" s="58" t="str">
        <f>INDEX(Tabledaily[نوع العمليــة],MATCH(TableDailyJournal[[#This Row],[رقم العملية]],Tabledaily[رقم العملية],0))</f>
        <v>قيد عهده</v>
      </c>
      <c r="F500" s="58">
        <f>IFERROR(INDEX(TableJudje[رقم الحساب],MATCH(TableDailyJournal[[#This Row],[الحساب]],TableJudje[اسم الحساب],0)),0)</f>
        <v>11060210</v>
      </c>
      <c r="G500" s="58" t="s">
        <v>855</v>
      </c>
      <c r="H500" s="61"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مبلغ بيد عبدالله باعمر بامر</v>
      </c>
      <c r="I500" s="60" t="str">
        <f>INDEX(Tabledaily[العملـــة],MATCH(TableDailyJournal[[#This Row],[رقم العملية]],Tabledaily[رقم العملية],0))</f>
        <v>ريال يمني</v>
      </c>
      <c r="J500" s="59">
        <f>IFERROR(INDEX(Tabledaily[سعــــــر
الصـــــرف],MATCH(C500,Tabledaily[رقم العملية],0)),1)</f>
        <v>405</v>
      </c>
      <c r="K500" s="123" cm="1">
        <f t="array" ref="K500">IFERROR(INDEX(Tabledaily[المبلـــــــغ],MATCH(1,(TableDailyJournal[[#This Row],[رقم العملية]]=Tabledaily[رقم العملية])*(TableDailyJournal[[#This Row],[الحساب]]=Tabledaily[الحســاب المديــــن]),0)),0)</f>
        <v>500000</v>
      </c>
      <c r="L500" s="123" cm="1">
        <f t="array" ref="L500">IFERROR(INDEX(Tabledaily[المبلـــــــغ],MATCH(1,(TableDailyJournal[[#This Row],[رقم العملية]]=Tabledaily[رقم العملية])*(TableDailyJournal[[#This Row],[الحساب]]=Tabledaily[الحســاب الدئـــن]),0)),0)</f>
        <v>0</v>
      </c>
      <c r="M500" s="119">
        <f>IFERROR(TableDailyJournal[[#This Row],[المبلغ مدين]]/TableDailyJournal[[#This Row],[سعــــــر
الصـــــرف]],0)</f>
        <v>1234.5679012345679</v>
      </c>
      <c r="N500" s="119">
        <f>IFERROR(TableDailyJournal[[#This Row],[المبلغ دائن]]/TableDailyJournal[[#This Row],[سعــــــر
الصـــــرف]],0)</f>
        <v>0</v>
      </c>
      <c r="O500" s="121" t="str">
        <f>INDEX(Tabledaily[المستفيــــــــد],MATCH(TableDailyJournal[[#This Row],[رقم العملية]],Tabledaily[رقم العملية],0))</f>
        <v>عبدالله باعمر</v>
      </c>
      <c r="P500" s="121" t="str">
        <f>INDEX(Tabledaily[المــــرجـــــــــع],MATCH(TableDailyJournal[[#This Row],[رقم العملية]],Tabledaily[رقم العملية],0))</f>
        <v>استلام نقدي</v>
      </c>
      <c r="Q500" s="121" t="str">
        <f>INDEX(Tabledaily[اســـــــم المــــرجــــع],MATCH(TableDailyJournal[[#This Row],[رقم العملية]],Tabledaily[رقم العملية],0))</f>
        <v>سند استلام</v>
      </c>
      <c r="R500" s="121">
        <f>INDEX(Tabledaily[رقم المـــــرجـــع],MATCH(TableDailyJournal[[#This Row],[رقم العملية]],Tabledaily[رقم العملية],0))</f>
        <v>0</v>
      </c>
      <c r="S500" s="121" t="str">
        <f>INDEX(Tabledaily[مركـــــــزالتكلفــــــة],MATCH(TableDailyJournal[[#This Row],[رقم العملية]],Tabledaily[رقم العملية],0))</f>
        <v>الفرقة الثالثة</v>
      </c>
      <c r="T500" s="121">
        <f>IFERROR(INDEX(tablecost[رقم المركز],MATCH(TableDailyJournal[[#This Row],[مركـــــــزالتكلفــــــة]],tablecost[الاسم],0)),0)</f>
        <v>1</v>
      </c>
      <c r="U500" s="122">
        <f>IFERROR(DATE(TableDailyJournal[[#This Row],[السنــــة]],TableDailyJournal[[#This Row],[الشهــــر]],TableDailyJournal[[#This Row],[الـــــيوم]]),"01-01-2026")</f>
        <v>46192</v>
      </c>
      <c r="V500" s="126"/>
      <c r="W500" s="58"/>
      <c r="X500" s="58">
        <f>IFERROR(YEAR(TableDailyJournal[[#This Row],[التاريخ]]),"")</f>
        <v>2026</v>
      </c>
      <c r="Y500" s="58">
        <f>IFERROR(MONTH(TableDailyJournal[[#This Row],[التاريخ]]),"")</f>
        <v>6</v>
      </c>
      <c r="Z500" s="58">
        <f>IFERROR(DAY(TableDailyJournal[[#This Row],[التاريخ]]),"")</f>
        <v>19</v>
      </c>
      <c r="AA500" s="126"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مبلغ بيد عبدالله باعمر بامر</v>
      </c>
      <c r="AB500" s="121">
        <f>INDEX(Tabledaily[جهة الامر],MATCH(TableDailyJournal[[#This Row],[رقم العملية]],Tabledaily[رقم العملية],0))</f>
        <v>0</v>
      </c>
    </row>
    <row r="501" spans="2:28" ht="45.75" x14ac:dyDescent="0.55000000000000004">
      <c r="B501" s="58">
        <f t="shared" si="16"/>
        <v>497</v>
      </c>
      <c r="C501" s="59" t="s">
        <v>859</v>
      </c>
      <c r="D501" s="60">
        <f>INDEX(Tabledaily[date],MATCH(TableDailyJournal[[#This Row],[رقم العملية]],Tabledaily[رقم العملية],0))</f>
        <v>46192</v>
      </c>
      <c r="E501" s="58" t="str">
        <f>INDEX(Tabledaily[نوع العمليــة],MATCH(TableDailyJournal[[#This Row],[رقم العملية]],Tabledaily[رقم العملية],0))</f>
        <v>قيد عهده</v>
      </c>
      <c r="F501" s="58">
        <f>IFERROR(INDEX(TableJudje[رقم الحساب],MATCH(TableDailyJournal[[#This Row],[الحساب]],TableJudje[اسم الحساب],0)),0)</f>
        <v>11060205</v>
      </c>
      <c r="G501" s="58" t="s">
        <v>513</v>
      </c>
      <c r="H501" s="61"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مبلغ بيد عبدالله باعمر بامر</v>
      </c>
      <c r="I501" s="60" t="str">
        <f>INDEX(Tabledaily[العملـــة],MATCH(TableDailyJournal[[#This Row],[رقم العملية]],Tabledaily[رقم العملية],0))</f>
        <v>ريال يمني</v>
      </c>
      <c r="J501" s="59">
        <f>IFERROR(INDEX(Tabledaily[سعــــــر
الصـــــرف],MATCH(C501,Tabledaily[رقم العملية],0)),1)</f>
        <v>405</v>
      </c>
      <c r="K501" s="123" cm="1">
        <f t="array" ref="K501">IFERROR(INDEX(Tabledaily[المبلـــــــغ],MATCH(1,(TableDailyJournal[[#This Row],[رقم العملية]]=Tabledaily[رقم العملية])*(TableDailyJournal[[#This Row],[الحساب]]=Tabledaily[الحســاب المديــــن]),0)),0)</f>
        <v>0</v>
      </c>
      <c r="L501" s="123" cm="1">
        <f t="array" ref="L501">IFERROR(INDEX(Tabledaily[المبلـــــــغ],MATCH(1,(TableDailyJournal[[#This Row],[رقم العملية]]=Tabledaily[رقم العملية])*(TableDailyJournal[[#This Row],[الحساب]]=Tabledaily[الحســاب الدئـــن]),0)),0)</f>
        <v>500000</v>
      </c>
      <c r="M501" s="119">
        <f>IFERROR(TableDailyJournal[[#This Row],[المبلغ مدين]]/TableDailyJournal[[#This Row],[سعــــــر
الصـــــرف]],0)</f>
        <v>0</v>
      </c>
      <c r="N501" s="119">
        <f>IFERROR(TableDailyJournal[[#This Row],[المبلغ دائن]]/TableDailyJournal[[#This Row],[سعــــــر
الصـــــرف]],0)</f>
        <v>1234.5679012345679</v>
      </c>
      <c r="O501" s="121" t="str">
        <f>INDEX(Tabledaily[المستفيــــــــد],MATCH(TableDailyJournal[[#This Row],[رقم العملية]],Tabledaily[رقم العملية],0))</f>
        <v>عبدالله باعمر</v>
      </c>
      <c r="P501" s="121" t="str">
        <f>INDEX(Tabledaily[المــــرجـــــــــع],MATCH(TableDailyJournal[[#This Row],[رقم العملية]],Tabledaily[رقم العملية],0))</f>
        <v>استلام نقدي</v>
      </c>
      <c r="Q501" s="121" t="str">
        <f>INDEX(Tabledaily[اســـــــم المــــرجــــع],MATCH(TableDailyJournal[[#This Row],[رقم العملية]],Tabledaily[رقم العملية],0))</f>
        <v>سند استلام</v>
      </c>
      <c r="R501" s="121">
        <f>INDEX(Tabledaily[رقم المـــــرجـــع],MATCH(TableDailyJournal[[#This Row],[رقم العملية]],Tabledaily[رقم العملية],0))</f>
        <v>0</v>
      </c>
      <c r="S501" s="121" t="str">
        <f>INDEX(Tabledaily[مركـــــــزالتكلفــــــة],MATCH(TableDailyJournal[[#This Row],[رقم العملية]],Tabledaily[رقم العملية],0))</f>
        <v>الفرقة الثالثة</v>
      </c>
      <c r="T501" s="121">
        <f>IFERROR(INDEX(tablecost[رقم المركز],MATCH(TableDailyJournal[[#This Row],[مركـــــــزالتكلفــــــة]],tablecost[الاسم],0)),0)</f>
        <v>1</v>
      </c>
      <c r="U501" s="122">
        <f>IFERROR(DATE(TableDailyJournal[[#This Row],[السنــــة]],TableDailyJournal[[#This Row],[الشهــــر]],TableDailyJournal[[#This Row],[الـــــيوم]]),"01-01-2026")</f>
        <v>46192</v>
      </c>
      <c r="V501" s="126"/>
      <c r="W501" s="58"/>
      <c r="X501" s="58">
        <f>IFERROR(YEAR(TableDailyJournal[[#This Row],[التاريخ]]),"")</f>
        <v>2026</v>
      </c>
      <c r="Y501" s="58">
        <f>IFERROR(MONTH(TableDailyJournal[[#This Row],[التاريخ]]),"")</f>
        <v>6</v>
      </c>
      <c r="Z501" s="58">
        <f>IFERROR(DAY(TableDailyJournal[[#This Row],[التاريخ]]),"")</f>
        <v>19</v>
      </c>
      <c r="AA501" s="126"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مبلغ بيد عبدالله باعمر بامر</v>
      </c>
      <c r="AB501" s="121">
        <f>INDEX(Tabledaily[جهة الامر],MATCH(TableDailyJournal[[#This Row],[رقم العملية]],Tabledaily[رقم العملية],0))</f>
        <v>0</v>
      </c>
    </row>
    <row r="502" spans="2:28" ht="45.75" x14ac:dyDescent="0.55000000000000004">
      <c r="B502" s="58">
        <f t="shared" ref="B502:B549" si="17">ROW()-4</f>
        <v>498</v>
      </c>
      <c r="C502" s="59" t="s">
        <v>864</v>
      </c>
      <c r="D502" s="60">
        <f>INDEX(Tabledaily[date],MATCH(TableDailyJournal[[#This Row],[رقم العملية]],Tabledaily[رقم العملية],0))</f>
        <v>46190</v>
      </c>
      <c r="E502" s="58" t="str">
        <f>INDEX(Tabledaily[نوع العمليــة],MATCH(TableDailyJournal[[#This Row],[رقم العملية]],Tabledaily[رقم العملية],0))</f>
        <v>قيد عهده</v>
      </c>
      <c r="F502" s="58">
        <f>IFERROR(INDEX(TableJudje[رقم الحساب],MATCH(TableDailyJournal[[#This Row],[الحساب]],TableJudje[اسم الحساب],0)),0)</f>
        <v>31010101</v>
      </c>
      <c r="G502" s="58" t="s">
        <v>111</v>
      </c>
      <c r="H502"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I502" s="60" t="str">
        <f>INDEX(Tabledaily[العملـــة],MATCH(TableDailyJournal[[#This Row],[رقم العملية]],Tabledaily[رقم العملية],0))</f>
        <v>ريال يمني</v>
      </c>
      <c r="J502" s="59">
        <f>IFERROR(INDEX(Tabledaily[سعــــــر
الصـــــرف],MATCH(C502,Tabledaily[رقم العملية],0)),1)</f>
        <v>405</v>
      </c>
      <c r="K502" s="123" cm="1">
        <f t="array" ref="K502">IFERROR(INDEX(Tabledaily[المبلـــــــغ],MATCH(1,(TableDailyJournal[[#This Row],[رقم العملية]]=Tabledaily[رقم العملية])*(TableDailyJournal[[#This Row],[الحساب]]=Tabledaily[الحســاب المديــــن]),0)),0)</f>
        <v>152000</v>
      </c>
      <c r="L502" s="123" cm="1">
        <f t="array" ref="L502">IFERROR(INDEX(Tabledaily[المبلـــــــغ],MATCH(1,(TableDailyJournal[[#This Row],[رقم العملية]]=Tabledaily[رقم العملية])*(TableDailyJournal[[#This Row],[الحساب]]=Tabledaily[الحســاب الدئـــن]),0)),0)</f>
        <v>0</v>
      </c>
      <c r="M502" s="119">
        <f>IFERROR(TableDailyJournal[[#This Row],[المبلغ مدين]]/TableDailyJournal[[#This Row],[سعــــــر
الصـــــرف]],0)</f>
        <v>375.30864197530866</v>
      </c>
      <c r="N502" s="119">
        <f>IFERROR(TableDailyJournal[[#This Row],[المبلغ دائن]]/TableDailyJournal[[#This Row],[سعــــــر
الصـــــرف]],0)</f>
        <v>0</v>
      </c>
      <c r="O502" s="121" t="str">
        <f>INDEX(Tabledaily[المستفيــــــــد],MATCH(TableDailyJournal[[#This Row],[رقم العملية]],Tabledaily[رقم العملية],0))</f>
        <v>سرية اللواء السادس</v>
      </c>
      <c r="P502" s="121" t="str">
        <f>INDEX(Tabledaily[المــــرجـــــــــع],MATCH(TableDailyJournal[[#This Row],[رقم العملية]],Tabledaily[رقم العملية],0))</f>
        <v>كشف صرف</v>
      </c>
      <c r="Q502" s="121" t="str">
        <f>INDEX(Tabledaily[اســـــــم المــــرجــــع],MATCH(TableDailyJournal[[#This Row],[رقم العملية]],Tabledaily[رقم العملية],0))</f>
        <v>كشف صرف</v>
      </c>
      <c r="R502" s="121">
        <f>INDEX(Tabledaily[رقم المـــــرجـــع],MATCH(TableDailyJournal[[#This Row],[رقم العملية]],Tabledaily[رقم العملية],0))</f>
        <v>0</v>
      </c>
      <c r="S502" s="121" t="str">
        <f>INDEX(Tabledaily[مركـــــــزالتكلفــــــة],MATCH(TableDailyJournal[[#This Row],[رقم العملية]],Tabledaily[رقم العملية],0))</f>
        <v>اللواء السادس</v>
      </c>
      <c r="T502" s="121">
        <f>IFERROR(INDEX(tablecost[رقم المركز],MATCH(TableDailyJournal[[#This Row],[مركـــــــزالتكلفــــــة]],tablecost[الاسم],0)),0)</f>
        <v>7</v>
      </c>
      <c r="U502" s="122">
        <f>IFERROR(DATE(TableDailyJournal[[#This Row],[السنــــة]],TableDailyJournal[[#This Row],[الشهــــر]],TableDailyJournal[[#This Row],[الـــــيوم]]),"01-01-2026")</f>
        <v>46190</v>
      </c>
      <c r="V502" s="126"/>
      <c r="W502" s="58"/>
      <c r="X502" s="58">
        <f>IFERROR(YEAR(TableDailyJournal[[#This Row],[التاريخ]]),"")</f>
        <v>2026</v>
      </c>
      <c r="Y502" s="58">
        <f>IFERROR(MONTH(TableDailyJournal[[#This Row],[التاريخ]]),"")</f>
        <v>6</v>
      </c>
      <c r="Z502" s="58">
        <f>IFERROR(DAY(TableDailyJournal[[#This Row],[التاريخ]]),"")</f>
        <v>17</v>
      </c>
      <c r="AA502"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AB502" s="121">
        <f>INDEX(Tabledaily[جهة الامر],MATCH(TableDailyJournal[[#This Row],[رقم العملية]],Tabledaily[رقم العملية],0))</f>
        <v>0</v>
      </c>
    </row>
    <row r="503" spans="2:28" ht="45.75" x14ac:dyDescent="0.55000000000000004">
      <c r="B503" s="58">
        <f t="shared" si="17"/>
        <v>499</v>
      </c>
      <c r="C503" s="59" t="s">
        <v>864</v>
      </c>
      <c r="D503" s="60">
        <f>INDEX(Tabledaily[date],MATCH(TableDailyJournal[[#This Row],[رقم العملية]],Tabledaily[رقم العملية],0))</f>
        <v>46190</v>
      </c>
      <c r="E503" s="58" t="str">
        <f>INDEX(Tabledaily[نوع العمليــة],MATCH(TableDailyJournal[[#This Row],[رقم العملية]],Tabledaily[رقم العملية],0))</f>
        <v>قيد عهده</v>
      </c>
      <c r="F503" s="58">
        <f>IFERROR(INDEX(TableJudje[رقم الحساب],MATCH(TableDailyJournal[[#This Row],[الحساب]],TableJudje[اسم الحساب],0)),0)</f>
        <v>11060205</v>
      </c>
      <c r="G503" s="58" t="s">
        <v>513</v>
      </c>
      <c r="H503"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I503" s="60" t="str">
        <f>INDEX(Tabledaily[العملـــة],MATCH(TableDailyJournal[[#This Row],[رقم العملية]],Tabledaily[رقم العملية],0))</f>
        <v>ريال يمني</v>
      </c>
      <c r="J503" s="59">
        <f>IFERROR(INDEX(Tabledaily[سعــــــر
الصـــــرف],MATCH(C503,Tabledaily[رقم العملية],0)),1)</f>
        <v>405</v>
      </c>
      <c r="K503" s="123" cm="1">
        <f t="array" ref="K503">IFERROR(INDEX(Tabledaily[المبلـــــــغ],MATCH(1,(TableDailyJournal[[#This Row],[رقم العملية]]=Tabledaily[رقم العملية])*(TableDailyJournal[[#This Row],[الحساب]]=Tabledaily[الحســاب المديــــن]),0)),0)</f>
        <v>0</v>
      </c>
      <c r="L503" s="123" cm="1">
        <f t="array" ref="L503">IFERROR(INDEX(Tabledaily[المبلـــــــغ],MATCH(1,(TableDailyJournal[[#This Row],[رقم العملية]]=Tabledaily[رقم العملية])*(TableDailyJournal[[#This Row],[الحساب]]=Tabledaily[الحســاب الدئـــن]),0)),0)</f>
        <v>152000</v>
      </c>
      <c r="M503" s="119">
        <f>IFERROR(TableDailyJournal[[#This Row],[المبلغ مدين]]/TableDailyJournal[[#This Row],[سعــــــر
الصـــــرف]],0)</f>
        <v>0</v>
      </c>
      <c r="N503" s="119">
        <f>IFERROR(TableDailyJournal[[#This Row],[المبلغ دائن]]/TableDailyJournal[[#This Row],[سعــــــر
الصـــــرف]],0)</f>
        <v>375.30864197530866</v>
      </c>
      <c r="O503" s="121" t="str">
        <f>INDEX(Tabledaily[المستفيــــــــد],MATCH(TableDailyJournal[[#This Row],[رقم العملية]],Tabledaily[رقم العملية],0))</f>
        <v>سرية اللواء السادس</v>
      </c>
      <c r="P503" s="121" t="str">
        <f>INDEX(Tabledaily[المــــرجـــــــــع],MATCH(TableDailyJournal[[#This Row],[رقم العملية]],Tabledaily[رقم العملية],0))</f>
        <v>كشف صرف</v>
      </c>
      <c r="Q503" s="121" t="str">
        <f>INDEX(Tabledaily[اســـــــم المــــرجــــع],MATCH(TableDailyJournal[[#This Row],[رقم العملية]],Tabledaily[رقم العملية],0))</f>
        <v>كشف صرف</v>
      </c>
      <c r="R503" s="121">
        <f>INDEX(Tabledaily[رقم المـــــرجـــع],MATCH(TableDailyJournal[[#This Row],[رقم العملية]],Tabledaily[رقم العملية],0))</f>
        <v>0</v>
      </c>
      <c r="S503" s="121" t="str">
        <f>INDEX(Tabledaily[مركـــــــزالتكلفــــــة],MATCH(TableDailyJournal[[#This Row],[رقم العملية]],Tabledaily[رقم العملية],0))</f>
        <v>اللواء السادس</v>
      </c>
      <c r="T503" s="121">
        <f>IFERROR(INDEX(tablecost[رقم المركز],MATCH(TableDailyJournal[[#This Row],[مركـــــــزالتكلفــــــة]],tablecost[الاسم],0)),0)</f>
        <v>7</v>
      </c>
      <c r="U503" s="122">
        <f>IFERROR(DATE(TableDailyJournal[[#This Row],[السنــــة]],TableDailyJournal[[#This Row],[الشهــــر]],TableDailyJournal[[#This Row],[الـــــيوم]]),"01-01-2026")</f>
        <v>46190</v>
      </c>
      <c r="V503" s="126"/>
      <c r="W503" s="58"/>
      <c r="X503" s="58">
        <f>IFERROR(YEAR(TableDailyJournal[[#This Row],[التاريخ]]),"")</f>
        <v>2026</v>
      </c>
      <c r="Y503" s="58">
        <f>IFERROR(MONTH(TableDailyJournal[[#This Row],[التاريخ]]),"")</f>
        <v>6</v>
      </c>
      <c r="Z503" s="58">
        <f>IFERROR(DAY(TableDailyJournal[[#This Row],[التاريخ]]),"")</f>
        <v>17</v>
      </c>
      <c r="AA503"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مصاريف يومية سرية اللواء السادس عدد 38 بامر</v>
      </c>
      <c r="AB503" s="121">
        <f>INDEX(Tabledaily[جهة الامر],MATCH(TableDailyJournal[[#This Row],[رقم العملية]],Tabledaily[رقم العملية],0))</f>
        <v>0</v>
      </c>
    </row>
    <row r="504" spans="2:28" ht="45.75" x14ac:dyDescent="0.55000000000000004">
      <c r="B504" s="58">
        <f t="shared" si="17"/>
        <v>500</v>
      </c>
      <c r="C504" s="59" t="s">
        <v>866</v>
      </c>
      <c r="D504" s="60">
        <f>INDEX(Tabledaily[date],MATCH(TableDailyJournal[[#This Row],[رقم العملية]],Tabledaily[رقم العملية],0))</f>
        <v>46190</v>
      </c>
      <c r="E504" s="58" t="str">
        <f>INDEX(Tabledaily[نوع العمليــة],MATCH(TableDailyJournal[[#This Row],[رقم العملية]],Tabledaily[رقم العملية],0))</f>
        <v>قيد عهده</v>
      </c>
      <c r="F504" s="58">
        <f>IFERROR(INDEX(TableJudje[رقم الحساب],MATCH(TableDailyJournal[[#This Row],[الحساب]],TableJudje[اسم الحساب],0)),0)</f>
        <v>31010101</v>
      </c>
      <c r="G504" s="58" t="s">
        <v>111</v>
      </c>
      <c r="H504"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504" s="60" t="str">
        <f>INDEX(Tabledaily[العملـــة],MATCH(TableDailyJournal[[#This Row],[رقم العملية]],Tabledaily[رقم العملية],0))</f>
        <v>ريال يمني</v>
      </c>
      <c r="J504" s="59">
        <f>IFERROR(INDEX(Tabledaily[سعــــــر
الصـــــرف],MATCH(C504,Tabledaily[رقم العملية],0)),1)</f>
        <v>405</v>
      </c>
      <c r="K504" s="123" cm="1">
        <f t="array" ref="K504">IFERROR(INDEX(Tabledaily[المبلـــــــغ],MATCH(1,(TableDailyJournal[[#This Row],[رقم العملية]]=Tabledaily[رقم العملية])*(TableDailyJournal[[#This Row],[الحساب]]=Tabledaily[الحســاب المديــــن]),0)),0)</f>
        <v>65000</v>
      </c>
      <c r="L504" s="123" cm="1">
        <f t="array" ref="L504">IFERROR(INDEX(Tabledaily[المبلـــــــغ],MATCH(1,(TableDailyJournal[[#This Row],[رقم العملية]]=Tabledaily[رقم العملية])*(TableDailyJournal[[#This Row],[الحساب]]=Tabledaily[الحســاب الدئـــن]),0)),0)</f>
        <v>0</v>
      </c>
      <c r="M504" s="119">
        <f>IFERROR(TableDailyJournal[[#This Row],[المبلغ مدين]]/TableDailyJournal[[#This Row],[سعــــــر
الصـــــرف]],0)</f>
        <v>160.49382716049382</v>
      </c>
      <c r="N504" s="119">
        <f>IFERROR(TableDailyJournal[[#This Row],[المبلغ دائن]]/TableDailyJournal[[#This Row],[سعــــــر
الصـــــرف]],0)</f>
        <v>0</v>
      </c>
      <c r="O504" s="121" t="str">
        <f>INDEX(Tabledaily[المستفيــــــــد],MATCH(TableDailyJournal[[#This Row],[رقم العملية]],Tabledaily[رقم العملية],0))</f>
        <v>السيطرة والاتصالات</v>
      </c>
      <c r="P504" s="121" t="str">
        <f>INDEX(Tabledaily[المــــرجـــــــــع],MATCH(TableDailyJournal[[#This Row],[رقم العملية]],Tabledaily[رقم العملية],0))</f>
        <v>كشف صرف</v>
      </c>
      <c r="Q504" s="121" t="str">
        <f>INDEX(Tabledaily[اســـــــم المــــرجــــع],MATCH(TableDailyJournal[[#This Row],[رقم العملية]],Tabledaily[رقم العملية],0))</f>
        <v>كشف صرف</v>
      </c>
      <c r="R504" s="121">
        <f>INDEX(Tabledaily[رقم المـــــرجـــع],MATCH(TableDailyJournal[[#This Row],[رقم العملية]],Tabledaily[رقم العملية],0))</f>
        <v>0</v>
      </c>
      <c r="S504" s="121" t="str">
        <f>INDEX(Tabledaily[مركـــــــزالتكلفــــــة],MATCH(TableDailyJournal[[#This Row],[رقم العملية]],Tabledaily[رقم العملية],0))</f>
        <v>الفرقة الثالثة</v>
      </c>
      <c r="T504" s="121">
        <f>IFERROR(INDEX(tablecost[رقم المركز],MATCH(TableDailyJournal[[#This Row],[مركـــــــزالتكلفــــــة]],tablecost[الاسم],0)),0)</f>
        <v>1</v>
      </c>
      <c r="U504" s="122">
        <f>IFERROR(DATE(TableDailyJournal[[#This Row],[السنــــة]],TableDailyJournal[[#This Row],[الشهــــر]],TableDailyJournal[[#This Row],[الـــــيوم]]),"01-01-2026")</f>
        <v>46190</v>
      </c>
      <c r="V504" s="126"/>
      <c r="W504" s="58"/>
      <c r="X504" s="58">
        <f>IFERROR(YEAR(TableDailyJournal[[#This Row],[التاريخ]]),"")</f>
        <v>2026</v>
      </c>
      <c r="Y504" s="58">
        <f>IFERROR(MONTH(TableDailyJournal[[#This Row],[التاريخ]]),"")</f>
        <v>6</v>
      </c>
      <c r="Z504" s="58">
        <f>IFERROR(DAY(TableDailyJournal[[#This Row],[التاريخ]]),"")</f>
        <v>17</v>
      </c>
      <c r="AA504"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504" s="121">
        <f>INDEX(Tabledaily[جهة الامر],MATCH(TableDailyJournal[[#This Row],[رقم العملية]],Tabledaily[رقم العملية],0))</f>
        <v>0</v>
      </c>
    </row>
    <row r="505" spans="2:28" ht="45.75" x14ac:dyDescent="0.55000000000000004">
      <c r="B505" s="58">
        <f t="shared" si="17"/>
        <v>501</v>
      </c>
      <c r="C505" s="59" t="s">
        <v>866</v>
      </c>
      <c r="D505" s="60">
        <f>INDEX(Tabledaily[date],MATCH(TableDailyJournal[[#This Row],[رقم العملية]],Tabledaily[رقم العملية],0))</f>
        <v>46190</v>
      </c>
      <c r="E505" s="58" t="str">
        <f>INDEX(Tabledaily[نوع العمليــة],MATCH(TableDailyJournal[[#This Row],[رقم العملية]],Tabledaily[رقم العملية],0))</f>
        <v>قيد عهده</v>
      </c>
      <c r="F505" s="58">
        <f>IFERROR(INDEX(TableJudje[رقم الحساب],MATCH(TableDailyJournal[[#This Row],[الحساب]],TableJudje[اسم الحساب],0)),0)</f>
        <v>11060205</v>
      </c>
      <c r="G505" s="58" t="s">
        <v>513</v>
      </c>
      <c r="H505"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505" s="60" t="str">
        <f>INDEX(Tabledaily[العملـــة],MATCH(TableDailyJournal[[#This Row],[رقم العملية]],Tabledaily[رقم العملية],0))</f>
        <v>ريال يمني</v>
      </c>
      <c r="J505" s="59">
        <f>IFERROR(INDEX(Tabledaily[سعــــــر
الصـــــرف],MATCH(C505,Tabledaily[رقم العملية],0)),1)</f>
        <v>405</v>
      </c>
      <c r="K505" s="123" cm="1">
        <f t="array" ref="K505">IFERROR(INDEX(Tabledaily[المبلـــــــغ],MATCH(1,(TableDailyJournal[[#This Row],[رقم العملية]]=Tabledaily[رقم العملية])*(TableDailyJournal[[#This Row],[الحساب]]=Tabledaily[الحســاب المديــــن]),0)),0)</f>
        <v>0</v>
      </c>
      <c r="L505" s="123" cm="1">
        <f t="array" ref="L505">IFERROR(INDEX(Tabledaily[المبلـــــــغ],MATCH(1,(TableDailyJournal[[#This Row],[رقم العملية]]=Tabledaily[رقم العملية])*(TableDailyJournal[[#This Row],[الحساب]]=Tabledaily[الحســاب الدئـــن]),0)),0)</f>
        <v>65000</v>
      </c>
      <c r="M505" s="119">
        <f>IFERROR(TableDailyJournal[[#This Row],[المبلغ مدين]]/TableDailyJournal[[#This Row],[سعــــــر
الصـــــرف]],0)</f>
        <v>0</v>
      </c>
      <c r="N505" s="119">
        <f>IFERROR(TableDailyJournal[[#This Row],[المبلغ دائن]]/TableDailyJournal[[#This Row],[سعــــــر
الصـــــرف]],0)</f>
        <v>160.49382716049382</v>
      </c>
      <c r="O505" s="121" t="str">
        <f>INDEX(Tabledaily[المستفيــــــــد],MATCH(TableDailyJournal[[#This Row],[رقم العملية]],Tabledaily[رقم العملية],0))</f>
        <v>السيطرة والاتصالات</v>
      </c>
      <c r="P505" s="121" t="str">
        <f>INDEX(Tabledaily[المــــرجـــــــــع],MATCH(TableDailyJournal[[#This Row],[رقم العملية]],Tabledaily[رقم العملية],0))</f>
        <v>كشف صرف</v>
      </c>
      <c r="Q505" s="121" t="str">
        <f>INDEX(Tabledaily[اســـــــم المــــرجــــع],MATCH(TableDailyJournal[[#This Row],[رقم العملية]],Tabledaily[رقم العملية],0))</f>
        <v>كشف صرف</v>
      </c>
      <c r="R505" s="121">
        <f>INDEX(Tabledaily[رقم المـــــرجـــع],MATCH(TableDailyJournal[[#This Row],[رقم العملية]],Tabledaily[رقم العملية],0))</f>
        <v>0</v>
      </c>
      <c r="S505" s="121" t="str">
        <f>INDEX(Tabledaily[مركـــــــزالتكلفــــــة],MATCH(TableDailyJournal[[#This Row],[رقم العملية]],Tabledaily[رقم العملية],0))</f>
        <v>الفرقة الثالثة</v>
      </c>
      <c r="T505" s="121">
        <f>IFERROR(INDEX(tablecost[رقم المركز],MATCH(TableDailyJournal[[#This Row],[مركـــــــزالتكلفــــــة]],tablecost[الاسم],0)),0)</f>
        <v>1</v>
      </c>
      <c r="U505" s="122">
        <f>IFERROR(DATE(TableDailyJournal[[#This Row],[السنــــة]],TableDailyJournal[[#This Row],[الشهــــر]],TableDailyJournal[[#This Row],[الـــــيوم]]),"01-01-2026")</f>
        <v>46190</v>
      </c>
      <c r="V505" s="126"/>
      <c r="W505" s="58"/>
      <c r="X505" s="58">
        <f>IFERROR(YEAR(TableDailyJournal[[#This Row],[التاريخ]]),"")</f>
        <v>2026</v>
      </c>
      <c r="Y505" s="58">
        <f>IFERROR(MONTH(TableDailyJournal[[#This Row],[التاريخ]]),"")</f>
        <v>6</v>
      </c>
      <c r="Z505" s="58">
        <f>IFERROR(DAY(TableDailyJournal[[#This Row],[التاريخ]]),"")</f>
        <v>17</v>
      </c>
      <c r="AA505"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505" s="121">
        <f>INDEX(Tabledaily[جهة الامر],MATCH(TableDailyJournal[[#This Row],[رقم العملية]],Tabledaily[رقم العملية],0))</f>
        <v>0</v>
      </c>
    </row>
    <row r="506" spans="2:28" ht="45.75" x14ac:dyDescent="0.55000000000000004">
      <c r="B506" s="58">
        <f t="shared" si="17"/>
        <v>502</v>
      </c>
      <c r="C506" s="59" t="s">
        <v>867</v>
      </c>
      <c r="D506" s="60">
        <f>INDEX(Tabledaily[date],MATCH(TableDailyJournal[[#This Row],[رقم العملية]],Tabledaily[رقم العملية],0))</f>
        <v>46190</v>
      </c>
      <c r="E506" s="58" t="str">
        <f>INDEX(Tabledaily[نوع العمليــة],MATCH(TableDailyJournal[[#This Row],[رقم العملية]],Tabledaily[رقم العملية],0))</f>
        <v>قيد عهده</v>
      </c>
      <c r="F506" s="58">
        <f>IFERROR(INDEX(TableJudje[رقم الحساب],MATCH(TableDailyJournal[[#This Row],[الحساب]],TableJudje[اسم الحساب],0)),0)</f>
        <v>31010101</v>
      </c>
      <c r="G506" s="58" t="s">
        <v>111</v>
      </c>
      <c r="H506"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506" s="60" t="str">
        <f>INDEX(Tabledaily[العملـــة],MATCH(TableDailyJournal[[#This Row],[رقم العملية]],Tabledaily[رقم العملية],0))</f>
        <v>ريال يمني</v>
      </c>
      <c r="J506" s="59">
        <f>IFERROR(INDEX(Tabledaily[سعــــــر
الصـــــرف],MATCH(C506,Tabledaily[رقم العملية],0)),1)</f>
        <v>405</v>
      </c>
      <c r="K506" s="123" cm="1">
        <f t="array" ref="K506">IFERROR(INDEX(Tabledaily[المبلـــــــغ],MATCH(1,(TableDailyJournal[[#This Row],[رقم العملية]]=Tabledaily[رقم العملية])*(TableDailyJournal[[#This Row],[الحساب]]=Tabledaily[الحســاب المديــــن]),0)),0)</f>
        <v>70000</v>
      </c>
      <c r="L506" s="123" cm="1">
        <f t="array" ref="L506">IFERROR(INDEX(Tabledaily[المبلـــــــغ],MATCH(1,(TableDailyJournal[[#This Row],[رقم العملية]]=Tabledaily[رقم العملية])*(TableDailyJournal[[#This Row],[الحساب]]=Tabledaily[الحســاب الدئـــن]),0)),0)</f>
        <v>0</v>
      </c>
      <c r="M506" s="119">
        <f>IFERROR(TableDailyJournal[[#This Row],[المبلغ مدين]]/TableDailyJournal[[#This Row],[سعــــــر
الصـــــرف]],0)</f>
        <v>172.83950617283949</v>
      </c>
      <c r="N506" s="119">
        <f>IFERROR(TableDailyJournal[[#This Row],[المبلغ دائن]]/TableDailyJournal[[#This Row],[سعــــــر
الصـــــرف]],0)</f>
        <v>0</v>
      </c>
      <c r="O506" s="121" t="str">
        <f>INDEX(Tabledaily[المستفيــــــــد],MATCH(TableDailyJournal[[#This Row],[رقم العملية]],Tabledaily[رقم العملية],0))</f>
        <v>الامداد</v>
      </c>
      <c r="P506" s="121" t="str">
        <f>INDEX(Tabledaily[المــــرجـــــــــع],MATCH(TableDailyJournal[[#This Row],[رقم العملية]],Tabledaily[رقم العملية],0))</f>
        <v>كشف صرف</v>
      </c>
      <c r="Q506" s="121" t="str">
        <f>INDEX(Tabledaily[اســـــــم المــــرجــــع],MATCH(TableDailyJournal[[#This Row],[رقم العملية]],Tabledaily[رقم العملية],0))</f>
        <v>كشف صرف</v>
      </c>
      <c r="R506" s="121">
        <f>INDEX(Tabledaily[رقم المـــــرجـــع],MATCH(TableDailyJournal[[#This Row],[رقم العملية]],Tabledaily[رقم العملية],0))</f>
        <v>0</v>
      </c>
      <c r="S506" s="121" t="str">
        <f>INDEX(Tabledaily[مركـــــــزالتكلفــــــة],MATCH(TableDailyJournal[[#This Row],[رقم العملية]],Tabledaily[رقم العملية],0))</f>
        <v>الفرقة الثالثة</v>
      </c>
      <c r="T506" s="121">
        <f>IFERROR(INDEX(tablecost[رقم المركز],MATCH(TableDailyJournal[[#This Row],[مركـــــــزالتكلفــــــة]],tablecost[الاسم],0)),0)</f>
        <v>1</v>
      </c>
      <c r="U506" s="122">
        <f>IFERROR(DATE(TableDailyJournal[[#This Row],[السنــــة]],TableDailyJournal[[#This Row],[الشهــــر]],TableDailyJournal[[#This Row],[الـــــيوم]]),"01-01-2026")</f>
        <v>46190</v>
      </c>
      <c r="V506" s="126"/>
      <c r="W506" s="58"/>
      <c r="X506" s="58">
        <f>IFERROR(YEAR(TableDailyJournal[[#This Row],[التاريخ]]),"")</f>
        <v>2026</v>
      </c>
      <c r="Y506" s="58">
        <f>IFERROR(MONTH(TableDailyJournal[[#This Row],[التاريخ]]),"")</f>
        <v>6</v>
      </c>
      <c r="Z506" s="58">
        <f>IFERROR(DAY(TableDailyJournal[[#This Row],[التاريخ]]),"")</f>
        <v>17</v>
      </c>
      <c r="AA506"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506" s="121">
        <f>INDEX(Tabledaily[جهة الامر],MATCH(TableDailyJournal[[#This Row],[رقم العملية]],Tabledaily[رقم العملية],0))</f>
        <v>0</v>
      </c>
    </row>
    <row r="507" spans="2:28" ht="45.75" x14ac:dyDescent="0.55000000000000004">
      <c r="B507" s="58">
        <f t="shared" si="17"/>
        <v>503</v>
      </c>
      <c r="C507" s="59" t="s">
        <v>867</v>
      </c>
      <c r="D507" s="60">
        <f>INDEX(Tabledaily[date],MATCH(TableDailyJournal[[#This Row],[رقم العملية]],Tabledaily[رقم العملية],0))</f>
        <v>46190</v>
      </c>
      <c r="E507" s="58" t="str">
        <f>INDEX(Tabledaily[نوع العمليــة],MATCH(TableDailyJournal[[#This Row],[رقم العملية]],Tabledaily[رقم العملية],0))</f>
        <v>قيد عهده</v>
      </c>
      <c r="F507" s="58">
        <f>IFERROR(INDEX(TableJudje[رقم الحساب],MATCH(TableDailyJournal[[#This Row],[الحساب]],TableJudje[اسم الحساب],0)),0)</f>
        <v>11060205</v>
      </c>
      <c r="G507" s="58" t="s">
        <v>513</v>
      </c>
      <c r="H507"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507" s="60" t="str">
        <f>INDEX(Tabledaily[العملـــة],MATCH(TableDailyJournal[[#This Row],[رقم العملية]],Tabledaily[رقم العملية],0))</f>
        <v>ريال يمني</v>
      </c>
      <c r="J507" s="59">
        <f>IFERROR(INDEX(Tabledaily[سعــــــر
الصـــــرف],MATCH(C507,Tabledaily[رقم العملية],0)),1)</f>
        <v>405</v>
      </c>
      <c r="K507" s="123" cm="1">
        <f t="array" ref="K507">IFERROR(INDEX(Tabledaily[المبلـــــــغ],MATCH(1,(TableDailyJournal[[#This Row],[رقم العملية]]=Tabledaily[رقم العملية])*(TableDailyJournal[[#This Row],[الحساب]]=Tabledaily[الحســاب المديــــن]),0)),0)</f>
        <v>0</v>
      </c>
      <c r="L507" s="123" cm="1">
        <f t="array" ref="L507">IFERROR(INDEX(Tabledaily[المبلـــــــغ],MATCH(1,(TableDailyJournal[[#This Row],[رقم العملية]]=Tabledaily[رقم العملية])*(TableDailyJournal[[#This Row],[الحساب]]=Tabledaily[الحســاب الدئـــن]),0)),0)</f>
        <v>70000</v>
      </c>
      <c r="M507" s="119">
        <f>IFERROR(TableDailyJournal[[#This Row],[المبلغ مدين]]/TableDailyJournal[[#This Row],[سعــــــر
الصـــــرف]],0)</f>
        <v>0</v>
      </c>
      <c r="N507" s="119">
        <f>IFERROR(TableDailyJournal[[#This Row],[المبلغ دائن]]/TableDailyJournal[[#This Row],[سعــــــر
الصـــــرف]],0)</f>
        <v>172.83950617283949</v>
      </c>
      <c r="O507" s="121" t="str">
        <f>INDEX(Tabledaily[المستفيــــــــد],MATCH(TableDailyJournal[[#This Row],[رقم العملية]],Tabledaily[رقم العملية],0))</f>
        <v>الامداد</v>
      </c>
      <c r="P507" s="121" t="str">
        <f>INDEX(Tabledaily[المــــرجـــــــــع],MATCH(TableDailyJournal[[#This Row],[رقم العملية]],Tabledaily[رقم العملية],0))</f>
        <v>كشف صرف</v>
      </c>
      <c r="Q507" s="121" t="str">
        <f>INDEX(Tabledaily[اســـــــم المــــرجــــع],MATCH(TableDailyJournal[[#This Row],[رقم العملية]],Tabledaily[رقم العملية],0))</f>
        <v>كشف صرف</v>
      </c>
      <c r="R507" s="121">
        <f>INDEX(Tabledaily[رقم المـــــرجـــع],MATCH(TableDailyJournal[[#This Row],[رقم العملية]],Tabledaily[رقم العملية],0))</f>
        <v>0</v>
      </c>
      <c r="S507" s="121" t="str">
        <f>INDEX(Tabledaily[مركـــــــزالتكلفــــــة],MATCH(TableDailyJournal[[#This Row],[رقم العملية]],Tabledaily[رقم العملية],0))</f>
        <v>الفرقة الثالثة</v>
      </c>
      <c r="T507" s="121">
        <f>IFERROR(INDEX(tablecost[رقم المركز],MATCH(TableDailyJournal[[#This Row],[مركـــــــزالتكلفــــــة]],tablecost[الاسم],0)),0)</f>
        <v>1</v>
      </c>
      <c r="U507" s="122">
        <f>IFERROR(DATE(TableDailyJournal[[#This Row],[السنــــة]],TableDailyJournal[[#This Row],[الشهــــر]],TableDailyJournal[[#This Row],[الـــــيوم]]),"01-01-2026")</f>
        <v>46190</v>
      </c>
      <c r="V507" s="126"/>
      <c r="W507" s="58"/>
      <c r="X507" s="58">
        <f>IFERROR(YEAR(TableDailyJournal[[#This Row],[التاريخ]]),"")</f>
        <v>2026</v>
      </c>
      <c r="Y507" s="58">
        <f>IFERROR(MONTH(TableDailyJournal[[#This Row],[التاريخ]]),"")</f>
        <v>6</v>
      </c>
      <c r="Z507" s="58">
        <f>IFERROR(DAY(TableDailyJournal[[#This Row],[التاريخ]]),"")</f>
        <v>17</v>
      </c>
      <c r="AA507"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507" s="121">
        <f>INDEX(Tabledaily[جهة الامر],MATCH(TableDailyJournal[[#This Row],[رقم العملية]],Tabledaily[رقم العملية],0))</f>
        <v>0</v>
      </c>
    </row>
    <row r="508" spans="2:28" ht="45.75" x14ac:dyDescent="0.55000000000000004">
      <c r="B508" s="58">
        <f t="shared" si="17"/>
        <v>504</v>
      </c>
      <c r="C508" s="59" t="s">
        <v>868</v>
      </c>
      <c r="D508" s="60">
        <f>INDEX(Tabledaily[date],MATCH(TableDailyJournal[[#This Row],[رقم العملية]],Tabledaily[رقم العملية],0))</f>
        <v>46190</v>
      </c>
      <c r="E508" s="58" t="str">
        <f>INDEX(Tabledaily[نوع العمليــة],MATCH(TableDailyJournal[[#This Row],[رقم العملية]],Tabledaily[رقم العملية],0))</f>
        <v>قيد عهده</v>
      </c>
      <c r="F508" s="58">
        <f>IFERROR(INDEX(TableJudje[رقم الحساب],MATCH(TableDailyJournal[[#This Row],[الحساب]],TableJudje[اسم الحساب],0)),0)</f>
        <v>31010101</v>
      </c>
      <c r="G508" s="58" t="s">
        <v>111</v>
      </c>
      <c r="H508" s="61"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I508" s="60" t="str">
        <f>INDEX(Tabledaily[العملـــة],MATCH(TableDailyJournal[[#This Row],[رقم العملية]],Tabledaily[رقم العملية],0))</f>
        <v>ريال يمني</v>
      </c>
      <c r="J508" s="59">
        <f>IFERROR(INDEX(Tabledaily[سعــــــر
الصـــــرف],MATCH(C508,Tabledaily[رقم العملية],0)),1)</f>
        <v>405</v>
      </c>
      <c r="K508" s="123" cm="1">
        <f t="array" ref="K508">IFERROR(INDEX(Tabledaily[المبلـــــــغ],MATCH(1,(TableDailyJournal[[#This Row],[رقم العملية]]=Tabledaily[رقم العملية])*(TableDailyJournal[[#This Row],[الحساب]]=Tabledaily[الحســاب المديــــن]),0)),0)</f>
        <v>23000</v>
      </c>
      <c r="L508" s="123" cm="1">
        <f t="array" ref="L508">IFERROR(INDEX(Tabledaily[المبلـــــــغ],MATCH(1,(TableDailyJournal[[#This Row],[رقم العملية]]=Tabledaily[رقم العملية])*(TableDailyJournal[[#This Row],[الحساب]]=Tabledaily[الحســاب الدئـــن]),0)),0)</f>
        <v>0</v>
      </c>
      <c r="M508" s="119">
        <f>IFERROR(TableDailyJournal[[#This Row],[المبلغ مدين]]/TableDailyJournal[[#This Row],[سعــــــر
الصـــــرف]],0)</f>
        <v>56.790123456790127</v>
      </c>
      <c r="N508" s="119">
        <f>IFERROR(TableDailyJournal[[#This Row],[المبلغ دائن]]/TableDailyJournal[[#This Row],[سعــــــر
الصـــــرف]],0)</f>
        <v>0</v>
      </c>
      <c r="O508" s="121" t="str">
        <f>INDEX(Tabledaily[المستفيــــــــد],MATCH(TableDailyJournal[[#This Row],[رقم العملية]],Tabledaily[رقم العملية],0))</f>
        <v>طبية</v>
      </c>
      <c r="P508" s="121" t="str">
        <f>INDEX(Tabledaily[المــــرجـــــــــع],MATCH(TableDailyJournal[[#This Row],[رقم العملية]],Tabledaily[رقم العملية],0))</f>
        <v>كشف صرف</v>
      </c>
      <c r="Q508" s="121" t="str">
        <f>INDEX(Tabledaily[اســـــــم المــــرجــــع],MATCH(TableDailyJournal[[#This Row],[رقم العملية]],Tabledaily[رقم العملية],0))</f>
        <v>كشف صرف</v>
      </c>
      <c r="R508" s="121">
        <f>INDEX(Tabledaily[رقم المـــــرجـــع],MATCH(TableDailyJournal[[#This Row],[رقم العملية]],Tabledaily[رقم العملية],0))</f>
        <v>0</v>
      </c>
      <c r="S508" s="121" t="str">
        <f>INDEX(Tabledaily[مركـــــــزالتكلفــــــة],MATCH(TableDailyJournal[[#This Row],[رقم العملية]],Tabledaily[رقم العملية],0))</f>
        <v>الفرقة الثالثة</v>
      </c>
      <c r="T508" s="121">
        <f>IFERROR(INDEX(tablecost[رقم المركز],MATCH(TableDailyJournal[[#This Row],[مركـــــــزالتكلفــــــة]],tablecost[الاسم],0)),0)</f>
        <v>1</v>
      </c>
      <c r="U508" s="122">
        <f>IFERROR(DATE(TableDailyJournal[[#This Row],[السنــــة]],TableDailyJournal[[#This Row],[الشهــــر]],TableDailyJournal[[#This Row],[الـــــيوم]]),"01-01-2026")</f>
        <v>46190</v>
      </c>
      <c r="V508" s="126"/>
      <c r="W508" s="58"/>
      <c r="X508" s="58">
        <f>IFERROR(YEAR(TableDailyJournal[[#This Row],[التاريخ]]),"")</f>
        <v>2026</v>
      </c>
      <c r="Y508" s="58">
        <f>IFERROR(MONTH(TableDailyJournal[[#This Row],[التاريخ]]),"")</f>
        <v>6</v>
      </c>
      <c r="Z508" s="58">
        <f>IFERROR(DAY(TableDailyJournal[[#This Row],[التاريخ]]),"")</f>
        <v>17</v>
      </c>
      <c r="AA508" s="126"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AB508" s="121">
        <f>INDEX(Tabledaily[جهة الامر],MATCH(TableDailyJournal[[#This Row],[رقم العملية]],Tabledaily[رقم العملية],0))</f>
        <v>0</v>
      </c>
    </row>
    <row r="509" spans="2:28" ht="45.75" x14ac:dyDescent="0.55000000000000004">
      <c r="B509" s="58">
        <f t="shared" si="17"/>
        <v>505</v>
      </c>
      <c r="C509" s="59" t="s">
        <v>868</v>
      </c>
      <c r="D509" s="60">
        <f>INDEX(Tabledaily[date],MATCH(TableDailyJournal[[#This Row],[رقم العملية]],Tabledaily[رقم العملية],0))</f>
        <v>46190</v>
      </c>
      <c r="E509" s="58" t="str">
        <f>INDEX(Tabledaily[نوع العمليــة],MATCH(TableDailyJournal[[#This Row],[رقم العملية]],Tabledaily[رقم العملية],0))</f>
        <v>قيد عهده</v>
      </c>
      <c r="F509" s="58">
        <f>IFERROR(INDEX(TableJudje[رقم الحساب],MATCH(TableDailyJournal[[#This Row],[الحساب]],TableJudje[اسم الحساب],0)),0)</f>
        <v>11060205</v>
      </c>
      <c r="G509" s="58" t="s">
        <v>513</v>
      </c>
      <c r="H509" s="61"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I509" s="60" t="str">
        <f>INDEX(Tabledaily[العملـــة],MATCH(TableDailyJournal[[#This Row],[رقم العملية]],Tabledaily[رقم العملية],0))</f>
        <v>ريال يمني</v>
      </c>
      <c r="J509" s="59">
        <f>IFERROR(INDEX(Tabledaily[سعــــــر
الصـــــرف],MATCH(C509,Tabledaily[رقم العملية],0)),1)</f>
        <v>405</v>
      </c>
      <c r="K509" s="123" cm="1">
        <f t="array" ref="K509">IFERROR(INDEX(Tabledaily[المبلـــــــغ],MATCH(1,(TableDailyJournal[[#This Row],[رقم العملية]]=Tabledaily[رقم العملية])*(TableDailyJournal[[#This Row],[الحساب]]=Tabledaily[الحســاب المديــــن]),0)),0)</f>
        <v>0</v>
      </c>
      <c r="L509" s="123" cm="1">
        <f t="array" ref="L509">IFERROR(INDEX(Tabledaily[المبلـــــــغ],MATCH(1,(TableDailyJournal[[#This Row],[رقم العملية]]=Tabledaily[رقم العملية])*(TableDailyJournal[[#This Row],[الحساب]]=Tabledaily[الحســاب الدئـــن]),0)),0)</f>
        <v>23000</v>
      </c>
      <c r="M509" s="119">
        <f>IFERROR(TableDailyJournal[[#This Row],[المبلغ مدين]]/TableDailyJournal[[#This Row],[سعــــــر
الصـــــرف]],0)</f>
        <v>0</v>
      </c>
      <c r="N509" s="119">
        <f>IFERROR(TableDailyJournal[[#This Row],[المبلغ دائن]]/TableDailyJournal[[#This Row],[سعــــــر
الصـــــرف]],0)</f>
        <v>56.790123456790127</v>
      </c>
      <c r="O509" s="121" t="str">
        <f>INDEX(Tabledaily[المستفيــــــــد],MATCH(TableDailyJournal[[#This Row],[رقم العملية]],Tabledaily[رقم العملية],0))</f>
        <v>طبية</v>
      </c>
      <c r="P509" s="121" t="str">
        <f>INDEX(Tabledaily[المــــرجـــــــــع],MATCH(TableDailyJournal[[#This Row],[رقم العملية]],Tabledaily[رقم العملية],0))</f>
        <v>كشف صرف</v>
      </c>
      <c r="Q509" s="121" t="str">
        <f>INDEX(Tabledaily[اســـــــم المــــرجــــع],MATCH(TableDailyJournal[[#This Row],[رقم العملية]],Tabledaily[رقم العملية],0))</f>
        <v>كشف صرف</v>
      </c>
      <c r="R509" s="121">
        <f>INDEX(Tabledaily[رقم المـــــرجـــع],MATCH(TableDailyJournal[[#This Row],[رقم العملية]],Tabledaily[رقم العملية],0))</f>
        <v>0</v>
      </c>
      <c r="S509" s="121" t="str">
        <f>INDEX(Tabledaily[مركـــــــزالتكلفــــــة],MATCH(TableDailyJournal[[#This Row],[رقم العملية]],Tabledaily[رقم العملية],0))</f>
        <v>الفرقة الثالثة</v>
      </c>
      <c r="T509" s="121">
        <f>IFERROR(INDEX(tablecost[رقم المركز],MATCH(TableDailyJournal[[#This Row],[مركـــــــزالتكلفــــــة]],tablecost[الاسم],0)),0)</f>
        <v>1</v>
      </c>
      <c r="U509" s="122">
        <f>IFERROR(DATE(TableDailyJournal[[#This Row],[السنــــة]],TableDailyJournal[[#This Row],[الشهــــر]],TableDailyJournal[[#This Row],[الـــــيوم]]),"01-01-2026")</f>
        <v>46190</v>
      </c>
      <c r="V509" s="126"/>
      <c r="W509" s="58"/>
      <c r="X509" s="58">
        <f>IFERROR(YEAR(TableDailyJournal[[#This Row],[التاريخ]]),"")</f>
        <v>2026</v>
      </c>
      <c r="Y509" s="58">
        <f>IFERROR(MONTH(TableDailyJournal[[#This Row],[التاريخ]]),"")</f>
        <v>6</v>
      </c>
      <c r="Z509" s="58">
        <f>IFERROR(DAY(TableDailyJournal[[#This Row],[التاريخ]]),"")</f>
        <v>17</v>
      </c>
      <c r="AA509" s="126"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AB509" s="121">
        <f>INDEX(Tabledaily[جهة الامر],MATCH(TableDailyJournal[[#This Row],[رقم العملية]],Tabledaily[رقم العملية],0))</f>
        <v>0</v>
      </c>
    </row>
    <row r="510" spans="2:28" ht="45.75" x14ac:dyDescent="0.55000000000000004">
      <c r="B510" s="58">
        <f t="shared" si="17"/>
        <v>506</v>
      </c>
      <c r="C510" s="59" t="s">
        <v>871</v>
      </c>
      <c r="D510" s="60">
        <f>INDEX(Tabledaily[date],MATCH(TableDailyJournal[[#This Row],[رقم العملية]],Tabledaily[رقم العملية],0))</f>
        <v>46190</v>
      </c>
      <c r="E510" s="58" t="str">
        <f>INDEX(Tabledaily[نوع العمليــة],MATCH(TableDailyJournal[[#This Row],[رقم العملية]],Tabledaily[رقم العملية],0))</f>
        <v>قيد عهده</v>
      </c>
      <c r="F510" s="58">
        <f>IFERROR(INDEX(TableJudje[رقم الحساب],MATCH(TableDailyJournal[[#This Row],[الحساب]],TableJudje[اسم الحساب],0)),0)</f>
        <v>31010101</v>
      </c>
      <c r="G510" s="58" t="s">
        <v>111</v>
      </c>
      <c r="H510"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510" s="60" t="str">
        <f>INDEX(Tabledaily[العملـــة],MATCH(TableDailyJournal[[#This Row],[رقم العملية]],Tabledaily[رقم العملية],0))</f>
        <v>ريال يمني</v>
      </c>
      <c r="J510" s="59">
        <f>IFERROR(INDEX(Tabledaily[سعــــــر
الصـــــرف],MATCH(C510,Tabledaily[رقم العملية],0)),1)</f>
        <v>405</v>
      </c>
      <c r="K510" s="123" cm="1">
        <f t="array" ref="K510">IFERROR(INDEX(Tabledaily[المبلـــــــغ],MATCH(1,(TableDailyJournal[[#This Row],[رقم العملية]]=Tabledaily[رقم العملية])*(TableDailyJournal[[#This Row],[الحساب]]=Tabledaily[الحســاب المديــــن]),0)),0)</f>
        <v>31000</v>
      </c>
      <c r="L510" s="123" cm="1">
        <f t="array" ref="L510">IFERROR(INDEX(Tabledaily[المبلـــــــغ],MATCH(1,(TableDailyJournal[[#This Row],[رقم العملية]]=Tabledaily[رقم العملية])*(TableDailyJournal[[#This Row],[الحساب]]=Tabledaily[الحســاب الدئـــن]),0)),0)</f>
        <v>0</v>
      </c>
      <c r="M510" s="119">
        <f>IFERROR(TableDailyJournal[[#This Row],[المبلغ مدين]]/TableDailyJournal[[#This Row],[سعــــــر
الصـــــرف]],0)</f>
        <v>76.543209876543216</v>
      </c>
      <c r="N510" s="119">
        <f>IFERROR(TableDailyJournal[[#This Row],[المبلغ دائن]]/TableDailyJournal[[#This Row],[سعــــــر
الصـــــرف]],0)</f>
        <v>0</v>
      </c>
      <c r="O510" s="121" t="str">
        <f>INDEX(Tabledaily[المستفيــــــــد],MATCH(TableDailyJournal[[#This Row],[رقم العملية]],Tabledaily[رقم العملية],0))</f>
        <v>قسم المشتريات</v>
      </c>
      <c r="P510" s="121" t="str">
        <f>INDEX(Tabledaily[المــــرجـــــــــع],MATCH(TableDailyJournal[[#This Row],[رقم العملية]],Tabledaily[رقم العملية],0))</f>
        <v>كشف صرف</v>
      </c>
      <c r="Q510" s="121" t="str">
        <f>INDEX(Tabledaily[اســـــــم المــــرجــــع],MATCH(TableDailyJournal[[#This Row],[رقم العملية]],Tabledaily[رقم العملية],0))</f>
        <v>كشف صرف</v>
      </c>
      <c r="R510" s="121">
        <f>INDEX(Tabledaily[رقم المـــــرجـــع],MATCH(TableDailyJournal[[#This Row],[رقم العملية]],Tabledaily[رقم العملية],0))</f>
        <v>0</v>
      </c>
      <c r="S510" s="121" t="str">
        <f>INDEX(Tabledaily[مركـــــــزالتكلفــــــة],MATCH(TableDailyJournal[[#This Row],[رقم العملية]],Tabledaily[رقم العملية],0))</f>
        <v>الفرقة الثالثة</v>
      </c>
      <c r="T510" s="121">
        <f>IFERROR(INDEX(tablecost[رقم المركز],MATCH(TableDailyJournal[[#This Row],[مركـــــــزالتكلفــــــة]],tablecost[الاسم],0)),0)</f>
        <v>1</v>
      </c>
      <c r="U510" s="122">
        <f>IFERROR(DATE(TableDailyJournal[[#This Row],[السنــــة]],TableDailyJournal[[#This Row],[الشهــــر]],TableDailyJournal[[#This Row],[الـــــيوم]]),"01-01-2026")</f>
        <v>46190</v>
      </c>
      <c r="V510" s="126"/>
      <c r="W510" s="58"/>
      <c r="X510" s="58">
        <f>IFERROR(YEAR(TableDailyJournal[[#This Row],[التاريخ]]),"")</f>
        <v>2026</v>
      </c>
      <c r="Y510" s="58">
        <f>IFERROR(MONTH(TableDailyJournal[[#This Row],[التاريخ]]),"")</f>
        <v>6</v>
      </c>
      <c r="Z510" s="58">
        <f>IFERROR(DAY(TableDailyJournal[[#This Row],[التاريخ]]),"")</f>
        <v>17</v>
      </c>
      <c r="AA510"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510" s="121">
        <f>INDEX(Tabledaily[جهة الامر],MATCH(TableDailyJournal[[#This Row],[رقم العملية]],Tabledaily[رقم العملية],0))</f>
        <v>0</v>
      </c>
    </row>
    <row r="511" spans="2:28" ht="45.75" x14ac:dyDescent="0.55000000000000004">
      <c r="B511" s="58">
        <f t="shared" si="17"/>
        <v>507</v>
      </c>
      <c r="C511" s="59" t="s">
        <v>871</v>
      </c>
      <c r="D511" s="60">
        <f>INDEX(Tabledaily[date],MATCH(TableDailyJournal[[#This Row],[رقم العملية]],Tabledaily[رقم العملية],0))</f>
        <v>46190</v>
      </c>
      <c r="E511" s="58" t="str">
        <f>INDEX(Tabledaily[نوع العمليــة],MATCH(TableDailyJournal[[#This Row],[رقم العملية]],Tabledaily[رقم العملية],0))</f>
        <v>قيد عهده</v>
      </c>
      <c r="F511" s="58">
        <f>IFERROR(INDEX(TableJudje[رقم الحساب],MATCH(TableDailyJournal[[#This Row],[الحساب]],TableJudje[اسم الحساب],0)),0)</f>
        <v>11060205</v>
      </c>
      <c r="G511" s="58" t="s">
        <v>513</v>
      </c>
      <c r="H511"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511" s="60" t="str">
        <f>INDEX(Tabledaily[العملـــة],MATCH(TableDailyJournal[[#This Row],[رقم العملية]],Tabledaily[رقم العملية],0))</f>
        <v>ريال يمني</v>
      </c>
      <c r="J511" s="59">
        <f>IFERROR(INDEX(Tabledaily[سعــــــر
الصـــــرف],MATCH(C511,Tabledaily[رقم العملية],0)),1)</f>
        <v>405</v>
      </c>
      <c r="K511" s="123" cm="1">
        <f t="array" ref="K511">IFERROR(INDEX(Tabledaily[المبلـــــــغ],MATCH(1,(TableDailyJournal[[#This Row],[رقم العملية]]=Tabledaily[رقم العملية])*(TableDailyJournal[[#This Row],[الحساب]]=Tabledaily[الحســاب المديــــن]),0)),0)</f>
        <v>0</v>
      </c>
      <c r="L511" s="123" cm="1">
        <f t="array" ref="L511">IFERROR(INDEX(Tabledaily[المبلـــــــغ],MATCH(1,(TableDailyJournal[[#This Row],[رقم العملية]]=Tabledaily[رقم العملية])*(TableDailyJournal[[#This Row],[الحساب]]=Tabledaily[الحســاب الدئـــن]),0)),0)</f>
        <v>31000</v>
      </c>
      <c r="M511" s="119">
        <f>IFERROR(TableDailyJournal[[#This Row],[المبلغ مدين]]/TableDailyJournal[[#This Row],[سعــــــر
الصـــــرف]],0)</f>
        <v>0</v>
      </c>
      <c r="N511" s="119">
        <f>IFERROR(TableDailyJournal[[#This Row],[المبلغ دائن]]/TableDailyJournal[[#This Row],[سعــــــر
الصـــــرف]],0)</f>
        <v>76.543209876543216</v>
      </c>
      <c r="O511" s="121" t="str">
        <f>INDEX(Tabledaily[المستفيــــــــد],MATCH(TableDailyJournal[[#This Row],[رقم العملية]],Tabledaily[رقم العملية],0))</f>
        <v>قسم المشتريات</v>
      </c>
      <c r="P511" s="121" t="str">
        <f>INDEX(Tabledaily[المــــرجـــــــــع],MATCH(TableDailyJournal[[#This Row],[رقم العملية]],Tabledaily[رقم العملية],0))</f>
        <v>كشف صرف</v>
      </c>
      <c r="Q511" s="121" t="str">
        <f>INDEX(Tabledaily[اســـــــم المــــرجــــع],MATCH(TableDailyJournal[[#This Row],[رقم العملية]],Tabledaily[رقم العملية],0))</f>
        <v>كشف صرف</v>
      </c>
      <c r="R511" s="121">
        <f>INDEX(Tabledaily[رقم المـــــرجـــع],MATCH(TableDailyJournal[[#This Row],[رقم العملية]],Tabledaily[رقم العملية],0))</f>
        <v>0</v>
      </c>
      <c r="S511" s="121" t="str">
        <f>INDEX(Tabledaily[مركـــــــزالتكلفــــــة],MATCH(TableDailyJournal[[#This Row],[رقم العملية]],Tabledaily[رقم العملية],0))</f>
        <v>الفرقة الثالثة</v>
      </c>
      <c r="T511" s="121">
        <f>IFERROR(INDEX(tablecost[رقم المركز],MATCH(TableDailyJournal[[#This Row],[مركـــــــزالتكلفــــــة]],tablecost[الاسم],0)),0)</f>
        <v>1</v>
      </c>
      <c r="U511" s="122">
        <f>IFERROR(DATE(TableDailyJournal[[#This Row],[السنــــة]],TableDailyJournal[[#This Row],[الشهــــر]],TableDailyJournal[[#This Row],[الـــــيوم]]),"01-01-2026")</f>
        <v>46190</v>
      </c>
      <c r="V511" s="126"/>
      <c r="W511" s="58"/>
      <c r="X511" s="58">
        <f>IFERROR(YEAR(TableDailyJournal[[#This Row],[التاريخ]]),"")</f>
        <v>2026</v>
      </c>
      <c r="Y511" s="58">
        <f>IFERROR(MONTH(TableDailyJournal[[#This Row],[التاريخ]]),"")</f>
        <v>6</v>
      </c>
      <c r="Z511" s="58">
        <f>IFERROR(DAY(TableDailyJournal[[#This Row],[التاريخ]]),"")</f>
        <v>17</v>
      </c>
      <c r="AA511"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511" s="121">
        <f>INDEX(Tabledaily[جهة الامر],MATCH(TableDailyJournal[[#This Row],[رقم العملية]],Tabledaily[رقم العملية],0))</f>
        <v>0</v>
      </c>
    </row>
    <row r="512" spans="2:28" ht="45.75" x14ac:dyDescent="0.55000000000000004">
      <c r="B512" s="58">
        <f t="shared" si="17"/>
        <v>508</v>
      </c>
      <c r="C512" s="59" t="s">
        <v>874</v>
      </c>
      <c r="D512" s="60">
        <f>INDEX(Tabledaily[date],MATCH(TableDailyJournal[[#This Row],[رقم العملية]],Tabledaily[رقم العملية],0))</f>
        <v>46190</v>
      </c>
      <c r="E512" s="58" t="str">
        <f>INDEX(Tabledaily[نوع العمليــة],MATCH(TableDailyJournal[[#This Row],[رقم العملية]],Tabledaily[رقم العملية],0))</f>
        <v>قيد عهده</v>
      </c>
      <c r="F512" s="58">
        <f>IFERROR(INDEX(TableJudje[رقم الحساب],MATCH(TableDailyJournal[[#This Row],[الحساب]],TableJudje[اسم الحساب],0)),0)</f>
        <v>31010101</v>
      </c>
      <c r="G512" s="58" t="s">
        <v>111</v>
      </c>
      <c r="H512"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512" s="60" t="str">
        <f>INDEX(Tabledaily[العملـــة],MATCH(TableDailyJournal[[#This Row],[رقم العملية]],Tabledaily[رقم العملية],0))</f>
        <v>ريال يمني</v>
      </c>
      <c r="J512" s="59">
        <f>IFERROR(INDEX(Tabledaily[سعــــــر
الصـــــرف],MATCH(C512,Tabledaily[رقم العملية],0)),1)</f>
        <v>405</v>
      </c>
      <c r="K512" s="123" cm="1">
        <f t="array" ref="K512">IFERROR(INDEX(Tabledaily[المبلـــــــغ],MATCH(1,(TableDailyJournal[[#This Row],[رقم العملية]]=Tabledaily[رقم العملية])*(TableDailyJournal[[#This Row],[الحساب]]=Tabledaily[الحســاب المديــــن]),0)),0)</f>
        <v>25000</v>
      </c>
      <c r="L512" s="123" cm="1">
        <f t="array" ref="L512">IFERROR(INDEX(Tabledaily[المبلـــــــغ],MATCH(1,(TableDailyJournal[[#This Row],[رقم العملية]]=Tabledaily[رقم العملية])*(TableDailyJournal[[#This Row],[الحساب]]=Tabledaily[الحســاب الدئـــن]),0)),0)</f>
        <v>0</v>
      </c>
      <c r="M512" s="119">
        <f>IFERROR(TableDailyJournal[[#This Row],[المبلغ مدين]]/TableDailyJournal[[#This Row],[سعــــــر
الصـــــرف]],0)</f>
        <v>61.728395061728392</v>
      </c>
      <c r="N512" s="119">
        <f>IFERROR(TableDailyJournal[[#This Row],[المبلغ دائن]]/TableDailyJournal[[#This Row],[سعــــــر
الصـــــرف]],0)</f>
        <v>0</v>
      </c>
      <c r="O512" s="121" t="str">
        <f>INDEX(Tabledaily[المستفيــــــــد],MATCH(TableDailyJournal[[#This Row],[رقم العملية]],Tabledaily[رقم العملية],0))</f>
        <v xml:space="preserve">المحاسبين </v>
      </c>
      <c r="P512" s="121" t="str">
        <f>INDEX(Tabledaily[المــــرجـــــــــع],MATCH(TableDailyJournal[[#This Row],[رقم العملية]],Tabledaily[رقم العملية],0))</f>
        <v>كشف صرف</v>
      </c>
      <c r="Q512" s="121" t="str">
        <f>INDEX(Tabledaily[اســـــــم المــــرجــــع],MATCH(TableDailyJournal[[#This Row],[رقم العملية]],Tabledaily[رقم العملية],0))</f>
        <v>كشف صرف</v>
      </c>
      <c r="R512" s="121">
        <f>INDEX(Tabledaily[رقم المـــــرجـــع],MATCH(TableDailyJournal[[#This Row],[رقم العملية]],Tabledaily[رقم العملية],0))</f>
        <v>0</v>
      </c>
      <c r="S512" s="121" t="str">
        <f>INDEX(Tabledaily[مركـــــــزالتكلفــــــة],MATCH(TableDailyJournal[[#This Row],[رقم العملية]],Tabledaily[رقم العملية],0))</f>
        <v>الفرقة الثالثة</v>
      </c>
      <c r="T512" s="121">
        <f>IFERROR(INDEX(tablecost[رقم المركز],MATCH(TableDailyJournal[[#This Row],[مركـــــــزالتكلفــــــة]],tablecost[الاسم],0)),0)</f>
        <v>1</v>
      </c>
      <c r="U512" s="122">
        <f>IFERROR(DATE(TableDailyJournal[[#This Row],[السنــــة]],TableDailyJournal[[#This Row],[الشهــــر]],TableDailyJournal[[#This Row],[الـــــيوم]]),"01-01-2026")</f>
        <v>46190</v>
      </c>
      <c r="V512" s="126"/>
      <c r="W512" s="58"/>
      <c r="X512" s="58">
        <f>IFERROR(YEAR(TableDailyJournal[[#This Row],[التاريخ]]),"")</f>
        <v>2026</v>
      </c>
      <c r="Y512" s="58">
        <f>IFERROR(MONTH(TableDailyJournal[[#This Row],[التاريخ]]),"")</f>
        <v>6</v>
      </c>
      <c r="Z512" s="58">
        <f>IFERROR(DAY(TableDailyJournal[[#This Row],[التاريخ]]),"")</f>
        <v>17</v>
      </c>
      <c r="AA512"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512" s="121">
        <f>INDEX(Tabledaily[جهة الامر],MATCH(TableDailyJournal[[#This Row],[رقم العملية]],Tabledaily[رقم العملية],0))</f>
        <v>0</v>
      </c>
    </row>
    <row r="513" spans="2:28" ht="45.75" x14ac:dyDescent="0.55000000000000004">
      <c r="B513" s="58">
        <f t="shared" si="17"/>
        <v>509</v>
      </c>
      <c r="C513" s="59" t="s">
        <v>874</v>
      </c>
      <c r="D513" s="60">
        <f>INDEX(Tabledaily[date],MATCH(TableDailyJournal[[#This Row],[رقم العملية]],Tabledaily[رقم العملية],0))</f>
        <v>46190</v>
      </c>
      <c r="E513" s="58" t="str">
        <f>INDEX(Tabledaily[نوع العمليــة],MATCH(TableDailyJournal[[#This Row],[رقم العملية]],Tabledaily[رقم العملية],0))</f>
        <v>قيد عهده</v>
      </c>
      <c r="F513" s="58">
        <f>IFERROR(INDEX(TableJudje[رقم الحساب],MATCH(TableDailyJournal[[#This Row],[الحساب]],TableJudje[اسم الحساب],0)),0)</f>
        <v>11060205</v>
      </c>
      <c r="G513" s="58" t="s">
        <v>513</v>
      </c>
      <c r="H513"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513" s="60" t="str">
        <f>INDEX(Tabledaily[العملـــة],MATCH(TableDailyJournal[[#This Row],[رقم العملية]],Tabledaily[رقم العملية],0))</f>
        <v>ريال يمني</v>
      </c>
      <c r="J513" s="59">
        <f>IFERROR(INDEX(Tabledaily[سعــــــر
الصـــــرف],MATCH(C513,Tabledaily[رقم العملية],0)),1)</f>
        <v>405</v>
      </c>
      <c r="K513" s="123" cm="1">
        <f t="array" ref="K513">IFERROR(INDEX(Tabledaily[المبلـــــــغ],MATCH(1,(TableDailyJournal[[#This Row],[رقم العملية]]=Tabledaily[رقم العملية])*(TableDailyJournal[[#This Row],[الحساب]]=Tabledaily[الحســاب المديــــن]),0)),0)</f>
        <v>0</v>
      </c>
      <c r="L513" s="123" cm="1">
        <f t="array" ref="L513">IFERROR(INDEX(Tabledaily[المبلـــــــغ],MATCH(1,(TableDailyJournal[[#This Row],[رقم العملية]]=Tabledaily[رقم العملية])*(TableDailyJournal[[#This Row],[الحساب]]=Tabledaily[الحســاب الدئـــن]),0)),0)</f>
        <v>25000</v>
      </c>
      <c r="M513" s="119">
        <f>IFERROR(TableDailyJournal[[#This Row],[المبلغ مدين]]/TableDailyJournal[[#This Row],[سعــــــر
الصـــــرف]],0)</f>
        <v>0</v>
      </c>
      <c r="N513" s="119">
        <f>IFERROR(TableDailyJournal[[#This Row],[المبلغ دائن]]/TableDailyJournal[[#This Row],[سعــــــر
الصـــــرف]],0)</f>
        <v>61.728395061728392</v>
      </c>
      <c r="O513" s="121" t="str">
        <f>INDEX(Tabledaily[المستفيــــــــد],MATCH(TableDailyJournal[[#This Row],[رقم العملية]],Tabledaily[رقم العملية],0))</f>
        <v xml:space="preserve">المحاسبين </v>
      </c>
      <c r="P513" s="121" t="str">
        <f>INDEX(Tabledaily[المــــرجـــــــــع],MATCH(TableDailyJournal[[#This Row],[رقم العملية]],Tabledaily[رقم العملية],0))</f>
        <v>كشف صرف</v>
      </c>
      <c r="Q513" s="121" t="str">
        <f>INDEX(Tabledaily[اســـــــم المــــرجــــع],MATCH(TableDailyJournal[[#This Row],[رقم العملية]],Tabledaily[رقم العملية],0))</f>
        <v>كشف صرف</v>
      </c>
      <c r="R513" s="121">
        <f>INDEX(Tabledaily[رقم المـــــرجـــع],MATCH(TableDailyJournal[[#This Row],[رقم العملية]],Tabledaily[رقم العملية],0))</f>
        <v>0</v>
      </c>
      <c r="S513" s="121" t="str">
        <f>INDEX(Tabledaily[مركـــــــزالتكلفــــــة],MATCH(TableDailyJournal[[#This Row],[رقم العملية]],Tabledaily[رقم العملية],0))</f>
        <v>الفرقة الثالثة</v>
      </c>
      <c r="T513" s="121">
        <f>IFERROR(INDEX(tablecost[رقم المركز],MATCH(TableDailyJournal[[#This Row],[مركـــــــزالتكلفــــــة]],tablecost[الاسم],0)),0)</f>
        <v>1</v>
      </c>
      <c r="U513" s="122">
        <f>IFERROR(DATE(TableDailyJournal[[#This Row],[السنــــة]],TableDailyJournal[[#This Row],[الشهــــر]],TableDailyJournal[[#This Row],[الـــــيوم]]),"01-01-2026")</f>
        <v>46190</v>
      </c>
      <c r="V513" s="126"/>
      <c r="W513" s="58"/>
      <c r="X513" s="58">
        <f>IFERROR(YEAR(TableDailyJournal[[#This Row],[التاريخ]]),"")</f>
        <v>2026</v>
      </c>
      <c r="Y513" s="58">
        <f>IFERROR(MONTH(TableDailyJournal[[#This Row],[التاريخ]]),"")</f>
        <v>6</v>
      </c>
      <c r="Z513" s="58">
        <f>IFERROR(DAY(TableDailyJournal[[#This Row],[التاريخ]]),"")</f>
        <v>17</v>
      </c>
      <c r="AA513"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513" s="121">
        <f>INDEX(Tabledaily[جهة الامر],MATCH(TableDailyJournal[[#This Row],[رقم العملية]],Tabledaily[رقم العملية],0))</f>
        <v>0</v>
      </c>
    </row>
    <row r="514" spans="2:28" ht="45.75" x14ac:dyDescent="0.55000000000000004">
      <c r="B514" s="58">
        <f t="shared" si="17"/>
        <v>510</v>
      </c>
      <c r="C514" s="59" t="s">
        <v>877</v>
      </c>
      <c r="D514" s="60">
        <f>INDEX(Tabledaily[date],MATCH(TableDailyJournal[[#This Row],[رقم العملية]],Tabledaily[رقم العملية],0))</f>
        <v>46190</v>
      </c>
      <c r="E514" s="58" t="str">
        <f>INDEX(Tabledaily[نوع العمليــة],MATCH(TableDailyJournal[[#This Row],[رقم العملية]],Tabledaily[رقم العملية],0))</f>
        <v>قيد عهده</v>
      </c>
      <c r="F514" s="58">
        <f>IFERROR(INDEX(TableJudje[رقم الحساب],MATCH(TableDailyJournal[[#This Row],[الحساب]],TableJudje[اسم الحساب],0)),0)</f>
        <v>31010101</v>
      </c>
      <c r="G514" s="58" t="s">
        <v>111</v>
      </c>
      <c r="H514"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514" s="60" t="str">
        <f>INDEX(Tabledaily[العملـــة],MATCH(TableDailyJournal[[#This Row],[رقم العملية]],Tabledaily[رقم العملية],0))</f>
        <v>ريال يمني</v>
      </c>
      <c r="J514" s="59">
        <f>IFERROR(INDEX(Tabledaily[سعــــــر
الصـــــرف],MATCH(C514,Tabledaily[رقم العملية],0)),1)</f>
        <v>405</v>
      </c>
      <c r="K514" s="123" cm="1">
        <f t="array" ref="K514">IFERROR(INDEX(Tabledaily[المبلـــــــغ],MATCH(1,(TableDailyJournal[[#This Row],[رقم العملية]]=Tabledaily[رقم العملية])*(TableDailyJournal[[#This Row],[الحساب]]=Tabledaily[الحســاب المديــــن]),0)),0)</f>
        <v>15000</v>
      </c>
      <c r="L514" s="123" cm="1">
        <f t="array" ref="L514">IFERROR(INDEX(Tabledaily[المبلـــــــغ],MATCH(1,(TableDailyJournal[[#This Row],[رقم العملية]]=Tabledaily[رقم العملية])*(TableDailyJournal[[#This Row],[الحساب]]=Tabledaily[الحســاب الدئـــن]),0)),0)</f>
        <v>0</v>
      </c>
      <c r="M514" s="119">
        <f>IFERROR(TableDailyJournal[[#This Row],[المبلغ مدين]]/TableDailyJournal[[#This Row],[سعــــــر
الصـــــرف]],0)</f>
        <v>37.037037037037038</v>
      </c>
      <c r="N514" s="119">
        <f>IFERROR(TableDailyJournal[[#This Row],[المبلغ دائن]]/TableDailyJournal[[#This Row],[سعــــــر
الصـــــرف]],0)</f>
        <v>0</v>
      </c>
      <c r="O514" s="121" t="str">
        <f>INDEX(Tabledaily[المستفيــــــــد],MATCH(TableDailyJournal[[#This Row],[رقم العملية]],Tabledaily[رقم العملية],0))</f>
        <v xml:space="preserve">البشرية  </v>
      </c>
      <c r="P514" s="121" t="str">
        <f>INDEX(Tabledaily[المــــرجـــــــــع],MATCH(TableDailyJournal[[#This Row],[رقم العملية]],Tabledaily[رقم العملية],0))</f>
        <v>كشف صرف</v>
      </c>
      <c r="Q514" s="121" t="str">
        <f>INDEX(Tabledaily[اســـــــم المــــرجــــع],MATCH(TableDailyJournal[[#This Row],[رقم العملية]],Tabledaily[رقم العملية],0))</f>
        <v>كشف صرف</v>
      </c>
      <c r="R514" s="121">
        <f>INDEX(Tabledaily[رقم المـــــرجـــع],MATCH(TableDailyJournal[[#This Row],[رقم العملية]],Tabledaily[رقم العملية],0))</f>
        <v>0</v>
      </c>
      <c r="S514" s="121" t="str">
        <f>INDEX(Tabledaily[مركـــــــزالتكلفــــــة],MATCH(TableDailyJournal[[#This Row],[رقم العملية]],Tabledaily[رقم العملية],0))</f>
        <v>الفرقة الثالثة</v>
      </c>
      <c r="T514" s="121">
        <f>IFERROR(INDEX(tablecost[رقم المركز],MATCH(TableDailyJournal[[#This Row],[مركـــــــزالتكلفــــــة]],tablecost[الاسم],0)),0)</f>
        <v>1</v>
      </c>
      <c r="U514" s="122">
        <f>IFERROR(DATE(TableDailyJournal[[#This Row],[السنــــة]],TableDailyJournal[[#This Row],[الشهــــر]],TableDailyJournal[[#This Row],[الـــــيوم]]),"01-01-2026")</f>
        <v>46190</v>
      </c>
      <c r="V514" s="126"/>
      <c r="W514" s="58"/>
      <c r="X514" s="58">
        <f>IFERROR(YEAR(TableDailyJournal[[#This Row],[التاريخ]]),"")</f>
        <v>2026</v>
      </c>
      <c r="Y514" s="58">
        <f>IFERROR(MONTH(TableDailyJournal[[#This Row],[التاريخ]]),"")</f>
        <v>6</v>
      </c>
      <c r="Z514" s="58">
        <f>IFERROR(DAY(TableDailyJournal[[#This Row],[التاريخ]]),"")</f>
        <v>17</v>
      </c>
      <c r="AA514"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514" s="121">
        <f>INDEX(Tabledaily[جهة الامر],MATCH(TableDailyJournal[[#This Row],[رقم العملية]],Tabledaily[رقم العملية],0))</f>
        <v>0</v>
      </c>
    </row>
    <row r="515" spans="2:28" ht="45.75" x14ac:dyDescent="0.55000000000000004">
      <c r="B515" s="58">
        <f t="shared" si="17"/>
        <v>511</v>
      </c>
      <c r="C515" s="59" t="s">
        <v>877</v>
      </c>
      <c r="D515" s="60">
        <f>INDEX(Tabledaily[date],MATCH(TableDailyJournal[[#This Row],[رقم العملية]],Tabledaily[رقم العملية],0))</f>
        <v>46190</v>
      </c>
      <c r="E515" s="58" t="str">
        <f>INDEX(Tabledaily[نوع العمليــة],MATCH(TableDailyJournal[[#This Row],[رقم العملية]],Tabledaily[رقم العملية],0))</f>
        <v>قيد عهده</v>
      </c>
      <c r="F515" s="58">
        <f>IFERROR(INDEX(TableJudje[رقم الحساب],MATCH(TableDailyJournal[[#This Row],[الحساب]],TableJudje[اسم الحساب],0)),0)</f>
        <v>11060205</v>
      </c>
      <c r="G515" s="58" t="s">
        <v>513</v>
      </c>
      <c r="H515"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515" s="60" t="str">
        <f>INDEX(Tabledaily[العملـــة],MATCH(TableDailyJournal[[#This Row],[رقم العملية]],Tabledaily[رقم العملية],0))</f>
        <v>ريال يمني</v>
      </c>
      <c r="J515" s="59">
        <f>IFERROR(INDEX(Tabledaily[سعــــــر
الصـــــرف],MATCH(C515,Tabledaily[رقم العملية],0)),1)</f>
        <v>405</v>
      </c>
      <c r="K515" s="123" cm="1">
        <f t="array" ref="K515">IFERROR(INDEX(Tabledaily[المبلـــــــغ],MATCH(1,(TableDailyJournal[[#This Row],[رقم العملية]]=Tabledaily[رقم العملية])*(TableDailyJournal[[#This Row],[الحساب]]=Tabledaily[الحســاب المديــــن]),0)),0)</f>
        <v>0</v>
      </c>
      <c r="L515" s="123" cm="1">
        <f t="array" ref="L515">IFERROR(INDEX(Tabledaily[المبلـــــــغ],MATCH(1,(TableDailyJournal[[#This Row],[رقم العملية]]=Tabledaily[رقم العملية])*(TableDailyJournal[[#This Row],[الحساب]]=Tabledaily[الحســاب الدئـــن]),0)),0)</f>
        <v>15000</v>
      </c>
      <c r="M515" s="119">
        <f>IFERROR(TableDailyJournal[[#This Row],[المبلغ مدين]]/TableDailyJournal[[#This Row],[سعــــــر
الصـــــرف]],0)</f>
        <v>0</v>
      </c>
      <c r="N515" s="119">
        <f>IFERROR(TableDailyJournal[[#This Row],[المبلغ دائن]]/TableDailyJournal[[#This Row],[سعــــــر
الصـــــرف]],0)</f>
        <v>37.037037037037038</v>
      </c>
      <c r="O515" s="121" t="str">
        <f>INDEX(Tabledaily[المستفيــــــــد],MATCH(TableDailyJournal[[#This Row],[رقم العملية]],Tabledaily[رقم العملية],0))</f>
        <v xml:space="preserve">البشرية  </v>
      </c>
      <c r="P515" s="121" t="str">
        <f>INDEX(Tabledaily[المــــرجـــــــــع],MATCH(TableDailyJournal[[#This Row],[رقم العملية]],Tabledaily[رقم العملية],0))</f>
        <v>كشف صرف</v>
      </c>
      <c r="Q515" s="121" t="str">
        <f>INDEX(Tabledaily[اســـــــم المــــرجــــع],MATCH(TableDailyJournal[[#This Row],[رقم العملية]],Tabledaily[رقم العملية],0))</f>
        <v>كشف صرف</v>
      </c>
      <c r="R515" s="121">
        <f>INDEX(Tabledaily[رقم المـــــرجـــع],MATCH(TableDailyJournal[[#This Row],[رقم العملية]],Tabledaily[رقم العملية],0))</f>
        <v>0</v>
      </c>
      <c r="S515" s="121" t="str">
        <f>INDEX(Tabledaily[مركـــــــزالتكلفــــــة],MATCH(TableDailyJournal[[#This Row],[رقم العملية]],Tabledaily[رقم العملية],0))</f>
        <v>الفرقة الثالثة</v>
      </c>
      <c r="T515" s="121">
        <f>IFERROR(INDEX(tablecost[رقم المركز],MATCH(TableDailyJournal[[#This Row],[مركـــــــزالتكلفــــــة]],tablecost[الاسم],0)),0)</f>
        <v>1</v>
      </c>
      <c r="U515" s="122">
        <f>IFERROR(DATE(TableDailyJournal[[#This Row],[السنــــة]],TableDailyJournal[[#This Row],[الشهــــر]],TableDailyJournal[[#This Row],[الـــــيوم]]),"01-01-2026")</f>
        <v>46190</v>
      </c>
      <c r="V515" s="126"/>
      <c r="W515" s="58"/>
      <c r="X515" s="58">
        <f>IFERROR(YEAR(TableDailyJournal[[#This Row],[التاريخ]]),"")</f>
        <v>2026</v>
      </c>
      <c r="Y515" s="58">
        <f>IFERROR(MONTH(TableDailyJournal[[#This Row],[التاريخ]]),"")</f>
        <v>6</v>
      </c>
      <c r="Z515" s="58">
        <f>IFERROR(DAY(TableDailyJournal[[#This Row],[التاريخ]]),"")</f>
        <v>17</v>
      </c>
      <c r="AA515"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515" s="121">
        <f>INDEX(Tabledaily[جهة الامر],MATCH(TableDailyJournal[[#This Row],[رقم العملية]],Tabledaily[رقم العملية],0))</f>
        <v>0</v>
      </c>
    </row>
    <row r="516" spans="2:28" ht="45.75" x14ac:dyDescent="0.55000000000000004">
      <c r="B516" s="58">
        <f t="shared" si="17"/>
        <v>512</v>
      </c>
      <c r="C516" s="59" t="s">
        <v>880</v>
      </c>
      <c r="D516" s="60">
        <f>INDEX(Tabledaily[date],MATCH(TableDailyJournal[[#This Row],[رقم العملية]],Tabledaily[رقم العملية],0))</f>
        <v>46190</v>
      </c>
      <c r="E516" s="58" t="str">
        <f>INDEX(Tabledaily[نوع العمليــة],MATCH(TableDailyJournal[[#This Row],[رقم العملية]],Tabledaily[رقم العملية],0))</f>
        <v>قيد عهده</v>
      </c>
      <c r="F516" s="58">
        <f>IFERROR(INDEX(TableJudje[رقم الحساب],MATCH(TableDailyJournal[[#This Row],[الحساب]],TableJudje[اسم الحساب],0)),0)</f>
        <v>31010101</v>
      </c>
      <c r="G516" s="58" t="s">
        <v>111</v>
      </c>
      <c r="H516"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7 افراد بامر</v>
      </c>
      <c r="I516" s="60" t="str">
        <f>INDEX(Tabledaily[العملـــة],MATCH(TableDailyJournal[[#This Row],[رقم العملية]],Tabledaily[رقم العملية],0))</f>
        <v>ريال يمني</v>
      </c>
      <c r="J516" s="59">
        <f>IFERROR(INDEX(Tabledaily[سعــــــر
الصـــــرف],MATCH(C516,Tabledaily[رقم العملية],0)),1)</f>
        <v>405</v>
      </c>
      <c r="K516" s="123" cm="1">
        <f t="array" ref="K516">IFERROR(INDEX(Tabledaily[المبلـــــــغ],MATCH(1,(TableDailyJournal[[#This Row],[رقم العملية]]=Tabledaily[رقم العملية])*(TableDailyJournal[[#This Row],[الحساب]]=Tabledaily[الحســاب المديــــن]),0)),0)</f>
        <v>110000</v>
      </c>
      <c r="L516" s="123" cm="1">
        <f t="array" ref="L516">IFERROR(INDEX(Tabledaily[المبلـــــــغ],MATCH(1,(TableDailyJournal[[#This Row],[رقم العملية]]=Tabledaily[رقم العملية])*(TableDailyJournal[[#This Row],[الحساب]]=Tabledaily[الحســاب الدئـــن]),0)),0)</f>
        <v>0</v>
      </c>
      <c r="M516" s="119">
        <f>IFERROR(TableDailyJournal[[#This Row],[المبلغ مدين]]/TableDailyJournal[[#This Row],[سعــــــر
الصـــــرف]],0)</f>
        <v>271.60493827160496</v>
      </c>
      <c r="N516" s="119">
        <f>IFERROR(TableDailyJournal[[#This Row],[المبلغ دائن]]/TableDailyJournal[[#This Row],[سعــــــر
الصـــــرف]],0)</f>
        <v>0</v>
      </c>
      <c r="O516" s="121" t="str">
        <f>INDEX(Tabledaily[المستفيــــــــد],MATCH(TableDailyJournal[[#This Row],[رقم العملية]],Tabledaily[رقم العملية],0))</f>
        <v>الاستخبارات</v>
      </c>
      <c r="P516" s="121" t="str">
        <f>INDEX(Tabledaily[المــــرجـــــــــع],MATCH(TableDailyJournal[[#This Row],[رقم العملية]],Tabledaily[رقم العملية],0))</f>
        <v>كشف صرف</v>
      </c>
      <c r="Q516" s="121" t="str">
        <f>INDEX(Tabledaily[اســـــــم المــــرجــــع],MATCH(TableDailyJournal[[#This Row],[رقم العملية]],Tabledaily[رقم العملية],0))</f>
        <v>كشف صرف</v>
      </c>
      <c r="R516" s="121">
        <f>INDEX(Tabledaily[رقم المـــــرجـــع],MATCH(TableDailyJournal[[#This Row],[رقم العملية]],Tabledaily[رقم العملية],0))</f>
        <v>0</v>
      </c>
      <c r="S516" s="121" t="str">
        <f>INDEX(Tabledaily[مركـــــــزالتكلفــــــة],MATCH(TableDailyJournal[[#This Row],[رقم العملية]],Tabledaily[رقم العملية],0))</f>
        <v>الفرقة الثالثة</v>
      </c>
      <c r="T516" s="121">
        <f>IFERROR(INDEX(tablecost[رقم المركز],MATCH(TableDailyJournal[[#This Row],[مركـــــــزالتكلفــــــة]],tablecost[الاسم],0)),0)</f>
        <v>1</v>
      </c>
      <c r="U516" s="122">
        <f>IFERROR(DATE(TableDailyJournal[[#This Row],[السنــــة]],TableDailyJournal[[#This Row],[الشهــــر]],TableDailyJournal[[#This Row],[الـــــيوم]]),"01-01-2026")</f>
        <v>46190</v>
      </c>
      <c r="V516" s="126"/>
      <c r="W516" s="58"/>
      <c r="X516" s="58">
        <f>IFERROR(YEAR(TableDailyJournal[[#This Row],[التاريخ]]),"")</f>
        <v>2026</v>
      </c>
      <c r="Y516" s="58">
        <f>IFERROR(MONTH(TableDailyJournal[[#This Row],[التاريخ]]),"")</f>
        <v>6</v>
      </c>
      <c r="Z516" s="58">
        <f>IFERROR(DAY(TableDailyJournal[[#This Row],[التاريخ]]),"")</f>
        <v>17</v>
      </c>
      <c r="AA516"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7 افراد بامر</v>
      </c>
      <c r="AB516" s="121">
        <f>INDEX(Tabledaily[جهة الامر],MATCH(TableDailyJournal[[#This Row],[رقم العملية]],Tabledaily[رقم العملية],0))</f>
        <v>0</v>
      </c>
    </row>
    <row r="517" spans="2:28" ht="45.75" x14ac:dyDescent="0.55000000000000004">
      <c r="B517" s="58">
        <f t="shared" si="17"/>
        <v>513</v>
      </c>
      <c r="C517" s="59" t="s">
        <v>880</v>
      </c>
      <c r="D517" s="60">
        <f>INDEX(Tabledaily[date],MATCH(TableDailyJournal[[#This Row],[رقم العملية]],Tabledaily[رقم العملية],0))</f>
        <v>46190</v>
      </c>
      <c r="E517" s="58" t="str">
        <f>INDEX(Tabledaily[نوع العمليــة],MATCH(TableDailyJournal[[#This Row],[رقم العملية]],Tabledaily[رقم العملية],0))</f>
        <v>قيد عهده</v>
      </c>
      <c r="F517" s="58">
        <f>IFERROR(INDEX(TableJudje[رقم الحساب],MATCH(TableDailyJournal[[#This Row],[الحساب]],TableJudje[اسم الحساب],0)),0)</f>
        <v>11060205</v>
      </c>
      <c r="G517" s="58" t="s">
        <v>513</v>
      </c>
      <c r="H517"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7 افراد بامر</v>
      </c>
      <c r="I517" s="60" t="str">
        <f>INDEX(Tabledaily[العملـــة],MATCH(TableDailyJournal[[#This Row],[رقم العملية]],Tabledaily[رقم العملية],0))</f>
        <v>ريال يمني</v>
      </c>
      <c r="J517" s="59">
        <f>IFERROR(INDEX(Tabledaily[سعــــــر
الصـــــرف],MATCH(C517,Tabledaily[رقم العملية],0)),1)</f>
        <v>405</v>
      </c>
      <c r="K517" s="123" cm="1">
        <f t="array" ref="K517">IFERROR(INDEX(Tabledaily[المبلـــــــغ],MATCH(1,(TableDailyJournal[[#This Row],[رقم العملية]]=Tabledaily[رقم العملية])*(TableDailyJournal[[#This Row],[الحساب]]=Tabledaily[الحســاب المديــــن]),0)),0)</f>
        <v>0</v>
      </c>
      <c r="L517" s="123" cm="1">
        <f t="array" ref="L517">IFERROR(INDEX(Tabledaily[المبلـــــــغ],MATCH(1,(TableDailyJournal[[#This Row],[رقم العملية]]=Tabledaily[رقم العملية])*(TableDailyJournal[[#This Row],[الحساب]]=Tabledaily[الحســاب الدئـــن]),0)),0)</f>
        <v>110000</v>
      </c>
      <c r="M517" s="119">
        <f>IFERROR(TableDailyJournal[[#This Row],[المبلغ مدين]]/TableDailyJournal[[#This Row],[سعــــــر
الصـــــرف]],0)</f>
        <v>0</v>
      </c>
      <c r="N517" s="119">
        <f>IFERROR(TableDailyJournal[[#This Row],[المبلغ دائن]]/TableDailyJournal[[#This Row],[سعــــــر
الصـــــرف]],0)</f>
        <v>271.60493827160496</v>
      </c>
      <c r="O517" s="121" t="str">
        <f>INDEX(Tabledaily[المستفيــــــــد],MATCH(TableDailyJournal[[#This Row],[رقم العملية]],Tabledaily[رقم العملية],0))</f>
        <v>الاستخبارات</v>
      </c>
      <c r="P517" s="121" t="str">
        <f>INDEX(Tabledaily[المــــرجـــــــــع],MATCH(TableDailyJournal[[#This Row],[رقم العملية]],Tabledaily[رقم العملية],0))</f>
        <v>كشف صرف</v>
      </c>
      <c r="Q517" s="121" t="str">
        <f>INDEX(Tabledaily[اســـــــم المــــرجــــع],MATCH(TableDailyJournal[[#This Row],[رقم العملية]],Tabledaily[رقم العملية],0))</f>
        <v>كشف صرف</v>
      </c>
      <c r="R517" s="121">
        <f>INDEX(Tabledaily[رقم المـــــرجـــع],MATCH(TableDailyJournal[[#This Row],[رقم العملية]],Tabledaily[رقم العملية],0))</f>
        <v>0</v>
      </c>
      <c r="S517" s="121" t="str">
        <f>INDEX(Tabledaily[مركـــــــزالتكلفــــــة],MATCH(TableDailyJournal[[#This Row],[رقم العملية]],Tabledaily[رقم العملية],0))</f>
        <v>الفرقة الثالثة</v>
      </c>
      <c r="T517" s="121">
        <f>IFERROR(INDEX(tablecost[رقم المركز],MATCH(TableDailyJournal[[#This Row],[مركـــــــزالتكلفــــــة]],tablecost[الاسم],0)),0)</f>
        <v>1</v>
      </c>
      <c r="U517" s="122">
        <f>IFERROR(DATE(TableDailyJournal[[#This Row],[السنــــة]],TableDailyJournal[[#This Row],[الشهــــر]],TableDailyJournal[[#This Row],[الـــــيوم]]),"01-01-2026")</f>
        <v>46190</v>
      </c>
      <c r="V517" s="126"/>
      <c r="W517" s="58"/>
      <c r="X517" s="58">
        <f>IFERROR(YEAR(TableDailyJournal[[#This Row],[التاريخ]]),"")</f>
        <v>2026</v>
      </c>
      <c r="Y517" s="58">
        <f>IFERROR(MONTH(TableDailyJournal[[#This Row],[التاريخ]]),"")</f>
        <v>6</v>
      </c>
      <c r="Z517" s="58">
        <f>IFERROR(DAY(TableDailyJournal[[#This Row],[التاريخ]]),"")</f>
        <v>17</v>
      </c>
      <c r="AA517"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7 افراد بامر</v>
      </c>
      <c r="AB517" s="121">
        <f>INDEX(Tabledaily[جهة الامر],MATCH(TableDailyJournal[[#This Row],[رقم العملية]],Tabledaily[رقم العملية],0))</f>
        <v>0</v>
      </c>
    </row>
    <row r="518" spans="2:28" ht="45.75" x14ac:dyDescent="0.55000000000000004">
      <c r="B518" s="58">
        <f t="shared" si="17"/>
        <v>514</v>
      </c>
      <c r="C518" s="59" t="s">
        <v>882</v>
      </c>
      <c r="D518" s="60">
        <f>INDEX(Tabledaily[date],MATCH(TableDailyJournal[[#This Row],[رقم العملية]],Tabledaily[رقم العملية],0))</f>
        <v>46190</v>
      </c>
      <c r="E518" s="58" t="str">
        <f>INDEX(Tabledaily[نوع العمليــة],MATCH(TableDailyJournal[[#This Row],[رقم العملية]],Tabledaily[رقم العملية],0))</f>
        <v>قيد عهده</v>
      </c>
      <c r="F518" s="58">
        <f>IFERROR(INDEX(TableJudje[رقم الحساب],MATCH(TableDailyJournal[[#This Row],[الحساب]],TableJudje[اسم الحساب],0)),0)</f>
        <v>31010101</v>
      </c>
      <c r="G518" s="58" t="s">
        <v>111</v>
      </c>
      <c r="H518"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518" s="60" t="str">
        <f>INDEX(Tabledaily[العملـــة],MATCH(TableDailyJournal[[#This Row],[رقم العملية]],Tabledaily[رقم العملية],0))</f>
        <v>ريال يمني</v>
      </c>
      <c r="J518" s="59">
        <f>IFERROR(INDEX(Tabledaily[سعــــــر
الصـــــرف],MATCH(C518,Tabledaily[رقم العملية],0)),1)</f>
        <v>405</v>
      </c>
      <c r="K518" s="123" cm="1">
        <f t="array" ref="K518">IFERROR(INDEX(Tabledaily[المبلـــــــغ],MATCH(1,(TableDailyJournal[[#This Row],[رقم العملية]]=Tabledaily[رقم العملية])*(TableDailyJournal[[#This Row],[الحساب]]=Tabledaily[الحســاب المديــــن]),0)),0)</f>
        <v>45000</v>
      </c>
      <c r="L518" s="123" cm="1">
        <f t="array" ref="L518">IFERROR(INDEX(Tabledaily[المبلـــــــغ],MATCH(1,(TableDailyJournal[[#This Row],[رقم العملية]]=Tabledaily[رقم العملية])*(TableDailyJournal[[#This Row],[الحساب]]=Tabledaily[الحســاب الدئـــن]),0)),0)</f>
        <v>0</v>
      </c>
      <c r="M518" s="119">
        <f>IFERROR(TableDailyJournal[[#This Row],[المبلغ مدين]]/TableDailyJournal[[#This Row],[سعــــــر
الصـــــرف]],0)</f>
        <v>111.11111111111111</v>
      </c>
      <c r="N518" s="119">
        <f>IFERROR(TableDailyJournal[[#This Row],[المبلغ دائن]]/TableDailyJournal[[#This Row],[سعــــــر
الصـــــرف]],0)</f>
        <v>0</v>
      </c>
      <c r="O518" s="121" t="str">
        <f>INDEX(Tabledaily[المستفيــــــــد],MATCH(TableDailyJournal[[#This Row],[رقم العملية]],Tabledaily[رقم العملية],0))</f>
        <v>المدفعية</v>
      </c>
      <c r="P518" s="121" t="str">
        <f>INDEX(Tabledaily[المــــرجـــــــــع],MATCH(TableDailyJournal[[#This Row],[رقم العملية]],Tabledaily[رقم العملية],0))</f>
        <v>كشف صرف</v>
      </c>
      <c r="Q518" s="121" t="str">
        <f>INDEX(Tabledaily[اســـــــم المــــرجــــع],MATCH(TableDailyJournal[[#This Row],[رقم العملية]],Tabledaily[رقم العملية],0))</f>
        <v>كشف صرف</v>
      </c>
      <c r="R518" s="121">
        <f>INDEX(Tabledaily[رقم المـــــرجـــع],MATCH(TableDailyJournal[[#This Row],[رقم العملية]],Tabledaily[رقم العملية],0))</f>
        <v>0</v>
      </c>
      <c r="S518" s="121" t="str">
        <f>INDEX(Tabledaily[مركـــــــزالتكلفــــــة],MATCH(TableDailyJournal[[#This Row],[رقم العملية]],Tabledaily[رقم العملية],0))</f>
        <v>الفرقة الثالثة</v>
      </c>
      <c r="T518" s="121">
        <f>IFERROR(INDEX(tablecost[رقم المركز],MATCH(TableDailyJournal[[#This Row],[مركـــــــزالتكلفــــــة]],tablecost[الاسم],0)),0)</f>
        <v>1</v>
      </c>
      <c r="U518" s="122">
        <f>IFERROR(DATE(TableDailyJournal[[#This Row],[السنــــة]],TableDailyJournal[[#This Row],[الشهــــر]],TableDailyJournal[[#This Row],[الـــــيوم]]),"01-01-2026")</f>
        <v>46190</v>
      </c>
      <c r="V518" s="126"/>
      <c r="W518" s="58"/>
      <c r="X518" s="58">
        <f>IFERROR(YEAR(TableDailyJournal[[#This Row],[التاريخ]]),"")</f>
        <v>2026</v>
      </c>
      <c r="Y518" s="58">
        <f>IFERROR(MONTH(TableDailyJournal[[#This Row],[التاريخ]]),"")</f>
        <v>6</v>
      </c>
      <c r="Z518" s="58">
        <f>IFERROR(DAY(TableDailyJournal[[#This Row],[التاريخ]]),"")</f>
        <v>17</v>
      </c>
      <c r="AA518"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518" s="121">
        <f>INDEX(Tabledaily[جهة الامر],MATCH(TableDailyJournal[[#This Row],[رقم العملية]],Tabledaily[رقم العملية],0))</f>
        <v>0</v>
      </c>
    </row>
    <row r="519" spans="2:28" ht="45.75" x14ac:dyDescent="0.55000000000000004">
      <c r="B519" s="58">
        <f t="shared" si="17"/>
        <v>515</v>
      </c>
      <c r="C519" s="59" t="s">
        <v>882</v>
      </c>
      <c r="D519" s="60">
        <f>INDEX(Tabledaily[date],MATCH(TableDailyJournal[[#This Row],[رقم العملية]],Tabledaily[رقم العملية],0))</f>
        <v>46190</v>
      </c>
      <c r="E519" s="58" t="str">
        <f>INDEX(Tabledaily[نوع العمليــة],MATCH(TableDailyJournal[[#This Row],[رقم العملية]],Tabledaily[رقم العملية],0))</f>
        <v>قيد عهده</v>
      </c>
      <c r="F519" s="58">
        <f>IFERROR(INDEX(TableJudje[رقم الحساب],MATCH(TableDailyJournal[[#This Row],[الحساب]],TableJudje[اسم الحساب],0)),0)</f>
        <v>11060205</v>
      </c>
      <c r="G519" s="58" t="s">
        <v>513</v>
      </c>
      <c r="H519"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519" s="60" t="str">
        <f>INDEX(Tabledaily[العملـــة],MATCH(TableDailyJournal[[#This Row],[رقم العملية]],Tabledaily[رقم العملية],0))</f>
        <v>ريال يمني</v>
      </c>
      <c r="J519" s="59">
        <f>IFERROR(INDEX(Tabledaily[سعــــــر
الصـــــرف],MATCH(C519,Tabledaily[رقم العملية],0)),1)</f>
        <v>405</v>
      </c>
      <c r="K519" s="123" cm="1">
        <f t="array" ref="K519">IFERROR(INDEX(Tabledaily[المبلـــــــغ],MATCH(1,(TableDailyJournal[[#This Row],[رقم العملية]]=Tabledaily[رقم العملية])*(TableDailyJournal[[#This Row],[الحساب]]=Tabledaily[الحســاب المديــــن]),0)),0)</f>
        <v>0</v>
      </c>
      <c r="L519" s="123" cm="1">
        <f t="array" ref="L519">IFERROR(INDEX(Tabledaily[المبلـــــــغ],MATCH(1,(TableDailyJournal[[#This Row],[رقم العملية]]=Tabledaily[رقم العملية])*(TableDailyJournal[[#This Row],[الحساب]]=Tabledaily[الحســاب الدئـــن]),0)),0)</f>
        <v>45000</v>
      </c>
      <c r="M519" s="119">
        <f>IFERROR(TableDailyJournal[[#This Row],[المبلغ مدين]]/TableDailyJournal[[#This Row],[سعــــــر
الصـــــرف]],0)</f>
        <v>0</v>
      </c>
      <c r="N519" s="119">
        <f>IFERROR(TableDailyJournal[[#This Row],[المبلغ دائن]]/TableDailyJournal[[#This Row],[سعــــــر
الصـــــرف]],0)</f>
        <v>111.11111111111111</v>
      </c>
      <c r="O519" s="121" t="str">
        <f>INDEX(Tabledaily[المستفيــــــــد],MATCH(TableDailyJournal[[#This Row],[رقم العملية]],Tabledaily[رقم العملية],0))</f>
        <v>المدفعية</v>
      </c>
      <c r="P519" s="121" t="str">
        <f>INDEX(Tabledaily[المــــرجـــــــــع],MATCH(TableDailyJournal[[#This Row],[رقم العملية]],Tabledaily[رقم العملية],0))</f>
        <v>كشف صرف</v>
      </c>
      <c r="Q519" s="121" t="str">
        <f>INDEX(Tabledaily[اســـــــم المــــرجــــع],MATCH(TableDailyJournal[[#This Row],[رقم العملية]],Tabledaily[رقم العملية],0))</f>
        <v>كشف صرف</v>
      </c>
      <c r="R519" s="121">
        <f>INDEX(Tabledaily[رقم المـــــرجـــع],MATCH(TableDailyJournal[[#This Row],[رقم العملية]],Tabledaily[رقم العملية],0))</f>
        <v>0</v>
      </c>
      <c r="S519" s="121" t="str">
        <f>INDEX(Tabledaily[مركـــــــزالتكلفــــــة],MATCH(TableDailyJournal[[#This Row],[رقم العملية]],Tabledaily[رقم العملية],0))</f>
        <v>الفرقة الثالثة</v>
      </c>
      <c r="T519" s="121">
        <f>IFERROR(INDEX(tablecost[رقم المركز],MATCH(TableDailyJournal[[#This Row],[مركـــــــزالتكلفــــــة]],tablecost[الاسم],0)),0)</f>
        <v>1</v>
      </c>
      <c r="U519" s="122">
        <f>IFERROR(DATE(TableDailyJournal[[#This Row],[السنــــة]],TableDailyJournal[[#This Row],[الشهــــر]],TableDailyJournal[[#This Row],[الـــــيوم]]),"01-01-2026")</f>
        <v>46190</v>
      </c>
      <c r="V519" s="126"/>
      <c r="W519" s="58"/>
      <c r="X519" s="58">
        <f>IFERROR(YEAR(TableDailyJournal[[#This Row],[التاريخ]]),"")</f>
        <v>2026</v>
      </c>
      <c r="Y519" s="58">
        <f>IFERROR(MONTH(TableDailyJournal[[#This Row],[التاريخ]]),"")</f>
        <v>6</v>
      </c>
      <c r="Z519" s="58">
        <f>IFERROR(DAY(TableDailyJournal[[#This Row],[التاريخ]]),"")</f>
        <v>17</v>
      </c>
      <c r="AA519"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519" s="121">
        <f>INDEX(Tabledaily[جهة الامر],MATCH(TableDailyJournal[[#This Row],[رقم العملية]],Tabledaily[رقم العملية],0))</f>
        <v>0</v>
      </c>
    </row>
    <row r="520" spans="2:28" ht="67.5" x14ac:dyDescent="0.55000000000000004">
      <c r="B520" s="58">
        <f t="shared" si="17"/>
        <v>516</v>
      </c>
      <c r="C520" s="59" t="s">
        <v>883</v>
      </c>
      <c r="D520" s="60">
        <f>INDEX(Tabledaily[date],MATCH(TableDailyJournal[[#This Row],[رقم العملية]],Tabledaily[رقم العملية],0))</f>
        <v>46190</v>
      </c>
      <c r="E520" s="58" t="str">
        <f>INDEX(Tabledaily[نوع العمليــة],MATCH(TableDailyJournal[[#This Row],[رقم العملية]],Tabledaily[رقم العملية],0))</f>
        <v>قيد عهده</v>
      </c>
      <c r="F520" s="58">
        <f>IFERROR(INDEX(TableJudje[رقم الحساب],MATCH(TableDailyJournal[[#This Row],[الحساب]],TableJudje[اسم الحساب],0)),0)</f>
        <v>31010101</v>
      </c>
      <c r="G520" s="58" t="s">
        <v>111</v>
      </c>
      <c r="H520"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I520" s="60" t="str">
        <f>INDEX(Tabledaily[العملـــة],MATCH(TableDailyJournal[[#This Row],[رقم العملية]],Tabledaily[رقم العملية],0))</f>
        <v>ريال يمني</v>
      </c>
      <c r="J520" s="59">
        <f>IFERROR(INDEX(Tabledaily[سعــــــر
الصـــــرف],MATCH(C520,Tabledaily[رقم العملية],0)),1)</f>
        <v>405</v>
      </c>
      <c r="K520" s="123" cm="1">
        <f t="array" ref="K520">IFERROR(INDEX(Tabledaily[المبلـــــــغ],MATCH(1,(TableDailyJournal[[#This Row],[رقم العملية]]=Tabledaily[رقم العملية])*(TableDailyJournal[[#This Row],[الحساب]]=Tabledaily[الحســاب المديــــن]),0)),0)</f>
        <v>112000</v>
      </c>
      <c r="L520" s="123" cm="1">
        <f t="array" ref="L520">IFERROR(INDEX(Tabledaily[المبلـــــــغ],MATCH(1,(TableDailyJournal[[#This Row],[رقم العملية]]=Tabledaily[رقم العملية])*(TableDailyJournal[[#This Row],[الحساب]]=Tabledaily[الحســاب الدئـــن]),0)),0)</f>
        <v>0</v>
      </c>
      <c r="M520" s="119">
        <f>IFERROR(TableDailyJournal[[#This Row],[المبلغ مدين]]/TableDailyJournal[[#This Row],[سعــــــر
الصـــــرف]],0)</f>
        <v>276.54320987654319</v>
      </c>
      <c r="N520" s="119">
        <f>IFERROR(TableDailyJournal[[#This Row],[المبلغ دائن]]/TableDailyJournal[[#This Row],[سعــــــر
الصـــــرف]],0)</f>
        <v>0</v>
      </c>
      <c r="O520" s="121" t="str">
        <f>INDEX(Tabledaily[المستفيــــــــد],MATCH(TableDailyJournal[[#This Row],[رقم العملية]],Tabledaily[رقم العملية],0))</f>
        <v>المستشارين والمساعدين</v>
      </c>
      <c r="P520" s="121" t="str">
        <f>INDEX(Tabledaily[المــــرجـــــــــع],MATCH(TableDailyJournal[[#This Row],[رقم العملية]],Tabledaily[رقم العملية],0))</f>
        <v>كشف صرف</v>
      </c>
      <c r="Q520" s="121" t="str">
        <f>INDEX(Tabledaily[اســـــــم المــــرجــــع],MATCH(TableDailyJournal[[#This Row],[رقم العملية]],Tabledaily[رقم العملية],0))</f>
        <v>كشف صرف</v>
      </c>
      <c r="R520" s="121">
        <f>INDEX(Tabledaily[رقم المـــــرجـــع],MATCH(TableDailyJournal[[#This Row],[رقم العملية]],Tabledaily[رقم العملية],0))</f>
        <v>0</v>
      </c>
      <c r="S520" s="121" t="str">
        <f>INDEX(Tabledaily[مركـــــــزالتكلفــــــة],MATCH(TableDailyJournal[[#This Row],[رقم العملية]],Tabledaily[رقم العملية],0))</f>
        <v>الفرقة الثالثة</v>
      </c>
      <c r="T520" s="121">
        <f>IFERROR(INDEX(tablecost[رقم المركز],MATCH(TableDailyJournal[[#This Row],[مركـــــــزالتكلفــــــة]],tablecost[الاسم],0)),0)</f>
        <v>1</v>
      </c>
      <c r="U520" s="122">
        <f>IFERROR(DATE(TableDailyJournal[[#This Row],[السنــــة]],TableDailyJournal[[#This Row],[الشهــــر]],TableDailyJournal[[#This Row],[الـــــيوم]]),"01-01-2026")</f>
        <v>46190</v>
      </c>
      <c r="V520" s="126"/>
      <c r="W520" s="58"/>
      <c r="X520" s="58">
        <f>IFERROR(YEAR(TableDailyJournal[[#This Row],[التاريخ]]),"")</f>
        <v>2026</v>
      </c>
      <c r="Y520" s="58">
        <f>IFERROR(MONTH(TableDailyJournal[[#This Row],[التاريخ]]),"")</f>
        <v>6</v>
      </c>
      <c r="Z520" s="58">
        <f>IFERROR(DAY(TableDailyJournal[[#This Row],[التاريخ]]),"")</f>
        <v>17</v>
      </c>
      <c r="AA520"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B520" s="121">
        <f>INDEX(Tabledaily[جهة الامر],MATCH(TableDailyJournal[[#This Row],[رقم العملية]],Tabledaily[رقم العملية],0))</f>
        <v>0</v>
      </c>
    </row>
    <row r="521" spans="2:28" ht="67.5" x14ac:dyDescent="0.55000000000000004">
      <c r="B521" s="58">
        <f t="shared" si="17"/>
        <v>517</v>
      </c>
      <c r="C521" s="59" t="s">
        <v>883</v>
      </c>
      <c r="D521" s="60">
        <f>INDEX(Tabledaily[date],MATCH(TableDailyJournal[[#This Row],[رقم العملية]],Tabledaily[رقم العملية],0))</f>
        <v>46190</v>
      </c>
      <c r="E521" s="58" t="str">
        <f>INDEX(Tabledaily[نوع العمليــة],MATCH(TableDailyJournal[[#This Row],[رقم العملية]],Tabledaily[رقم العملية],0))</f>
        <v>قيد عهده</v>
      </c>
      <c r="F521" s="58">
        <f>IFERROR(INDEX(TableJudje[رقم الحساب],MATCH(TableDailyJournal[[#This Row],[الحساب]],TableJudje[اسم الحساب],0)),0)</f>
        <v>11060205</v>
      </c>
      <c r="G521" s="58" t="s">
        <v>513</v>
      </c>
      <c r="H521"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I521" s="60" t="str">
        <f>INDEX(Tabledaily[العملـــة],MATCH(TableDailyJournal[[#This Row],[رقم العملية]],Tabledaily[رقم العملية],0))</f>
        <v>ريال يمني</v>
      </c>
      <c r="J521" s="59">
        <f>IFERROR(INDEX(Tabledaily[سعــــــر
الصـــــرف],MATCH(C521,Tabledaily[رقم العملية],0)),1)</f>
        <v>405</v>
      </c>
      <c r="K521" s="123" cm="1">
        <f t="array" ref="K521">IFERROR(INDEX(Tabledaily[المبلـــــــغ],MATCH(1,(TableDailyJournal[[#This Row],[رقم العملية]]=Tabledaily[رقم العملية])*(TableDailyJournal[[#This Row],[الحساب]]=Tabledaily[الحســاب المديــــن]),0)),0)</f>
        <v>0</v>
      </c>
      <c r="L521" s="123" cm="1">
        <f t="array" ref="L521">IFERROR(INDEX(Tabledaily[المبلـــــــغ],MATCH(1,(TableDailyJournal[[#This Row],[رقم العملية]]=Tabledaily[رقم العملية])*(TableDailyJournal[[#This Row],[الحساب]]=Tabledaily[الحســاب الدئـــن]),0)),0)</f>
        <v>112000</v>
      </c>
      <c r="M521" s="119">
        <f>IFERROR(TableDailyJournal[[#This Row],[المبلغ مدين]]/TableDailyJournal[[#This Row],[سعــــــر
الصـــــرف]],0)</f>
        <v>0</v>
      </c>
      <c r="N521" s="119">
        <f>IFERROR(TableDailyJournal[[#This Row],[المبلغ دائن]]/TableDailyJournal[[#This Row],[سعــــــر
الصـــــرف]],0)</f>
        <v>276.54320987654319</v>
      </c>
      <c r="O521" s="121" t="str">
        <f>INDEX(Tabledaily[المستفيــــــــد],MATCH(TableDailyJournal[[#This Row],[رقم العملية]],Tabledaily[رقم العملية],0))</f>
        <v>المستشارين والمساعدين</v>
      </c>
      <c r="P521" s="121" t="str">
        <f>INDEX(Tabledaily[المــــرجـــــــــع],MATCH(TableDailyJournal[[#This Row],[رقم العملية]],Tabledaily[رقم العملية],0))</f>
        <v>كشف صرف</v>
      </c>
      <c r="Q521" s="121" t="str">
        <f>INDEX(Tabledaily[اســـــــم المــــرجــــع],MATCH(TableDailyJournal[[#This Row],[رقم العملية]],Tabledaily[رقم العملية],0))</f>
        <v>كشف صرف</v>
      </c>
      <c r="R521" s="121">
        <f>INDEX(Tabledaily[رقم المـــــرجـــع],MATCH(TableDailyJournal[[#This Row],[رقم العملية]],Tabledaily[رقم العملية],0))</f>
        <v>0</v>
      </c>
      <c r="S521" s="121" t="str">
        <f>INDEX(Tabledaily[مركـــــــزالتكلفــــــة],MATCH(TableDailyJournal[[#This Row],[رقم العملية]],Tabledaily[رقم العملية],0))</f>
        <v>الفرقة الثالثة</v>
      </c>
      <c r="T521" s="121">
        <f>IFERROR(INDEX(tablecost[رقم المركز],MATCH(TableDailyJournal[[#This Row],[مركـــــــزالتكلفــــــة]],tablecost[الاسم],0)),0)</f>
        <v>1</v>
      </c>
      <c r="U521" s="122">
        <f>IFERROR(DATE(TableDailyJournal[[#This Row],[السنــــة]],TableDailyJournal[[#This Row],[الشهــــر]],TableDailyJournal[[#This Row],[الـــــيوم]]),"01-01-2026")</f>
        <v>46190</v>
      </c>
      <c r="V521" s="126"/>
      <c r="W521" s="58"/>
      <c r="X521" s="58">
        <f>IFERROR(YEAR(TableDailyJournal[[#This Row],[التاريخ]]),"")</f>
        <v>2026</v>
      </c>
      <c r="Y521" s="58">
        <f>IFERROR(MONTH(TableDailyJournal[[#This Row],[التاريخ]]),"")</f>
        <v>6</v>
      </c>
      <c r="Z521" s="58">
        <f>IFERROR(DAY(TableDailyJournal[[#This Row],[التاريخ]]),"")</f>
        <v>17</v>
      </c>
      <c r="AA521"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B521" s="121">
        <f>INDEX(Tabledaily[جهة الامر],MATCH(TableDailyJournal[[#This Row],[رقم العملية]],Tabledaily[رقم العملية],0))</f>
        <v>0</v>
      </c>
    </row>
    <row r="522" spans="2:28" ht="45.75" x14ac:dyDescent="0.55000000000000004">
      <c r="B522" s="58">
        <f t="shared" si="17"/>
        <v>518</v>
      </c>
      <c r="C522" s="59" t="s">
        <v>884</v>
      </c>
      <c r="D522" s="60">
        <f>INDEX(Tabledaily[date],MATCH(TableDailyJournal[[#This Row],[رقم العملية]],Tabledaily[رقم العملية],0))</f>
        <v>46190</v>
      </c>
      <c r="E522" s="58" t="str">
        <f>INDEX(Tabledaily[نوع العمليــة],MATCH(TableDailyJournal[[#This Row],[رقم العملية]],Tabledaily[رقم العملية],0))</f>
        <v>قيد عهده</v>
      </c>
      <c r="F522" s="58">
        <f>IFERROR(INDEX(TableJudje[رقم الحساب],MATCH(TableDailyJournal[[#This Row],[الحساب]],TableJudje[اسم الحساب],0)),0)</f>
        <v>31010101</v>
      </c>
      <c r="G522" s="58" t="s">
        <v>111</v>
      </c>
      <c r="H522"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I522" s="60" t="str">
        <f>INDEX(Tabledaily[العملـــة],MATCH(TableDailyJournal[[#This Row],[رقم العملية]],Tabledaily[رقم العملية],0))</f>
        <v>ريال يمني</v>
      </c>
      <c r="J522" s="59">
        <f>IFERROR(INDEX(Tabledaily[سعــــــر
الصـــــرف],MATCH(C522,Tabledaily[رقم العملية],0)),1)</f>
        <v>405</v>
      </c>
      <c r="K522" s="123" cm="1">
        <f t="array" ref="K522">IFERROR(INDEX(Tabledaily[المبلـــــــغ],MATCH(1,(TableDailyJournal[[#This Row],[رقم العملية]]=Tabledaily[رقم العملية])*(TableDailyJournal[[#This Row],[الحساب]]=Tabledaily[الحســاب المديــــن]),0)),0)</f>
        <v>80000</v>
      </c>
      <c r="L522" s="123" cm="1">
        <f t="array" ref="L522">IFERROR(INDEX(Tabledaily[المبلـــــــغ],MATCH(1,(TableDailyJournal[[#This Row],[رقم العملية]]=Tabledaily[رقم العملية])*(TableDailyJournal[[#This Row],[الحساب]]=Tabledaily[الحســاب الدئـــن]),0)),0)</f>
        <v>0</v>
      </c>
      <c r="M522" s="119">
        <f>IFERROR(TableDailyJournal[[#This Row],[المبلغ مدين]]/TableDailyJournal[[#This Row],[سعــــــر
الصـــــرف]],0)</f>
        <v>197.53086419753086</v>
      </c>
      <c r="N522" s="119">
        <f>IFERROR(TableDailyJournal[[#This Row],[المبلغ دائن]]/TableDailyJournal[[#This Row],[سعــــــر
الصـــــرف]],0)</f>
        <v>0</v>
      </c>
      <c r="O522" s="121" t="str">
        <f>INDEX(Tabledaily[المستفيــــــــد],MATCH(TableDailyJournal[[#This Row],[رقم العملية]],Tabledaily[رقم العملية],0))</f>
        <v>اخرون</v>
      </c>
      <c r="P522" s="121" t="str">
        <f>INDEX(Tabledaily[المــــرجـــــــــع],MATCH(TableDailyJournal[[#This Row],[رقم العملية]],Tabledaily[رقم العملية],0))</f>
        <v>كشف صرف</v>
      </c>
      <c r="Q522" s="121" t="str">
        <f>INDEX(Tabledaily[اســـــــم المــــرجــــع],MATCH(TableDailyJournal[[#This Row],[رقم العملية]],Tabledaily[رقم العملية],0))</f>
        <v>كشف صرف</v>
      </c>
      <c r="R522" s="121">
        <f>INDEX(Tabledaily[رقم المـــــرجـــع],MATCH(TableDailyJournal[[#This Row],[رقم العملية]],Tabledaily[رقم العملية],0))</f>
        <v>0</v>
      </c>
      <c r="S522" s="121" t="str">
        <f>INDEX(Tabledaily[مركـــــــزالتكلفــــــة],MATCH(TableDailyJournal[[#This Row],[رقم العملية]],Tabledaily[رقم العملية],0))</f>
        <v>الفرقة الثالثة</v>
      </c>
      <c r="T522" s="121">
        <f>IFERROR(INDEX(tablecost[رقم المركز],MATCH(TableDailyJournal[[#This Row],[مركـــــــزالتكلفــــــة]],tablecost[الاسم],0)),0)</f>
        <v>1</v>
      </c>
      <c r="U522" s="122">
        <f>IFERROR(DATE(TableDailyJournal[[#This Row],[السنــــة]],TableDailyJournal[[#This Row],[الشهــــر]],TableDailyJournal[[#This Row],[الـــــيوم]]),"01-01-2026")</f>
        <v>46190</v>
      </c>
      <c r="V522" s="126"/>
      <c r="W522" s="58"/>
      <c r="X522" s="58">
        <f>IFERROR(YEAR(TableDailyJournal[[#This Row],[التاريخ]]),"")</f>
        <v>2026</v>
      </c>
      <c r="Y522" s="58">
        <f>IFERROR(MONTH(TableDailyJournal[[#This Row],[التاريخ]]),"")</f>
        <v>6</v>
      </c>
      <c r="Z522" s="58">
        <f>IFERROR(DAY(TableDailyJournal[[#This Row],[التاريخ]]),"")</f>
        <v>17</v>
      </c>
      <c r="AA522"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AB522" s="121">
        <f>INDEX(Tabledaily[جهة الامر],MATCH(TableDailyJournal[[#This Row],[رقم العملية]],Tabledaily[رقم العملية],0))</f>
        <v>0</v>
      </c>
    </row>
    <row r="523" spans="2:28" ht="45.75" x14ac:dyDescent="0.55000000000000004">
      <c r="B523" s="58">
        <f t="shared" si="17"/>
        <v>519</v>
      </c>
      <c r="C523" s="59" t="s">
        <v>884</v>
      </c>
      <c r="D523" s="60">
        <f>INDEX(Tabledaily[date],MATCH(TableDailyJournal[[#This Row],[رقم العملية]],Tabledaily[رقم العملية],0))</f>
        <v>46190</v>
      </c>
      <c r="E523" s="58" t="str">
        <f>INDEX(Tabledaily[نوع العمليــة],MATCH(TableDailyJournal[[#This Row],[رقم العملية]],Tabledaily[رقم العملية],0))</f>
        <v>قيد عهده</v>
      </c>
      <c r="F523" s="58">
        <f>IFERROR(INDEX(TableJudje[رقم الحساب],MATCH(TableDailyJournal[[#This Row],[الحساب]],TableJudje[اسم الحساب],0)),0)</f>
        <v>11060205</v>
      </c>
      <c r="G523" s="58" t="s">
        <v>513</v>
      </c>
      <c r="H523"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I523" s="60" t="str">
        <f>INDEX(Tabledaily[العملـــة],MATCH(TableDailyJournal[[#This Row],[رقم العملية]],Tabledaily[رقم العملية],0))</f>
        <v>ريال يمني</v>
      </c>
      <c r="J523" s="59">
        <f>IFERROR(INDEX(Tabledaily[سعــــــر
الصـــــرف],MATCH(C523,Tabledaily[رقم العملية],0)),1)</f>
        <v>405</v>
      </c>
      <c r="K523" s="123" cm="1">
        <f t="array" ref="K523">IFERROR(INDEX(Tabledaily[المبلـــــــغ],MATCH(1,(TableDailyJournal[[#This Row],[رقم العملية]]=Tabledaily[رقم العملية])*(TableDailyJournal[[#This Row],[الحساب]]=Tabledaily[الحســاب المديــــن]),0)),0)</f>
        <v>0</v>
      </c>
      <c r="L523" s="123" cm="1">
        <f t="array" ref="L523">IFERROR(INDEX(Tabledaily[المبلـــــــغ],MATCH(1,(TableDailyJournal[[#This Row],[رقم العملية]]=Tabledaily[رقم العملية])*(TableDailyJournal[[#This Row],[الحساب]]=Tabledaily[الحســاب الدئـــن]),0)),0)</f>
        <v>80000</v>
      </c>
      <c r="M523" s="119">
        <f>IFERROR(TableDailyJournal[[#This Row],[المبلغ مدين]]/TableDailyJournal[[#This Row],[سعــــــر
الصـــــرف]],0)</f>
        <v>0</v>
      </c>
      <c r="N523" s="119">
        <f>IFERROR(TableDailyJournal[[#This Row],[المبلغ دائن]]/TableDailyJournal[[#This Row],[سعــــــر
الصـــــرف]],0)</f>
        <v>197.53086419753086</v>
      </c>
      <c r="O523" s="121" t="str">
        <f>INDEX(Tabledaily[المستفيــــــــد],MATCH(TableDailyJournal[[#This Row],[رقم العملية]],Tabledaily[رقم العملية],0))</f>
        <v>اخرون</v>
      </c>
      <c r="P523" s="121" t="str">
        <f>INDEX(Tabledaily[المــــرجـــــــــع],MATCH(TableDailyJournal[[#This Row],[رقم العملية]],Tabledaily[رقم العملية],0))</f>
        <v>كشف صرف</v>
      </c>
      <c r="Q523" s="121" t="str">
        <f>INDEX(Tabledaily[اســـــــم المــــرجــــع],MATCH(TableDailyJournal[[#This Row],[رقم العملية]],Tabledaily[رقم العملية],0))</f>
        <v>كشف صرف</v>
      </c>
      <c r="R523" s="121">
        <f>INDEX(Tabledaily[رقم المـــــرجـــع],MATCH(TableDailyJournal[[#This Row],[رقم العملية]],Tabledaily[رقم العملية],0))</f>
        <v>0</v>
      </c>
      <c r="S523" s="121" t="str">
        <f>INDEX(Tabledaily[مركـــــــزالتكلفــــــة],MATCH(TableDailyJournal[[#This Row],[رقم العملية]],Tabledaily[رقم العملية],0))</f>
        <v>الفرقة الثالثة</v>
      </c>
      <c r="T523" s="121">
        <f>IFERROR(INDEX(tablecost[رقم المركز],MATCH(TableDailyJournal[[#This Row],[مركـــــــزالتكلفــــــة]],tablecost[الاسم],0)),0)</f>
        <v>1</v>
      </c>
      <c r="U523" s="122">
        <f>IFERROR(DATE(TableDailyJournal[[#This Row],[السنــــة]],TableDailyJournal[[#This Row],[الشهــــر]],TableDailyJournal[[#This Row],[الـــــيوم]]),"01-01-2026")</f>
        <v>46190</v>
      </c>
      <c r="V523" s="126"/>
      <c r="W523" s="58"/>
      <c r="X523" s="58">
        <f>IFERROR(YEAR(TableDailyJournal[[#This Row],[التاريخ]]),"")</f>
        <v>2026</v>
      </c>
      <c r="Y523" s="58">
        <f>IFERROR(MONTH(TableDailyJournal[[#This Row],[التاريخ]]),"")</f>
        <v>6</v>
      </c>
      <c r="Z523" s="58">
        <f>IFERROR(DAY(TableDailyJournal[[#This Row],[التاريخ]]),"")</f>
        <v>17</v>
      </c>
      <c r="AA523"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AB523" s="121">
        <f>INDEX(Tabledaily[جهة الامر],MATCH(TableDailyJournal[[#This Row],[رقم العملية]],Tabledaily[رقم العملية],0))</f>
        <v>0</v>
      </c>
    </row>
    <row r="524" spans="2:28" ht="45.75" x14ac:dyDescent="0.55000000000000004">
      <c r="B524" s="58">
        <f t="shared" si="17"/>
        <v>520</v>
      </c>
      <c r="C524" s="59" t="s">
        <v>885</v>
      </c>
      <c r="D524" s="60">
        <f>INDEX(Tabledaily[date],MATCH(TableDailyJournal[[#This Row],[رقم العملية]],Tabledaily[رقم العملية],0))</f>
        <v>46190</v>
      </c>
      <c r="E524" s="58" t="str">
        <f>INDEX(Tabledaily[نوع العمليــة],MATCH(TableDailyJournal[[#This Row],[رقم العملية]],Tabledaily[رقم العملية],0))</f>
        <v>قيد عهده</v>
      </c>
      <c r="F524" s="58">
        <f>IFERROR(INDEX(TableJudje[رقم الحساب],MATCH(TableDailyJournal[[#This Row],[الحساب]],TableJudje[اسم الحساب],0)),0)</f>
        <v>31010101</v>
      </c>
      <c r="G524" s="58" t="s">
        <v>111</v>
      </c>
      <c r="H524" s="61" t="str">
        <f>INDEX(Tabledaily[المرجع البياني],MATCH(TableDailyJournal[[#This Row],[رقم العملية]],Tabledaily[رقم العملية],0))</f>
        <v>قيـد مقابـل:- (مصاريف  صرفة يومية للافراد  - طقم اللواء السابع - اللواء السابع)  - كشف صرف رقم   كشف صرف - صرف الصرفة اليومية لافراد طقم اللواء السابع عدد3 افراد بامر</v>
      </c>
      <c r="I524" s="60" t="str">
        <f>INDEX(Tabledaily[العملـــة],MATCH(TableDailyJournal[[#This Row],[رقم العملية]],Tabledaily[رقم العملية],0))</f>
        <v>ريال يمني</v>
      </c>
      <c r="J524" s="59">
        <f>IFERROR(INDEX(Tabledaily[سعــــــر
الصـــــرف],MATCH(C524,Tabledaily[رقم العملية],0)),1)</f>
        <v>405</v>
      </c>
      <c r="K524" s="123" cm="1">
        <f t="array" ref="K524">IFERROR(INDEX(Tabledaily[المبلـــــــغ],MATCH(1,(TableDailyJournal[[#This Row],[رقم العملية]]=Tabledaily[رقم العملية])*(TableDailyJournal[[#This Row],[الحساب]]=Tabledaily[الحســاب المديــــن]),0)),0)</f>
        <v>18000</v>
      </c>
      <c r="L524" s="123" cm="1">
        <f t="array" ref="L524">IFERROR(INDEX(Tabledaily[المبلـــــــغ],MATCH(1,(TableDailyJournal[[#This Row],[رقم العملية]]=Tabledaily[رقم العملية])*(TableDailyJournal[[#This Row],[الحساب]]=Tabledaily[الحســاب الدئـــن]),0)),0)</f>
        <v>0</v>
      </c>
      <c r="M524" s="119">
        <f>IFERROR(TableDailyJournal[[#This Row],[المبلغ مدين]]/TableDailyJournal[[#This Row],[سعــــــر
الصـــــرف]],0)</f>
        <v>44.444444444444443</v>
      </c>
      <c r="N524" s="119">
        <f>IFERROR(TableDailyJournal[[#This Row],[المبلغ دائن]]/TableDailyJournal[[#This Row],[سعــــــر
الصـــــرف]],0)</f>
        <v>0</v>
      </c>
      <c r="O524" s="121" t="str">
        <f>INDEX(Tabledaily[المستفيــــــــد],MATCH(TableDailyJournal[[#This Row],[رقم العملية]],Tabledaily[رقم العملية],0))</f>
        <v>طقم اللواء السابع</v>
      </c>
      <c r="P524" s="121" t="str">
        <f>INDEX(Tabledaily[المــــرجـــــــــع],MATCH(TableDailyJournal[[#This Row],[رقم العملية]],Tabledaily[رقم العملية],0))</f>
        <v>كشف صرف</v>
      </c>
      <c r="Q524" s="121" t="str">
        <f>INDEX(Tabledaily[اســـــــم المــــرجــــع],MATCH(TableDailyJournal[[#This Row],[رقم العملية]],Tabledaily[رقم العملية],0))</f>
        <v>كشف صرف</v>
      </c>
      <c r="R524" s="121">
        <f>INDEX(Tabledaily[رقم المـــــرجـــع],MATCH(TableDailyJournal[[#This Row],[رقم العملية]],Tabledaily[رقم العملية],0))</f>
        <v>0</v>
      </c>
      <c r="S524" s="121" t="str">
        <f>INDEX(Tabledaily[مركـــــــزالتكلفــــــة],MATCH(TableDailyJournal[[#This Row],[رقم العملية]],Tabledaily[رقم العملية],0))</f>
        <v>اللواء السابع</v>
      </c>
      <c r="T524" s="121">
        <f>IFERROR(INDEX(tablecost[رقم المركز],MATCH(TableDailyJournal[[#This Row],[مركـــــــزالتكلفــــــة]],tablecost[الاسم],0)),0)</f>
        <v>8</v>
      </c>
      <c r="U524" s="122">
        <f>IFERROR(DATE(TableDailyJournal[[#This Row],[السنــــة]],TableDailyJournal[[#This Row],[الشهــــر]],TableDailyJournal[[#This Row],[الـــــيوم]]),"01-01-2026")</f>
        <v>46190</v>
      </c>
      <c r="V524" s="126"/>
      <c r="W524" s="58"/>
      <c r="X524" s="58">
        <f>IFERROR(YEAR(TableDailyJournal[[#This Row],[التاريخ]]),"")</f>
        <v>2026</v>
      </c>
      <c r="Y524" s="58">
        <f>IFERROR(MONTH(TableDailyJournal[[#This Row],[التاريخ]]),"")</f>
        <v>6</v>
      </c>
      <c r="Z524" s="58">
        <f>IFERROR(DAY(TableDailyJournal[[#This Row],[التاريخ]]),"")</f>
        <v>17</v>
      </c>
      <c r="AA524" s="126" t="str">
        <f>INDEX(Tabledaily[المرجع البياني],MATCH(TableDailyJournal[[#This Row],[رقم العملية]],Tabledaily[رقم العملية],0))</f>
        <v>قيـد مقابـل:- (مصاريف  صرفة يومية للافراد  - طقم اللواء السابع - اللواء السابع)  - كشف صرف رقم   كشف صرف - صرف الصرفة اليومية لافراد طقم اللواء السابع عدد3 افراد بامر</v>
      </c>
      <c r="AB524" s="121">
        <f>INDEX(Tabledaily[جهة الامر],MATCH(TableDailyJournal[[#This Row],[رقم العملية]],Tabledaily[رقم العملية],0))</f>
        <v>0</v>
      </c>
    </row>
    <row r="525" spans="2:28" ht="45.75" x14ac:dyDescent="0.55000000000000004">
      <c r="B525" s="58">
        <f t="shared" si="17"/>
        <v>521</v>
      </c>
      <c r="C525" s="59" t="s">
        <v>885</v>
      </c>
      <c r="D525" s="60">
        <f>INDEX(Tabledaily[date],MATCH(TableDailyJournal[[#This Row],[رقم العملية]],Tabledaily[رقم العملية],0))</f>
        <v>46190</v>
      </c>
      <c r="E525" s="58" t="str">
        <f>INDEX(Tabledaily[نوع العمليــة],MATCH(TableDailyJournal[[#This Row],[رقم العملية]],Tabledaily[رقم العملية],0))</f>
        <v>قيد عهده</v>
      </c>
      <c r="F525" s="58">
        <f>IFERROR(INDEX(TableJudje[رقم الحساب],MATCH(TableDailyJournal[[#This Row],[الحساب]],TableJudje[اسم الحساب],0)),0)</f>
        <v>11060205</v>
      </c>
      <c r="G525" s="58" t="s">
        <v>513</v>
      </c>
      <c r="H525" s="61" t="str">
        <f>INDEX(Tabledaily[المرجع البياني],MATCH(TableDailyJournal[[#This Row],[رقم العملية]],Tabledaily[رقم العملية],0))</f>
        <v>قيـد مقابـل:- (مصاريف  صرفة يومية للافراد  - طقم اللواء السابع - اللواء السابع)  - كشف صرف رقم   كشف صرف - صرف الصرفة اليومية لافراد طقم اللواء السابع عدد3 افراد بامر</v>
      </c>
      <c r="I525" s="60" t="str">
        <f>INDEX(Tabledaily[العملـــة],MATCH(TableDailyJournal[[#This Row],[رقم العملية]],Tabledaily[رقم العملية],0))</f>
        <v>ريال يمني</v>
      </c>
      <c r="J525" s="59">
        <f>IFERROR(INDEX(Tabledaily[سعــــــر
الصـــــرف],MATCH(C525,Tabledaily[رقم العملية],0)),1)</f>
        <v>405</v>
      </c>
      <c r="K525" s="123" cm="1">
        <f t="array" ref="K525">IFERROR(INDEX(Tabledaily[المبلـــــــغ],MATCH(1,(TableDailyJournal[[#This Row],[رقم العملية]]=Tabledaily[رقم العملية])*(TableDailyJournal[[#This Row],[الحساب]]=Tabledaily[الحســاب المديــــن]),0)),0)</f>
        <v>0</v>
      </c>
      <c r="L525" s="123" cm="1">
        <f t="array" ref="L525">IFERROR(INDEX(Tabledaily[المبلـــــــغ],MATCH(1,(TableDailyJournal[[#This Row],[رقم العملية]]=Tabledaily[رقم العملية])*(TableDailyJournal[[#This Row],[الحساب]]=Tabledaily[الحســاب الدئـــن]),0)),0)</f>
        <v>18000</v>
      </c>
      <c r="M525" s="119">
        <f>IFERROR(TableDailyJournal[[#This Row],[المبلغ مدين]]/TableDailyJournal[[#This Row],[سعــــــر
الصـــــرف]],0)</f>
        <v>0</v>
      </c>
      <c r="N525" s="119">
        <f>IFERROR(TableDailyJournal[[#This Row],[المبلغ دائن]]/TableDailyJournal[[#This Row],[سعــــــر
الصـــــرف]],0)</f>
        <v>44.444444444444443</v>
      </c>
      <c r="O525" s="121" t="str">
        <f>INDEX(Tabledaily[المستفيــــــــد],MATCH(TableDailyJournal[[#This Row],[رقم العملية]],Tabledaily[رقم العملية],0))</f>
        <v>طقم اللواء السابع</v>
      </c>
      <c r="P525" s="121" t="str">
        <f>INDEX(Tabledaily[المــــرجـــــــــع],MATCH(TableDailyJournal[[#This Row],[رقم العملية]],Tabledaily[رقم العملية],0))</f>
        <v>كشف صرف</v>
      </c>
      <c r="Q525" s="121" t="str">
        <f>INDEX(Tabledaily[اســـــــم المــــرجــــع],MATCH(TableDailyJournal[[#This Row],[رقم العملية]],Tabledaily[رقم العملية],0))</f>
        <v>كشف صرف</v>
      </c>
      <c r="R525" s="121">
        <f>INDEX(Tabledaily[رقم المـــــرجـــع],MATCH(TableDailyJournal[[#This Row],[رقم العملية]],Tabledaily[رقم العملية],0))</f>
        <v>0</v>
      </c>
      <c r="S525" s="121" t="str">
        <f>INDEX(Tabledaily[مركـــــــزالتكلفــــــة],MATCH(TableDailyJournal[[#This Row],[رقم العملية]],Tabledaily[رقم العملية],0))</f>
        <v>اللواء السابع</v>
      </c>
      <c r="T525" s="121">
        <f>IFERROR(INDEX(tablecost[رقم المركز],MATCH(TableDailyJournal[[#This Row],[مركـــــــزالتكلفــــــة]],tablecost[الاسم],0)),0)</f>
        <v>8</v>
      </c>
      <c r="U525" s="122">
        <f>IFERROR(DATE(TableDailyJournal[[#This Row],[السنــــة]],TableDailyJournal[[#This Row],[الشهــــر]],TableDailyJournal[[#This Row],[الـــــيوم]]),"01-01-2026")</f>
        <v>46190</v>
      </c>
      <c r="V525" s="126"/>
      <c r="W525" s="58"/>
      <c r="X525" s="58">
        <f>IFERROR(YEAR(TableDailyJournal[[#This Row],[التاريخ]]),"")</f>
        <v>2026</v>
      </c>
      <c r="Y525" s="58">
        <f>IFERROR(MONTH(TableDailyJournal[[#This Row],[التاريخ]]),"")</f>
        <v>6</v>
      </c>
      <c r="Z525" s="58">
        <f>IFERROR(DAY(TableDailyJournal[[#This Row],[التاريخ]]),"")</f>
        <v>17</v>
      </c>
      <c r="AA525" s="126" t="str">
        <f>INDEX(Tabledaily[المرجع البياني],MATCH(TableDailyJournal[[#This Row],[رقم العملية]],Tabledaily[رقم العملية],0))</f>
        <v>قيـد مقابـل:- (مصاريف  صرفة يومية للافراد  - طقم اللواء السابع - اللواء السابع)  - كشف صرف رقم   كشف صرف - صرف الصرفة اليومية لافراد طقم اللواء السابع عدد3 افراد بامر</v>
      </c>
      <c r="AB525" s="121">
        <f>INDEX(Tabledaily[جهة الامر],MATCH(TableDailyJournal[[#This Row],[رقم العملية]],Tabledaily[رقم العملية],0))</f>
        <v>0</v>
      </c>
    </row>
    <row r="526" spans="2:28" ht="45.75" x14ac:dyDescent="0.55000000000000004">
      <c r="B526" s="58">
        <f t="shared" si="17"/>
        <v>522</v>
      </c>
      <c r="C526" s="59" t="s">
        <v>888</v>
      </c>
      <c r="D526" s="60">
        <f>INDEX(Tabledaily[date],MATCH(TableDailyJournal[[#This Row],[رقم العملية]],Tabledaily[رقم العملية],0))</f>
        <v>46190</v>
      </c>
      <c r="E526" s="58" t="str">
        <f>INDEX(Tabledaily[نوع العمليــة],MATCH(TableDailyJournal[[#This Row],[رقم العملية]],Tabledaily[رقم العملية],0))</f>
        <v>قيد عهده</v>
      </c>
      <c r="F526" s="58">
        <f>IFERROR(INDEX(TableJudje[رقم الحساب],MATCH(TableDailyJournal[[#This Row],[الحساب]],TableJudje[اسم الحساب],0)),0)</f>
        <v>31010101</v>
      </c>
      <c r="G526" s="58" t="s">
        <v>111</v>
      </c>
      <c r="H526"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I526" s="60" t="str">
        <f>INDEX(Tabledaily[العملـــة],MATCH(TableDailyJournal[[#This Row],[رقم العملية]],Tabledaily[رقم العملية],0))</f>
        <v>ريال يمني</v>
      </c>
      <c r="J526" s="59">
        <f>IFERROR(INDEX(Tabledaily[سعــــــر
الصـــــرف],MATCH(C526,Tabledaily[رقم العملية],0)),1)</f>
        <v>405</v>
      </c>
      <c r="K526" s="123" cm="1">
        <f t="array" ref="K526">IFERROR(INDEX(Tabledaily[المبلـــــــغ],MATCH(1,(TableDailyJournal[[#This Row],[رقم العملية]]=Tabledaily[رقم العملية])*(TableDailyJournal[[#This Row],[الحساب]]=Tabledaily[الحســاب المديــــن]),0)),0)</f>
        <v>100000</v>
      </c>
      <c r="L526" s="123" cm="1">
        <f t="array" ref="L526">IFERROR(INDEX(Tabledaily[المبلـــــــغ],MATCH(1,(TableDailyJournal[[#This Row],[رقم العملية]]=Tabledaily[رقم العملية])*(TableDailyJournal[[#This Row],[الحساب]]=Tabledaily[الحســاب الدئـــن]),0)),0)</f>
        <v>0</v>
      </c>
      <c r="M526" s="119">
        <f>IFERROR(TableDailyJournal[[#This Row],[المبلغ مدين]]/TableDailyJournal[[#This Row],[سعــــــر
الصـــــرف]],0)</f>
        <v>246.91358024691357</v>
      </c>
      <c r="N526" s="119">
        <f>IFERROR(TableDailyJournal[[#This Row],[المبلغ دائن]]/TableDailyJournal[[#This Row],[سعــــــر
الصـــــرف]],0)</f>
        <v>0</v>
      </c>
      <c r="O526" s="121" t="str">
        <f>INDEX(Tabledaily[المستفيــــــــد],MATCH(TableDailyJournal[[#This Row],[رقم العملية]],Tabledaily[رقم العملية],0))</f>
        <v>الضباط السابقين</v>
      </c>
      <c r="P526" s="121" t="str">
        <f>INDEX(Tabledaily[المــــرجـــــــــع],MATCH(TableDailyJournal[[#This Row],[رقم العملية]],Tabledaily[رقم العملية],0))</f>
        <v>كشف صرف</v>
      </c>
      <c r="Q526" s="121" t="str">
        <f>INDEX(Tabledaily[اســـــــم المــــرجــــع],MATCH(TableDailyJournal[[#This Row],[رقم العملية]],Tabledaily[رقم العملية],0))</f>
        <v>كشف صرف</v>
      </c>
      <c r="R526" s="121">
        <f>INDEX(Tabledaily[رقم المـــــرجـــع],MATCH(TableDailyJournal[[#This Row],[رقم العملية]],Tabledaily[رقم العملية],0))</f>
        <v>0</v>
      </c>
      <c r="S526" s="121" t="str">
        <f>INDEX(Tabledaily[مركـــــــزالتكلفــــــة],MATCH(TableDailyJournal[[#This Row],[رقم العملية]],Tabledaily[رقم العملية],0))</f>
        <v>الفرقة الثالثة</v>
      </c>
      <c r="T526" s="121">
        <f>IFERROR(INDEX(tablecost[رقم المركز],MATCH(TableDailyJournal[[#This Row],[مركـــــــزالتكلفــــــة]],tablecost[الاسم],0)),0)</f>
        <v>1</v>
      </c>
      <c r="U526" s="122">
        <f>IFERROR(DATE(TableDailyJournal[[#This Row],[السنــــة]],TableDailyJournal[[#This Row],[الشهــــر]],TableDailyJournal[[#This Row],[الـــــيوم]]),"01-01-2026")</f>
        <v>46190</v>
      </c>
      <c r="V526" s="126"/>
      <c r="W526" s="58"/>
      <c r="X526" s="58">
        <f>IFERROR(YEAR(TableDailyJournal[[#This Row],[التاريخ]]),"")</f>
        <v>2026</v>
      </c>
      <c r="Y526" s="58">
        <f>IFERROR(MONTH(TableDailyJournal[[#This Row],[التاريخ]]),"")</f>
        <v>6</v>
      </c>
      <c r="Z526" s="58">
        <f>IFERROR(DAY(TableDailyJournal[[#This Row],[التاريخ]]),"")</f>
        <v>17</v>
      </c>
      <c r="AA526"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AB526" s="121">
        <f>INDEX(Tabledaily[جهة الامر],MATCH(TableDailyJournal[[#This Row],[رقم العملية]],Tabledaily[رقم العملية],0))</f>
        <v>0</v>
      </c>
    </row>
    <row r="527" spans="2:28" ht="45.75" x14ac:dyDescent="0.55000000000000004">
      <c r="B527" s="58">
        <f t="shared" si="17"/>
        <v>523</v>
      </c>
      <c r="C527" s="59" t="s">
        <v>888</v>
      </c>
      <c r="D527" s="60">
        <f>INDEX(Tabledaily[date],MATCH(TableDailyJournal[[#This Row],[رقم العملية]],Tabledaily[رقم العملية],0))</f>
        <v>46190</v>
      </c>
      <c r="E527" s="58" t="str">
        <f>INDEX(Tabledaily[نوع العمليــة],MATCH(TableDailyJournal[[#This Row],[رقم العملية]],Tabledaily[رقم العملية],0))</f>
        <v>قيد عهده</v>
      </c>
      <c r="F527" s="58">
        <f>IFERROR(INDEX(TableJudje[رقم الحساب],MATCH(TableDailyJournal[[#This Row],[الحساب]],TableJudje[اسم الحساب],0)),0)</f>
        <v>11060205</v>
      </c>
      <c r="G527" s="58" t="s">
        <v>513</v>
      </c>
      <c r="H527"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I527" s="60" t="str">
        <f>INDEX(Tabledaily[العملـــة],MATCH(TableDailyJournal[[#This Row],[رقم العملية]],Tabledaily[رقم العملية],0))</f>
        <v>ريال يمني</v>
      </c>
      <c r="J527" s="59">
        <f>IFERROR(INDEX(Tabledaily[سعــــــر
الصـــــرف],MATCH(C527,Tabledaily[رقم العملية],0)),1)</f>
        <v>405</v>
      </c>
      <c r="K527" s="123" cm="1">
        <f t="array" ref="K527">IFERROR(INDEX(Tabledaily[المبلـــــــغ],MATCH(1,(TableDailyJournal[[#This Row],[رقم العملية]]=Tabledaily[رقم العملية])*(TableDailyJournal[[#This Row],[الحساب]]=Tabledaily[الحســاب المديــــن]),0)),0)</f>
        <v>0</v>
      </c>
      <c r="L527" s="123" cm="1">
        <f t="array" ref="L527">IFERROR(INDEX(Tabledaily[المبلـــــــغ],MATCH(1,(TableDailyJournal[[#This Row],[رقم العملية]]=Tabledaily[رقم العملية])*(TableDailyJournal[[#This Row],[الحساب]]=Tabledaily[الحســاب الدئـــن]),0)),0)</f>
        <v>100000</v>
      </c>
      <c r="M527" s="119">
        <f>IFERROR(TableDailyJournal[[#This Row],[المبلغ مدين]]/TableDailyJournal[[#This Row],[سعــــــر
الصـــــرف]],0)</f>
        <v>0</v>
      </c>
      <c r="N527" s="119">
        <f>IFERROR(TableDailyJournal[[#This Row],[المبلغ دائن]]/TableDailyJournal[[#This Row],[سعــــــر
الصـــــرف]],0)</f>
        <v>246.91358024691357</v>
      </c>
      <c r="O527" s="121" t="str">
        <f>INDEX(Tabledaily[المستفيــــــــد],MATCH(TableDailyJournal[[#This Row],[رقم العملية]],Tabledaily[رقم العملية],0))</f>
        <v>الضباط السابقين</v>
      </c>
      <c r="P527" s="121" t="str">
        <f>INDEX(Tabledaily[المــــرجـــــــــع],MATCH(TableDailyJournal[[#This Row],[رقم العملية]],Tabledaily[رقم العملية],0))</f>
        <v>كشف صرف</v>
      </c>
      <c r="Q527" s="121" t="str">
        <f>INDEX(Tabledaily[اســـــــم المــــرجــــع],MATCH(TableDailyJournal[[#This Row],[رقم العملية]],Tabledaily[رقم العملية],0))</f>
        <v>كشف صرف</v>
      </c>
      <c r="R527" s="121">
        <f>INDEX(Tabledaily[رقم المـــــرجـــع],MATCH(TableDailyJournal[[#This Row],[رقم العملية]],Tabledaily[رقم العملية],0))</f>
        <v>0</v>
      </c>
      <c r="S527" s="121" t="str">
        <f>INDEX(Tabledaily[مركـــــــزالتكلفــــــة],MATCH(TableDailyJournal[[#This Row],[رقم العملية]],Tabledaily[رقم العملية],0))</f>
        <v>الفرقة الثالثة</v>
      </c>
      <c r="T527" s="121">
        <f>IFERROR(INDEX(tablecost[رقم المركز],MATCH(TableDailyJournal[[#This Row],[مركـــــــزالتكلفــــــة]],tablecost[الاسم],0)),0)</f>
        <v>1</v>
      </c>
      <c r="U527" s="122">
        <f>IFERROR(DATE(TableDailyJournal[[#This Row],[السنــــة]],TableDailyJournal[[#This Row],[الشهــــر]],TableDailyJournal[[#This Row],[الـــــيوم]]),"01-01-2026")</f>
        <v>46190</v>
      </c>
      <c r="V527" s="126"/>
      <c r="W527" s="58"/>
      <c r="X527" s="58">
        <f>IFERROR(YEAR(TableDailyJournal[[#This Row],[التاريخ]]),"")</f>
        <v>2026</v>
      </c>
      <c r="Y527" s="58">
        <f>IFERROR(MONTH(TableDailyJournal[[#This Row],[التاريخ]]),"")</f>
        <v>6</v>
      </c>
      <c r="Z527" s="58">
        <f>IFERROR(DAY(TableDailyJournal[[#This Row],[التاريخ]]),"")</f>
        <v>17</v>
      </c>
      <c r="AA527"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AB527" s="121">
        <f>INDEX(Tabledaily[جهة الامر],MATCH(TableDailyJournal[[#This Row],[رقم العملية]],Tabledaily[رقم العملية],0))</f>
        <v>0</v>
      </c>
    </row>
    <row r="528" spans="2:28" ht="67.5" x14ac:dyDescent="0.55000000000000004">
      <c r="B528" s="58">
        <f t="shared" si="17"/>
        <v>524</v>
      </c>
      <c r="C528" s="59" t="s">
        <v>890</v>
      </c>
      <c r="D528" s="60">
        <f>INDEX(Tabledaily[date],MATCH(TableDailyJournal[[#This Row],[رقم العملية]],Tabledaily[رقم العملية],0))</f>
        <v>46190</v>
      </c>
      <c r="E528" s="58" t="str">
        <f>INDEX(Tabledaily[نوع العمليــة],MATCH(TableDailyJournal[[#This Row],[رقم العملية]],Tabledaily[رقم العملية],0))</f>
        <v>قيد عهده</v>
      </c>
      <c r="F528" s="58">
        <f>IFERROR(INDEX(TableJudje[رقم الحساب],MATCH(TableDailyJournal[[#This Row],[الحساب]],TableJudje[اسم الحساب],0)),0)</f>
        <v>31010101</v>
      </c>
      <c r="G528" s="58" t="s">
        <v>111</v>
      </c>
      <c r="H528" s="61" t="str">
        <f>INDEX(Tabledaily[المرجع البياني],MATCH(TableDailyJournal[[#This Row],[رقم العملية]],Tabledaily[رقم العملية],0))</f>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v>
      </c>
      <c r="I528" s="60" t="str">
        <f>INDEX(Tabledaily[العملـــة],MATCH(TableDailyJournal[[#This Row],[رقم العملية]],Tabledaily[رقم العملية],0))</f>
        <v>ريال يمني</v>
      </c>
      <c r="J528" s="59">
        <f>IFERROR(INDEX(Tabledaily[سعــــــر
الصـــــرف],MATCH(C528,Tabledaily[رقم العملية],0)),1)</f>
        <v>405</v>
      </c>
      <c r="K528" s="123" cm="1">
        <f t="array" ref="K528">IFERROR(INDEX(Tabledaily[المبلـــــــغ],MATCH(1,(TableDailyJournal[[#This Row],[رقم العملية]]=Tabledaily[رقم العملية])*(TableDailyJournal[[#This Row],[الحساب]]=Tabledaily[الحســاب المديــــن]),0)),0)</f>
        <v>0</v>
      </c>
      <c r="L528" s="123" cm="1">
        <f t="array" ref="L528">IFERROR(INDEX(Tabledaily[المبلـــــــغ],MATCH(1,(TableDailyJournal[[#This Row],[رقم العملية]]=Tabledaily[رقم العملية])*(TableDailyJournal[[#This Row],[الحساب]]=Tabledaily[الحســاب الدئـــن]),0)),0)</f>
        <v>0</v>
      </c>
      <c r="M528" s="119">
        <f>IFERROR(TableDailyJournal[[#This Row],[المبلغ مدين]]/TableDailyJournal[[#This Row],[سعــــــر
الصـــــرف]],0)</f>
        <v>0</v>
      </c>
      <c r="N528" s="119">
        <f>IFERROR(TableDailyJournal[[#This Row],[المبلغ دائن]]/TableDailyJournal[[#This Row],[سعــــــر
الصـــــرف]],0)</f>
        <v>0</v>
      </c>
      <c r="O528" s="121" t="str">
        <f>INDEX(Tabledaily[المستفيــــــــد],MATCH(TableDailyJournal[[#This Row],[رقم العملية]],Tabledaily[رقم العملية],0))</f>
        <v>حاتم حمد يسلم عوض</v>
      </c>
      <c r="P528" s="121" t="str">
        <f>INDEX(Tabledaily[المــــرجـــــــــع],MATCH(TableDailyJournal[[#This Row],[رقم العملية]],Tabledaily[رقم العملية],0))</f>
        <v>استلام نقدي</v>
      </c>
      <c r="Q528" s="121" t="str">
        <f>INDEX(Tabledaily[اســـــــم المــــرجــــع],MATCH(TableDailyJournal[[#This Row],[رقم العملية]],Tabledaily[رقم العملية],0))</f>
        <v>سند استلام</v>
      </c>
      <c r="R528" s="121" t="str">
        <f>INDEX(Tabledaily[رقم المـــــرجـــع],MATCH(TableDailyJournal[[#This Row],[رقم العملية]],Tabledaily[رقم العملية],0))</f>
        <v>100-476</v>
      </c>
      <c r="S528" s="121" t="str">
        <f>INDEX(Tabledaily[مركـــــــزالتكلفــــــة],MATCH(TableDailyJournal[[#This Row],[رقم العملية]],Tabledaily[رقم العملية],0))</f>
        <v>الفرقة الثالثة</v>
      </c>
      <c r="T528" s="121">
        <f>IFERROR(INDEX(tablecost[رقم المركز],MATCH(TableDailyJournal[[#This Row],[مركـــــــزالتكلفــــــة]],tablecost[الاسم],0)),0)</f>
        <v>1</v>
      </c>
      <c r="U528" s="122">
        <f>IFERROR(DATE(TableDailyJournal[[#This Row],[السنــــة]],TableDailyJournal[[#This Row],[الشهــــر]],TableDailyJournal[[#This Row],[الـــــيوم]]),"01-01-2026")</f>
        <v>46190</v>
      </c>
      <c r="V528" s="126"/>
      <c r="W528" s="58"/>
      <c r="X528" s="58">
        <f>IFERROR(YEAR(TableDailyJournal[[#This Row],[التاريخ]]),"")</f>
        <v>2026</v>
      </c>
      <c r="Y528" s="58">
        <f>IFERROR(MONTH(TableDailyJournal[[#This Row],[التاريخ]]),"")</f>
        <v>6</v>
      </c>
      <c r="Z528" s="58">
        <f>IFERROR(DAY(TableDailyJournal[[#This Row],[التاريخ]]),"")</f>
        <v>17</v>
      </c>
      <c r="AA528" s="126" t="str">
        <f>INDEX(Tabledaily[المرجع البياني],MATCH(TableDailyJournal[[#This Row],[رقم العملية]],Tabledaily[رقم العملية],0))</f>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v>
      </c>
      <c r="AB528" s="121" t="str">
        <f>INDEX(Tabledaily[جهة الامر],MATCH(TableDailyJournal[[#This Row],[رقم العملية]],Tabledaily[رقم العملية],0))</f>
        <v>القائد</v>
      </c>
    </row>
    <row r="529" spans="2:28" ht="67.5" x14ac:dyDescent="0.55000000000000004">
      <c r="B529" s="58">
        <f t="shared" si="17"/>
        <v>525</v>
      </c>
      <c r="C529" s="59" t="s">
        <v>890</v>
      </c>
      <c r="D529" s="60">
        <f>INDEX(Tabledaily[date],MATCH(TableDailyJournal[[#This Row],[رقم العملية]],Tabledaily[رقم العملية],0))</f>
        <v>46190</v>
      </c>
      <c r="E529" s="58" t="str">
        <f>INDEX(Tabledaily[نوع العمليــة],MATCH(TableDailyJournal[[#This Row],[رقم العملية]],Tabledaily[رقم العملية],0))</f>
        <v>قيد عهده</v>
      </c>
      <c r="F529" s="58">
        <f>IFERROR(INDEX(TableJudje[رقم الحساب],MATCH(TableDailyJournal[[#This Row],[الحساب]],TableJudje[اسم الحساب],0)),0)</f>
        <v>11060205</v>
      </c>
      <c r="G529" s="58" t="s">
        <v>513</v>
      </c>
      <c r="H529" s="61" t="str">
        <f>INDEX(Tabledaily[المرجع البياني],MATCH(TableDailyJournal[[#This Row],[رقم العملية]],Tabledaily[رقم العملية],0))</f>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v>
      </c>
      <c r="I529" s="60" t="str">
        <f>INDEX(Tabledaily[العملـــة],MATCH(TableDailyJournal[[#This Row],[رقم العملية]],Tabledaily[رقم العملية],0))</f>
        <v>ريال يمني</v>
      </c>
      <c r="J529" s="59">
        <f>IFERROR(INDEX(Tabledaily[سعــــــر
الصـــــرف],MATCH(C529,Tabledaily[رقم العملية],0)),1)</f>
        <v>405</v>
      </c>
      <c r="K529" s="123" cm="1">
        <f t="array" ref="K529">IFERROR(INDEX(Tabledaily[المبلـــــــغ],MATCH(1,(TableDailyJournal[[#This Row],[رقم العملية]]=Tabledaily[رقم العملية])*(TableDailyJournal[[#This Row],[الحساب]]=Tabledaily[الحســاب المديــــن]),0)),0)</f>
        <v>0</v>
      </c>
      <c r="L529" s="123" cm="1">
        <f t="array" ref="L529">IFERROR(INDEX(Tabledaily[المبلـــــــغ],MATCH(1,(TableDailyJournal[[#This Row],[رقم العملية]]=Tabledaily[رقم العملية])*(TableDailyJournal[[#This Row],[الحساب]]=Tabledaily[الحســاب الدئـــن]),0)),0)</f>
        <v>200000</v>
      </c>
      <c r="M529" s="119">
        <f>IFERROR(TableDailyJournal[[#This Row],[المبلغ مدين]]/TableDailyJournal[[#This Row],[سعــــــر
الصـــــرف]],0)</f>
        <v>0</v>
      </c>
      <c r="N529" s="119">
        <f>IFERROR(TableDailyJournal[[#This Row],[المبلغ دائن]]/TableDailyJournal[[#This Row],[سعــــــر
الصـــــرف]],0)</f>
        <v>493.82716049382714</v>
      </c>
      <c r="O529" s="121" t="str">
        <f>INDEX(Tabledaily[المستفيــــــــد],MATCH(TableDailyJournal[[#This Row],[رقم العملية]],Tabledaily[رقم العملية],0))</f>
        <v>حاتم حمد يسلم عوض</v>
      </c>
      <c r="P529" s="121" t="str">
        <f>INDEX(Tabledaily[المــــرجـــــــــع],MATCH(TableDailyJournal[[#This Row],[رقم العملية]],Tabledaily[رقم العملية],0))</f>
        <v>استلام نقدي</v>
      </c>
      <c r="Q529" s="121" t="str">
        <f>INDEX(Tabledaily[اســـــــم المــــرجــــع],MATCH(TableDailyJournal[[#This Row],[رقم العملية]],Tabledaily[رقم العملية],0))</f>
        <v>سند استلام</v>
      </c>
      <c r="R529" s="121" t="str">
        <f>INDEX(Tabledaily[رقم المـــــرجـــع],MATCH(TableDailyJournal[[#This Row],[رقم العملية]],Tabledaily[رقم العملية],0))</f>
        <v>100-476</v>
      </c>
      <c r="S529" s="121" t="str">
        <f>INDEX(Tabledaily[مركـــــــزالتكلفــــــة],MATCH(TableDailyJournal[[#This Row],[رقم العملية]],Tabledaily[رقم العملية],0))</f>
        <v>الفرقة الثالثة</v>
      </c>
      <c r="T529" s="121">
        <f>IFERROR(INDEX(tablecost[رقم المركز],MATCH(TableDailyJournal[[#This Row],[مركـــــــزالتكلفــــــة]],tablecost[الاسم],0)),0)</f>
        <v>1</v>
      </c>
      <c r="U529" s="122">
        <f>IFERROR(DATE(TableDailyJournal[[#This Row],[السنــــة]],TableDailyJournal[[#This Row],[الشهــــر]],TableDailyJournal[[#This Row],[الـــــيوم]]),"01-01-2026")</f>
        <v>46190</v>
      </c>
      <c r="V529" s="126"/>
      <c r="W529" s="58"/>
      <c r="X529" s="58">
        <f>IFERROR(YEAR(TableDailyJournal[[#This Row],[التاريخ]]),"")</f>
        <v>2026</v>
      </c>
      <c r="Y529" s="58">
        <f>IFERROR(MONTH(TableDailyJournal[[#This Row],[التاريخ]]),"")</f>
        <v>6</v>
      </c>
      <c r="Z529" s="58">
        <f>IFERROR(DAY(TableDailyJournal[[#This Row],[التاريخ]]),"")</f>
        <v>17</v>
      </c>
      <c r="AA529" s="126" t="str">
        <f>INDEX(Tabledaily[المرجع البياني],MATCH(TableDailyJournal[[#This Row],[رقم العملية]],Tabledaily[رقم العملية],0))</f>
        <v>قيـد مقابـل:- (مصاريف نثريات أخرى - حاتم حمد يسلم عوض - الفرقة الثالثة)  - استلام نقدي رقم 100-476  سند استلام - لغرض إحضار البطائق الإلكترونية لالوية الفرقة الثالثة -اللواء الاول +الثاني + السابع+الخامس بامرالقائد</v>
      </c>
      <c r="AB529" s="121" t="str">
        <f>INDEX(Tabledaily[جهة الامر],MATCH(TableDailyJournal[[#This Row],[رقم العملية]],Tabledaily[رقم العملية],0))</f>
        <v>القائد</v>
      </c>
    </row>
    <row r="530" spans="2:28" ht="67.5" x14ac:dyDescent="0.55000000000000004">
      <c r="B530" s="58">
        <f t="shared" si="17"/>
        <v>526</v>
      </c>
      <c r="C530" s="59" t="s">
        <v>894</v>
      </c>
      <c r="D530" s="60">
        <f>INDEX(Tabledaily[date],MATCH(TableDailyJournal[[#This Row],[رقم العملية]],Tabledaily[رقم العملية],0))</f>
        <v>46190</v>
      </c>
      <c r="E530" s="58" t="str">
        <f>INDEX(Tabledaily[نوع العمليــة],MATCH(TableDailyJournal[[#This Row],[رقم العملية]],Tabledaily[رقم العملية],0))</f>
        <v>قيد عهده</v>
      </c>
      <c r="F530" s="58">
        <f>IFERROR(INDEX(TableJudje[رقم الحساب],MATCH(TableDailyJournal[[#This Row],[الحساب]],TableJudje[اسم الحساب],0)),0)</f>
        <v>31010101</v>
      </c>
      <c r="G530" s="58" t="s">
        <v>111</v>
      </c>
      <c r="H530" s="61" t="str">
        <f>INDEX(Tabledaily[المرجع البياني],MATCH(TableDailyJournal[[#This Row],[رقم العملية]],Tabledaily[رقم العملية],0))</f>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v>
      </c>
      <c r="I530" s="60" t="str">
        <f>INDEX(Tabledaily[العملـــة],MATCH(TableDailyJournal[[#This Row],[رقم العملية]],Tabledaily[رقم العملية],0))</f>
        <v>ريال يمني</v>
      </c>
      <c r="J530" s="59">
        <f>IFERROR(INDEX(Tabledaily[سعــــــر
الصـــــرف],MATCH(C530,Tabledaily[رقم العملية],0)),1)</f>
        <v>405</v>
      </c>
      <c r="K530" s="123" cm="1">
        <f t="array" ref="K530">IFERROR(INDEX(Tabledaily[المبلـــــــغ],MATCH(1,(TableDailyJournal[[#This Row],[رقم العملية]]=Tabledaily[رقم العملية])*(TableDailyJournal[[#This Row],[الحساب]]=Tabledaily[الحســاب المديــــن]),0)),0)</f>
        <v>150000</v>
      </c>
      <c r="L530" s="123" cm="1">
        <f t="array" ref="L530">IFERROR(INDEX(Tabledaily[المبلـــــــغ],MATCH(1,(TableDailyJournal[[#This Row],[رقم العملية]]=Tabledaily[رقم العملية])*(TableDailyJournal[[#This Row],[الحساب]]=Tabledaily[الحســاب الدئـــن]),0)),0)</f>
        <v>0</v>
      </c>
      <c r="M530" s="119">
        <f>IFERROR(TableDailyJournal[[#This Row],[المبلغ مدين]]/TableDailyJournal[[#This Row],[سعــــــر
الصـــــرف]],0)</f>
        <v>370.37037037037038</v>
      </c>
      <c r="N530" s="119">
        <f>IFERROR(TableDailyJournal[[#This Row],[المبلغ دائن]]/TableDailyJournal[[#This Row],[سعــــــر
الصـــــرف]],0)</f>
        <v>0</v>
      </c>
      <c r="O530" s="121" t="str">
        <f>INDEX(Tabledaily[المستفيــــــــد],MATCH(TableDailyJournal[[#This Row],[رقم العملية]],Tabledaily[رقم العملية],0))</f>
        <v xml:space="preserve">محمد توفيق حسن اغا </v>
      </c>
      <c r="P530" s="121" t="str">
        <f>INDEX(Tabledaily[المــــرجـــــــــع],MATCH(TableDailyJournal[[#This Row],[رقم العملية]],Tabledaily[رقم العملية],0))</f>
        <v>استلام نقدي</v>
      </c>
      <c r="Q530" s="121" t="str">
        <f>INDEX(Tabledaily[اســـــــم المــــرجــــع],MATCH(TableDailyJournal[[#This Row],[رقم العملية]],Tabledaily[رقم العملية],0))</f>
        <v>سند استلام</v>
      </c>
      <c r="R530" s="121" t="str">
        <f>INDEX(Tabledaily[رقم المـــــرجـــع],MATCH(TableDailyJournal[[#This Row],[رقم العملية]],Tabledaily[رقم العملية],0))</f>
        <v>100-460</v>
      </c>
      <c r="S530" s="121" t="str">
        <f>INDEX(Tabledaily[مركـــــــزالتكلفــــــة],MATCH(TableDailyJournal[[#This Row],[رقم العملية]],Tabledaily[رقم العملية],0))</f>
        <v>الفرقة الثالثة</v>
      </c>
      <c r="T530" s="121">
        <f>IFERROR(INDEX(tablecost[رقم المركز],MATCH(TableDailyJournal[[#This Row],[مركـــــــزالتكلفــــــة]],tablecost[الاسم],0)),0)</f>
        <v>1</v>
      </c>
      <c r="U530" s="122">
        <f>IFERROR(DATE(TableDailyJournal[[#This Row],[السنــــة]],TableDailyJournal[[#This Row],[الشهــــر]],TableDailyJournal[[#This Row],[الـــــيوم]]),"01-01-2026")</f>
        <v>46190</v>
      </c>
      <c r="V530" s="126"/>
      <c r="W530" s="58"/>
      <c r="X530" s="58">
        <f>IFERROR(YEAR(TableDailyJournal[[#This Row],[التاريخ]]),"")</f>
        <v>2026</v>
      </c>
      <c r="Y530" s="58">
        <f>IFERROR(MONTH(TableDailyJournal[[#This Row],[التاريخ]]),"")</f>
        <v>6</v>
      </c>
      <c r="Z530" s="58">
        <f>IFERROR(DAY(TableDailyJournal[[#This Row],[التاريخ]]),"")</f>
        <v>17</v>
      </c>
      <c r="AA530" s="126" t="str">
        <f>INDEX(Tabledaily[المرجع البياني],MATCH(TableDailyJournal[[#This Row],[رقم العملية]],Tabledaily[رقم العملية],0))</f>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v>
      </c>
      <c r="AB530" s="121" t="str">
        <f>INDEX(Tabledaily[جهة الامر],MATCH(TableDailyJournal[[#This Row],[رقم العملية]],Tabledaily[رقم العملية],0))</f>
        <v>القائد</v>
      </c>
    </row>
    <row r="531" spans="2:28" ht="67.5" x14ac:dyDescent="0.55000000000000004">
      <c r="B531" s="58">
        <f t="shared" si="17"/>
        <v>527</v>
      </c>
      <c r="C531" s="59" t="s">
        <v>894</v>
      </c>
      <c r="D531" s="60">
        <f>INDEX(Tabledaily[date],MATCH(TableDailyJournal[[#This Row],[رقم العملية]],Tabledaily[رقم العملية],0))</f>
        <v>46190</v>
      </c>
      <c r="E531" s="58" t="str">
        <f>INDEX(Tabledaily[نوع العمليــة],MATCH(TableDailyJournal[[#This Row],[رقم العملية]],Tabledaily[رقم العملية],0))</f>
        <v>قيد عهده</v>
      </c>
      <c r="F531" s="58">
        <f>IFERROR(INDEX(TableJudje[رقم الحساب],MATCH(TableDailyJournal[[#This Row],[الحساب]],TableJudje[اسم الحساب],0)),0)</f>
        <v>11060205</v>
      </c>
      <c r="G531" s="58" t="s">
        <v>513</v>
      </c>
      <c r="H531" s="61" t="str">
        <f>INDEX(Tabledaily[المرجع البياني],MATCH(TableDailyJournal[[#This Row],[رقم العملية]],Tabledaily[رقم العملية],0))</f>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v>
      </c>
      <c r="I531" s="60" t="str">
        <f>INDEX(Tabledaily[العملـــة],MATCH(TableDailyJournal[[#This Row],[رقم العملية]],Tabledaily[رقم العملية],0))</f>
        <v>ريال يمني</v>
      </c>
      <c r="J531" s="59">
        <f>IFERROR(INDEX(Tabledaily[سعــــــر
الصـــــرف],MATCH(C531,Tabledaily[رقم العملية],0)),1)</f>
        <v>405</v>
      </c>
      <c r="K531" s="123" cm="1">
        <f t="array" ref="K531">IFERROR(INDEX(Tabledaily[المبلـــــــغ],MATCH(1,(TableDailyJournal[[#This Row],[رقم العملية]]=Tabledaily[رقم العملية])*(TableDailyJournal[[#This Row],[الحساب]]=Tabledaily[الحســاب المديــــن]),0)),0)</f>
        <v>0</v>
      </c>
      <c r="L531" s="123" cm="1">
        <f t="array" ref="L531">IFERROR(INDEX(Tabledaily[المبلـــــــغ],MATCH(1,(TableDailyJournal[[#This Row],[رقم العملية]]=Tabledaily[رقم العملية])*(TableDailyJournal[[#This Row],[الحساب]]=Tabledaily[الحســاب الدئـــن]),0)),0)</f>
        <v>150000</v>
      </c>
      <c r="M531" s="119">
        <f>IFERROR(TableDailyJournal[[#This Row],[المبلغ مدين]]/TableDailyJournal[[#This Row],[سعــــــر
الصـــــرف]],0)</f>
        <v>0</v>
      </c>
      <c r="N531" s="119">
        <f>IFERROR(TableDailyJournal[[#This Row],[المبلغ دائن]]/TableDailyJournal[[#This Row],[سعــــــر
الصـــــرف]],0)</f>
        <v>370.37037037037038</v>
      </c>
      <c r="O531" s="121" t="str">
        <f>INDEX(Tabledaily[المستفيــــــــد],MATCH(TableDailyJournal[[#This Row],[رقم العملية]],Tabledaily[رقم العملية],0))</f>
        <v xml:space="preserve">محمد توفيق حسن اغا </v>
      </c>
      <c r="P531" s="121" t="str">
        <f>INDEX(Tabledaily[المــــرجـــــــــع],MATCH(TableDailyJournal[[#This Row],[رقم العملية]],Tabledaily[رقم العملية],0))</f>
        <v>استلام نقدي</v>
      </c>
      <c r="Q531" s="121" t="str">
        <f>INDEX(Tabledaily[اســـــــم المــــرجــــع],MATCH(TableDailyJournal[[#This Row],[رقم العملية]],Tabledaily[رقم العملية],0))</f>
        <v>سند استلام</v>
      </c>
      <c r="R531" s="121" t="str">
        <f>INDEX(Tabledaily[رقم المـــــرجـــع],MATCH(TableDailyJournal[[#This Row],[رقم العملية]],Tabledaily[رقم العملية],0))</f>
        <v>100-460</v>
      </c>
      <c r="S531" s="121" t="str">
        <f>INDEX(Tabledaily[مركـــــــزالتكلفــــــة],MATCH(TableDailyJournal[[#This Row],[رقم العملية]],Tabledaily[رقم العملية],0))</f>
        <v>الفرقة الثالثة</v>
      </c>
      <c r="T531" s="121">
        <f>IFERROR(INDEX(tablecost[رقم المركز],MATCH(TableDailyJournal[[#This Row],[مركـــــــزالتكلفــــــة]],tablecost[الاسم],0)),0)</f>
        <v>1</v>
      </c>
      <c r="U531" s="122">
        <f>IFERROR(DATE(TableDailyJournal[[#This Row],[السنــــة]],TableDailyJournal[[#This Row],[الشهــــر]],TableDailyJournal[[#This Row],[الـــــيوم]]),"01-01-2026")</f>
        <v>46190</v>
      </c>
      <c r="V531" s="126"/>
      <c r="W531" s="58"/>
      <c r="X531" s="58">
        <f>IFERROR(YEAR(TableDailyJournal[[#This Row],[التاريخ]]),"")</f>
        <v>2026</v>
      </c>
      <c r="Y531" s="58">
        <f>IFERROR(MONTH(TableDailyJournal[[#This Row],[التاريخ]]),"")</f>
        <v>6</v>
      </c>
      <c r="Z531" s="58">
        <f>IFERROR(DAY(TableDailyJournal[[#This Row],[التاريخ]]),"")</f>
        <v>17</v>
      </c>
      <c r="AA531" s="126" t="str">
        <f>INDEX(Tabledaily[المرجع البياني],MATCH(TableDailyJournal[[#This Row],[رقم العملية]],Tabledaily[رقم العملية],0))</f>
        <v>قيـد مقابـل:- (مصاريف  صرفة يومية للافراد  - محمد توفيق حسن اغا  - الفرقة الثالثة)  - استلام نقدي رقم 100-460  سند استلام - مصاريف للفريق الاعلامي المشارك في تمرين اللواء السابع في منطقة قعافز بامرالقائد</v>
      </c>
      <c r="AB531" s="121" t="str">
        <f>INDEX(Tabledaily[جهة الامر],MATCH(TableDailyJournal[[#This Row],[رقم العملية]],Tabledaily[رقم العملية],0))</f>
        <v>القائد</v>
      </c>
    </row>
    <row r="532" spans="2:28" ht="45.75" x14ac:dyDescent="0.55000000000000004">
      <c r="B532" s="58">
        <f t="shared" si="17"/>
        <v>528</v>
      </c>
      <c r="C532" s="59" t="s">
        <v>898</v>
      </c>
      <c r="D532" s="60">
        <f>INDEX(Tabledaily[date],MATCH(TableDailyJournal[[#This Row],[رقم العملية]],Tabledaily[رقم العملية],0))</f>
        <v>46190</v>
      </c>
      <c r="E532" s="58" t="str">
        <f>INDEX(Tabledaily[نوع العمليــة],MATCH(TableDailyJournal[[#This Row],[رقم العملية]],Tabledaily[رقم العملية],0))</f>
        <v>قيد عهده</v>
      </c>
      <c r="F532" s="58">
        <f>IFERROR(INDEX(TableJudje[رقم الحساب],MATCH(TableDailyJournal[[#This Row],[الحساب]],TableJudje[اسم الحساب],0)),0)</f>
        <v>31010101</v>
      </c>
      <c r="G532" s="58" t="s">
        <v>111</v>
      </c>
      <c r="H532" s="61" t="str">
        <f>INDEX(Tabledaily[المرجع البياني],MATCH(TableDailyJournal[[#This Row],[رقم العملية]],Tabledaily[رقم العملية],0))</f>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v>
      </c>
      <c r="I532" s="60" t="str">
        <f>INDEX(Tabledaily[العملـــة],MATCH(TableDailyJournal[[#This Row],[رقم العملية]],Tabledaily[رقم العملية],0))</f>
        <v>ريال يمني</v>
      </c>
      <c r="J532" s="59">
        <f>IFERROR(INDEX(Tabledaily[سعــــــر
الصـــــرف],MATCH(C532,Tabledaily[رقم العملية],0)),1)</f>
        <v>405</v>
      </c>
      <c r="K532" s="123" cm="1">
        <f t="array" ref="K532">IFERROR(INDEX(Tabledaily[المبلـــــــغ],MATCH(1,(TableDailyJournal[[#This Row],[رقم العملية]]=Tabledaily[رقم العملية])*(TableDailyJournal[[#This Row],[الحساب]]=Tabledaily[الحســاب المديــــن]),0)),0)</f>
        <v>300000</v>
      </c>
      <c r="L532" s="123" cm="1">
        <f t="array" ref="L532">IFERROR(INDEX(Tabledaily[المبلـــــــغ],MATCH(1,(TableDailyJournal[[#This Row],[رقم العملية]]=Tabledaily[رقم العملية])*(TableDailyJournal[[#This Row],[الحساب]]=Tabledaily[الحســاب الدئـــن]),0)),0)</f>
        <v>0</v>
      </c>
      <c r="M532" s="119">
        <f>IFERROR(TableDailyJournal[[#This Row],[المبلغ مدين]]/TableDailyJournal[[#This Row],[سعــــــر
الصـــــرف]],0)</f>
        <v>740.74074074074076</v>
      </c>
      <c r="N532" s="119">
        <f>IFERROR(TableDailyJournal[[#This Row],[المبلغ دائن]]/TableDailyJournal[[#This Row],[سعــــــر
الصـــــرف]],0)</f>
        <v>0</v>
      </c>
      <c r="O532" s="121" t="str">
        <f>INDEX(Tabledaily[المستفيــــــــد],MATCH(TableDailyJournal[[#This Row],[رقم العملية]],Tabledaily[رقم العملية],0))</f>
        <v xml:space="preserve">عمرو محمد إسماعيل صالح + موسى احمد علي عثمان </v>
      </c>
      <c r="P532" s="121" t="str">
        <f>INDEX(Tabledaily[المــــرجـــــــــع],MATCH(TableDailyJournal[[#This Row],[رقم العملية]],Tabledaily[رقم العملية],0))</f>
        <v>استلام نقدي</v>
      </c>
      <c r="Q532" s="121" t="str">
        <f>INDEX(Tabledaily[اســـــــم المــــرجــــع],MATCH(TableDailyJournal[[#This Row],[رقم العملية]],Tabledaily[رقم العملية],0))</f>
        <v>سند استلام</v>
      </c>
      <c r="R532" s="121" t="str">
        <f>INDEX(Tabledaily[رقم المـــــرجـــع],MATCH(TableDailyJournal[[#This Row],[رقم العملية]],Tabledaily[رقم العملية],0))</f>
        <v>100-482</v>
      </c>
      <c r="S532" s="121" t="str">
        <f>INDEX(Tabledaily[مركـــــــزالتكلفــــــة],MATCH(TableDailyJournal[[#This Row],[رقم العملية]],Tabledaily[رقم العملية],0))</f>
        <v>الفرقة الثالثة</v>
      </c>
      <c r="T532" s="121">
        <f>IFERROR(INDEX(tablecost[رقم المركز],MATCH(TableDailyJournal[[#This Row],[مركـــــــزالتكلفــــــة]],tablecost[الاسم],0)),0)</f>
        <v>1</v>
      </c>
      <c r="U532" s="122">
        <f>IFERROR(DATE(TableDailyJournal[[#This Row],[السنــــة]],TableDailyJournal[[#This Row],[الشهــــر]],TableDailyJournal[[#This Row],[الـــــيوم]]),"01-01-2026")</f>
        <v>46190</v>
      </c>
      <c r="V532" s="126"/>
      <c r="W532" s="58"/>
      <c r="X532" s="58">
        <f>IFERROR(YEAR(TableDailyJournal[[#This Row],[التاريخ]]),"")</f>
        <v>2026</v>
      </c>
      <c r="Y532" s="58">
        <f>IFERROR(MONTH(TableDailyJournal[[#This Row],[التاريخ]]),"")</f>
        <v>6</v>
      </c>
      <c r="Z532" s="58">
        <f>IFERROR(DAY(TableDailyJournal[[#This Row],[التاريخ]]),"")</f>
        <v>17</v>
      </c>
      <c r="AA532" s="126" t="str">
        <f>INDEX(Tabledaily[المرجع البياني],MATCH(TableDailyJournal[[#This Row],[رقم العملية]],Tabledaily[رقم العملية],0))</f>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v>
      </c>
      <c r="AB532" s="121" t="str">
        <f>INDEX(Tabledaily[جهة الامر],MATCH(TableDailyJournal[[#This Row],[رقم العملية]],Tabledaily[رقم العملية],0))</f>
        <v>الركن المالي</v>
      </c>
    </row>
    <row r="533" spans="2:28" ht="45.75" x14ac:dyDescent="0.55000000000000004">
      <c r="B533" s="58">
        <f t="shared" si="17"/>
        <v>529</v>
      </c>
      <c r="C533" s="59" t="s">
        <v>898</v>
      </c>
      <c r="D533" s="60">
        <f>INDEX(Tabledaily[date],MATCH(TableDailyJournal[[#This Row],[رقم العملية]],Tabledaily[رقم العملية],0))</f>
        <v>46190</v>
      </c>
      <c r="E533" s="58" t="str">
        <f>INDEX(Tabledaily[نوع العمليــة],MATCH(TableDailyJournal[[#This Row],[رقم العملية]],Tabledaily[رقم العملية],0))</f>
        <v>قيد عهده</v>
      </c>
      <c r="F533" s="58">
        <f>IFERROR(INDEX(TableJudje[رقم الحساب],MATCH(TableDailyJournal[[#This Row],[الحساب]],TableJudje[اسم الحساب],0)),0)</f>
        <v>11060205</v>
      </c>
      <c r="G533" s="58" t="s">
        <v>513</v>
      </c>
      <c r="H533" s="61" t="str">
        <f>INDEX(Tabledaily[المرجع البياني],MATCH(TableDailyJournal[[#This Row],[رقم العملية]],Tabledaily[رقم العملية],0))</f>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v>
      </c>
      <c r="I533" s="60" t="str">
        <f>INDEX(Tabledaily[العملـــة],MATCH(TableDailyJournal[[#This Row],[رقم العملية]],Tabledaily[رقم العملية],0))</f>
        <v>ريال يمني</v>
      </c>
      <c r="J533" s="59">
        <f>IFERROR(INDEX(Tabledaily[سعــــــر
الصـــــرف],MATCH(C533,Tabledaily[رقم العملية],0)),1)</f>
        <v>405</v>
      </c>
      <c r="K533" s="123" cm="1">
        <f t="array" ref="K533">IFERROR(INDEX(Tabledaily[المبلـــــــغ],MATCH(1,(TableDailyJournal[[#This Row],[رقم العملية]]=Tabledaily[رقم العملية])*(TableDailyJournal[[#This Row],[الحساب]]=Tabledaily[الحســاب المديــــن]),0)),0)</f>
        <v>0</v>
      </c>
      <c r="L533" s="123" cm="1">
        <f t="array" ref="L533">IFERROR(INDEX(Tabledaily[المبلـــــــغ],MATCH(1,(TableDailyJournal[[#This Row],[رقم العملية]]=Tabledaily[رقم العملية])*(TableDailyJournal[[#This Row],[الحساب]]=Tabledaily[الحســاب الدئـــن]),0)),0)</f>
        <v>300000</v>
      </c>
      <c r="M533" s="119">
        <f>IFERROR(TableDailyJournal[[#This Row],[المبلغ مدين]]/TableDailyJournal[[#This Row],[سعــــــر
الصـــــرف]],0)</f>
        <v>0</v>
      </c>
      <c r="N533" s="119">
        <f>IFERROR(TableDailyJournal[[#This Row],[المبلغ دائن]]/TableDailyJournal[[#This Row],[سعــــــر
الصـــــرف]],0)</f>
        <v>740.74074074074076</v>
      </c>
      <c r="O533" s="121" t="str">
        <f>INDEX(Tabledaily[المستفيــــــــد],MATCH(TableDailyJournal[[#This Row],[رقم العملية]],Tabledaily[رقم العملية],0))</f>
        <v xml:space="preserve">عمرو محمد إسماعيل صالح + موسى احمد علي عثمان </v>
      </c>
      <c r="P533" s="121" t="str">
        <f>INDEX(Tabledaily[المــــرجـــــــــع],MATCH(TableDailyJournal[[#This Row],[رقم العملية]],Tabledaily[رقم العملية],0))</f>
        <v>استلام نقدي</v>
      </c>
      <c r="Q533" s="121" t="str">
        <f>INDEX(Tabledaily[اســـــــم المــــرجــــع],MATCH(TableDailyJournal[[#This Row],[رقم العملية]],Tabledaily[رقم العملية],0))</f>
        <v>سند استلام</v>
      </c>
      <c r="R533" s="121" t="str">
        <f>INDEX(Tabledaily[رقم المـــــرجـــع],MATCH(TableDailyJournal[[#This Row],[رقم العملية]],Tabledaily[رقم العملية],0))</f>
        <v>100-482</v>
      </c>
      <c r="S533" s="121" t="str">
        <f>INDEX(Tabledaily[مركـــــــزالتكلفــــــة],MATCH(TableDailyJournal[[#This Row],[رقم العملية]],Tabledaily[رقم العملية],0))</f>
        <v>الفرقة الثالثة</v>
      </c>
      <c r="T533" s="121">
        <f>IFERROR(INDEX(tablecost[رقم المركز],MATCH(TableDailyJournal[[#This Row],[مركـــــــزالتكلفــــــة]],tablecost[الاسم],0)),0)</f>
        <v>1</v>
      </c>
      <c r="U533" s="122">
        <f>IFERROR(DATE(TableDailyJournal[[#This Row],[السنــــة]],TableDailyJournal[[#This Row],[الشهــــر]],TableDailyJournal[[#This Row],[الـــــيوم]]),"01-01-2026")</f>
        <v>46190</v>
      </c>
      <c r="V533" s="126"/>
      <c r="W533" s="58"/>
      <c r="X533" s="58">
        <f>IFERROR(YEAR(TableDailyJournal[[#This Row],[التاريخ]]),"")</f>
        <v>2026</v>
      </c>
      <c r="Y533" s="58">
        <f>IFERROR(MONTH(TableDailyJournal[[#This Row],[التاريخ]]),"")</f>
        <v>6</v>
      </c>
      <c r="Z533" s="58">
        <f>IFERROR(DAY(TableDailyJournal[[#This Row],[التاريخ]]),"")</f>
        <v>17</v>
      </c>
      <c r="AA533" s="126" t="str">
        <f>INDEX(Tabledaily[المرجع البياني],MATCH(TableDailyJournal[[#This Row],[رقم العملية]],Tabledaily[رقم العملية],0))</f>
        <v>قيـد مقابـل:- (مصاريف  صرفة يومية للافراد  - عمرو محمد إسماعيل صالح + موسى احمد علي عثمان  - الفرقة الثالثة)  - استلام نقدي رقم 100-482  سند استلام - مصاريف  بامرالركن المالي</v>
      </c>
      <c r="AB533" s="121" t="str">
        <f>INDEX(Tabledaily[جهة الامر],MATCH(TableDailyJournal[[#This Row],[رقم العملية]],Tabledaily[رقم العملية],0))</f>
        <v>الركن المالي</v>
      </c>
    </row>
    <row r="534" spans="2:28" ht="45.75" x14ac:dyDescent="0.55000000000000004">
      <c r="B534" s="58">
        <f t="shared" si="17"/>
        <v>530</v>
      </c>
      <c r="C534" s="59" t="s">
        <v>902</v>
      </c>
      <c r="D534" s="60">
        <f>INDEX(Tabledaily[date],MATCH(TableDailyJournal[[#This Row],[رقم العملية]],Tabledaily[رقم العملية],0))</f>
        <v>46190</v>
      </c>
      <c r="E534" s="58" t="str">
        <f>INDEX(Tabledaily[نوع العمليــة],MATCH(TableDailyJournal[[#This Row],[رقم العملية]],Tabledaily[رقم العملية],0))</f>
        <v>قيد عهده</v>
      </c>
      <c r="F534" s="58">
        <f>IFERROR(INDEX(TableJudje[رقم الحساب],MATCH(TableDailyJournal[[#This Row],[الحساب]],TableJudje[اسم الحساب],0)),0)</f>
        <v>31010101</v>
      </c>
      <c r="G534" s="58" t="s">
        <v>111</v>
      </c>
      <c r="H534" s="61" t="str">
        <f>INDEX(Tabledaily[المرجع البياني],MATCH(TableDailyJournal[[#This Row],[رقم العملية]],Tabledaily[رقم العملية],0))</f>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v>
      </c>
      <c r="I534" s="60" t="str">
        <f>INDEX(Tabledaily[العملـــة],MATCH(TableDailyJournal[[#This Row],[رقم العملية]],Tabledaily[رقم العملية],0))</f>
        <v>ريال يمني</v>
      </c>
      <c r="J534" s="59">
        <f>IFERROR(INDEX(Tabledaily[سعــــــر
الصـــــرف],MATCH(C534,Tabledaily[رقم العملية],0)),1)</f>
        <v>405</v>
      </c>
      <c r="K534" s="123" cm="1">
        <f t="array" ref="K534">IFERROR(INDEX(Tabledaily[المبلـــــــغ],MATCH(1,(TableDailyJournal[[#This Row],[رقم العملية]]=Tabledaily[رقم العملية])*(TableDailyJournal[[#This Row],[الحساب]]=Tabledaily[الحســاب المديــــن]),0)),0)</f>
        <v>0</v>
      </c>
      <c r="L534" s="123" cm="1">
        <f t="array" ref="L534">IFERROR(INDEX(Tabledaily[المبلـــــــغ],MATCH(1,(TableDailyJournal[[#This Row],[رقم العملية]]=Tabledaily[رقم العملية])*(TableDailyJournal[[#This Row],[الحساب]]=Tabledaily[الحســاب الدئـــن]),0)),0)</f>
        <v>0</v>
      </c>
      <c r="M534" s="119">
        <f>IFERROR(TableDailyJournal[[#This Row],[المبلغ مدين]]/TableDailyJournal[[#This Row],[سعــــــر
الصـــــرف]],0)</f>
        <v>0</v>
      </c>
      <c r="N534" s="119">
        <f>IFERROR(TableDailyJournal[[#This Row],[المبلغ دائن]]/TableDailyJournal[[#This Row],[سعــــــر
الصـــــرف]],0)</f>
        <v>0</v>
      </c>
      <c r="O534" s="121" t="str">
        <f>INDEX(Tabledaily[المستفيــــــــد],MATCH(TableDailyJournal[[#This Row],[رقم العملية]],Tabledaily[رقم العملية],0))</f>
        <v>محمد فؤاد عبد القادر سعيد</v>
      </c>
      <c r="P534" s="121" t="str">
        <f>INDEX(Tabledaily[المــــرجـــــــــع],MATCH(TableDailyJournal[[#This Row],[رقم العملية]],Tabledaily[رقم العملية],0))</f>
        <v>استلام نقدي</v>
      </c>
      <c r="Q534" s="121" t="str">
        <f>INDEX(Tabledaily[اســـــــم المــــرجــــع],MATCH(TableDailyJournal[[#This Row],[رقم العملية]],Tabledaily[رقم العملية],0))</f>
        <v>سند استلام</v>
      </c>
      <c r="R534" s="121" t="str">
        <f>INDEX(Tabledaily[رقم المـــــرجـــع],MATCH(TableDailyJournal[[#This Row],[رقم العملية]],Tabledaily[رقم العملية],0))</f>
        <v>100-485</v>
      </c>
      <c r="S534" s="121" t="str">
        <f>INDEX(Tabledaily[مركـــــــزالتكلفــــــة],MATCH(TableDailyJournal[[#This Row],[رقم العملية]],Tabledaily[رقم العملية],0))</f>
        <v>الفرقة الثالثة</v>
      </c>
      <c r="T534" s="121">
        <f>IFERROR(INDEX(tablecost[رقم المركز],MATCH(TableDailyJournal[[#This Row],[مركـــــــزالتكلفــــــة]],tablecost[الاسم],0)),0)</f>
        <v>1</v>
      </c>
      <c r="U534" s="122">
        <f>IFERROR(DATE(TableDailyJournal[[#This Row],[السنــــة]],TableDailyJournal[[#This Row],[الشهــــر]],TableDailyJournal[[#This Row],[الـــــيوم]]),"01-01-2026")</f>
        <v>46190</v>
      </c>
      <c r="V534" s="126"/>
      <c r="W534" s="58"/>
      <c r="X534" s="58">
        <f>IFERROR(YEAR(TableDailyJournal[[#This Row],[التاريخ]]),"")</f>
        <v>2026</v>
      </c>
      <c r="Y534" s="58">
        <f>IFERROR(MONTH(TableDailyJournal[[#This Row],[التاريخ]]),"")</f>
        <v>6</v>
      </c>
      <c r="Z534" s="58">
        <f>IFERROR(DAY(TableDailyJournal[[#This Row],[التاريخ]]),"")</f>
        <v>17</v>
      </c>
      <c r="AA534" s="126" t="str">
        <f>INDEX(Tabledaily[المرجع البياني],MATCH(TableDailyJournal[[#This Row],[رقم العملية]],Tabledaily[رقم العملية],0))</f>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v>
      </c>
      <c r="AB534" s="121" t="str">
        <f>INDEX(Tabledaily[جهة الامر],MATCH(TableDailyJournal[[#This Row],[رقم العملية]],Tabledaily[رقم العملية],0))</f>
        <v>القائد</v>
      </c>
    </row>
    <row r="535" spans="2:28" ht="45.75" x14ac:dyDescent="0.55000000000000004">
      <c r="B535" s="58">
        <f t="shared" si="17"/>
        <v>531</v>
      </c>
      <c r="C535" s="59" t="s">
        <v>902</v>
      </c>
      <c r="D535" s="60">
        <f>INDEX(Tabledaily[date],MATCH(TableDailyJournal[[#This Row],[رقم العملية]],Tabledaily[رقم العملية],0))</f>
        <v>46190</v>
      </c>
      <c r="E535" s="58" t="str">
        <f>INDEX(Tabledaily[نوع العمليــة],MATCH(TableDailyJournal[[#This Row],[رقم العملية]],Tabledaily[رقم العملية],0))</f>
        <v>قيد عهده</v>
      </c>
      <c r="F535" s="58">
        <f>IFERROR(INDEX(TableJudje[رقم الحساب],MATCH(TableDailyJournal[[#This Row],[الحساب]],TableJudje[اسم الحساب],0)),0)</f>
        <v>11060205</v>
      </c>
      <c r="G535" s="58" t="s">
        <v>513</v>
      </c>
      <c r="H535" s="61" t="str">
        <f>INDEX(Tabledaily[المرجع البياني],MATCH(TableDailyJournal[[#This Row],[رقم العملية]],Tabledaily[رقم العملية],0))</f>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v>
      </c>
      <c r="I535" s="60" t="str">
        <f>INDEX(Tabledaily[العملـــة],MATCH(TableDailyJournal[[#This Row],[رقم العملية]],Tabledaily[رقم العملية],0))</f>
        <v>ريال يمني</v>
      </c>
      <c r="J535" s="59">
        <f>IFERROR(INDEX(Tabledaily[سعــــــر
الصـــــرف],MATCH(C535,Tabledaily[رقم العملية],0)),1)</f>
        <v>405</v>
      </c>
      <c r="K535" s="123" cm="1">
        <f t="array" ref="K535">IFERROR(INDEX(Tabledaily[المبلـــــــغ],MATCH(1,(TableDailyJournal[[#This Row],[رقم العملية]]=Tabledaily[رقم العملية])*(TableDailyJournal[[#This Row],[الحساب]]=Tabledaily[الحســاب المديــــن]),0)),0)</f>
        <v>0</v>
      </c>
      <c r="L535" s="123" cm="1">
        <f t="array" ref="L535">IFERROR(INDEX(Tabledaily[المبلـــــــغ],MATCH(1,(TableDailyJournal[[#This Row],[رقم العملية]]=Tabledaily[رقم العملية])*(TableDailyJournal[[#This Row],[الحساب]]=Tabledaily[الحســاب الدئـــن]),0)),0)</f>
        <v>4500000</v>
      </c>
      <c r="M535" s="119">
        <f>IFERROR(TableDailyJournal[[#This Row],[المبلغ مدين]]/TableDailyJournal[[#This Row],[سعــــــر
الصـــــرف]],0)</f>
        <v>0</v>
      </c>
      <c r="N535" s="119">
        <f>IFERROR(TableDailyJournal[[#This Row],[المبلغ دائن]]/TableDailyJournal[[#This Row],[سعــــــر
الصـــــرف]],0)</f>
        <v>11111.111111111111</v>
      </c>
      <c r="O535" s="121" t="str">
        <f>INDEX(Tabledaily[المستفيــــــــد],MATCH(TableDailyJournal[[#This Row],[رقم العملية]],Tabledaily[رقم العملية],0))</f>
        <v>محمد فؤاد عبد القادر سعيد</v>
      </c>
      <c r="P535" s="121" t="str">
        <f>INDEX(Tabledaily[المــــرجـــــــــع],MATCH(TableDailyJournal[[#This Row],[رقم العملية]],Tabledaily[رقم العملية],0))</f>
        <v>استلام نقدي</v>
      </c>
      <c r="Q535" s="121" t="str">
        <f>INDEX(Tabledaily[اســـــــم المــــرجــــع],MATCH(TableDailyJournal[[#This Row],[رقم العملية]],Tabledaily[رقم العملية],0))</f>
        <v>سند استلام</v>
      </c>
      <c r="R535" s="121" t="str">
        <f>INDEX(Tabledaily[رقم المـــــرجـــع],MATCH(TableDailyJournal[[#This Row],[رقم العملية]],Tabledaily[رقم العملية],0))</f>
        <v>100-485</v>
      </c>
      <c r="S535" s="121" t="str">
        <f>INDEX(Tabledaily[مركـــــــزالتكلفــــــة],MATCH(TableDailyJournal[[#This Row],[رقم العملية]],Tabledaily[رقم العملية],0))</f>
        <v>الفرقة الثالثة</v>
      </c>
      <c r="T535" s="121">
        <f>IFERROR(INDEX(tablecost[رقم المركز],MATCH(TableDailyJournal[[#This Row],[مركـــــــزالتكلفــــــة]],tablecost[الاسم],0)),0)</f>
        <v>1</v>
      </c>
      <c r="U535" s="122">
        <f>IFERROR(DATE(TableDailyJournal[[#This Row],[السنــــة]],TableDailyJournal[[#This Row],[الشهــــر]],TableDailyJournal[[#This Row],[الـــــيوم]]),"01-01-2026")</f>
        <v>46190</v>
      </c>
      <c r="V535" s="126"/>
      <c r="W535" s="58"/>
      <c r="X535" s="58">
        <f>IFERROR(YEAR(TableDailyJournal[[#This Row],[التاريخ]]),"")</f>
        <v>2026</v>
      </c>
      <c r="Y535" s="58">
        <f>IFERROR(MONTH(TableDailyJournal[[#This Row],[التاريخ]]),"")</f>
        <v>6</v>
      </c>
      <c r="Z535" s="58">
        <f>IFERROR(DAY(TableDailyJournal[[#This Row],[التاريخ]]),"")</f>
        <v>17</v>
      </c>
      <c r="AA535" s="126" t="str">
        <f>INDEX(Tabledaily[المرجع البياني],MATCH(TableDailyJournal[[#This Row],[رقم العملية]],Tabledaily[رقم العملية],0))</f>
        <v>قيـد مقابـل:- (مصاريف نثريات أخرى - محمد فؤاد عبد القادر سعيد - الفرقة الثالثة)  - استلام نقدي رقم 100-485  سند استلام - لغرض الخروج في مهمة مرافقة  الاشقاء إلى المخا بامرالقائد</v>
      </c>
      <c r="AB535" s="121" t="str">
        <f>INDEX(Tabledaily[جهة الامر],MATCH(TableDailyJournal[[#This Row],[رقم العملية]],Tabledaily[رقم العملية],0))</f>
        <v>القائد</v>
      </c>
    </row>
    <row r="536" spans="2:28" ht="67.5" x14ac:dyDescent="0.55000000000000004">
      <c r="B536" s="58">
        <f t="shared" si="17"/>
        <v>532</v>
      </c>
      <c r="C536" s="59" t="s">
        <v>905</v>
      </c>
      <c r="D536" s="60">
        <f>INDEX(Tabledaily[date],MATCH(TableDailyJournal[[#This Row],[رقم العملية]],Tabledaily[رقم العملية],0))</f>
        <v>46190</v>
      </c>
      <c r="E536" s="58" t="str">
        <f>INDEX(Tabledaily[نوع العمليــة],MATCH(TableDailyJournal[[#This Row],[رقم العملية]],Tabledaily[رقم العملية],0))</f>
        <v>قيد عهده</v>
      </c>
      <c r="F536" s="58">
        <f>IFERROR(INDEX(TableJudje[رقم الحساب],MATCH(TableDailyJournal[[#This Row],[الحساب]],TableJudje[اسم الحساب],0)),0)</f>
        <v>11010101</v>
      </c>
      <c r="G536" s="58" t="s">
        <v>23</v>
      </c>
      <c r="H536" s="61" t="str">
        <f>INDEX(Tabledaily[المرجع البياني],MATCH(TableDailyJournal[[#This Row],[رقم العملية]],Tabledaily[رقم العملية],0))</f>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v>
      </c>
      <c r="I536" s="60" t="str">
        <f>INDEX(Tabledaily[العملـــة],MATCH(TableDailyJournal[[#This Row],[رقم العملية]],Tabledaily[رقم العملية],0))</f>
        <v>ريال يمني</v>
      </c>
      <c r="J536" s="59">
        <f>IFERROR(INDEX(Tabledaily[سعــــــر
الصـــــرف],MATCH(C536,Tabledaily[رقم العملية],0)),1)</f>
        <v>405</v>
      </c>
      <c r="K536" s="123" cm="1">
        <f t="array" ref="K536">IFERROR(INDEX(Tabledaily[المبلـــــــغ],MATCH(1,(TableDailyJournal[[#This Row],[رقم العملية]]=Tabledaily[رقم العملية])*(TableDailyJournal[[#This Row],[الحساب]]=Tabledaily[الحســاب المديــــن]),0)),0)</f>
        <v>0</v>
      </c>
      <c r="L536" s="123" cm="1">
        <f t="array" ref="L536">IFERROR(INDEX(Tabledaily[المبلـــــــغ],MATCH(1,(TableDailyJournal[[#This Row],[رقم العملية]]=Tabledaily[رقم العملية])*(TableDailyJournal[[#This Row],[الحساب]]=Tabledaily[الحســاب الدئـــن]),0)),0)</f>
        <v>0</v>
      </c>
      <c r="M536" s="119">
        <f>IFERROR(TableDailyJournal[[#This Row],[المبلغ مدين]]/TableDailyJournal[[#This Row],[سعــــــر
الصـــــرف]],0)</f>
        <v>0</v>
      </c>
      <c r="N536" s="119">
        <f>IFERROR(TableDailyJournal[[#This Row],[المبلغ دائن]]/TableDailyJournal[[#This Row],[سعــــــر
الصـــــرف]],0)</f>
        <v>0</v>
      </c>
      <c r="O536" s="121" t="str">
        <f>INDEX(Tabledaily[المستفيــــــــد],MATCH(TableDailyJournal[[#This Row],[رقم العملية]],Tabledaily[رقم العملية],0))</f>
        <v>فضل عبد السلام سعيد الرامسي</v>
      </c>
      <c r="P536" s="121" t="str">
        <f>INDEX(Tabledaily[المــــرجـــــــــع],MATCH(TableDailyJournal[[#This Row],[رقم العملية]],Tabledaily[رقم العملية],0))</f>
        <v>استلام نقدي</v>
      </c>
      <c r="Q536" s="121" t="str">
        <f>INDEX(Tabledaily[اســـــــم المــــرجــــع],MATCH(TableDailyJournal[[#This Row],[رقم العملية]],Tabledaily[رقم العملية],0))</f>
        <v>سند استلام</v>
      </c>
      <c r="R536" s="121" t="str">
        <f>INDEX(Tabledaily[رقم المـــــرجـــع],MATCH(TableDailyJournal[[#This Row],[رقم العملية]],Tabledaily[رقم العملية],0))</f>
        <v>100-479</v>
      </c>
      <c r="S536" s="121" t="str">
        <f>INDEX(Tabledaily[مركـــــــزالتكلفــــــة],MATCH(TableDailyJournal[[#This Row],[رقم العملية]],Tabledaily[رقم العملية],0))</f>
        <v>الفرقة الثالثة</v>
      </c>
      <c r="T536" s="121">
        <f>IFERROR(INDEX(tablecost[رقم المركز],MATCH(TableDailyJournal[[#This Row],[مركـــــــزالتكلفــــــة]],tablecost[الاسم],0)),0)</f>
        <v>1</v>
      </c>
      <c r="U536" s="122">
        <f>IFERROR(DATE(TableDailyJournal[[#This Row],[السنــــة]],TableDailyJournal[[#This Row],[الشهــــر]],TableDailyJournal[[#This Row],[الـــــيوم]]),"01-01-2026")</f>
        <v>46190</v>
      </c>
      <c r="V536" s="126"/>
      <c r="W536" s="58"/>
      <c r="X536" s="58">
        <f>IFERROR(YEAR(TableDailyJournal[[#This Row],[التاريخ]]),"")</f>
        <v>2026</v>
      </c>
      <c r="Y536" s="58">
        <f>IFERROR(MONTH(TableDailyJournal[[#This Row],[التاريخ]]),"")</f>
        <v>6</v>
      </c>
      <c r="Z536" s="58">
        <f>IFERROR(DAY(TableDailyJournal[[#This Row],[التاريخ]]),"")</f>
        <v>17</v>
      </c>
      <c r="AA536" s="126" t="str">
        <f>INDEX(Tabledaily[المرجع البياني],MATCH(TableDailyJournal[[#This Row],[رقم العملية]],Tabledaily[رقم العملية],0))</f>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v>
      </c>
      <c r="AB536" s="121" t="str">
        <f>INDEX(Tabledaily[جهة الامر],MATCH(TableDailyJournal[[#This Row],[رقم العملية]],Tabledaily[رقم العملية],0))</f>
        <v>المستشار المالي</v>
      </c>
    </row>
    <row r="537" spans="2:28" ht="67.5" x14ac:dyDescent="0.55000000000000004">
      <c r="B537" s="58">
        <f t="shared" si="17"/>
        <v>533</v>
      </c>
      <c r="C537" s="59" t="s">
        <v>905</v>
      </c>
      <c r="D537" s="60">
        <f>INDEX(Tabledaily[date],MATCH(TableDailyJournal[[#This Row],[رقم العملية]],Tabledaily[رقم العملية],0))</f>
        <v>46190</v>
      </c>
      <c r="E537" s="58" t="str">
        <f>INDEX(Tabledaily[نوع العمليــة],MATCH(TableDailyJournal[[#This Row],[رقم العملية]],Tabledaily[رقم العملية],0))</f>
        <v>قيد عهده</v>
      </c>
      <c r="F537" s="58">
        <f>IFERROR(INDEX(TableJudje[رقم الحساب],MATCH(TableDailyJournal[[#This Row],[الحساب]],TableJudje[اسم الحساب],0)),0)</f>
        <v>11060205</v>
      </c>
      <c r="G537" s="58" t="s">
        <v>513</v>
      </c>
      <c r="H537" s="61" t="str">
        <f>INDEX(Tabledaily[المرجع البياني],MATCH(TableDailyJournal[[#This Row],[رقم العملية]],Tabledaily[رقم العملية],0))</f>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v>
      </c>
      <c r="I537" s="60" t="str">
        <f>INDEX(Tabledaily[العملـــة],MATCH(TableDailyJournal[[#This Row],[رقم العملية]],Tabledaily[رقم العملية],0))</f>
        <v>ريال يمني</v>
      </c>
      <c r="J537" s="59">
        <f>IFERROR(INDEX(Tabledaily[سعــــــر
الصـــــرف],MATCH(C537,Tabledaily[رقم العملية],0)),1)</f>
        <v>405</v>
      </c>
      <c r="K537" s="123" cm="1">
        <f t="array" ref="K537">IFERROR(INDEX(Tabledaily[المبلـــــــغ],MATCH(1,(TableDailyJournal[[#This Row],[رقم العملية]]=Tabledaily[رقم العملية])*(TableDailyJournal[[#This Row],[الحساب]]=Tabledaily[الحســاب المديــــن]),0)),0)</f>
        <v>0</v>
      </c>
      <c r="L537" s="123" cm="1">
        <f t="array" ref="L537">IFERROR(INDEX(Tabledaily[المبلـــــــغ],MATCH(1,(TableDailyJournal[[#This Row],[رقم العملية]]=Tabledaily[رقم العملية])*(TableDailyJournal[[#This Row],[الحساب]]=Tabledaily[الحســاب الدئـــن]),0)),0)</f>
        <v>1500000</v>
      </c>
      <c r="M537" s="119">
        <f>IFERROR(TableDailyJournal[[#This Row],[المبلغ مدين]]/TableDailyJournal[[#This Row],[سعــــــر
الصـــــرف]],0)</f>
        <v>0</v>
      </c>
      <c r="N537" s="119">
        <f>IFERROR(TableDailyJournal[[#This Row],[المبلغ دائن]]/TableDailyJournal[[#This Row],[سعــــــر
الصـــــرف]],0)</f>
        <v>3703.7037037037039</v>
      </c>
      <c r="O537" s="121" t="str">
        <f>INDEX(Tabledaily[المستفيــــــــد],MATCH(TableDailyJournal[[#This Row],[رقم العملية]],Tabledaily[رقم العملية],0))</f>
        <v>فضل عبد السلام سعيد الرامسي</v>
      </c>
      <c r="P537" s="121" t="str">
        <f>INDEX(Tabledaily[المــــرجـــــــــع],MATCH(TableDailyJournal[[#This Row],[رقم العملية]],Tabledaily[رقم العملية],0))</f>
        <v>استلام نقدي</v>
      </c>
      <c r="Q537" s="121" t="str">
        <f>INDEX(Tabledaily[اســـــــم المــــرجــــع],MATCH(TableDailyJournal[[#This Row],[رقم العملية]],Tabledaily[رقم العملية],0))</f>
        <v>سند استلام</v>
      </c>
      <c r="R537" s="121" t="str">
        <f>INDEX(Tabledaily[رقم المـــــرجـــع],MATCH(TableDailyJournal[[#This Row],[رقم العملية]],Tabledaily[رقم العملية],0))</f>
        <v>100-479</v>
      </c>
      <c r="S537" s="121" t="str">
        <f>INDEX(Tabledaily[مركـــــــزالتكلفــــــة],MATCH(TableDailyJournal[[#This Row],[رقم العملية]],Tabledaily[رقم العملية],0))</f>
        <v>الفرقة الثالثة</v>
      </c>
      <c r="T537" s="121">
        <f>IFERROR(INDEX(tablecost[رقم المركز],MATCH(TableDailyJournal[[#This Row],[مركـــــــزالتكلفــــــة]],tablecost[الاسم],0)),0)</f>
        <v>1</v>
      </c>
      <c r="U537" s="122">
        <f>IFERROR(DATE(TableDailyJournal[[#This Row],[السنــــة]],TableDailyJournal[[#This Row],[الشهــــر]],TableDailyJournal[[#This Row],[الـــــيوم]]),"01-01-2026")</f>
        <v>46190</v>
      </c>
      <c r="V537" s="126"/>
      <c r="W537" s="58"/>
      <c r="X537" s="58">
        <f>IFERROR(YEAR(TableDailyJournal[[#This Row],[التاريخ]]),"")</f>
        <v>2026</v>
      </c>
      <c r="Y537" s="58">
        <f>IFERROR(MONTH(TableDailyJournal[[#This Row],[التاريخ]]),"")</f>
        <v>6</v>
      </c>
      <c r="Z537" s="58">
        <f>IFERROR(DAY(TableDailyJournal[[#This Row],[التاريخ]]),"")</f>
        <v>17</v>
      </c>
      <c r="AA537" s="126" t="str">
        <f>INDEX(Tabledaily[المرجع البياني],MATCH(TableDailyJournal[[#This Row],[رقم العملية]],Tabledaily[رقم العملية],0))</f>
        <v>قيـد مقابـل:- (مصاريف نثريات أخرى - فضل عبد السلام سعيد الرامسي - الفرقة الثالثة)  - استلام نقدي رقم 100-479  سند استلام - حسب توجيهات المستشار المالي عبد الله باعمر بامرالمستشار المالي</v>
      </c>
      <c r="AB537" s="121" t="str">
        <f>INDEX(Tabledaily[جهة الامر],MATCH(TableDailyJournal[[#This Row],[رقم العملية]],Tabledaily[رقم العملية],0))</f>
        <v>المستشار المالي</v>
      </c>
    </row>
    <row r="538" spans="2:28" ht="67.5" x14ac:dyDescent="0.55000000000000004">
      <c r="B538" s="58">
        <f t="shared" si="17"/>
        <v>534</v>
      </c>
      <c r="C538" s="59" t="s">
        <v>918</v>
      </c>
      <c r="D538" s="60">
        <f>INDEX(Tabledaily[date],MATCH(TableDailyJournal[[#This Row],[رقم العملية]],Tabledaily[رقم العملية],0))</f>
        <v>46190</v>
      </c>
      <c r="E538" s="58" t="str">
        <f>INDEX(Tabledaily[نوع العمليــة],MATCH(TableDailyJournal[[#This Row],[رقم العملية]],Tabledaily[رقم العملية],0))</f>
        <v>قيد عهده</v>
      </c>
      <c r="F538" s="58">
        <f>IFERROR(INDEX(TableJudje[رقم الحساب],MATCH(TableDailyJournal[[#This Row],[الحساب]],TableJudje[اسم الحساب],0)),0)</f>
        <v>31010101</v>
      </c>
      <c r="G538" s="58" t="s">
        <v>111</v>
      </c>
      <c r="H538" s="61" t="str">
        <f>INDEX(Tabledaily[المرجع البياني],MATCH(TableDailyJournal[[#This Row],[رقم العملية]],Tabledaily[رقم العملية],0))</f>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v>
      </c>
      <c r="I538" s="60" t="str">
        <f>INDEX(Tabledaily[العملـــة],MATCH(TableDailyJournal[[#This Row],[رقم العملية]],Tabledaily[رقم العملية],0))</f>
        <v>ريال يمني</v>
      </c>
      <c r="J538" s="59">
        <f>IFERROR(INDEX(Tabledaily[سعــــــر
الصـــــرف],MATCH(C538,Tabledaily[رقم العملية],0)),1)</f>
        <v>405</v>
      </c>
      <c r="K538" s="123" cm="1">
        <f t="array" ref="K538">IFERROR(INDEX(Tabledaily[المبلـــــــغ],MATCH(1,(TableDailyJournal[[#This Row],[رقم العملية]]=Tabledaily[رقم العملية])*(TableDailyJournal[[#This Row],[الحساب]]=Tabledaily[الحســاب المديــــن]),0)),0)</f>
        <v>224000</v>
      </c>
      <c r="L538" s="123" cm="1">
        <f t="array" ref="L538">IFERROR(INDEX(Tabledaily[المبلـــــــغ],MATCH(1,(TableDailyJournal[[#This Row],[رقم العملية]]=Tabledaily[رقم العملية])*(TableDailyJournal[[#This Row],[الحساب]]=Tabledaily[الحســاب الدئـــن]),0)),0)</f>
        <v>0</v>
      </c>
      <c r="M538" s="119">
        <f>IFERROR(TableDailyJournal[[#This Row],[المبلغ مدين]]/TableDailyJournal[[#This Row],[سعــــــر
الصـــــرف]],0)</f>
        <v>553.08641975308637</v>
      </c>
      <c r="N538" s="119">
        <f>IFERROR(TableDailyJournal[[#This Row],[المبلغ دائن]]/TableDailyJournal[[#This Row],[سعــــــر
الصـــــرف]],0)</f>
        <v>0</v>
      </c>
      <c r="O538" s="121" t="str">
        <f>INDEX(Tabledaily[المستفيــــــــد],MATCH(TableDailyJournal[[#This Row],[رقم العملية]],Tabledaily[رقم العملية],0))</f>
        <v>أفراد اللواء السابع مهمة معسكر العفاريت</v>
      </c>
      <c r="P538" s="121" t="str">
        <f>INDEX(Tabledaily[المــــرجـــــــــع],MATCH(TableDailyJournal[[#This Row],[رقم العملية]],Tabledaily[رقم العملية],0))</f>
        <v>كشف صرف</v>
      </c>
      <c r="Q538" s="121" t="str">
        <f>INDEX(Tabledaily[اســـــــم المــــرجــــع],MATCH(TableDailyJournal[[#This Row],[رقم العملية]],Tabledaily[رقم العملية],0))</f>
        <v>كشف صرف</v>
      </c>
      <c r="R538" s="121">
        <f>INDEX(Tabledaily[رقم المـــــرجـــع],MATCH(TableDailyJournal[[#This Row],[رقم العملية]],Tabledaily[رقم العملية],0))</f>
        <v>0</v>
      </c>
      <c r="S538" s="121" t="str">
        <f>INDEX(Tabledaily[مركـــــــزالتكلفــــــة],MATCH(TableDailyJournal[[#This Row],[رقم العملية]],Tabledaily[رقم العملية],0))</f>
        <v>الفرقة الثالثة</v>
      </c>
      <c r="T538" s="121">
        <f>IFERROR(INDEX(tablecost[رقم المركز],MATCH(TableDailyJournal[[#This Row],[مركـــــــزالتكلفــــــة]],tablecost[الاسم],0)),0)</f>
        <v>1</v>
      </c>
      <c r="U538" s="122">
        <f>IFERROR(DATE(TableDailyJournal[[#This Row],[السنــــة]],TableDailyJournal[[#This Row],[الشهــــر]],TableDailyJournal[[#This Row],[الـــــيوم]]),"01-01-2026")</f>
        <v>46190</v>
      </c>
      <c r="V538" s="126"/>
      <c r="W538" s="58"/>
      <c r="X538" s="58">
        <f>IFERROR(YEAR(TableDailyJournal[[#This Row],[التاريخ]]),"")</f>
        <v>2026</v>
      </c>
      <c r="Y538" s="58">
        <f>IFERROR(MONTH(TableDailyJournal[[#This Row],[التاريخ]]),"")</f>
        <v>6</v>
      </c>
      <c r="Z538" s="58">
        <f>IFERROR(DAY(TableDailyJournal[[#This Row],[التاريخ]]),"")</f>
        <v>17</v>
      </c>
      <c r="AA538" s="126" t="str">
        <f>INDEX(Tabledaily[المرجع البياني],MATCH(TableDailyJournal[[#This Row],[رقم العملية]],Tabledaily[رقم العملية],0))</f>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v>
      </c>
      <c r="AB538" s="121" t="str">
        <f>INDEX(Tabledaily[جهة الامر],MATCH(TableDailyJournal[[#This Row],[رقم العملية]],Tabledaily[رقم العملية],0))</f>
        <v>القائد</v>
      </c>
    </row>
    <row r="539" spans="2:28" ht="67.5" x14ac:dyDescent="0.55000000000000004">
      <c r="B539" s="58">
        <f t="shared" si="17"/>
        <v>535</v>
      </c>
      <c r="C539" s="59" t="s">
        <v>918</v>
      </c>
      <c r="D539" s="60">
        <f>INDEX(Tabledaily[date],MATCH(TableDailyJournal[[#This Row],[رقم العملية]],Tabledaily[رقم العملية],0))</f>
        <v>46190</v>
      </c>
      <c r="E539" s="58" t="str">
        <f>INDEX(Tabledaily[نوع العمليــة],MATCH(TableDailyJournal[[#This Row],[رقم العملية]],Tabledaily[رقم العملية],0))</f>
        <v>قيد عهده</v>
      </c>
      <c r="F539" s="58">
        <f>IFERROR(INDEX(TableJudje[رقم الحساب],MATCH(TableDailyJournal[[#This Row],[الحساب]],TableJudje[اسم الحساب],0)),0)</f>
        <v>11060205</v>
      </c>
      <c r="G539" s="58" t="s">
        <v>513</v>
      </c>
      <c r="H539" s="61" t="str">
        <f>INDEX(Tabledaily[المرجع البياني],MATCH(TableDailyJournal[[#This Row],[رقم العملية]],Tabledaily[رقم العملية],0))</f>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v>
      </c>
      <c r="I539" s="60" t="str">
        <f>INDEX(Tabledaily[العملـــة],MATCH(TableDailyJournal[[#This Row],[رقم العملية]],Tabledaily[رقم العملية],0))</f>
        <v>ريال يمني</v>
      </c>
      <c r="J539" s="59">
        <f>IFERROR(INDEX(Tabledaily[سعــــــر
الصـــــرف],MATCH(C539,Tabledaily[رقم العملية],0)),1)</f>
        <v>405</v>
      </c>
      <c r="K539" s="123" cm="1">
        <f t="array" ref="K539">IFERROR(INDEX(Tabledaily[المبلـــــــغ],MATCH(1,(TableDailyJournal[[#This Row],[رقم العملية]]=Tabledaily[رقم العملية])*(TableDailyJournal[[#This Row],[الحساب]]=Tabledaily[الحســاب المديــــن]),0)),0)</f>
        <v>0</v>
      </c>
      <c r="L539" s="123" cm="1">
        <f t="array" ref="L539">IFERROR(INDEX(Tabledaily[المبلـــــــغ],MATCH(1,(TableDailyJournal[[#This Row],[رقم العملية]]=Tabledaily[رقم العملية])*(TableDailyJournal[[#This Row],[الحساب]]=Tabledaily[الحســاب الدئـــن]),0)),0)</f>
        <v>224000</v>
      </c>
      <c r="M539" s="119">
        <f>IFERROR(TableDailyJournal[[#This Row],[المبلغ مدين]]/TableDailyJournal[[#This Row],[سعــــــر
الصـــــرف]],0)</f>
        <v>0</v>
      </c>
      <c r="N539" s="119">
        <f>IFERROR(TableDailyJournal[[#This Row],[المبلغ دائن]]/TableDailyJournal[[#This Row],[سعــــــر
الصـــــرف]],0)</f>
        <v>553.08641975308637</v>
      </c>
      <c r="O539" s="121" t="str">
        <f>INDEX(Tabledaily[المستفيــــــــد],MATCH(TableDailyJournal[[#This Row],[رقم العملية]],Tabledaily[رقم العملية],0))</f>
        <v>أفراد اللواء السابع مهمة معسكر العفاريت</v>
      </c>
      <c r="P539" s="121" t="str">
        <f>INDEX(Tabledaily[المــــرجـــــــــع],MATCH(TableDailyJournal[[#This Row],[رقم العملية]],Tabledaily[رقم العملية],0))</f>
        <v>كشف صرف</v>
      </c>
      <c r="Q539" s="121" t="str">
        <f>INDEX(Tabledaily[اســـــــم المــــرجــــع],MATCH(TableDailyJournal[[#This Row],[رقم العملية]],Tabledaily[رقم العملية],0))</f>
        <v>كشف صرف</v>
      </c>
      <c r="R539" s="121">
        <f>INDEX(Tabledaily[رقم المـــــرجـــع],MATCH(TableDailyJournal[[#This Row],[رقم العملية]],Tabledaily[رقم العملية],0))</f>
        <v>0</v>
      </c>
      <c r="S539" s="121" t="str">
        <f>INDEX(Tabledaily[مركـــــــزالتكلفــــــة],MATCH(TableDailyJournal[[#This Row],[رقم العملية]],Tabledaily[رقم العملية],0))</f>
        <v>الفرقة الثالثة</v>
      </c>
      <c r="T539" s="121">
        <f>IFERROR(INDEX(tablecost[رقم المركز],MATCH(TableDailyJournal[[#This Row],[مركـــــــزالتكلفــــــة]],tablecost[الاسم],0)),0)</f>
        <v>1</v>
      </c>
      <c r="U539" s="122">
        <f>IFERROR(DATE(TableDailyJournal[[#This Row],[السنــــة]],TableDailyJournal[[#This Row],[الشهــــر]],TableDailyJournal[[#This Row],[الـــــيوم]]),"01-01-2026")</f>
        <v>46190</v>
      </c>
      <c r="V539" s="126"/>
      <c r="W539" s="58"/>
      <c r="X539" s="58">
        <f>IFERROR(YEAR(TableDailyJournal[[#This Row],[التاريخ]]),"")</f>
        <v>2026</v>
      </c>
      <c r="Y539" s="58">
        <f>IFERROR(MONTH(TableDailyJournal[[#This Row],[التاريخ]]),"")</f>
        <v>6</v>
      </c>
      <c r="Z539" s="58">
        <f>IFERROR(DAY(TableDailyJournal[[#This Row],[التاريخ]]),"")</f>
        <v>17</v>
      </c>
      <c r="AA539" s="126" t="str">
        <f>INDEX(Tabledaily[المرجع البياني],MATCH(TableDailyJournal[[#This Row],[رقم العملية]],Tabledaily[رقم العملية],0))</f>
        <v>قيـد مقابـل:- (مصاريف  صرفة يومية للافراد  - أفراد اللواء السابع مهمة معسكر العفاريت - الفرقة الثالثة)  - كشف صرف رقم   كشف صرف - صرف حافز لافراد اللواء السابع المتواجدين في معسكر العفاريت عدد28 فرد بامرالقائد</v>
      </c>
      <c r="AB539" s="121" t="str">
        <f>INDEX(Tabledaily[جهة الامر],MATCH(TableDailyJournal[[#This Row],[رقم العملية]],Tabledaily[رقم العملية],0))</f>
        <v>القائد</v>
      </c>
    </row>
    <row r="540" spans="2:28" ht="45.75" x14ac:dyDescent="0.55000000000000004">
      <c r="B540" s="58">
        <f t="shared" si="17"/>
        <v>536</v>
      </c>
      <c r="C540" s="59" t="s">
        <v>921</v>
      </c>
      <c r="D540" s="60">
        <f>INDEX(Tabledaily[date],MATCH(TableDailyJournal[[#This Row],[رقم العملية]],Tabledaily[رقم العملية],0))</f>
        <v>46190</v>
      </c>
      <c r="E540" s="58" t="str">
        <f>INDEX(Tabledaily[نوع العمليــة],MATCH(TableDailyJournal[[#This Row],[رقم العملية]],Tabledaily[رقم العملية],0))</f>
        <v>قيد عهده</v>
      </c>
      <c r="F540" s="58">
        <f>IFERROR(INDEX(TableJudje[رقم الحساب],MATCH(TableDailyJournal[[#This Row],[الحساب]],TableJudje[اسم الحساب],0)),0)</f>
        <v>31010101</v>
      </c>
      <c r="G540" s="58" t="s">
        <v>111</v>
      </c>
      <c r="H540" s="61" t="str">
        <f>INDEX(Tabledaily[المرجع البياني],MATCH(TableDailyJournal[[#This Row],[رقم العملية]],Tabledaily[رقم العملية],0))</f>
        <v>قيـد مقابـل:- (مصاريف  صرفة يومية للافراد  - محمد نجيب محمد حزام - الفرقة الثالثة)  - استلام نقدي رقم 100-457  سند استلام - صرفة يومية  أبتدء من اليوم  بامرالقائد</v>
      </c>
      <c r="I540" s="60" t="str">
        <f>INDEX(Tabledaily[العملـــة],MATCH(TableDailyJournal[[#This Row],[رقم العملية]],Tabledaily[رقم العملية],0))</f>
        <v>ريال يمني</v>
      </c>
      <c r="J540" s="59">
        <f>IFERROR(INDEX(Tabledaily[سعــــــر
الصـــــرف],MATCH(C540,Tabledaily[رقم العملية],0)),1)</f>
        <v>405</v>
      </c>
      <c r="K540" s="123" cm="1">
        <f t="array" ref="K540">IFERROR(INDEX(Tabledaily[المبلـــــــغ],MATCH(1,(TableDailyJournal[[#This Row],[رقم العملية]]=Tabledaily[رقم العملية])*(TableDailyJournal[[#This Row],[الحساب]]=Tabledaily[الحســاب المديــــن]),0)),0)</f>
        <v>7000</v>
      </c>
      <c r="L540" s="123" cm="1">
        <f t="array" ref="L540">IFERROR(INDEX(Tabledaily[المبلـــــــغ],MATCH(1,(TableDailyJournal[[#This Row],[رقم العملية]]=Tabledaily[رقم العملية])*(TableDailyJournal[[#This Row],[الحساب]]=Tabledaily[الحســاب الدئـــن]),0)),0)</f>
        <v>0</v>
      </c>
      <c r="M540" s="119">
        <f>IFERROR(TableDailyJournal[[#This Row],[المبلغ مدين]]/TableDailyJournal[[#This Row],[سعــــــر
الصـــــرف]],0)</f>
        <v>17.283950617283949</v>
      </c>
      <c r="N540" s="119">
        <f>IFERROR(TableDailyJournal[[#This Row],[المبلغ دائن]]/TableDailyJournal[[#This Row],[سعــــــر
الصـــــرف]],0)</f>
        <v>0</v>
      </c>
      <c r="O540" s="121" t="str">
        <f>INDEX(Tabledaily[المستفيــــــــد],MATCH(TableDailyJournal[[#This Row],[رقم العملية]],Tabledaily[رقم العملية],0))</f>
        <v>محمد نجيب محمد حزام</v>
      </c>
      <c r="P540" s="121" t="str">
        <f>INDEX(Tabledaily[المــــرجـــــــــع],MATCH(TableDailyJournal[[#This Row],[رقم العملية]],Tabledaily[رقم العملية],0))</f>
        <v>استلام نقدي</v>
      </c>
      <c r="Q540" s="121" t="str">
        <f>INDEX(Tabledaily[اســـــــم المــــرجــــع],MATCH(TableDailyJournal[[#This Row],[رقم العملية]],Tabledaily[رقم العملية],0))</f>
        <v>سند استلام</v>
      </c>
      <c r="R540" s="121" t="str">
        <f>INDEX(Tabledaily[رقم المـــــرجـــع],MATCH(TableDailyJournal[[#This Row],[رقم العملية]],Tabledaily[رقم العملية],0))</f>
        <v>100-457</v>
      </c>
      <c r="S540" s="121" t="str">
        <f>INDEX(Tabledaily[مركـــــــزالتكلفــــــة],MATCH(TableDailyJournal[[#This Row],[رقم العملية]],Tabledaily[رقم العملية],0))</f>
        <v>الفرقة الثالثة</v>
      </c>
      <c r="T540" s="121">
        <f>IFERROR(INDEX(tablecost[رقم المركز],MATCH(TableDailyJournal[[#This Row],[مركـــــــزالتكلفــــــة]],tablecost[الاسم],0)),0)</f>
        <v>1</v>
      </c>
      <c r="U540" s="122">
        <f>IFERROR(DATE(TableDailyJournal[[#This Row],[السنــــة]],TableDailyJournal[[#This Row],[الشهــــر]],TableDailyJournal[[#This Row],[الـــــيوم]]),"01-01-2026")</f>
        <v>46190</v>
      </c>
      <c r="V540" s="126"/>
      <c r="W540" s="58"/>
      <c r="X540" s="58">
        <f>IFERROR(YEAR(TableDailyJournal[[#This Row],[التاريخ]]),"")</f>
        <v>2026</v>
      </c>
      <c r="Y540" s="58">
        <f>IFERROR(MONTH(TableDailyJournal[[#This Row],[التاريخ]]),"")</f>
        <v>6</v>
      </c>
      <c r="Z540" s="58">
        <f>IFERROR(DAY(TableDailyJournal[[#This Row],[التاريخ]]),"")</f>
        <v>17</v>
      </c>
      <c r="AA540" s="126" t="str">
        <f>INDEX(Tabledaily[المرجع البياني],MATCH(TableDailyJournal[[#This Row],[رقم العملية]],Tabledaily[رقم العملية],0))</f>
        <v>قيـد مقابـل:- (مصاريف  صرفة يومية للافراد  - محمد نجيب محمد حزام - الفرقة الثالثة)  - استلام نقدي رقم 100-457  سند استلام - صرفة يومية  أبتدء من اليوم  بامرالقائد</v>
      </c>
      <c r="AB540" s="121" t="str">
        <f>INDEX(Tabledaily[جهة الامر],MATCH(TableDailyJournal[[#This Row],[رقم العملية]],Tabledaily[رقم العملية],0))</f>
        <v>القائد</v>
      </c>
    </row>
    <row r="541" spans="2:28" ht="45.75" x14ac:dyDescent="0.55000000000000004">
      <c r="B541" s="58">
        <f t="shared" si="17"/>
        <v>537</v>
      </c>
      <c r="C541" s="59" t="s">
        <v>921</v>
      </c>
      <c r="D541" s="60">
        <f>INDEX(Tabledaily[date],MATCH(TableDailyJournal[[#This Row],[رقم العملية]],Tabledaily[رقم العملية],0))</f>
        <v>46190</v>
      </c>
      <c r="E541" s="58" t="str">
        <f>INDEX(Tabledaily[نوع العمليــة],MATCH(TableDailyJournal[[#This Row],[رقم العملية]],Tabledaily[رقم العملية],0))</f>
        <v>قيد عهده</v>
      </c>
      <c r="F541" s="58">
        <f>IFERROR(INDEX(TableJudje[رقم الحساب],MATCH(TableDailyJournal[[#This Row],[الحساب]],TableJudje[اسم الحساب],0)),0)</f>
        <v>11060205</v>
      </c>
      <c r="G541" s="58" t="s">
        <v>513</v>
      </c>
      <c r="H541" s="61" t="str">
        <f>INDEX(Tabledaily[المرجع البياني],MATCH(TableDailyJournal[[#This Row],[رقم العملية]],Tabledaily[رقم العملية],0))</f>
        <v>قيـد مقابـل:- (مصاريف  صرفة يومية للافراد  - محمد نجيب محمد حزام - الفرقة الثالثة)  - استلام نقدي رقم 100-457  سند استلام - صرفة يومية  أبتدء من اليوم  بامرالقائد</v>
      </c>
      <c r="I541" s="60" t="str">
        <f>INDEX(Tabledaily[العملـــة],MATCH(TableDailyJournal[[#This Row],[رقم العملية]],Tabledaily[رقم العملية],0))</f>
        <v>ريال يمني</v>
      </c>
      <c r="J541" s="59">
        <f>IFERROR(INDEX(Tabledaily[سعــــــر
الصـــــرف],MATCH(C541,Tabledaily[رقم العملية],0)),1)</f>
        <v>405</v>
      </c>
      <c r="K541" s="123" cm="1">
        <f t="array" ref="K541">IFERROR(INDEX(Tabledaily[المبلـــــــغ],MATCH(1,(TableDailyJournal[[#This Row],[رقم العملية]]=Tabledaily[رقم العملية])*(TableDailyJournal[[#This Row],[الحساب]]=Tabledaily[الحســاب المديــــن]),0)),0)</f>
        <v>0</v>
      </c>
      <c r="L541" s="123" cm="1">
        <f t="array" ref="L541">IFERROR(INDEX(Tabledaily[المبلـــــــغ],MATCH(1,(TableDailyJournal[[#This Row],[رقم العملية]]=Tabledaily[رقم العملية])*(TableDailyJournal[[#This Row],[الحساب]]=Tabledaily[الحســاب الدئـــن]),0)),0)</f>
        <v>7000</v>
      </c>
      <c r="M541" s="119">
        <f>IFERROR(TableDailyJournal[[#This Row],[المبلغ مدين]]/TableDailyJournal[[#This Row],[سعــــــر
الصـــــرف]],0)</f>
        <v>0</v>
      </c>
      <c r="N541" s="119">
        <f>IFERROR(TableDailyJournal[[#This Row],[المبلغ دائن]]/TableDailyJournal[[#This Row],[سعــــــر
الصـــــرف]],0)</f>
        <v>17.283950617283949</v>
      </c>
      <c r="O541" s="121" t="str">
        <f>INDEX(Tabledaily[المستفيــــــــد],MATCH(TableDailyJournal[[#This Row],[رقم العملية]],Tabledaily[رقم العملية],0))</f>
        <v>محمد نجيب محمد حزام</v>
      </c>
      <c r="P541" s="121" t="str">
        <f>INDEX(Tabledaily[المــــرجـــــــــع],MATCH(TableDailyJournal[[#This Row],[رقم العملية]],Tabledaily[رقم العملية],0))</f>
        <v>استلام نقدي</v>
      </c>
      <c r="Q541" s="121" t="str">
        <f>INDEX(Tabledaily[اســـــــم المــــرجــــع],MATCH(TableDailyJournal[[#This Row],[رقم العملية]],Tabledaily[رقم العملية],0))</f>
        <v>سند استلام</v>
      </c>
      <c r="R541" s="121" t="str">
        <f>INDEX(Tabledaily[رقم المـــــرجـــع],MATCH(TableDailyJournal[[#This Row],[رقم العملية]],Tabledaily[رقم العملية],0))</f>
        <v>100-457</v>
      </c>
      <c r="S541" s="121" t="str">
        <f>INDEX(Tabledaily[مركـــــــزالتكلفــــــة],MATCH(TableDailyJournal[[#This Row],[رقم العملية]],Tabledaily[رقم العملية],0))</f>
        <v>الفرقة الثالثة</v>
      </c>
      <c r="T541" s="121">
        <f>IFERROR(INDEX(tablecost[رقم المركز],MATCH(TableDailyJournal[[#This Row],[مركـــــــزالتكلفــــــة]],tablecost[الاسم],0)),0)</f>
        <v>1</v>
      </c>
      <c r="U541" s="122">
        <f>IFERROR(DATE(TableDailyJournal[[#This Row],[السنــــة]],TableDailyJournal[[#This Row],[الشهــــر]],TableDailyJournal[[#This Row],[الـــــيوم]]),"01-01-2026")</f>
        <v>46190</v>
      </c>
      <c r="V541" s="126"/>
      <c r="W541" s="58"/>
      <c r="X541" s="58">
        <f>IFERROR(YEAR(TableDailyJournal[[#This Row],[التاريخ]]),"")</f>
        <v>2026</v>
      </c>
      <c r="Y541" s="58">
        <f>IFERROR(MONTH(TableDailyJournal[[#This Row],[التاريخ]]),"")</f>
        <v>6</v>
      </c>
      <c r="Z541" s="58">
        <f>IFERROR(DAY(TableDailyJournal[[#This Row],[التاريخ]]),"")</f>
        <v>17</v>
      </c>
      <c r="AA541" s="126" t="str">
        <f>INDEX(Tabledaily[المرجع البياني],MATCH(TableDailyJournal[[#This Row],[رقم العملية]],Tabledaily[رقم العملية],0))</f>
        <v>قيـد مقابـل:- (مصاريف  صرفة يومية للافراد  - محمد نجيب محمد حزام - الفرقة الثالثة)  - استلام نقدي رقم 100-457  سند استلام - صرفة يومية  أبتدء من اليوم  بامرالقائد</v>
      </c>
      <c r="AB541" s="121" t="str">
        <f>INDEX(Tabledaily[جهة الامر],MATCH(TableDailyJournal[[#This Row],[رقم العملية]],Tabledaily[رقم العملية],0))</f>
        <v>القائد</v>
      </c>
    </row>
    <row r="542" spans="2:28" ht="67.5" x14ac:dyDescent="0.55000000000000004">
      <c r="B542" s="58">
        <f t="shared" si="17"/>
        <v>538</v>
      </c>
      <c r="C542" s="59" t="s">
        <v>925</v>
      </c>
      <c r="D542" s="60">
        <f>INDEX(Tabledaily[date],MATCH(TableDailyJournal[[#This Row],[رقم العملية]],Tabledaily[رقم العملية],0))</f>
        <v>46190</v>
      </c>
      <c r="E542" s="58" t="str">
        <f>INDEX(Tabledaily[نوع العمليــة],MATCH(TableDailyJournal[[#This Row],[رقم العملية]],Tabledaily[رقم العملية],0))</f>
        <v>قيد عهده</v>
      </c>
      <c r="F542" s="58">
        <f>IFERROR(INDEX(TableJudje[رقم الحساب],MATCH(TableDailyJournal[[#This Row],[الحساب]],TableJudje[اسم الحساب],0)),0)</f>
        <v>31010101</v>
      </c>
      <c r="G542" s="58" t="s">
        <v>111</v>
      </c>
      <c r="H542" s="61" t="str">
        <f>INDEX(Tabledaily[المرجع البياني],MATCH(TableDailyJournal[[#This Row],[رقم العملية]],Tabledaily[رقم العملية],0))</f>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v>
      </c>
      <c r="I542" s="60" t="str">
        <f>INDEX(Tabledaily[العملـــة],MATCH(TableDailyJournal[[#This Row],[رقم العملية]],Tabledaily[رقم العملية],0))</f>
        <v>ريال يمني</v>
      </c>
      <c r="J542" s="59">
        <f>IFERROR(INDEX(Tabledaily[سعــــــر
الصـــــرف],MATCH(C542,Tabledaily[رقم العملية],0)),1)</f>
        <v>405</v>
      </c>
      <c r="K542" s="123" cm="1">
        <f t="array" ref="K542">IFERROR(INDEX(Tabledaily[المبلـــــــغ],MATCH(1,(TableDailyJournal[[#This Row],[رقم العملية]]=Tabledaily[رقم العملية])*(TableDailyJournal[[#This Row],[الحساب]]=Tabledaily[الحســاب المديــــن]),0)),0)</f>
        <v>20000</v>
      </c>
      <c r="L542" s="123" cm="1">
        <f t="array" ref="L542">IFERROR(INDEX(Tabledaily[المبلـــــــغ],MATCH(1,(TableDailyJournal[[#This Row],[رقم العملية]]=Tabledaily[رقم العملية])*(TableDailyJournal[[#This Row],[الحساب]]=Tabledaily[الحســاب الدئـــن]),0)),0)</f>
        <v>0</v>
      </c>
      <c r="M542" s="119">
        <f>IFERROR(TableDailyJournal[[#This Row],[المبلغ مدين]]/TableDailyJournal[[#This Row],[سعــــــر
الصـــــرف]],0)</f>
        <v>49.382716049382715</v>
      </c>
      <c r="N542" s="119">
        <f>IFERROR(TableDailyJournal[[#This Row],[المبلغ دائن]]/TableDailyJournal[[#This Row],[سعــــــر
الصـــــرف]],0)</f>
        <v>0</v>
      </c>
      <c r="O542" s="121" t="str">
        <f>INDEX(Tabledaily[المستفيــــــــد],MATCH(TableDailyJournal[[#This Row],[رقم العملية]],Tabledaily[رقم العملية],0))</f>
        <v>ياسين سعيد سعيد البريهي</v>
      </c>
      <c r="P542" s="121" t="str">
        <f>INDEX(Tabledaily[المــــرجـــــــــع],MATCH(TableDailyJournal[[#This Row],[رقم العملية]],Tabledaily[رقم العملية],0))</f>
        <v>استلام نقدي</v>
      </c>
      <c r="Q542" s="121" t="str">
        <f>INDEX(Tabledaily[اســـــــم المــــرجــــع],MATCH(TableDailyJournal[[#This Row],[رقم العملية]],Tabledaily[رقم العملية],0))</f>
        <v>سند استلام</v>
      </c>
      <c r="R542" s="121" t="str">
        <f>INDEX(Tabledaily[رقم المـــــرجـــع],MATCH(TableDailyJournal[[#This Row],[رقم العملية]],Tabledaily[رقم العملية],0))</f>
        <v>100-472</v>
      </c>
      <c r="S542" s="121" t="str">
        <f>INDEX(Tabledaily[مركـــــــزالتكلفــــــة],MATCH(TableDailyJournal[[#This Row],[رقم العملية]],Tabledaily[رقم العملية],0))</f>
        <v>الفرقة الثالثة</v>
      </c>
      <c r="T542" s="121">
        <f>IFERROR(INDEX(tablecost[رقم المركز],MATCH(TableDailyJournal[[#This Row],[مركـــــــزالتكلفــــــة]],tablecost[الاسم],0)),0)</f>
        <v>1</v>
      </c>
      <c r="U542" s="122">
        <f>IFERROR(DATE(TableDailyJournal[[#This Row],[السنــــة]],TableDailyJournal[[#This Row],[الشهــــر]],TableDailyJournal[[#This Row],[الـــــيوم]]),"01-01-2026")</f>
        <v>46190</v>
      </c>
      <c r="V542" s="126"/>
      <c r="W542" s="58"/>
      <c r="X542" s="58">
        <f>IFERROR(YEAR(TableDailyJournal[[#This Row],[التاريخ]]),"")</f>
        <v>2026</v>
      </c>
      <c r="Y542" s="58">
        <f>IFERROR(MONTH(TableDailyJournal[[#This Row],[التاريخ]]),"")</f>
        <v>6</v>
      </c>
      <c r="Z542" s="58">
        <f>IFERROR(DAY(TableDailyJournal[[#This Row],[التاريخ]]),"")</f>
        <v>17</v>
      </c>
      <c r="AA542" s="126" t="str">
        <f>INDEX(Tabledaily[المرجع البياني],MATCH(TableDailyJournal[[#This Row],[رقم العملية]],Tabledaily[رقم العملية],0))</f>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v>
      </c>
      <c r="AB542" s="121">
        <f>INDEX(Tabledaily[جهة الامر],MATCH(TableDailyJournal[[#This Row],[رقم العملية]],Tabledaily[رقم العملية],0))</f>
        <v>0</v>
      </c>
    </row>
    <row r="543" spans="2:28" ht="67.5" x14ac:dyDescent="0.55000000000000004">
      <c r="B543" s="58">
        <f t="shared" si="17"/>
        <v>539</v>
      </c>
      <c r="C543" s="59" t="s">
        <v>925</v>
      </c>
      <c r="D543" s="60">
        <f>INDEX(Tabledaily[date],MATCH(TableDailyJournal[[#This Row],[رقم العملية]],Tabledaily[رقم العملية],0))</f>
        <v>46190</v>
      </c>
      <c r="E543" s="58" t="str">
        <f>INDEX(Tabledaily[نوع العمليــة],MATCH(TableDailyJournal[[#This Row],[رقم العملية]],Tabledaily[رقم العملية],0))</f>
        <v>قيد عهده</v>
      </c>
      <c r="F543" s="58">
        <f>IFERROR(INDEX(TableJudje[رقم الحساب],MATCH(TableDailyJournal[[#This Row],[الحساب]],TableJudje[اسم الحساب],0)),0)</f>
        <v>11060205</v>
      </c>
      <c r="G543" s="58" t="s">
        <v>513</v>
      </c>
      <c r="H543" s="61" t="str">
        <f>INDEX(Tabledaily[المرجع البياني],MATCH(TableDailyJournal[[#This Row],[رقم العملية]],Tabledaily[رقم العملية],0))</f>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v>
      </c>
      <c r="I543" s="60" t="str">
        <f>INDEX(Tabledaily[العملـــة],MATCH(TableDailyJournal[[#This Row],[رقم العملية]],Tabledaily[رقم العملية],0))</f>
        <v>ريال يمني</v>
      </c>
      <c r="J543" s="59">
        <f>IFERROR(INDEX(Tabledaily[سعــــــر
الصـــــرف],MATCH(C543,Tabledaily[رقم العملية],0)),1)</f>
        <v>405</v>
      </c>
      <c r="K543" s="123" cm="1">
        <f t="array" ref="K543">IFERROR(INDEX(Tabledaily[المبلـــــــغ],MATCH(1,(TableDailyJournal[[#This Row],[رقم العملية]]=Tabledaily[رقم العملية])*(TableDailyJournal[[#This Row],[الحساب]]=Tabledaily[الحســاب المديــــن]),0)),0)</f>
        <v>0</v>
      </c>
      <c r="L543" s="123" cm="1">
        <f t="array" ref="L543">IFERROR(INDEX(Tabledaily[المبلـــــــغ],MATCH(1,(TableDailyJournal[[#This Row],[رقم العملية]]=Tabledaily[رقم العملية])*(TableDailyJournal[[#This Row],[الحساب]]=Tabledaily[الحســاب الدئـــن]),0)),0)</f>
        <v>20000</v>
      </c>
      <c r="M543" s="119">
        <f>IFERROR(TableDailyJournal[[#This Row],[المبلغ مدين]]/TableDailyJournal[[#This Row],[سعــــــر
الصـــــرف]],0)</f>
        <v>0</v>
      </c>
      <c r="N543" s="119">
        <f>IFERROR(TableDailyJournal[[#This Row],[المبلغ دائن]]/TableDailyJournal[[#This Row],[سعــــــر
الصـــــرف]],0)</f>
        <v>49.382716049382715</v>
      </c>
      <c r="O543" s="121" t="str">
        <f>INDEX(Tabledaily[المستفيــــــــد],MATCH(TableDailyJournal[[#This Row],[رقم العملية]],Tabledaily[رقم العملية],0))</f>
        <v>ياسين سعيد سعيد البريهي</v>
      </c>
      <c r="P543" s="121" t="str">
        <f>INDEX(Tabledaily[المــــرجـــــــــع],MATCH(TableDailyJournal[[#This Row],[رقم العملية]],Tabledaily[رقم العملية],0))</f>
        <v>استلام نقدي</v>
      </c>
      <c r="Q543" s="121" t="str">
        <f>INDEX(Tabledaily[اســـــــم المــــرجــــع],MATCH(TableDailyJournal[[#This Row],[رقم العملية]],Tabledaily[رقم العملية],0))</f>
        <v>سند استلام</v>
      </c>
      <c r="R543" s="121" t="str">
        <f>INDEX(Tabledaily[رقم المـــــرجـــع],MATCH(TableDailyJournal[[#This Row],[رقم العملية]],Tabledaily[رقم العملية],0))</f>
        <v>100-472</v>
      </c>
      <c r="S543" s="121" t="str">
        <f>INDEX(Tabledaily[مركـــــــزالتكلفــــــة],MATCH(TableDailyJournal[[#This Row],[رقم العملية]],Tabledaily[رقم العملية],0))</f>
        <v>الفرقة الثالثة</v>
      </c>
      <c r="T543" s="121">
        <f>IFERROR(INDEX(tablecost[رقم المركز],MATCH(TableDailyJournal[[#This Row],[مركـــــــزالتكلفــــــة]],tablecost[الاسم],0)),0)</f>
        <v>1</v>
      </c>
      <c r="U543" s="122">
        <f>IFERROR(DATE(TableDailyJournal[[#This Row],[السنــــة]],TableDailyJournal[[#This Row],[الشهــــر]],TableDailyJournal[[#This Row],[الـــــيوم]]),"01-01-2026")</f>
        <v>46190</v>
      </c>
      <c r="V543" s="126"/>
      <c r="W543" s="58"/>
      <c r="X543" s="58">
        <f>IFERROR(YEAR(TableDailyJournal[[#This Row],[التاريخ]]),"")</f>
        <v>2026</v>
      </c>
      <c r="Y543" s="58">
        <f>IFERROR(MONTH(TableDailyJournal[[#This Row],[التاريخ]]),"")</f>
        <v>6</v>
      </c>
      <c r="Z543" s="58">
        <f>IFERROR(DAY(TableDailyJournal[[#This Row],[التاريخ]]),"")</f>
        <v>17</v>
      </c>
      <c r="AA543" s="126" t="str">
        <f>INDEX(Tabledaily[المرجع البياني],MATCH(TableDailyJournal[[#This Row],[رقم العملية]],Tabledaily[رقم العملية],0))</f>
        <v>قيـد مقابـل:- (مصاريف  صرفة يومية للافراد  - ياسين سعيد سعيد البريهي - الفرقة الثالثة)  - استلام نقدي رقم 100-472  سند استلام - صرف الصرفة اليومية من 15 إلى 16 يونيو كونه كان في مهمة المشروع التدريبي ل7 بامر</v>
      </c>
      <c r="AB543" s="121">
        <f>INDEX(Tabledaily[جهة الامر],MATCH(TableDailyJournal[[#This Row],[رقم العملية]],Tabledaily[رقم العملية],0))</f>
        <v>0</v>
      </c>
    </row>
    <row r="544" spans="2:28" ht="67.5" x14ac:dyDescent="0.55000000000000004">
      <c r="B544" s="58">
        <f t="shared" si="17"/>
        <v>540</v>
      </c>
      <c r="C544" s="59" t="s">
        <v>929</v>
      </c>
      <c r="D544" s="60">
        <f>INDEX(Tabledaily[date],MATCH(TableDailyJournal[[#This Row],[رقم العملية]],Tabledaily[رقم العملية],0))</f>
        <v>46190</v>
      </c>
      <c r="E544" s="58" t="str">
        <f>INDEX(Tabledaily[نوع العمليــة],MATCH(TableDailyJournal[[#This Row],[رقم العملية]],Tabledaily[رقم العملية],0))</f>
        <v>قيد عهده</v>
      </c>
      <c r="F544" s="58">
        <f>IFERROR(INDEX(TableJudje[رقم الحساب],MATCH(TableDailyJournal[[#This Row],[الحساب]],TableJudje[اسم الحساب],0)),0)</f>
        <v>31010101</v>
      </c>
      <c r="G544" s="58" t="s">
        <v>111</v>
      </c>
      <c r="H544" s="61" t="str">
        <f>INDEX(Tabledaily[المرجع البياني],MATCH(TableDailyJournal[[#This Row],[رقم العملية]],Tabledaily[رقم العملية],0))</f>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v>
      </c>
      <c r="I544" s="60" t="str">
        <f>INDEX(Tabledaily[العملـــة],MATCH(TableDailyJournal[[#This Row],[رقم العملية]],Tabledaily[رقم العملية],0))</f>
        <v>ريال يمني</v>
      </c>
      <c r="J544" s="59">
        <f>IFERROR(INDEX(Tabledaily[سعــــــر
الصـــــرف],MATCH(C544,Tabledaily[رقم العملية],0)),1)</f>
        <v>405</v>
      </c>
      <c r="K544" s="123" cm="1">
        <f t="array" ref="K544">IFERROR(INDEX(Tabledaily[المبلـــــــغ],MATCH(1,(TableDailyJournal[[#This Row],[رقم العملية]]=Tabledaily[رقم العملية])*(TableDailyJournal[[#This Row],[الحساب]]=Tabledaily[الحســاب المديــــن]),0)),0)</f>
        <v>32000</v>
      </c>
      <c r="L544" s="123" cm="1">
        <f t="array" ref="L544">IFERROR(INDEX(Tabledaily[المبلـــــــغ],MATCH(1,(TableDailyJournal[[#This Row],[رقم العملية]]=Tabledaily[رقم العملية])*(TableDailyJournal[[#This Row],[الحساب]]=Tabledaily[الحســاب الدئـــن]),0)),0)</f>
        <v>0</v>
      </c>
      <c r="M544" s="119">
        <f>IFERROR(TableDailyJournal[[#This Row],[المبلغ مدين]]/TableDailyJournal[[#This Row],[سعــــــر
الصـــــرف]],0)</f>
        <v>79.012345679012341</v>
      </c>
      <c r="N544" s="119">
        <f>IFERROR(TableDailyJournal[[#This Row],[المبلغ دائن]]/TableDailyJournal[[#This Row],[سعــــــر
الصـــــرف]],0)</f>
        <v>0</v>
      </c>
      <c r="O544" s="121" t="str">
        <f>INDEX(Tabledaily[المستفيــــــــد],MATCH(TableDailyJournal[[#This Row],[رقم العملية]],Tabledaily[رقم العملية],0))</f>
        <v xml:space="preserve">منذر عادل علي عثمان </v>
      </c>
      <c r="P544" s="121" t="str">
        <f>INDEX(Tabledaily[المــــرجـــــــــع],MATCH(TableDailyJournal[[#This Row],[رقم العملية]],Tabledaily[رقم العملية],0))</f>
        <v>استلام نقدي</v>
      </c>
      <c r="Q544" s="121" t="str">
        <f>INDEX(Tabledaily[اســـــــم المــــرجــــع],MATCH(TableDailyJournal[[#This Row],[رقم العملية]],Tabledaily[رقم العملية],0))</f>
        <v>سند استلام</v>
      </c>
      <c r="R544" s="121" t="str">
        <f>INDEX(Tabledaily[رقم المـــــرجـــع],MATCH(TableDailyJournal[[#This Row],[رقم العملية]],Tabledaily[رقم العملية],0))</f>
        <v>100-469</v>
      </c>
      <c r="S544" s="121" t="str">
        <f>INDEX(Tabledaily[مركـــــــزالتكلفــــــة],MATCH(TableDailyJournal[[#This Row],[رقم العملية]],Tabledaily[رقم العملية],0))</f>
        <v>الفرقة الثالثة</v>
      </c>
      <c r="T544" s="121">
        <f>IFERROR(INDEX(tablecost[رقم المركز],MATCH(TableDailyJournal[[#This Row],[مركـــــــزالتكلفــــــة]],tablecost[الاسم],0)),0)</f>
        <v>1</v>
      </c>
      <c r="U544" s="122">
        <f>IFERROR(DATE(TableDailyJournal[[#This Row],[السنــــة]],TableDailyJournal[[#This Row],[الشهــــر]],TableDailyJournal[[#This Row],[الـــــيوم]]),"01-01-2026")</f>
        <v>46190</v>
      </c>
      <c r="V544" s="126"/>
      <c r="W544" s="58"/>
      <c r="X544" s="58">
        <f>IFERROR(YEAR(TableDailyJournal[[#This Row],[التاريخ]]),"")</f>
        <v>2026</v>
      </c>
      <c r="Y544" s="58">
        <f>IFERROR(MONTH(TableDailyJournal[[#This Row],[التاريخ]]),"")</f>
        <v>6</v>
      </c>
      <c r="Z544" s="58">
        <f>IFERROR(DAY(TableDailyJournal[[#This Row],[التاريخ]]),"")</f>
        <v>17</v>
      </c>
      <c r="AA544" s="126" t="str">
        <f>INDEX(Tabledaily[المرجع البياني],MATCH(TableDailyJournal[[#This Row],[رقم العملية]],Tabledaily[رقم العملية],0))</f>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v>
      </c>
      <c r="AB544" s="121">
        <f>INDEX(Tabledaily[جهة الامر],MATCH(TableDailyJournal[[#This Row],[رقم العملية]],Tabledaily[رقم العملية],0))</f>
        <v>0</v>
      </c>
    </row>
    <row r="545" spans="2:28" ht="67.5" x14ac:dyDescent="0.55000000000000004">
      <c r="B545" s="58">
        <f t="shared" si="17"/>
        <v>541</v>
      </c>
      <c r="C545" s="59" t="s">
        <v>929</v>
      </c>
      <c r="D545" s="60">
        <f>INDEX(Tabledaily[date],MATCH(TableDailyJournal[[#This Row],[رقم العملية]],Tabledaily[رقم العملية],0))</f>
        <v>46190</v>
      </c>
      <c r="E545" s="58" t="str">
        <f>INDEX(Tabledaily[نوع العمليــة],MATCH(TableDailyJournal[[#This Row],[رقم العملية]],Tabledaily[رقم العملية],0))</f>
        <v>قيد عهده</v>
      </c>
      <c r="F545" s="58">
        <f>IFERROR(INDEX(TableJudje[رقم الحساب],MATCH(TableDailyJournal[[#This Row],[الحساب]],TableJudje[اسم الحساب],0)),0)</f>
        <v>11060205</v>
      </c>
      <c r="G545" s="58" t="s">
        <v>513</v>
      </c>
      <c r="H545" s="61" t="str">
        <f>INDEX(Tabledaily[المرجع البياني],MATCH(TableDailyJournal[[#This Row],[رقم العملية]],Tabledaily[رقم العملية],0))</f>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v>
      </c>
      <c r="I545" s="60" t="str">
        <f>INDEX(Tabledaily[العملـــة],MATCH(TableDailyJournal[[#This Row],[رقم العملية]],Tabledaily[رقم العملية],0))</f>
        <v>ريال يمني</v>
      </c>
      <c r="J545" s="59">
        <f>IFERROR(INDEX(Tabledaily[سعــــــر
الصـــــرف],MATCH(C545,Tabledaily[رقم العملية],0)),1)</f>
        <v>405</v>
      </c>
      <c r="K545" s="123" cm="1">
        <f t="array" ref="K545">IFERROR(INDEX(Tabledaily[المبلـــــــغ],MATCH(1,(TableDailyJournal[[#This Row],[رقم العملية]]=Tabledaily[رقم العملية])*(TableDailyJournal[[#This Row],[الحساب]]=Tabledaily[الحســاب المديــــن]),0)),0)</f>
        <v>0</v>
      </c>
      <c r="L545" s="123" cm="1">
        <f t="array" ref="L545">IFERROR(INDEX(Tabledaily[المبلـــــــغ],MATCH(1,(TableDailyJournal[[#This Row],[رقم العملية]]=Tabledaily[رقم العملية])*(TableDailyJournal[[#This Row],[الحساب]]=Tabledaily[الحســاب الدئـــن]),0)),0)</f>
        <v>32000</v>
      </c>
      <c r="M545" s="119">
        <f>IFERROR(TableDailyJournal[[#This Row],[المبلغ مدين]]/TableDailyJournal[[#This Row],[سعــــــر
الصـــــرف]],0)</f>
        <v>0</v>
      </c>
      <c r="N545" s="119">
        <f>IFERROR(TableDailyJournal[[#This Row],[المبلغ دائن]]/TableDailyJournal[[#This Row],[سعــــــر
الصـــــرف]],0)</f>
        <v>79.012345679012341</v>
      </c>
      <c r="O545" s="121" t="str">
        <f>INDEX(Tabledaily[المستفيــــــــد],MATCH(TableDailyJournal[[#This Row],[رقم العملية]],Tabledaily[رقم العملية],0))</f>
        <v xml:space="preserve">منذر عادل علي عثمان </v>
      </c>
      <c r="P545" s="121" t="str">
        <f>INDEX(Tabledaily[المــــرجـــــــــع],MATCH(TableDailyJournal[[#This Row],[رقم العملية]],Tabledaily[رقم العملية],0))</f>
        <v>استلام نقدي</v>
      </c>
      <c r="Q545" s="121" t="str">
        <f>INDEX(Tabledaily[اســـــــم المــــرجــــع],MATCH(TableDailyJournal[[#This Row],[رقم العملية]],Tabledaily[رقم العملية],0))</f>
        <v>سند استلام</v>
      </c>
      <c r="R545" s="121" t="str">
        <f>INDEX(Tabledaily[رقم المـــــرجـــع],MATCH(TableDailyJournal[[#This Row],[رقم العملية]],Tabledaily[رقم العملية],0))</f>
        <v>100-469</v>
      </c>
      <c r="S545" s="121" t="str">
        <f>INDEX(Tabledaily[مركـــــــزالتكلفــــــة],MATCH(TableDailyJournal[[#This Row],[رقم العملية]],Tabledaily[رقم العملية],0))</f>
        <v>الفرقة الثالثة</v>
      </c>
      <c r="T545" s="121">
        <f>IFERROR(INDEX(tablecost[رقم المركز],MATCH(TableDailyJournal[[#This Row],[مركـــــــزالتكلفــــــة]],tablecost[الاسم],0)),0)</f>
        <v>1</v>
      </c>
      <c r="U545" s="122">
        <f>IFERROR(DATE(TableDailyJournal[[#This Row],[السنــــة]],TableDailyJournal[[#This Row],[الشهــــر]],TableDailyJournal[[#This Row],[الـــــيوم]]),"01-01-2026")</f>
        <v>46190</v>
      </c>
      <c r="V545" s="126"/>
      <c r="W545" s="58"/>
      <c r="X545" s="58">
        <f>IFERROR(YEAR(TableDailyJournal[[#This Row],[التاريخ]]),"")</f>
        <v>2026</v>
      </c>
      <c r="Y545" s="58">
        <f>IFERROR(MONTH(TableDailyJournal[[#This Row],[التاريخ]]),"")</f>
        <v>6</v>
      </c>
      <c r="Z545" s="58">
        <f>IFERROR(DAY(TableDailyJournal[[#This Row],[التاريخ]]),"")</f>
        <v>17</v>
      </c>
      <c r="AA545" s="126" t="str">
        <f>INDEX(Tabledaily[المرجع البياني],MATCH(TableDailyJournal[[#This Row],[رقم العملية]],Tabledaily[رقم العملية],0))</f>
        <v>قيـد مقابـل:- (مصاريف  صرفة يومية للافراد  - منذر عادل علي عثمان  - الفرقة الثالثة)  - استلام نقدي رقم 100-469  سند استلام - الصرفة اليومية من 15 إلى16 يونيو لعدد  ثلاثة افراد مدرير قسم المشتريات والعاملين معه بامر</v>
      </c>
      <c r="AB545" s="121">
        <f>INDEX(Tabledaily[جهة الامر],MATCH(TableDailyJournal[[#This Row],[رقم العملية]],Tabledaily[رقم العملية],0))</f>
        <v>0</v>
      </c>
    </row>
    <row r="546" spans="2:28" ht="67.5" x14ac:dyDescent="0.55000000000000004">
      <c r="B546" s="58">
        <f t="shared" si="17"/>
        <v>542</v>
      </c>
      <c r="C546" s="59" t="s">
        <v>933</v>
      </c>
      <c r="D546" s="60">
        <f>INDEX(Tabledaily[date],MATCH(TableDailyJournal[[#This Row],[رقم العملية]],Tabledaily[رقم العملية],0))</f>
        <v>46190</v>
      </c>
      <c r="E546" s="58" t="str">
        <f>INDEX(Tabledaily[نوع العمليــة],MATCH(TableDailyJournal[[#This Row],[رقم العملية]],Tabledaily[رقم العملية],0))</f>
        <v>قيد عهده</v>
      </c>
      <c r="F546" s="58">
        <f>IFERROR(INDEX(TableJudje[رقم الحساب],MATCH(TableDailyJournal[[#This Row],[الحساب]],TableJudje[اسم الحساب],0)),0)</f>
        <v>31010103</v>
      </c>
      <c r="G546" s="58" t="s">
        <v>112</v>
      </c>
      <c r="H546" s="61" t="str">
        <f>INDEX(Tabledaily[المرجع البياني],MATCH(TableDailyJournal[[#This Row],[رقم العملية]],Tabledaily[رقم العملية],0))</f>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v>
      </c>
      <c r="I546" s="60" t="str">
        <f>INDEX(Tabledaily[العملـــة],MATCH(TableDailyJournal[[#This Row],[رقم العملية]],Tabledaily[رقم العملية],0))</f>
        <v>ريال يمني</v>
      </c>
      <c r="J546" s="59">
        <f>IFERROR(INDEX(Tabledaily[سعــــــر
الصـــــرف],MATCH(C546,Tabledaily[رقم العملية],0)),1)</f>
        <v>405</v>
      </c>
      <c r="K546" s="123" cm="1">
        <f t="array" ref="K546">IFERROR(INDEX(Tabledaily[المبلـــــــغ],MATCH(1,(TableDailyJournal[[#This Row],[رقم العملية]]=Tabledaily[رقم العملية])*(TableDailyJournal[[#This Row],[الحساب]]=Tabledaily[الحســاب المديــــن]),0)),0)</f>
        <v>25000</v>
      </c>
      <c r="L546" s="123" cm="1">
        <f t="array" ref="L546">IFERROR(INDEX(Tabledaily[المبلـــــــغ],MATCH(1,(TableDailyJournal[[#This Row],[رقم العملية]]=Tabledaily[رقم العملية])*(TableDailyJournal[[#This Row],[الحساب]]=Tabledaily[الحســاب الدئـــن]),0)),0)</f>
        <v>0</v>
      </c>
      <c r="M546" s="119">
        <f>IFERROR(TableDailyJournal[[#This Row],[المبلغ مدين]]/TableDailyJournal[[#This Row],[سعــــــر
الصـــــرف]],0)</f>
        <v>61.728395061728392</v>
      </c>
      <c r="N546" s="119">
        <f>IFERROR(TableDailyJournal[[#This Row],[المبلغ دائن]]/TableDailyJournal[[#This Row],[سعــــــر
الصـــــرف]],0)</f>
        <v>0</v>
      </c>
      <c r="O546" s="121" t="str">
        <f>INDEX(Tabledaily[المستفيــــــــد],MATCH(TableDailyJournal[[#This Row],[رقم العملية]],Tabledaily[رقم العملية],0))</f>
        <v>سامح نجيب سيف سعيد</v>
      </c>
      <c r="P546" s="121" t="str">
        <f>INDEX(Tabledaily[المــــرجـــــــــع],MATCH(TableDailyJournal[[#This Row],[رقم العملية]],Tabledaily[رقم العملية],0))</f>
        <v>استلام نقدي</v>
      </c>
      <c r="Q546" s="121" t="str">
        <f>INDEX(Tabledaily[اســـــــم المــــرجــــع],MATCH(TableDailyJournal[[#This Row],[رقم العملية]],Tabledaily[رقم العملية],0))</f>
        <v>سند استلام</v>
      </c>
      <c r="R546" s="121" t="str">
        <f>INDEX(Tabledaily[رقم المـــــرجـــع],MATCH(TableDailyJournal[[#This Row],[رقم العملية]],Tabledaily[رقم العملية],0))</f>
        <v>100-466</v>
      </c>
      <c r="S546" s="121" t="str">
        <f>INDEX(Tabledaily[مركـــــــزالتكلفــــــة],MATCH(TableDailyJournal[[#This Row],[رقم العملية]],Tabledaily[رقم العملية],0))</f>
        <v>الفرقة الثالثة</v>
      </c>
      <c r="T546" s="121">
        <f>IFERROR(INDEX(tablecost[رقم المركز],MATCH(TableDailyJournal[[#This Row],[مركـــــــزالتكلفــــــة]],tablecost[الاسم],0)),0)</f>
        <v>1</v>
      </c>
      <c r="U546" s="122">
        <f>IFERROR(DATE(TableDailyJournal[[#This Row],[السنــــة]],TableDailyJournal[[#This Row],[الشهــــر]],TableDailyJournal[[#This Row],[الـــــيوم]]),"01-01-2026")</f>
        <v>46190</v>
      </c>
      <c r="V546" s="126"/>
      <c r="W546" s="58"/>
      <c r="X546" s="58">
        <f>IFERROR(YEAR(TableDailyJournal[[#This Row],[التاريخ]]),"")</f>
        <v>2026</v>
      </c>
      <c r="Y546" s="58">
        <f>IFERROR(MONTH(TableDailyJournal[[#This Row],[التاريخ]]),"")</f>
        <v>6</v>
      </c>
      <c r="Z546" s="58">
        <f>IFERROR(DAY(TableDailyJournal[[#This Row],[التاريخ]]),"")</f>
        <v>17</v>
      </c>
      <c r="AA546" s="126" t="str">
        <f>INDEX(Tabledaily[المرجع البياني],MATCH(TableDailyJournal[[#This Row],[رقم العملية]],Tabledaily[رقم العملية],0))</f>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v>
      </c>
      <c r="AB546" s="121" t="str">
        <f>INDEX(Tabledaily[جهة الامر],MATCH(TableDailyJournal[[#This Row],[رقم العملية]],Tabledaily[رقم العملية],0))</f>
        <v>القائد</v>
      </c>
    </row>
    <row r="547" spans="2:28" ht="67.5" x14ac:dyDescent="0.55000000000000004">
      <c r="B547" s="58">
        <f t="shared" si="17"/>
        <v>543</v>
      </c>
      <c r="C547" s="59" t="s">
        <v>933</v>
      </c>
      <c r="D547" s="60">
        <f>INDEX(Tabledaily[date],MATCH(TableDailyJournal[[#This Row],[رقم العملية]],Tabledaily[رقم العملية],0))</f>
        <v>46190</v>
      </c>
      <c r="E547" s="58" t="str">
        <f>INDEX(Tabledaily[نوع العمليــة],MATCH(TableDailyJournal[[#This Row],[رقم العملية]],Tabledaily[رقم العملية],0))</f>
        <v>قيد عهده</v>
      </c>
      <c r="F547" s="58">
        <f>IFERROR(INDEX(TableJudje[رقم الحساب],MATCH(TableDailyJournal[[#This Row],[الحساب]],TableJudje[اسم الحساب],0)),0)</f>
        <v>11060205</v>
      </c>
      <c r="G547" s="58" t="s">
        <v>513</v>
      </c>
      <c r="H547" s="61" t="str">
        <f>INDEX(Tabledaily[المرجع البياني],MATCH(TableDailyJournal[[#This Row],[رقم العملية]],Tabledaily[رقم العملية],0))</f>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v>
      </c>
      <c r="I547" s="60" t="str">
        <f>INDEX(Tabledaily[العملـــة],MATCH(TableDailyJournal[[#This Row],[رقم العملية]],Tabledaily[رقم العملية],0))</f>
        <v>ريال يمني</v>
      </c>
      <c r="J547" s="59">
        <f>IFERROR(INDEX(Tabledaily[سعــــــر
الصـــــرف],MATCH(C547,Tabledaily[رقم العملية],0)),1)</f>
        <v>405</v>
      </c>
      <c r="K547" s="123" cm="1">
        <f t="array" ref="K547">IFERROR(INDEX(Tabledaily[المبلـــــــغ],MATCH(1,(TableDailyJournal[[#This Row],[رقم العملية]]=Tabledaily[رقم العملية])*(TableDailyJournal[[#This Row],[الحساب]]=Tabledaily[الحســاب المديــــن]),0)),0)</f>
        <v>0</v>
      </c>
      <c r="L547" s="123" cm="1">
        <f t="array" ref="L547">IFERROR(INDEX(Tabledaily[المبلـــــــغ],MATCH(1,(TableDailyJournal[[#This Row],[رقم العملية]]=Tabledaily[رقم العملية])*(TableDailyJournal[[#This Row],[الحساب]]=Tabledaily[الحســاب الدئـــن]),0)),0)</f>
        <v>25000</v>
      </c>
      <c r="M547" s="119">
        <f>IFERROR(TableDailyJournal[[#This Row],[المبلغ مدين]]/TableDailyJournal[[#This Row],[سعــــــر
الصـــــرف]],0)</f>
        <v>0</v>
      </c>
      <c r="N547" s="119">
        <f>IFERROR(TableDailyJournal[[#This Row],[المبلغ دائن]]/TableDailyJournal[[#This Row],[سعــــــر
الصـــــرف]],0)</f>
        <v>61.728395061728392</v>
      </c>
      <c r="O547" s="121" t="str">
        <f>INDEX(Tabledaily[المستفيــــــــد],MATCH(TableDailyJournal[[#This Row],[رقم العملية]],Tabledaily[رقم العملية],0))</f>
        <v>سامح نجيب سيف سعيد</v>
      </c>
      <c r="P547" s="121" t="str">
        <f>INDEX(Tabledaily[المــــرجـــــــــع],MATCH(TableDailyJournal[[#This Row],[رقم العملية]],Tabledaily[رقم العملية],0))</f>
        <v>استلام نقدي</v>
      </c>
      <c r="Q547" s="121" t="str">
        <f>INDEX(Tabledaily[اســـــــم المــــرجــــع],MATCH(TableDailyJournal[[#This Row],[رقم العملية]],Tabledaily[رقم العملية],0))</f>
        <v>سند استلام</v>
      </c>
      <c r="R547" s="121" t="str">
        <f>INDEX(Tabledaily[رقم المـــــرجـــع],MATCH(TableDailyJournal[[#This Row],[رقم العملية]],Tabledaily[رقم العملية],0))</f>
        <v>100-466</v>
      </c>
      <c r="S547" s="121" t="str">
        <f>INDEX(Tabledaily[مركـــــــزالتكلفــــــة],MATCH(TableDailyJournal[[#This Row],[رقم العملية]],Tabledaily[رقم العملية],0))</f>
        <v>الفرقة الثالثة</v>
      </c>
      <c r="T547" s="121">
        <f>IFERROR(INDEX(tablecost[رقم المركز],MATCH(TableDailyJournal[[#This Row],[مركـــــــزالتكلفــــــة]],tablecost[الاسم],0)),0)</f>
        <v>1</v>
      </c>
      <c r="U547" s="122">
        <f>IFERROR(DATE(TableDailyJournal[[#This Row],[السنــــة]],TableDailyJournal[[#This Row],[الشهــــر]],TableDailyJournal[[#This Row],[الـــــيوم]]),"01-01-2026")</f>
        <v>46190</v>
      </c>
      <c r="V547" s="126"/>
      <c r="W547" s="58"/>
      <c r="X547" s="58">
        <f>IFERROR(YEAR(TableDailyJournal[[#This Row],[التاريخ]]),"")</f>
        <v>2026</v>
      </c>
      <c r="Y547" s="58">
        <f>IFERROR(MONTH(TableDailyJournal[[#This Row],[التاريخ]]),"")</f>
        <v>6</v>
      </c>
      <c r="Z547" s="58">
        <f>IFERROR(DAY(TableDailyJournal[[#This Row],[التاريخ]]),"")</f>
        <v>17</v>
      </c>
      <c r="AA547" s="126" t="str">
        <f>INDEX(Tabledaily[المرجع البياني],MATCH(TableDailyJournal[[#This Row],[رقم العملية]],Tabledaily[رقم العملية],0))</f>
        <v>قيـد مقابـل:- (مصاريف طبية وعلاجات  - سامح نجيب سيف سعيد - الفرقة الثالثة)  - استلام نقدي رقم 100-466  سند استلام - لغرض إسعاف الجندي كريم اكرم العامل في مركز القيادة  والسيطرة بامرالقائد</v>
      </c>
      <c r="AB547" s="121" t="str">
        <f>INDEX(Tabledaily[جهة الامر],MATCH(TableDailyJournal[[#This Row],[رقم العملية]],Tabledaily[رقم العملية],0))</f>
        <v>القائد</v>
      </c>
    </row>
    <row r="548" spans="2:28" ht="45.75" x14ac:dyDescent="0.55000000000000004">
      <c r="B548" s="58">
        <f t="shared" si="17"/>
        <v>544</v>
      </c>
      <c r="C548" s="59" t="s">
        <v>937</v>
      </c>
      <c r="D548" s="60">
        <f>INDEX(Tabledaily[date],MATCH(TableDailyJournal[[#This Row],[رقم العملية]],Tabledaily[رقم العملية],0))</f>
        <v>46190</v>
      </c>
      <c r="E548" s="58" t="str">
        <f>INDEX(Tabledaily[نوع العمليــة],MATCH(TableDailyJournal[[#This Row],[رقم العملية]],Tabledaily[رقم العملية],0))</f>
        <v>قيد عهده</v>
      </c>
      <c r="F548" s="58">
        <f>IFERROR(INDEX(TableJudje[رقم الحساب],MATCH(TableDailyJournal[[#This Row],[الحساب]],TableJudje[اسم الحساب],0)),0)</f>
        <v>31010109</v>
      </c>
      <c r="G548" s="58" t="s">
        <v>484</v>
      </c>
      <c r="H548" s="61" t="str">
        <f>INDEX(Tabledaily[المرجع البياني],MATCH(TableDailyJournal[[#This Row],[رقم العملية]],Tabledaily[رقم العملية],0))</f>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v>
      </c>
      <c r="I548" s="60" t="str">
        <f>INDEX(Tabledaily[العملـــة],MATCH(TableDailyJournal[[#This Row],[رقم العملية]],Tabledaily[رقم العملية],0))</f>
        <v>ريال يمني</v>
      </c>
      <c r="J548" s="59">
        <f>IFERROR(INDEX(Tabledaily[سعــــــر
الصـــــرف],MATCH(C548,Tabledaily[رقم العملية],0)),1)</f>
        <v>405</v>
      </c>
      <c r="K548" s="123" cm="1">
        <f t="array" ref="K548">IFERROR(INDEX(Tabledaily[المبلـــــــغ],MATCH(1,(TableDailyJournal[[#This Row],[رقم العملية]]=Tabledaily[رقم العملية])*(TableDailyJournal[[#This Row],[الحساب]]=Tabledaily[الحســاب المديــــن]),0)),0)</f>
        <v>300000</v>
      </c>
      <c r="L548" s="123" cm="1">
        <f t="array" ref="L548">IFERROR(INDEX(Tabledaily[المبلـــــــغ],MATCH(1,(TableDailyJournal[[#This Row],[رقم العملية]]=Tabledaily[رقم العملية])*(TableDailyJournal[[#This Row],[الحساب]]=Tabledaily[الحســاب الدئـــن]),0)),0)</f>
        <v>0</v>
      </c>
      <c r="M548" s="119">
        <f>IFERROR(TableDailyJournal[[#This Row],[المبلغ مدين]]/TableDailyJournal[[#This Row],[سعــــــر
الصـــــرف]],0)</f>
        <v>740.74074074074076</v>
      </c>
      <c r="N548" s="119">
        <f>IFERROR(TableDailyJournal[[#This Row],[المبلغ دائن]]/TableDailyJournal[[#This Row],[سعــــــر
الصـــــرف]],0)</f>
        <v>0</v>
      </c>
      <c r="O548" s="121" t="str">
        <f>INDEX(Tabledaily[المستفيــــــــد],MATCH(TableDailyJournal[[#This Row],[رقم العملية]],Tabledaily[رقم العملية],0))</f>
        <v xml:space="preserve">لجنة القطيبي </v>
      </c>
      <c r="P548" s="121" t="str">
        <f>INDEX(Tabledaily[المــــرجـــــــــع],MATCH(TableDailyJournal[[#This Row],[رقم العملية]],Tabledaily[رقم العملية],0))</f>
        <v>استلام نقدي</v>
      </c>
      <c r="Q548" s="121" t="str">
        <f>INDEX(Tabledaily[اســـــــم المــــرجــــع],MATCH(TableDailyJournal[[#This Row],[رقم العملية]],Tabledaily[رقم العملية],0))</f>
        <v>سند استلام</v>
      </c>
      <c r="R548" s="121" t="str">
        <f>INDEX(Tabledaily[رقم المـــــرجـــع],MATCH(TableDailyJournal[[#This Row],[رقم العملية]],Tabledaily[رقم العملية],0))</f>
        <v>100-463</v>
      </c>
      <c r="S548" s="121" t="str">
        <f>INDEX(Tabledaily[مركـــــــزالتكلفــــــة],MATCH(TableDailyJournal[[#This Row],[رقم العملية]],Tabledaily[رقم العملية],0))</f>
        <v>الفرقة الثالثة</v>
      </c>
      <c r="T548" s="121">
        <f>IFERROR(INDEX(tablecost[رقم المركز],MATCH(TableDailyJournal[[#This Row],[مركـــــــزالتكلفــــــة]],tablecost[الاسم],0)),0)</f>
        <v>1</v>
      </c>
      <c r="U548" s="122">
        <f>IFERROR(DATE(TableDailyJournal[[#This Row],[السنــــة]],TableDailyJournal[[#This Row],[الشهــــر]],TableDailyJournal[[#This Row],[الـــــيوم]]),"01-01-2026")</f>
        <v>46190</v>
      </c>
      <c r="V548" s="126"/>
      <c r="W548" s="58"/>
      <c r="X548" s="58">
        <f>IFERROR(YEAR(TableDailyJournal[[#This Row],[التاريخ]]),"")</f>
        <v>2026</v>
      </c>
      <c r="Y548" s="58">
        <f>IFERROR(MONTH(TableDailyJournal[[#This Row],[التاريخ]]),"")</f>
        <v>6</v>
      </c>
      <c r="Z548" s="58">
        <f>IFERROR(DAY(TableDailyJournal[[#This Row],[التاريخ]]),"")</f>
        <v>17</v>
      </c>
      <c r="AA548" s="126" t="str">
        <f>INDEX(Tabledaily[المرجع البياني],MATCH(TableDailyJournal[[#This Row],[رقم العملية]],Tabledaily[رقم العملية],0))</f>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v>
      </c>
      <c r="AB548" s="121" t="str">
        <f>INDEX(Tabledaily[جهة الامر],MATCH(TableDailyJournal[[#This Row],[رقم العملية]],Tabledaily[رقم العملية],0))</f>
        <v>المستشار المالي</v>
      </c>
    </row>
    <row r="549" spans="2:28" ht="45.75" x14ac:dyDescent="0.55000000000000004">
      <c r="B549" s="58">
        <f t="shared" si="17"/>
        <v>545</v>
      </c>
      <c r="C549" s="59" t="s">
        <v>937</v>
      </c>
      <c r="D549" s="60">
        <f>INDEX(Tabledaily[date],MATCH(TableDailyJournal[[#This Row],[رقم العملية]],Tabledaily[رقم العملية],0))</f>
        <v>46190</v>
      </c>
      <c r="E549" s="58" t="str">
        <f>INDEX(Tabledaily[نوع العمليــة],MATCH(TableDailyJournal[[#This Row],[رقم العملية]],Tabledaily[رقم العملية],0))</f>
        <v>قيد عهده</v>
      </c>
      <c r="F549" s="58">
        <f>IFERROR(INDEX(TableJudje[رقم الحساب],MATCH(TableDailyJournal[[#This Row],[الحساب]],TableJudje[اسم الحساب],0)),0)</f>
        <v>11060205</v>
      </c>
      <c r="G549" s="58" t="s">
        <v>513</v>
      </c>
      <c r="H549" s="61" t="str">
        <f>INDEX(Tabledaily[المرجع البياني],MATCH(TableDailyJournal[[#This Row],[رقم العملية]],Tabledaily[رقم العملية],0))</f>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v>
      </c>
      <c r="I549" s="60" t="str">
        <f>INDEX(Tabledaily[العملـــة],MATCH(TableDailyJournal[[#This Row],[رقم العملية]],Tabledaily[رقم العملية],0))</f>
        <v>ريال يمني</v>
      </c>
      <c r="J549" s="59">
        <f>IFERROR(INDEX(Tabledaily[سعــــــر
الصـــــرف],MATCH(C549,Tabledaily[رقم العملية],0)),1)</f>
        <v>405</v>
      </c>
      <c r="K549" s="123" cm="1">
        <f t="array" ref="K549">IFERROR(INDEX(Tabledaily[المبلـــــــغ],MATCH(1,(TableDailyJournal[[#This Row],[رقم العملية]]=Tabledaily[رقم العملية])*(TableDailyJournal[[#This Row],[الحساب]]=Tabledaily[الحســاب المديــــن]),0)),0)</f>
        <v>0</v>
      </c>
      <c r="L549" s="123" cm="1">
        <f t="array" ref="L549">IFERROR(INDEX(Tabledaily[المبلـــــــغ],MATCH(1,(TableDailyJournal[[#This Row],[رقم العملية]]=Tabledaily[رقم العملية])*(TableDailyJournal[[#This Row],[الحساب]]=Tabledaily[الحســاب الدئـــن]),0)),0)</f>
        <v>300000</v>
      </c>
      <c r="M549" s="119">
        <f>IFERROR(TableDailyJournal[[#This Row],[المبلغ مدين]]/TableDailyJournal[[#This Row],[سعــــــر
الصـــــرف]],0)</f>
        <v>0</v>
      </c>
      <c r="N549" s="119">
        <f>IFERROR(TableDailyJournal[[#This Row],[المبلغ دائن]]/TableDailyJournal[[#This Row],[سعــــــر
الصـــــرف]],0)</f>
        <v>740.74074074074076</v>
      </c>
      <c r="O549" s="121" t="str">
        <f>INDEX(Tabledaily[المستفيــــــــد],MATCH(TableDailyJournal[[#This Row],[رقم العملية]],Tabledaily[رقم العملية],0))</f>
        <v xml:space="preserve">لجنة القطيبي </v>
      </c>
      <c r="P549" s="121" t="str">
        <f>INDEX(Tabledaily[المــــرجـــــــــع],MATCH(TableDailyJournal[[#This Row],[رقم العملية]],Tabledaily[رقم العملية],0))</f>
        <v>استلام نقدي</v>
      </c>
      <c r="Q549" s="121" t="str">
        <f>INDEX(Tabledaily[اســـــــم المــــرجــــع],MATCH(TableDailyJournal[[#This Row],[رقم العملية]],Tabledaily[رقم العملية],0))</f>
        <v>سند استلام</v>
      </c>
      <c r="R549" s="121" t="str">
        <f>INDEX(Tabledaily[رقم المـــــرجـــع],MATCH(TableDailyJournal[[#This Row],[رقم العملية]],Tabledaily[رقم العملية],0))</f>
        <v>100-463</v>
      </c>
      <c r="S549" s="121" t="str">
        <f>INDEX(Tabledaily[مركـــــــزالتكلفــــــة],MATCH(TableDailyJournal[[#This Row],[رقم العملية]],Tabledaily[رقم العملية],0))</f>
        <v>الفرقة الثالثة</v>
      </c>
      <c r="T549" s="121">
        <f>IFERROR(INDEX(tablecost[رقم المركز],MATCH(TableDailyJournal[[#This Row],[مركـــــــزالتكلفــــــة]],tablecost[الاسم],0)),0)</f>
        <v>1</v>
      </c>
      <c r="U549" s="122">
        <f>IFERROR(DATE(TableDailyJournal[[#This Row],[السنــــة]],TableDailyJournal[[#This Row],[الشهــــر]],TableDailyJournal[[#This Row],[الـــــيوم]]),"01-01-2026")</f>
        <v>46190</v>
      </c>
      <c r="V549" s="126"/>
      <c r="W549" s="58"/>
      <c r="X549" s="58">
        <f>IFERROR(YEAR(TableDailyJournal[[#This Row],[التاريخ]]),"")</f>
        <v>2026</v>
      </c>
      <c r="Y549" s="58">
        <f>IFERROR(MONTH(TableDailyJournal[[#This Row],[التاريخ]]),"")</f>
        <v>6</v>
      </c>
      <c r="Z549" s="58">
        <f>IFERROR(DAY(TableDailyJournal[[#This Row],[التاريخ]]),"")</f>
        <v>17</v>
      </c>
      <c r="AA549" s="126" t="str">
        <f>INDEX(Tabledaily[المرجع البياني],MATCH(TableDailyJournal[[#This Row],[رقم العملية]],Tabledaily[رقم العملية],0))</f>
        <v>قيـد مقابـل:- (مصاريف نثريات أخرى - لجنة القطيبي  - الفرقة الثالثة)  - استلام نقدي رقم 100-463  سند استلام - مصاؤيف لجنة القطيبي توجيهات المستشار المالي بامرالمستشار المالي</v>
      </c>
      <c r="AB549" s="121" t="str">
        <f>INDEX(Tabledaily[جهة الامر],MATCH(TableDailyJournal[[#This Row],[رقم العملية]],Tabledaily[رقم العملية],0))</f>
        <v>المستشار المالي</v>
      </c>
    </row>
    <row r="550" spans="2:28" ht="45.75" x14ac:dyDescent="0.55000000000000004">
      <c r="B550" s="58">
        <f t="shared" ref="B550:B581" si="18">ROW()-4</f>
        <v>546</v>
      </c>
      <c r="C550" s="59" t="s">
        <v>953</v>
      </c>
      <c r="D550" s="60">
        <f>INDEX(Tabledaily[date],MATCH(TableDailyJournal[[#This Row],[رقم العملية]],Tabledaily[رقم العملية],0))</f>
        <v>46191</v>
      </c>
      <c r="E550" s="58" t="str">
        <f>INDEX(Tabledaily[نوع العمليــة],MATCH(TableDailyJournal[[#This Row],[رقم العملية]],Tabledaily[رقم العملية],0))</f>
        <v>قيد عهده</v>
      </c>
      <c r="F550" s="58">
        <f>IFERROR(INDEX(TableJudje[رقم الحساب],MATCH(TableDailyJournal[[#This Row],[الحساب]],TableJudje[اسم الحساب],0)),0)</f>
        <v>31010101</v>
      </c>
      <c r="G550" s="58" t="s">
        <v>111</v>
      </c>
      <c r="H550"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550" s="60" t="str">
        <f>INDEX(Tabledaily[العملـــة],MATCH(TableDailyJournal[[#This Row],[رقم العملية]],Tabledaily[رقم العملية],0))</f>
        <v>ريال يمني</v>
      </c>
      <c r="J550" s="59">
        <f>IFERROR(INDEX(Tabledaily[سعــــــر
الصـــــرف],MATCH(C550,Tabledaily[رقم العملية],0)),1)</f>
        <v>405</v>
      </c>
      <c r="K550" s="123" cm="1">
        <f t="array" ref="K550">IFERROR(INDEX(Tabledaily[المبلـــــــغ],MATCH(1,(TableDailyJournal[[#This Row],[رقم العملية]]=Tabledaily[رقم العملية])*(TableDailyJournal[[#This Row],[الحساب]]=Tabledaily[الحســاب المديــــن]),0)),0)</f>
        <v>65000</v>
      </c>
      <c r="L550" s="123" cm="1">
        <f t="array" ref="L550">IFERROR(INDEX(Tabledaily[المبلـــــــغ],MATCH(1,(TableDailyJournal[[#This Row],[رقم العملية]]=Tabledaily[رقم العملية])*(TableDailyJournal[[#This Row],[الحساب]]=Tabledaily[الحســاب الدئـــن]),0)),0)</f>
        <v>0</v>
      </c>
      <c r="M550" s="119">
        <f>IFERROR(TableDailyJournal[[#This Row],[المبلغ مدين]]/TableDailyJournal[[#This Row],[سعــــــر
الصـــــرف]],0)</f>
        <v>160.49382716049382</v>
      </c>
      <c r="N550" s="119">
        <f>IFERROR(TableDailyJournal[[#This Row],[المبلغ دائن]]/TableDailyJournal[[#This Row],[سعــــــر
الصـــــرف]],0)</f>
        <v>0</v>
      </c>
      <c r="O550" s="121" t="str">
        <f>INDEX(Tabledaily[المستفيــــــــد],MATCH(TableDailyJournal[[#This Row],[رقم العملية]],Tabledaily[رقم العملية],0))</f>
        <v>السيطرة والاتصالات</v>
      </c>
      <c r="P550" s="121" t="str">
        <f>INDEX(Tabledaily[المــــرجـــــــــع],MATCH(TableDailyJournal[[#This Row],[رقم العملية]],Tabledaily[رقم العملية],0))</f>
        <v>كشف صرف</v>
      </c>
      <c r="Q550" s="121" t="str">
        <f>INDEX(Tabledaily[اســـــــم المــــرجــــع],MATCH(TableDailyJournal[[#This Row],[رقم العملية]],Tabledaily[رقم العملية],0))</f>
        <v>كشف صرف</v>
      </c>
      <c r="R550" s="121">
        <f>INDEX(Tabledaily[رقم المـــــرجـــع],MATCH(TableDailyJournal[[#This Row],[رقم العملية]],Tabledaily[رقم العملية],0))</f>
        <v>0</v>
      </c>
      <c r="S550" s="121" t="str">
        <f>INDEX(Tabledaily[مركـــــــزالتكلفــــــة],MATCH(TableDailyJournal[[#This Row],[رقم العملية]],Tabledaily[رقم العملية],0))</f>
        <v>الفرقة الثالثة</v>
      </c>
      <c r="T550" s="121">
        <f>IFERROR(INDEX(tablecost[رقم المركز],MATCH(TableDailyJournal[[#This Row],[مركـــــــزالتكلفــــــة]],tablecost[الاسم],0)),0)</f>
        <v>1</v>
      </c>
      <c r="U550" s="122">
        <f>IFERROR(DATE(TableDailyJournal[[#This Row],[السنــــة]],TableDailyJournal[[#This Row],[الشهــــر]],TableDailyJournal[[#This Row],[الـــــيوم]]),"01-01-2026")</f>
        <v>46191</v>
      </c>
      <c r="V550" s="126"/>
      <c r="W550" s="58"/>
      <c r="X550" s="58">
        <f>IFERROR(YEAR(TableDailyJournal[[#This Row],[التاريخ]]),"")</f>
        <v>2026</v>
      </c>
      <c r="Y550" s="58">
        <f>IFERROR(MONTH(TableDailyJournal[[#This Row],[التاريخ]]),"")</f>
        <v>6</v>
      </c>
      <c r="Z550" s="58">
        <f>IFERROR(DAY(TableDailyJournal[[#This Row],[التاريخ]]),"")</f>
        <v>18</v>
      </c>
      <c r="AA550"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550" s="121">
        <f>INDEX(Tabledaily[جهة الامر],MATCH(TableDailyJournal[[#This Row],[رقم العملية]],Tabledaily[رقم العملية],0))</f>
        <v>0</v>
      </c>
    </row>
    <row r="551" spans="2:28" ht="45.75" x14ac:dyDescent="0.55000000000000004">
      <c r="B551" s="58">
        <f t="shared" si="18"/>
        <v>547</v>
      </c>
      <c r="C551" s="59" t="s">
        <v>953</v>
      </c>
      <c r="D551" s="60">
        <f>INDEX(Tabledaily[date],MATCH(TableDailyJournal[[#This Row],[رقم العملية]],Tabledaily[رقم العملية],0))</f>
        <v>46191</v>
      </c>
      <c r="E551" s="58" t="str">
        <f>INDEX(Tabledaily[نوع العمليــة],MATCH(TableDailyJournal[[#This Row],[رقم العملية]],Tabledaily[رقم العملية],0))</f>
        <v>قيد عهده</v>
      </c>
      <c r="F551" s="58">
        <f>IFERROR(INDEX(TableJudje[رقم الحساب],MATCH(TableDailyJournal[[#This Row],[الحساب]],TableJudje[اسم الحساب],0)),0)</f>
        <v>11060205</v>
      </c>
      <c r="G551" s="58" t="s">
        <v>513</v>
      </c>
      <c r="H551"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551" s="60" t="str">
        <f>INDEX(Tabledaily[العملـــة],MATCH(TableDailyJournal[[#This Row],[رقم العملية]],Tabledaily[رقم العملية],0))</f>
        <v>ريال يمني</v>
      </c>
      <c r="J551" s="59">
        <f>IFERROR(INDEX(Tabledaily[سعــــــر
الصـــــرف],MATCH(C551,Tabledaily[رقم العملية],0)),1)</f>
        <v>405</v>
      </c>
      <c r="K551" s="123" cm="1">
        <f t="array" ref="K551">IFERROR(INDEX(Tabledaily[المبلـــــــغ],MATCH(1,(TableDailyJournal[[#This Row],[رقم العملية]]=Tabledaily[رقم العملية])*(TableDailyJournal[[#This Row],[الحساب]]=Tabledaily[الحســاب المديــــن]),0)),0)</f>
        <v>0</v>
      </c>
      <c r="L551" s="123" cm="1">
        <f t="array" ref="L551">IFERROR(INDEX(Tabledaily[المبلـــــــغ],MATCH(1,(TableDailyJournal[[#This Row],[رقم العملية]]=Tabledaily[رقم العملية])*(TableDailyJournal[[#This Row],[الحساب]]=Tabledaily[الحســاب الدئـــن]),0)),0)</f>
        <v>65000</v>
      </c>
      <c r="M551" s="119">
        <f>IFERROR(TableDailyJournal[[#This Row],[المبلغ مدين]]/TableDailyJournal[[#This Row],[سعــــــر
الصـــــرف]],0)</f>
        <v>0</v>
      </c>
      <c r="N551" s="119">
        <f>IFERROR(TableDailyJournal[[#This Row],[المبلغ دائن]]/TableDailyJournal[[#This Row],[سعــــــر
الصـــــرف]],0)</f>
        <v>160.49382716049382</v>
      </c>
      <c r="O551" s="121" t="str">
        <f>INDEX(Tabledaily[المستفيــــــــد],MATCH(TableDailyJournal[[#This Row],[رقم العملية]],Tabledaily[رقم العملية],0))</f>
        <v>السيطرة والاتصالات</v>
      </c>
      <c r="P551" s="121" t="str">
        <f>INDEX(Tabledaily[المــــرجـــــــــع],MATCH(TableDailyJournal[[#This Row],[رقم العملية]],Tabledaily[رقم العملية],0))</f>
        <v>كشف صرف</v>
      </c>
      <c r="Q551" s="121" t="str">
        <f>INDEX(Tabledaily[اســـــــم المــــرجــــع],MATCH(TableDailyJournal[[#This Row],[رقم العملية]],Tabledaily[رقم العملية],0))</f>
        <v>كشف صرف</v>
      </c>
      <c r="R551" s="121">
        <f>INDEX(Tabledaily[رقم المـــــرجـــع],MATCH(TableDailyJournal[[#This Row],[رقم العملية]],Tabledaily[رقم العملية],0))</f>
        <v>0</v>
      </c>
      <c r="S551" s="121" t="str">
        <f>INDEX(Tabledaily[مركـــــــزالتكلفــــــة],MATCH(TableDailyJournal[[#This Row],[رقم العملية]],Tabledaily[رقم العملية],0))</f>
        <v>الفرقة الثالثة</v>
      </c>
      <c r="T551" s="121">
        <f>IFERROR(INDEX(tablecost[رقم المركز],MATCH(TableDailyJournal[[#This Row],[مركـــــــزالتكلفــــــة]],tablecost[الاسم],0)),0)</f>
        <v>1</v>
      </c>
      <c r="U551" s="122">
        <f>IFERROR(DATE(TableDailyJournal[[#This Row],[السنــــة]],TableDailyJournal[[#This Row],[الشهــــر]],TableDailyJournal[[#This Row],[الـــــيوم]]),"01-01-2026")</f>
        <v>46191</v>
      </c>
      <c r="V551" s="126"/>
      <c r="W551" s="58"/>
      <c r="X551" s="58">
        <f>IFERROR(YEAR(TableDailyJournal[[#This Row],[التاريخ]]),"")</f>
        <v>2026</v>
      </c>
      <c r="Y551" s="58">
        <f>IFERROR(MONTH(TableDailyJournal[[#This Row],[التاريخ]]),"")</f>
        <v>6</v>
      </c>
      <c r="Z551" s="58">
        <f>IFERROR(DAY(TableDailyJournal[[#This Row],[التاريخ]]),"")</f>
        <v>18</v>
      </c>
      <c r="AA551"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551" s="121">
        <f>INDEX(Tabledaily[جهة الامر],MATCH(TableDailyJournal[[#This Row],[رقم العملية]],Tabledaily[رقم العملية],0))</f>
        <v>0</v>
      </c>
    </row>
    <row r="552" spans="2:28" ht="45.75" x14ac:dyDescent="0.55000000000000004">
      <c r="B552" s="58">
        <f t="shared" si="18"/>
        <v>548</v>
      </c>
      <c r="C552" s="59" t="s">
        <v>955</v>
      </c>
      <c r="D552" s="60">
        <f>INDEX(Tabledaily[date],MATCH(TableDailyJournal[[#This Row],[رقم العملية]],Tabledaily[رقم العملية],0))</f>
        <v>46191</v>
      </c>
      <c r="E552" s="58" t="str">
        <f>INDEX(Tabledaily[نوع العمليــة],MATCH(TableDailyJournal[[#This Row],[رقم العملية]],Tabledaily[رقم العملية],0))</f>
        <v>قيد عهده</v>
      </c>
      <c r="F552" s="58">
        <f>IFERROR(INDEX(TableJudje[رقم الحساب],MATCH(TableDailyJournal[[#This Row],[الحساب]],TableJudje[اسم الحساب],0)),0)</f>
        <v>31010101</v>
      </c>
      <c r="G552" s="58" t="s">
        <v>111</v>
      </c>
      <c r="H552"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552" s="60" t="str">
        <f>INDEX(Tabledaily[العملـــة],MATCH(TableDailyJournal[[#This Row],[رقم العملية]],Tabledaily[رقم العملية],0))</f>
        <v>ريال يمني</v>
      </c>
      <c r="J552" s="59">
        <f>IFERROR(INDEX(Tabledaily[سعــــــر
الصـــــرف],MATCH(C552,Tabledaily[رقم العملية],0)),1)</f>
        <v>405</v>
      </c>
      <c r="K552" s="123" cm="1">
        <f t="array" ref="K552">IFERROR(INDEX(Tabledaily[المبلـــــــغ],MATCH(1,(TableDailyJournal[[#This Row],[رقم العملية]]=Tabledaily[رقم العملية])*(TableDailyJournal[[#This Row],[الحساب]]=Tabledaily[الحســاب المديــــن]),0)),0)</f>
        <v>70000</v>
      </c>
      <c r="L552" s="123" cm="1">
        <f t="array" ref="L552">IFERROR(INDEX(Tabledaily[المبلـــــــغ],MATCH(1,(TableDailyJournal[[#This Row],[رقم العملية]]=Tabledaily[رقم العملية])*(TableDailyJournal[[#This Row],[الحساب]]=Tabledaily[الحســاب الدئـــن]),0)),0)</f>
        <v>0</v>
      </c>
      <c r="M552" s="119">
        <f>IFERROR(TableDailyJournal[[#This Row],[المبلغ مدين]]/TableDailyJournal[[#This Row],[سعــــــر
الصـــــرف]],0)</f>
        <v>172.83950617283949</v>
      </c>
      <c r="N552" s="119">
        <f>IFERROR(TableDailyJournal[[#This Row],[المبلغ دائن]]/TableDailyJournal[[#This Row],[سعــــــر
الصـــــرف]],0)</f>
        <v>0</v>
      </c>
      <c r="O552" s="121" t="str">
        <f>INDEX(Tabledaily[المستفيــــــــد],MATCH(TableDailyJournal[[#This Row],[رقم العملية]],Tabledaily[رقم العملية],0))</f>
        <v>الامداد</v>
      </c>
      <c r="P552" s="121" t="str">
        <f>INDEX(Tabledaily[المــــرجـــــــــع],MATCH(TableDailyJournal[[#This Row],[رقم العملية]],Tabledaily[رقم العملية],0))</f>
        <v>كشف صرف</v>
      </c>
      <c r="Q552" s="121" t="str">
        <f>INDEX(Tabledaily[اســـــــم المــــرجــــع],MATCH(TableDailyJournal[[#This Row],[رقم العملية]],Tabledaily[رقم العملية],0))</f>
        <v>كشف صرف</v>
      </c>
      <c r="R552" s="121">
        <f>INDEX(Tabledaily[رقم المـــــرجـــع],MATCH(TableDailyJournal[[#This Row],[رقم العملية]],Tabledaily[رقم العملية],0))</f>
        <v>0</v>
      </c>
      <c r="S552" s="121" t="str">
        <f>INDEX(Tabledaily[مركـــــــزالتكلفــــــة],MATCH(TableDailyJournal[[#This Row],[رقم العملية]],Tabledaily[رقم العملية],0))</f>
        <v>الفرقة الثالثة</v>
      </c>
      <c r="T552" s="121">
        <f>IFERROR(INDEX(tablecost[رقم المركز],MATCH(TableDailyJournal[[#This Row],[مركـــــــزالتكلفــــــة]],tablecost[الاسم],0)),0)</f>
        <v>1</v>
      </c>
      <c r="U552" s="122">
        <f>IFERROR(DATE(TableDailyJournal[[#This Row],[السنــــة]],TableDailyJournal[[#This Row],[الشهــــر]],TableDailyJournal[[#This Row],[الـــــيوم]]),"01-01-2026")</f>
        <v>46191</v>
      </c>
      <c r="V552" s="126"/>
      <c r="W552" s="58"/>
      <c r="X552" s="58">
        <f>IFERROR(YEAR(TableDailyJournal[[#This Row],[التاريخ]]),"")</f>
        <v>2026</v>
      </c>
      <c r="Y552" s="58">
        <f>IFERROR(MONTH(TableDailyJournal[[#This Row],[التاريخ]]),"")</f>
        <v>6</v>
      </c>
      <c r="Z552" s="58">
        <f>IFERROR(DAY(TableDailyJournal[[#This Row],[التاريخ]]),"")</f>
        <v>18</v>
      </c>
      <c r="AA552"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552" s="121">
        <f>INDEX(Tabledaily[جهة الامر],MATCH(TableDailyJournal[[#This Row],[رقم العملية]],Tabledaily[رقم العملية],0))</f>
        <v>0</v>
      </c>
    </row>
    <row r="553" spans="2:28" ht="45.75" x14ac:dyDescent="0.55000000000000004">
      <c r="B553" s="58">
        <f t="shared" si="18"/>
        <v>549</v>
      </c>
      <c r="C553" s="59" t="s">
        <v>955</v>
      </c>
      <c r="D553" s="60">
        <f>INDEX(Tabledaily[date],MATCH(TableDailyJournal[[#This Row],[رقم العملية]],Tabledaily[رقم العملية],0))</f>
        <v>46191</v>
      </c>
      <c r="E553" s="58" t="str">
        <f>INDEX(Tabledaily[نوع العمليــة],MATCH(TableDailyJournal[[#This Row],[رقم العملية]],Tabledaily[رقم العملية],0))</f>
        <v>قيد عهده</v>
      </c>
      <c r="F553" s="58">
        <f>IFERROR(INDEX(TableJudje[رقم الحساب],MATCH(TableDailyJournal[[#This Row],[الحساب]],TableJudje[اسم الحساب],0)),0)</f>
        <v>11060205</v>
      </c>
      <c r="G553" s="58" t="s">
        <v>513</v>
      </c>
      <c r="H553"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553" s="60" t="str">
        <f>INDEX(Tabledaily[العملـــة],MATCH(TableDailyJournal[[#This Row],[رقم العملية]],Tabledaily[رقم العملية],0))</f>
        <v>ريال يمني</v>
      </c>
      <c r="J553" s="59">
        <f>IFERROR(INDEX(Tabledaily[سعــــــر
الصـــــرف],MATCH(C553,Tabledaily[رقم العملية],0)),1)</f>
        <v>405</v>
      </c>
      <c r="K553" s="123" cm="1">
        <f t="array" ref="K553">IFERROR(INDEX(Tabledaily[المبلـــــــغ],MATCH(1,(TableDailyJournal[[#This Row],[رقم العملية]]=Tabledaily[رقم العملية])*(TableDailyJournal[[#This Row],[الحساب]]=Tabledaily[الحســاب المديــــن]),0)),0)</f>
        <v>0</v>
      </c>
      <c r="L553" s="123" cm="1">
        <f t="array" ref="L553">IFERROR(INDEX(Tabledaily[المبلـــــــغ],MATCH(1,(TableDailyJournal[[#This Row],[رقم العملية]]=Tabledaily[رقم العملية])*(TableDailyJournal[[#This Row],[الحساب]]=Tabledaily[الحســاب الدئـــن]),0)),0)</f>
        <v>70000</v>
      </c>
      <c r="M553" s="119">
        <f>IFERROR(TableDailyJournal[[#This Row],[المبلغ مدين]]/TableDailyJournal[[#This Row],[سعــــــر
الصـــــرف]],0)</f>
        <v>0</v>
      </c>
      <c r="N553" s="119">
        <f>IFERROR(TableDailyJournal[[#This Row],[المبلغ دائن]]/TableDailyJournal[[#This Row],[سعــــــر
الصـــــرف]],0)</f>
        <v>172.83950617283949</v>
      </c>
      <c r="O553" s="121" t="str">
        <f>INDEX(Tabledaily[المستفيــــــــد],MATCH(TableDailyJournal[[#This Row],[رقم العملية]],Tabledaily[رقم العملية],0))</f>
        <v>الامداد</v>
      </c>
      <c r="P553" s="121" t="str">
        <f>INDEX(Tabledaily[المــــرجـــــــــع],MATCH(TableDailyJournal[[#This Row],[رقم العملية]],Tabledaily[رقم العملية],0))</f>
        <v>كشف صرف</v>
      </c>
      <c r="Q553" s="121" t="str">
        <f>INDEX(Tabledaily[اســـــــم المــــرجــــع],MATCH(TableDailyJournal[[#This Row],[رقم العملية]],Tabledaily[رقم العملية],0))</f>
        <v>كشف صرف</v>
      </c>
      <c r="R553" s="121">
        <f>INDEX(Tabledaily[رقم المـــــرجـــع],MATCH(TableDailyJournal[[#This Row],[رقم العملية]],Tabledaily[رقم العملية],0))</f>
        <v>0</v>
      </c>
      <c r="S553" s="121" t="str">
        <f>INDEX(Tabledaily[مركـــــــزالتكلفــــــة],MATCH(TableDailyJournal[[#This Row],[رقم العملية]],Tabledaily[رقم العملية],0))</f>
        <v>الفرقة الثالثة</v>
      </c>
      <c r="T553" s="121">
        <f>IFERROR(INDEX(tablecost[رقم المركز],MATCH(TableDailyJournal[[#This Row],[مركـــــــزالتكلفــــــة]],tablecost[الاسم],0)),0)</f>
        <v>1</v>
      </c>
      <c r="U553" s="122">
        <f>IFERROR(DATE(TableDailyJournal[[#This Row],[السنــــة]],TableDailyJournal[[#This Row],[الشهــــر]],TableDailyJournal[[#This Row],[الـــــيوم]]),"01-01-2026")</f>
        <v>46191</v>
      </c>
      <c r="V553" s="126"/>
      <c r="W553" s="58"/>
      <c r="X553" s="58">
        <f>IFERROR(YEAR(TableDailyJournal[[#This Row],[التاريخ]]),"")</f>
        <v>2026</v>
      </c>
      <c r="Y553" s="58">
        <f>IFERROR(MONTH(TableDailyJournal[[#This Row],[التاريخ]]),"")</f>
        <v>6</v>
      </c>
      <c r="Z553" s="58">
        <f>IFERROR(DAY(TableDailyJournal[[#This Row],[التاريخ]]),"")</f>
        <v>18</v>
      </c>
      <c r="AA553"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553" s="121">
        <f>INDEX(Tabledaily[جهة الامر],MATCH(TableDailyJournal[[#This Row],[رقم العملية]],Tabledaily[رقم العملية],0))</f>
        <v>0</v>
      </c>
    </row>
    <row r="554" spans="2:28" ht="45.75" x14ac:dyDescent="0.55000000000000004">
      <c r="B554" s="58">
        <f t="shared" si="18"/>
        <v>550</v>
      </c>
      <c r="C554" s="59" t="s">
        <v>956</v>
      </c>
      <c r="D554" s="60">
        <f>INDEX(Tabledaily[date],MATCH(TableDailyJournal[[#This Row],[رقم العملية]],Tabledaily[رقم العملية],0))</f>
        <v>46191</v>
      </c>
      <c r="E554" s="58" t="str">
        <f>INDEX(Tabledaily[نوع العمليــة],MATCH(TableDailyJournal[[#This Row],[رقم العملية]],Tabledaily[رقم العملية],0))</f>
        <v>قيد عهده</v>
      </c>
      <c r="F554" s="58">
        <f>IFERROR(INDEX(TableJudje[رقم الحساب],MATCH(TableDailyJournal[[#This Row],[الحساب]],TableJudje[اسم الحساب],0)),0)</f>
        <v>31010101</v>
      </c>
      <c r="G554" s="58" t="s">
        <v>111</v>
      </c>
      <c r="H554"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554" s="60" t="str">
        <f>INDEX(Tabledaily[العملـــة],MATCH(TableDailyJournal[[#This Row],[رقم العملية]],Tabledaily[رقم العملية],0))</f>
        <v>ريال يمني</v>
      </c>
      <c r="J554" s="59">
        <f>IFERROR(INDEX(Tabledaily[سعــــــر
الصـــــرف],MATCH(C554,Tabledaily[رقم العملية],0)),1)</f>
        <v>405</v>
      </c>
      <c r="K554" s="123" cm="1">
        <f t="array" ref="K554">IFERROR(INDEX(Tabledaily[المبلـــــــغ],MATCH(1,(TableDailyJournal[[#This Row],[رقم العملية]]=Tabledaily[رقم العملية])*(TableDailyJournal[[#This Row],[الحساب]]=Tabledaily[الحســاب المديــــن]),0)),0)</f>
        <v>31000</v>
      </c>
      <c r="L554" s="123" cm="1">
        <f t="array" ref="L554">IFERROR(INDEX(Tabledaily[المبلـــــــغ],MATCH(1,(TableDailyJournal[[#This Row],[رقم العملية]]=Tabledaily[رقم العملية])*(TableDailyJournal[[#This Row],[الحساب]]=Tabledaily[الحســاب الدئـــن]),0)),0)</f>
        <v>0</v>
      </c>
      <c r="M554" s="119">
        <f>IFERROR(TableDailyJournal[[#This Row],[المبلغ مدين]]/TableDailyJournal[[#This Row],[سعــــــر
الصـــــرف]],0)</f>
        <v>76.543209876543216</v>
      </c>
      <c r="N554" s="119">
        <f>IFERROR(TableDailyJournal[[#This Row],[المبلغ دائن]]/TableDailyJournal[[#This Row],[سعــــــر
الصـــــرف]],0)</f>
        <v>0</v>
      </c>
      <c r="O554" s="121" t="str">
        <f>INDEX(Tabledaily[المستفيــــــــد],MATCH(TableDailyJournal[[#This Row],[رقم العملية]],Tabledaily[رقم العملية],0))</f>
        <v>قسم المشتريات</v>
      </c>
      <c r="P554" s="121" t="str">
        <f>INDEX(Tabledaily[المــــرجـــــــــع],MATCH(TableDailyJournal[[#This Row],[رقم العملية]],Tabledaily[رقم العملية],0))</f>
        <v>كشف صرف</v>
      </c>
      <c r="Q554" s="121" t="str">
        <f>INDEX(Tabledaily[اســـــــم المــــرجــــع],MATCH(TableDailyJournal[[#This Row],[رقم العملية]],Tabledaily[رقم العملية],0))</f>
        <v>كشف صرف</v>
      </c>
      <c r="R554" s="121">
        <f>INDEX(Tabledaily[رقم المـــــرجـــع],MATCH(TableDailyJournal[[#This Row],[رقم العملية]],Tabledaily[رقم العملية],0))</f>
        <v>0</v>
      </c>
      <c r="S554" s="121" t="str">
        <f>INDEX(Tabledaily[مركـــــــزالتكلفــــــة],MATCH(TableDailyJournal[[#This Row],[رقم العملية]],Tabledaily[رقم العملية],0))</f>
        <v>الفرقة الثالثة</v>
      </c>
      <c r="T554" s="121">
        <f>IFERROR(INDEX(tablecost[رقم المركز],MATCH(TableDailyJournal[[#This Row],[مركـــــــزالتكلفــــــة]],tablecost[الاسم],0)),0)</f>
        <v>1</v>
      </c>
      <c r="U554" s="122">
        <f>IFERROR(DATE(TableDailyJournal[[#This Row],[السنــــة]],TableDailyJournal[[#This Row],[الشهــــر]],TableDailyJournal[[#This Row],[الـــــيوم]]),"01-01-2026")</f>
        <v>46191</v>
      </c>
      <c r="V554" s="126"/>
      <c r="W554" s="58"/>
      <c r="X554" s="58">
        <f>IFERROR(YEAR(TableDailyJournal[[#This Row],[التاريخ]]),"")</f>
        <v>2026</v>
      </c>
      <c r="Y554" s="58">
        <f>IFERROR(MONTH(TableDailyJournal[[#This Row],[التاريخ]]),"")</f>
        <v>6</v>
      </c>
      <c r="Z554" s="58">
        <f>IFERROR(DAY(TableDailyJournal[[#This Row],[التاريخ]]),"")</f>
        <v>18</v>
      </c>
      <c r="AA554"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554" s="121">
        <f>INDEX(Tabledaily[جهة الامر],MATCH(TableDailyJournal[[#This Row],[رقم العملية]],Tabledaily[رقم العملية],0))</f>
        <v>0</v>
      </c>
    </row>
    <row r="555" spans="2:28" ht="45.75" x14ac:dyDescent="0.55000000000000004">
      <c r="B555" s="58">
        <f t="shared" si="18"/>
        <v>551</v>
      </c>
      <c r="C555" s="59" t="s">
        <v>956</v>
      </c>
      <c r="D555" s="60">
        <f>INDEX(Tabledaily[date],MATCH(TableDailyJournal[[#This Row],[رقم العملية]],Tabledaily[رقم العملية],0))</f>
        <v>46191</v>
      </c>
      <c r="E555" s="58" t="str">
        <f>INDEX(Tabledaily[نوع العمليــة],MATCH(TableDailyJournal[[#This Row],[رقم العملية]],Tabledaily[رقم العملية],0))</f>
        <v>قيد عهده</v>
      </c>
      <c r="F555" s="58">
        <f>IFERROR(INDEX(TableJudje[رقم الحساب],MATCH(TableDailyJournal[[#This Row],[الحساب]],TableJudje[اسم الحساب],0)),0)</f>
        <v>11060205</v>
      </c>
      <c r="G555" s="58" t="s">
        <v>513</v>
      </c>
      <c r="H555"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555" s="60" t="str">
        <f>INDEX(Tabledaily[العملـــة],MATCH(TableDailyJournal[[#This Row],[رقم العملية]],Tabledaily[رقم العملية],0))</f>
        <v>ريال يمني</v>
      </c>
      <c r="J555" s="59">
        <f>IFERROR(INDEX(Tabledaily[سعــــــر
الصـــــرف],MATCH(C555,Tabledaily[رقم العملية],0)),1)</f>
        <v>405</v>
      </c>
      <c r="K555" s="123" cm="1">
        <f t="array" ref="K555">IFERROR(INDEX(Tabledaily[المبلـــــــغ],MATCH(1,(TableDailyJournal[[#This Row],[رقم العملية]]=Tabledaily[رقم العملية])*(TableDailyJournal[[#This Row],[الحساب]]=Tabledaily[الحســاب المديــــن]),0)),0)</f>
        <v>0</v>
      </c>
      <c r="L555" s="123" cm="1">
        <f t="array" ref="L555">IFERROR(INDEX(Tabledaily[المبلـــــــغ],MATCH(1,(TableDailyJournal[[#This Row],[رقم العملية]]=Tabledaily[رقم العملية])*(TableDailyJournal[[#This Row],[الحساب]]=Tabledaily[الحســاب الدئـــن]),0)),0)</f>
        <v>31000</v>
      </c>
      <c r="M555" s="119">
        <f>IFERROR(TableDailyJournal[[#This Row],[المبلغ مدين]]/TableDailyJournal[[#This Row],[سعــــــر
الصـــــرف]],0)</f>
        <v>0</v>
      </c>
      <c r="N555" s="119">
        <f>IFERROR(TableDailyJournal[[#This Row],[المبلغ دائن]]/TableDailyJournal[[#This Row],[سعــــــر
الصـــــرف]],0)</f>
        <v>76.543209876543216</v>
      </c>
      <c r="O555" s="121" t="str">
        <f>INDEX(Tabledaily[المستفيــــــــد],MATCH(TableDailyJournal[[#This Row],[رقم العملية]],Tabledaily[رقم العملية],0))</f>
        <v>قسم المشتريات</v>
      </c>
      <c r="P555" s="121" t="str">
        <f>INDEX(Tabledaily[المــــرجـــــــــع],MATCH(TableDailyJournal[[#This Row],[رقم العملية]],Tabledaily[رقم العملية],0))</f>
        <v>كشف صرف</v>
      </c>
      <c r="Q555" s="121" t="str">
        <f>INDEX(Tabledaily[اســـــــم المــــرجــــع],MATCH(TableDailyJournal[[#This Row],[رقم العملية]],Tabledaily[رقم العملية],0))</f>
        <v>كشف صرف</v>
      </c>
      <c r="R555" s="121">
        <f>INDEX(Tabledaily[رقم المـــــرجـــع],MATCH(TableDailyJournal[[#This Row],[رقم العملية]],Tabledaily[رقم العملية],0))</f>
        <v>0</v>
      </c>
      <c r="S555" s="121" t="str">
        <f>INDEX(Tabledaily[مركـــــــزالتكلفــــــة],MATCH(TableDailyJournal[[#This Row],[رقم العملية]],Tabledaily[رقم العملية],0))</f>
        <v>الفرقة الثالثة</v>
      </c>
      <c r="T555" s="121">
        <f>IFERROR(INDEX(tablecost[رقم المركز],MATCH(TableDailyJournal[[#This Row],[مركـــــــزالتكلفــــــة]],tablecost[الاسم],0)),0)</f>
        <v>1</v>
      </c>
      <c r="U555" s="122">
        <f>IFERROR(DATE(TableDailyJournal[[#This Row],[السنــــة]],TableDailyJournal[[#This Row],[الشهــــر]],TableDailyJournal[[#This Row],[الـــــيوم]]),"01-01-2026")</f>
        <v>46191</v>
      </c>
      <c r="V555" s="126"/>
      <c r="W555" s="58"/>
      <c r="X555" s="58">
        <f>IFERROR(YEAR(TableDailyJournal[[#This Row],[التاريخ]]),"")</f>
        <v>2026</v>
      </c>
      <c r="Y555" s="58">
        <f>IFERROR(MONTH(TableDailyJournal[[#This Row],[التاريخ]]),"")</f>
        <v>6</v>
      </c>
      <c r="Z555" s="58">
        <f>IFERROR(DAY(TableDailyJournal[[#This Row],[التاريخ]]),"")</f>
        <v>18</v>
      </c>
      <c r="AA555"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555" s="121">
        <f>INDEX(Tabledaily[جهة الامر],MATCH(TableDailyJournal[[#This Row],[رقم العملية]],Tabledaily[رقم العملية],0))</f>
        <v>0</v>
      </c>
    </row>
    <row r="556" spans="2:28" ht="45.75" x14ac:dyDescent="0.55000000000000004">
      <c r="B556" s="58">
        <f t="shared" si="18"/>
        <v>552</v>
      </c>
      <c r="C556" s="59" t="s">
        <v>959</v>
      </c>
      <c r="D556" s="60">
        <f>INDEX(Tabledaily[date],MATCH(TableDailyJournal[[#This Row],[رقم العملية]],Tabledaily[رقم العملية],0))</f>
        <v>46191</v>
      </c>
      <c r="E556" s="58" t="str">
        <f>INDEX(Tabledaily[نوع العمليــة],MATCH(TableDailyJournal[[#This Row],[رقم العملية]],Tabledaily[رقم العملية],0))</f>
        <v>قيد عهده</v>
      </c>
      <c r="F556" s="58">
        <f>IFERROR(INDEX(TableJudje[رقم الحساب],MATCH(TableDailyJournal[[#This Row],[الحساب]],TableJudje[اسم الحساب],0)),0)</f>
        <v>31010101</v>
      </c>
      <c r="G556" s="58" t="s">
        <v>111</v>
      </c>
      <c r="H556" s="61"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I556" s="60" t="str">
        <f>INDEX(Tabledaily[العملـــة],MATCH(TableDailyJournal[[#This Row],[رقم العملية]],Tabledaily[رقم العملية],0))</f>
        <v>ريال يمني</v>
      </c>
      <c r="J556" s="59">
        <f>IFERROR(INDEX(Tabledaily[سعــــــر
الصـــــرف],MATCH(C556,Tabledaily[رقم العملية],0)),1)</f>
        <v>405</v>
      </c>
      <c r="K556" s="123" cm="1">
        <f t="array" ref="K556">IFERROR(INDEX(Tabledaily[المبلـــــــغ],MATCH(1,(TableDailyJournal[[#This Row],[رقم العملية]]=Tabledaily[رقم العملية])*(TableDailyJournal[[#This Row],[الحساب]]=Tabledaily[الحســاب المديــــن]),0)),0)</f>
        <v>23000</v>
      </c>
      <c r="L556" s="123" cm="1">
        <f t="array" ref="L556">IFERROR(INDEX(Tabledaily[المبلـــــــغ],MATCH(1,(TableDailyJournal[[#This Row],[رقم العملية]]=Tabledaily[رقم العملية])*(TableDailyJournal[[#This Row],[الحساب]]=Tabledaily[الحســاب الدئـــن]),0)),0)</f>
        <v>0</v>
      </c>
      <c r="M556" s="119">
        <f>IFERROR(TableDailyJournal[[#This Row],[المبلغ مدين]]/TableDailyJournal[[#This Row],[سعــــــر
الصـــــرف]],0)</f>
        <v>56.790123456790127</v>
      </c>
      <c r="N556" s="119">
        <f>IFERROR(TableDailyJournal[[#This Row],[المبلغ دائن]]/TableDailyJournal[[#This Row],[سعــــــر
الصـــــرف]],0)</f>
        <v>0</v>
      </c>
      <c r="O556" s="121" t="str">
        <f>INDEX(Tabledaily[المستفيــــــــد],MATCH(TableDailyJournal[[#This Row],[رقم العملية]],Tabledaily[رقم العملية],0))</f>
        <v>طبية</v>
      </c>
      <c r="P556" s="121" t="str">
        <f>INDEX(Tabledaily[المــــرجـــــــــع],MATCH(TableDailyJournal[[#This Row],[رقم العملية]],Tabledaily[رقم العملية],0))</f>
        <v>كشف صرف</v>
      </c>
      <c r="Q556" s="121" t="str">
        <f>INDEX(Tabledaily[اســـــــم المــــرجــــع],MATCH(TableDailyJournal[[#This Row],[رقم العملية]],Tabledaily[رقم العملية],0))</f>
        <v>كشف صرف</v>
      </c>
      <c r="R556" s="121">
        <f>INDEX(Tabledaily[رقم المـــــرجـــع],MATCH(TableDailyJournal[[#This Row],[رقم العملية]],Tabledaily[رقم العملية],0))</f>
        <v>0</v>
      </c>
      <c r="S556" s="121" t="str">
        <f>INDEX(Tabledaily[مركـــــــزالتكلفــــــة],MATCH(TableDailyJournal[[#This Row],[رقم العملية]],Tabledaily[رقم العملية],0))</f>
        <v>الفرقة الثالثة</v>
      </c>
      <c r="T556" s="121">
        <f>IFERROR(INDEX(tablecost[رقم المركز],MATCH(TableDailyJournal[[#This Row],[مركـــــــزالتكلفــــــة]],tablecost[الاسم],0)),0)</f>
        <v>1</v>
      </c>
      <c r="U556" s="122">
        <f>IFERROR(DATE(TableDailyJournal[[#This Row],[السنــــة]],TableDailyJournal[[#This Row],[الشهــــر]],TableDailyJournal[[#This Row],[الـــــيوم]]),"01-01-2026")</f>
        <v>46191</v>
      </c>
      <c r="V556" s="126"/>
      <c r="W556" s="58"/>
      <c r="X556" s="58">
        <f>IFERROR(YEAR(TableDailyJournal[[#This Row],[التاريخ]]),"")</f>
        <v>2026</v>
      </c>
      <c r="Y556" s="58">
        <f>IFERROR(MONTH(TableDailyJournal[[#This Row],[التاريخ]]),"")</f>
        <v>6</v>
      </c>
      <c r="Z556" s="58">
        <f>IFERROR(DAY(TableDailyJournal[[#This Row],[التاريخ]]),"")</f>
        <v>18</v>
      </c>
      <c r="AA556" s="126"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AB556" s="121">
        <f>INDEX(Tabledaily[جهة الامر],MATCH(TableDailyJournal[[#This Row],[رقم العملية]],Tabledaily[رقم العملية],0))</f>
        <v>0</v>
      </c>
    </row>
    <row r="557" spans="2:28" ht="45.75" x14ac:dyDescent="0.55000000000000004">
      <c r="B557" s="58">
        <f t="shared" si="18"/>
        <v>553</v>
      </c>
      <c r="C557" s="59" t="s">
        <v>959</v>
      </c>
      <c r="D557" s="60">
        <f>INDEX(Tabledaily[date],MATCH(TableDailyJournal[[#This Row],[رقم العملية]],Tabledaily[رقم العملية],0))</f>
        <v>46191</v>
      </c>
      <c r="E557" s="58" t="str">
        <f>INDEX(Tabledaily[نوع العمليــة],MATCH(TableDailyJournal[[#This Row],[رقم العملية]],Tabledaily[رقم العملية],0))</f>
        <v>قيد عهده</v>
      </c>
      <c r="F557" s="58">
        <f>IFERROR(INDEX(TableJudje[رقم الحساب],MATCH(TableDailyJournal[[#This Row],[الحساب]],TableJudje[اسم الحساب],0)),0)</f>
        <v>11060205</v>
      </c>
      <c r="G557" s="58" t="s">
        <v>513</v>
      </c>
      <c r="H557" s="61"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I557" s="60" t="str">
        <f>INDEX(Tabledaily[العملـــة],MATCH(TableDailyJournal[[#This Row],[رقم العملية]],Tabledaily[رقم العملية],0))</f>
        <v>ريال يمني</v>
      </c>
      <c r="J557" s="59">
        <f>IFERROR(INDEX(Tabledaily[سعــــــر
الصـــــرف],MATCH(C557,Tabledaily[رقم العملية],0)),1)</f>
        <v>405</v>
      </c>
      <c r="K557" s="123" cm="1">
        <f t="array" ref="K557">IFERROR(INDEX(Tabledaily[المبلـــــــغ],MATCH(1,(TableDailyJournal[[#This Row],[رقم العملية]]=Tabledaily[رقم العملية])*(TableDailyJournal[[#This Row],[الحساب]]=Tabledaily[الحســاب المديــــن]),0)),0)</f>
        <v>0</v>
      </c>
      <c r="L557" s="123" cm="1">
        <f t="array" ref="L557">IFERROR(INDEX(Tabledaily[المبلـــــــغ],MATCH(1,(TableDailyJournal[[#This Row],[رقم العملية]]=Tabledaily[رقم العملية])*(TableDailyJournal[[#This Row],[الحساب]]=Tabledaily[الحســاب الدئـــن]),0)),0)</f>
        <v>23000</v>
      </c>
      <c r="M557" s="119">
        <f>IFERROR(TableDailyJournal[[#This Row],[المبلغ مدين]]/TableDailyJournal[[#This Row],[سعــــــر
الصـــــرف]],0)</f>
        <v>0</v>
      </c>
      <c r="N557" s="119">
        <f>IFERROR(TableDailyJournal[[#This Row],[المبلغ دائن]]/TableDailyJournal[[#This Row],[سعــــــر
الصـــــرف]],0)</f>
        <v>56.790123456790127</v>
      </c>
      <c r="O557" s="121" t="str">
        <f>INDEX(Tabledaily[المستفيــــــــد],MATCH(TableDailyJournal[[#This Row],[رقم العملية]],Tabledaily[رقم العملية],0))</f>
        <v>طبية</v>
      </c>
      <c r="P557" s="121" t="str">
        <f>INDEX(Tabledaily[المــــرجـــــــــع],MATCH(TableDailyJournal[[#This Row],[رقم العملية]],Tabledaily[رقم العملية],0))</f>
        <v>كشف صرف</v>
      </c>
      <c r="Q557" s="121" t="str">
        <f>INDEX(Tabledaily[اســـــــم المــــرجــــع],MATCH(TableDailyJournal[[#This Row],[رقم العملية]],Tabledaily[رقم العملية],0))</f>
        <v>كشف صرف</v>
      </c>
      <c r="R557" s="121">
        <f>INDEX(Tabledaily[رقم المـــــرجـــع],MATCH(TableDailyJournal[[#This Row],[رقم العملية]],Tabledaily[رقم العملية],0))</f>
        <v>0</v>
      </c>
      <c r="S557" s="121" t="str">
        <f>INDEX(Tabledaily[مركـــــــزالتكلفــــــة],MATCH(TableDailyJournal[[#This Row],[رقم العملية]],Tabledaily[رقم العملية],0))</f>
        <v>الفرقة الثالثة</v>
      </c>
      <c r="T557" s="121">
        <f>IFERROR(INDEX(tablecost[رقم المركز],MATCH(TableDailyJournal[[#This Row],[مركـــــــزالتكلفــــــة]],tablecost[الاسم],0)),0)</f>
        <v>1</v>
      </c>
      <c r="U557" s="122">
        <f>IFERROR(DATE(TableDailyJournal[[#This Row],[السنــــة]],TableDailyJournal[[#This Row],[الشهــــر]],TableDailyJournal[[#This Row],[الـــــيوم]]),"01-01-2026")</f>
        <v>46191</v>
      </c>
      <c r="V557" s="126"/>
      <c r="W557" s="58"/>
      <c r="X557" s="58">
        <f>IFERROR(YEAR(TableDailyJournal[[#This Row],[التاريخ]]),"")</f>
        <v>2026</v>
      </c>
      <c r="Y557" s="58">
        <f>IFERROR(MONTH(TableDailyJournal[[#This Row],[التاريخ]]),"")</f>
        <v>6</v>
      </c>
      <c r="Z557" s="58">
        <f>IFERROR(DAY(TableDailyJournal[[#This Row],[التاريخ]]),"")</f>
        <v>18</v>
      </c>
      <c r="AA557" s="126"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AB557" s="121">
        <f>INDEX(Tabledaily[جهة الامر],MATCH(TableDailyJournal[[#This Row],[رقم العملية]],Tabledaily[رقم العملية],0))</f>
        <v>0</v>
      </c>
    </row>
    <row r="558" spans="2:28" ht="45.75" x14ac:dyDescent="0.55000000000000004">
      <c r="B558" s="58">
        <f t="shared" si="18"/>
        <v>554</v>
      </c>
      <c r="C558" s="59" t="s">
        <v>960</v>
      </c>
      <c r="D558" s="60">
        <f>INDEX(Tabledaily[date],MATCH(TableDailyJournal[[#This Row],[رقم العملية]],Tabledaily[رقم العملية],0))</f>
        <v>46191</v>
      </c>
      <c r="E558" s="58" t="str">
        <f>INDEX(Tabledaily[نوع العمليــة],MATCH(TableDailyJournal[[#This Row],[رقم العملية]],Tabledaily[رقم العملية],0))</f>
        <v>قيد عهده</v>
      </c>
      <c r="F558" s="58">
        <f>IFERROR(INDEX(TableJudje[رقم الحساب],MATCH(TableDailyJournal[[#This Row],[الحساب]],TableJudje[اسم الحساب],0)),0)</f>
        <v>31010101</v>
      </c>
      <c r="G558" s="58" t="s">
        <v>111</v>
      </c>
      <c r="H558" s="61"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الإستطلاع عدد 2 افراد بامر</v>
      </c>
      <c r="I558" s="60" t="str">
        <f>INDEX(Tabledaily[العملـــة],MATCH(TableDailyJournal[[#This Row],[رقم العملية]],Tabledaily[رقم العملية],0))</f>
        <v>ريال يمني</v>
      </c>
      <c r="J558" s="59">
        <f>IFERROR(INDEX(Tabledaily[سعــــــر
الصـــــرف],MATCH(C558,Tabledaily[رقم العملية],0)),1)</f>
        <v>405</v>
      </c>
      <c r="K558" s="123" cm="1">
        <f t="array" ref="K558">IFERROR(INDEX(Tabledaily[المبلـــــــغ],MATCH(1,(TableDailyJournal[[#This Row],[رقم العملية]]=Tabledaily[رقم العملية])*(TableDailyJournal[[#This Row],[الحساب]]=Tabledaily[الحســاب المديــــن]),0)),0)</f>
        <v>30000</v>
      </c>
      <c r="L558" s="123" cm="1">
        <f t="array" ref="L558">IFERROR(INDEX(Tabledaily[المبلـــــــغ],MATCH(1,(TableDailyJournal[[#This Row],[رقم العملية]]=Tabledaily[رقم العملية])*(TableDailyJournal[[#This Row],[الحساب]]=Tabledaily[الحســاب الدئـــن]),0)),0)</f>
        <v>0</v>
      </c>
      <c r="M558" s="119">
        <f>IFERROR(TableDailyJournal[[#This Row],[المبلغ مدين]]/TableDailyJournal[[#This Row],[سعــــــر
الصـــــرف]],0)</f>
        <v>74.074074074074076</v>
      </c>
      <c r="N558" s="119">
        <f>IFERROR(TableDailyJournal[[#This Row],[المبلغ دائن]]/TableDailyJournal[[#This Row],[سعــــــر
الصـــــرف]],0)</f>
        <v>0</v>
      </c>
      <c r="O558" s="121" t="str">
        <f>INDEX(Tabledaily[المستفيــــــــد],MATCH(TableDailyJournal[[#This Row],[رقم العملية]],Tabledaily[رقم العملية],0))</f>
        <v>الاستطلاع</v>
      </c>
      <c r="P558" s="121" t="str">
        <f>INDEX(Tabledaily[المــــرجـــــــــع],MATCH(TableDailyJournal[[#This Row],[رقم العملية]],Tabledaily[رقم العملية],0))</f>
        <v>كشف صرف</v>
      </c>
      <c r="Q558" s="121" t="str">
        <f>INDEX(Tabledaily[اســـــــم المــــرجــــع],MATCH(TableDailyJournal[[#This Row],[رقم العملية]],Tabledaily[رقم العملية],0))</f>
        <v>كشف صرف</v>
      </c>
      <c r="R558" s="121">
        <f>INDEX(Tabledaily[رقم المـــــرجـــع],MATCH(TableDailyJournal[[#This Row],[رقم العملية]],Tabledaily[رقم العملية],0))</f>
        <v>0</v>
      </c>
      <c r="S558" s="121" t="str">
        <f>INDEX(Tabledaily[مركـــــــزالتكلفــــــة],MATCH(TableDailyJournal[[#This Row],[رقم العملية]],Tabledaily[رقم العملية],0))</f>
        <v>الفرقة الثالثة</v>
      </c>
      <c r="T558" s="121">
        <f>IFERROR(INDEX(tablecost[رقم المركز],MATCH(TableDailyJournal[[#This Row],[مركـــــــزالتكلفــــــة]],tablecost[الاسم],0)),0)</f>
        <v>1</v>
      </c>
      <c r="U558" s="122">
        <f>IFERROR(DATE(TableDailyJournal[[#This Row],[السنــــة]],TableDailyJournal[[#This Row],[الشهــــر]],TableDailyJournal[[#This Row],[الـــــيوم]]),"01-01-2026")</f>
        <v>46191</v>
      </c>
      <c r="V558" s="126"/>
      <c r="W558" s="58"/>
      <c r="X558" s="58">
        <f>IFERROR(YEAR(TableDailyJournal[[#This Row],[التاريخ]]),"")</f>
        <v>2026</v>
      </c>
      <c r="Y558" s="58">
        <f>IFERROR(MONTH(TableDailyJournal[[#This Row],[التاريخ]]),"")</f>
        <v>6</v>
      </c>
      <c r="Z558" s="58">
        <f>IFERROR(DAY(TableDailyJournal[[#This Row],[التاريخ]]),"")</f>
        <v>18</v>
      </c>
      <c r="AA558"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الإستطلاع عدد 2 افراد بامر</v>
      </c>
      <c r="AB558" s="121">
        <f>INDEX(Tabledaily[جهة الامر],MATCH(TableDailyJournal[[#This Row],[رقم العملية]],Tabledaily[رقم العملية],0))</f>
        <v>0</v>
      </c>
    </row>
    <row r="559" spans="2:28" ht="45.75" x14ac:dyDescent="0.55000000000000004">
      <c r="B559" s="58">
        <f t="shared" si="18"/>
        <v>555</v>
      </c>
      <c r="C559" s="59" t="s">
        <v>960</v>
      </c>
      <c r="D559" s="60">
        <f>INDEX(Tabledaily[date],MATCH(TableDailyJournal[[#This Row],[رقم العملية]],Tabledaily[رقم العملية],0))</f>
        <v>46191</v>
      </c>
      <c r="E559" s="58" t="str">
        <f>INDEX(Tabledaily[نوع العمليــة],MATCH(TableDailyJournal[[#This Row],[رقم العملية]],Tabledaily[رقم العملية],0))</f>
        <v>قيد عهده</v>
      </c>
      <c r="F559" s="58">
        <f>IFERROR(INDEX(TableJudje[رقم الحساب],MATCH(TableDailyJournal[[#This Row],[الحساب]],TableJudje[اسم الحساب],0)),0)</f>
        <v>11060205</v>
      </c>
      <c r="G559" s="58" t="s">
        <v>513</v>
      </c>
      <c r="H559" s="61"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الإستطلاع عدد 2 افراد بامر</v>
      </c>
      <c r="I559" s="60" t="str">
        <f>INDEX(Tabledaily[العملـــة],MATCH(TableDailyJournal[[#This Row],[رقم العملية]],Tabledaily[رقم العملية],0))</f>
        <v>ريال يمني</v>
      </c>
      <c r="J559" s="59">
        <f>IFERROR(INDEX(Tabledaily[سعــــــر
الصـــــرف],MATCH(C559,Tabledaily[رقم العملية],0)),1)</f>
        <v>405</v>
      </c>
      <c r="K559" s="123" cm="1">
        <f t="array" ref="K559">IFERROR(INDEX(Tabledaily[المبلـــــــغ],MATCH(1,(TableDailyJournal[[#This Row],[رقم العملية]]=Tabledaily[رقم العملية])*(TableDailyJournal[[#This Row],[الحساب]]=Tabledaily[الحســاب المديــــن]),0)),0)</f>
        <v>0</v>
      </c>
      <c r="L559" s="123" cm="1">
        <f t="array" ref="L559">IFERROR(INDEX(Tabledaily[المبلـــــــغ],MATCH(1,(TableDailyJournal[[#This Row],[رقم العملية]]=Tabledaily[رقم العملية])*(TableDailyJournal[[#This Row],[الحساب]]=Tabledaily[الحســاب الدئـــن]),0)),0)</f>
        <v>30000</v>
      </c>
      <c r="M559" s="119">
        <f>IFERROR(TableDailyJournal[[#This Row],[المبلغ مدين]]/TableDailyJournal[[#This Row],[سعــــــر
الصـــــرف]],0)</f>
        <v>0</v>
      </c>
      <c r="N559" s="119">
        <f>IFERROR(TableDailyJournal[[#This Row],[المبلغ دائن]]/TableDailyJournal[[#This Row],[سعــــــر
الصـــــرف]],0)</f>
        <v>74.074074074074076</v>
      </c>
      <c r="O559" s="121" t="str">
        <f>INDEX(Tabledaily[المستفيــــــــد],MATCH(TableDailyJournal[[#This Row],[رقم العملية]],Tabledaily[رقم العملية],0))</f>
        <v>الاستطلاع</v>
      </c>
      <c r="P559" s="121" t="str">
        <f>INDEX(Tabledaily[المــــرجـــــــــع],MATCH(TableDailyJournal[[#This Row],[رقم العملية]],Tabledaily[رقم العملية],0))</f>
        <v>كشف صرف</v>
      </c>
      <c r="Q559" s="121" t="str">
        <f>INDEX(Tabledaily[اســـــــم المــــرجــــع],MATCH(TableDailyJournal[[#This Row],[رقم العملية]],Tabledaily[رقم العملية],0))</f>
        <v>كشف صرف</v>
      </c>
      <c r="R559" s="121">
        <f>INDEX(Tabledaily[رقم المـــــرجـــع],MATCH(TableDailyJournal[[#This Row],[رقم العملية]],Tabledaily[رقم العملية],0))</f>
        <v>0</v>
      </c>
      <c r="S559" s="121" t="str">
        <f>INDEX(Tabledaily[مركـــــــزالتكلفــــــة],MATCH(TableDailyJournal[[#This Row],[رقم العملية]],Tabledaily[رقم العملية],0))</f>
        <v>الفرقة الثالثة</v>
      </c>
      <c r="T559" s="121">
        <f>IFERROR(INDEX(tablecost[رقم المركز],MATCH(TableDailyJournal[[#This Row],[مركـــــــزالتكلفــــــة]],tablecost[الاسم],0)),0)</f>
        <v>1</v>
      </c>
      <c r="U559" s="122">
        <f>IFERROR(DATE(TableDailyJournal[[#This Row],[السنــــة]],TableDailyJournal[[#This Row],[الشهــــر]],TableDailyJournal[[#This Row],[الـــــيوم]]),"01-01-2026")</f>
        <v>46191</v>
      </c>
      <c r="V559" s="126"/>
      <c r="W559" s="58"/>
      <c r="X559" s="58">
        <f>IFERROR(YEAR(TableDailyJournal[[#This Row],[التاريخ]]),"")</f>
        <v>2026</v>
      </c>
      <c r="Y559" s="58">
        <f>IFERROR(MONTH(TableDailyJournal[[#This Row],[التاريخ]]),"")</f>
        <v>6</v>
      </c>
      <c r="Z559" s="58">
        <f>IFERROR(DAY(TableDailyJournal[[#This Row],[التاريخ]]),"")</f>
        <v>18</v>
      </c>
      <c r="AA559"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الإستطلاع عدد 2 افراد بامر</v>
      </c>
      <c r="AB559" s="121">
        <f>INDEX(Tabledaily[جهة الامر],MATCH(TableDailyJournal[[#This Row],[رقم العملية]],Tabledaily[رقم العملية],0))</f>
        <v>0</v>
      </c>
    </row>
    <row r="560" spans="2:28" ht="45.75" x14ac:dyDescent="0.55000000000000004">
      <c r="B560" s="58">
        <f t="shared" si="18"/>
        <v>556</v>
      </c>
      <c r="C560" s="59" t="s">
        <v>963</v>
      </c>
      <c r="D560" s="60">
        <f>INDEX(Tabledaily[date],MATCH(TableDailyJournal[[#This Row],[رقم العملية]],Tabledaily[رقم العملية],0))</f>
        <v>46191</v>
      </c>
      <c r="E560" s="58" t="str">
        <f>INDEX(Tabledaily[نوع العمليــة],MATCH(TableDailyJournal[[#This Row],[رقم العملية]],Tabledaily[رقم العملية],0))</f>
        <v>قيد عهده</v>
      </c>
      <c r="F560" s="58">
        <f>IFERROR(INDEX(TableJudje[رقم الحساب],MATCH(TableDailyJournal[[#This Row],[الحساب]],TableJudje[اسم الحساب],0)),0)</f>
        <v>31010101</v>
      </c>
      <c r="G560" s="58" t="s">
        <v>111</v>
      </c>
      <c r="H560"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560" s="60" t="str">
        <f>INDEX(Tabledaily[العملـــة],MATCH(TableDailyJournal[[#This Row],[رقم العملية]],Tabledaily[رقم العملية],0))</f>
        <v>ريال يمني</v>
      </c>
      <c r="J560" s="59">
        <f>IFERROR(INDEX(Tabledaily[سعــــــر
الصـــــرف],MATCH(C560,Tabledaily[رقم العملية],0)),1)</f>
        <v>405</v>
      </c>
      <c r="K560" s="123" cm="1">
        <f t="array" ref="K560">IFERROR(INDEX(Tabledaily[المبلـــــــغ],MATCH(1,(TableDailyJournal[[#This Row],[رقم العملية]]=Tabledaily[رقم العملية])*(TableDailyJournal[[#This Row],[الحساب]]=Tabledaily[الحســاب المديــــن]),0)),0)</f>
        <v>25000</v>
      </c>
      <c r="L560" s="123" cm="1">
        <f t="array" ref="L560">IFERROR(INDEX(Tabledaily[المبلـــــــغ],MATCH(1,(TableDailyJournal[[#This Row],[رقم العملية]]=Tabledaily[رقم العملية])*(TableDailyJournal[[#This Row],[الحساب]]=Tabledaily[الحســاب الدئـــن]),0)),0)</f>
        <v>0</v>
      </c>
      <c r="M560" s="119">
        <f>IFERROR(TableDailyJournal[[#This Row],[المبلغ مدين]]/TableDailyJournal[[#This Row],[سعــــــر
الصـــــرف]],0)</f>
        <v>61.728395061728392</v>
      </c>
      <c r="N560" s="119">
        <f>IFERROR(TableDailyJournal[[#This Row],[المبلغ دائن]]/TableDailyJournal[[#This Row],[سعــــــر
الصـــــرف]],0)</f>
        <v>0</v>
      </c>
      <c r="O560" s="121" t="str">
        <f>INDEX(Tabledaily[المستفيــــــــد],MATCH(TableDailyJournal[[#This Row],[رقم العملية]],Tabledaily[رقم العملية],0))</f>
        <v>المحاسبين</v>
      </c>
      <c r="P560" s="121" t="str">
        <f>INDEX(Tabledaily[المــــرجـــــــــع],MATCH(TableDailyJournal[[#This Row],[رقم العملية]],Tabledaily[رقم العملية],0))</f>
        <v>كشف صرف</v>
      </c>
      <c r="Q560" s="121" t="str">
        <f>INDEX(Tabledaily[اســـــــم المــــرجــــع],MATCH(TableDailyJournal[[#This Row],[رقم العملية]],Tabledaily[رقم العملية],0))</f>
        <v>كشف صرف</v>
      </c>
      <c r="R560" s="121">
        <f>INDEX(Tabledaily[رقم المـــــرجـــع],MATCH(TableDailyJournal[[#This Row],[رقم العملية]],Tabledaily[رقم العملية],0))</f>
        <v>0</v>
      </c>
      <c r="S560" s="121" t="str">
        <f>INDEX(Tabledaily[مركـــــــزالتكلفــــــة],MATCH(TableDailyJournal[[#This Row],[رقم العملية]],Tabledaily[رقم العملية],0))</f>
        <v>الفرقة الثالثة</v>
      </c>
      <c r="T560" s="121">
        <f>IFERROR(INDEX(tablecost[رقم المركز],MATCH(TableDailyJournal[[#This Row],[مركـــــــزالتكلفــــــة]],tablecost[الاسم],0)),0)</f>
        <v>1</v>
      </c>
      <c r="U560" s="122">
        <f>IFERROR(DATE(TableDailyJournal[[#This Row],[السنــــة]],TableDailyJournal[[#This Row],[الشهــــر]],TableDailyJournal[[#This Row],[الـــــيوم]]),"01-01-2026")</f>
        <v>46191</v>
      </c>
      <c r="V560" s="126"/>
      <c r="W560" s="58"/>
      <c r="X560" s="58">
        <f>IFERROR(YEAR(TableDailyJournal[[#This Row],[التاريخ]]),"")</f>
        <v>2026</v>
      </c>
      <c r="Y560" s="58">
        <f>IFERROR(MONTH(TableDailyJournal[[#This Row],[التاريخ]]),"")</f>
        <v>6</v>
      </c>
      <c r="Z560" s="58">
        <f>IFERROR(DAY(TableDailyJournal[[#This Row],[التاريخ]]),"")</f>
        <v>18</v>
      </c>
      <c r="AA560"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560" s="121">
        <f>INDEX(Tabledaily[جهة الامر],MATCH(TableDailyJournal[[#This Row],[رقم العملية]],Tabledaily[رقم العملية],0))</f>
        <v>0</v>
      </c>
    </row>
    <row r="561" spans="2:28" ht="45.75" x14ac:dyDescent="0.55000000000000004">
      <c r="B561" s="58">
        <f t="shared" si="18"/>
        <v>557</v>
      </c>
      <c r="C561" s="59" t="s">
        <v>963</v>
      </c>
      <c r="D561" s="60">
        <f>INDEX(Tabledaily[date],MATCH(TableDailyJournal[[#This Row],[رقم العملية]],Tabledaily[رقم العملية],0))</f>
        <v>46191</v>
      </c>
      <c r="E561" s="58" t="str">
        <f>INDEX(Tabledaily[نوع العمليــة],MATCH(TableDailyJournal[[#This Row],[رقم العملية]],Tabledaily[رقم العملية],0))</f>
        <v>قيد عهده</v>
      </c>
      <c r="F561" s="58">
        <f>IFERROR(INDEX(TableJudje[رقم الحساب],MATCH(TableDailyJournal[[#This Row],[الحساب]],TableJudje[اسم الحساب],0)),0)</f>
        <v>11060205</v>
      </c>
      <c r="G561" s="58" t="s">
        <v>513</v>
      </c>
      <c r="H561"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561" s="60" t="str">
        <f>INDEX(Tabledaily[العملـــة],MATCH(TableDailyJournal[[#This Row],[رقم العملية]],Tabledaily[رقم العملية],0))</f>
        <v>ريال يمني</v>
      </c>
      <c r="J561" s="59">
        <f>IFERROR(INDEX(Tabledaily[سعــــــر
الصـــــرف],MATCH(C561,Tabledaily[رقم العملية],0)),1)</f>
        <v>405</v>
      </c>
      <c r="K561" s="123" cm="1">
        <f t="array" ref="K561">IFERROR(INDEX(Tabledaily[المبلـــــــغ],MATCH(1,(TableDailyJournal[[#This Row],[رقم العملية]]=Tabledaily[رقم العملية])*(TableDailyJournal[[#This Row],[الحساب]]=Tabledaily[الحســاب المديــــن]),0)),0)</f>
        <v>0</v>
      </c>
      <c r="L561" s="123" cm="1">
        <f t="array" ref="L561">IFERROR(INDEX(Tabledaily[المبلـــــــغ],MATCH(1,(TableDailyJournal[[#This Row],[رقم العملية]]=Tabledaily[رقم العملية])*(TableDailyJournal[[#This Row],[الحساب]]=Tabledaily[الحســاب الدئـــن]),0)),0)</f>
        <v>25000</v>
      </c>
      <c r="M561" s="119">
        <f>IFERROR(TableDailyJournal[[#This Row],[المبلغ مدين]]/TableDailyJournal[[#This Row],[سعــــــر
الصـــــرف]],0)</f>
        <v>0</v>
      </c>
      <c r="N561" s="119">
        <f>IFERROR(TableDailyJournal[[#This Row],[المبلغ دائن]]/TableDailyJournal[[#This Row],[سعــــــر
الصـــــرف]],0)</f>
        <v>61.728395061728392</v>
      </c>
      <c r="O561" s="121" t="str">
        <f>INDEX(Tabledaily[المستفيــــــــد],MATCH(TableDailyJournal[[#This Row],[رقم العملية]],Tabledaily[رقم العملية],0))</f>
        <v>المحاسبين</v>
      </c>
      <c r="P561" s="121" t="str">
        <f>INDEX(Tabledaily[المــــرجـــــــــع],MATCH(TableDailyJournal[[#This Row],[رقم العملية]],Tabledaily[رقم العملية],0))</f>
        <v>كشف صرف</v>
      </c>
      <c r="Q561" s="121" t="str">
        <f>INDEX(Tabledaily[اســـــــم المــــرجــــع],MATCH(TableDailyJournal[[#This Row],[رقم العملية]],Tabledaily[رقم العملية],0))</f>
        <v>كشف صرف</v>
      </c>
      <c r="R561" s="121">
        <f>INDEX(Tabledaily[رقم المـــــرجـــع],MATCH(TableDailyJournal[[#This Row],[رقم العملية]],Tabledaily[رقم العملية],0))</f>
        <v>0</v>
      </c>
      <c r="S561" s="121" t="str">
        <f>INDEX(Tabledaily[مركـــــــزالتكلفــــــة],MATCH(TableDailyJournal[[#This Row],[رقم العملية]],Tabledaily[رقم العملية],0))</f>
        <v>الفرقة الثالثة</v>
      </c>
      <c r="T561" s="121">
        <f>IFERROR(INDEX(tablecost[رقم المركز],MATCH(TableDailyJournal[[#This Row],[مركـــــــزالتكلفــــــة]],tablecost[الاسم],0)),0)</f>
        <v>1</v>
      </c>
      <c r="U561" s="122">
        <f>IFERROR(DATE(TableDailyJournal[[#This Row],[السنــــة]],TableDailyJournal[[#This Row],[الشهــــر]],TableDailyJournal[[#This Row],[الـــــيوم]]),"01-01-2026")</f>
        <v>46191</v>
      </c>
      <c r="V561" s="126"/>
      <c r="W561" s="58"/>
      <c r="X561" s="58">
        <f>IFERROR(YEAR(TableDailyJournal[[#This Row],[التاريخ]]),"")</f>
        <v>2026</v>
      </c>
      <c r="Y561" s="58">
        <f>IFERROR(MONTH(TableDailyJournal[[#This Row],[التاريخ]]),"")</f>
        <v>6</v>
      </c>
      <c r="Z561" s="58">
        <f>IFERROR(DAY(TableDailyJournal[[#This Row],[التاريخ]]),"")</f>
        <v>18</v>
      </c>
      <c r="AA561"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561" s="121">
        <f>INDEX(Tabledaily[جهة الامر],MATCH(TableDailyJournal[[#This Row],[رقم العملية]],Tabledaily[رقم العملية],0))</f>
        <v>0</v>
      </c>
    </row>
    <row r="562" spans="2:28" ht="45.75" x14ac:dyDescent="0.55000000000000004">
      <c r="B562" s="58">
        <f t="shared" si="18"/>
        <v>558</v>
      </c>
      <c r="C562" s="59" t="s">
        <v>965</v>
      </c>
      <c r="D562" s="60">
        <f>INDEX(Tabledaily[date],MATCH(TableDailyJournal[[#This Row],[رقم العملية]],Tabledaily[رقم العملية],0))</f>
        <v>46191</v>
      </c>
      <c r="E562" s="58" t="str">
        <f>INDEX(Tabledaily[نوع العمليــة],MATCH(TableDailyJournal[[#This Row],[رقم العملية]],Tabledaily[رقم العملية],0))</f>
        <v>قيد عهده</v>
      </c>
      <c r="F562" s="58">
        <f>IFERROR(INDEX(TableJudje[رقم الحساب],MATCH(TableDailyJournal[[#This Row],[الحساب]],TableJudje[اسم الحساب],0)),0)</f>
        <v>31010101</v>
      </c>
      <c r="G562" s="58" t="s">
        <v>111</v>
      </c>
      <c r="H562"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للبشرية عدد1 بامر</v>
      </c>
      <c r="I562" s="60" t="str">
        <f>INDEX(Tabledaily[العملـــة],MATCH(TableDailyJournal[[#This Row],[رقم العملية]],Tabledaily[رقم العملية],0))</f>
        <v>ريال يمني</v>
      </c>
      <c r="J562" s="59">
        <f>IFERROR(INDEX(Tabledaily[سعــــــر
الصـــــرف],MATCH(C562,Tabledaily[رقم العملية],0)),1)</f>
        <v>405</v>
      </c>
      <c r="K562" s="123" cm="1">
        <f t="array" ref="K562">IFERROR(INDEX(Tabledaily[المبلـــــــغ],MATCH(1,(TableDailyJournal[[#This Row],[رقم العملية]]=Tabledaily[رقم العملية])*(TableDailyJournal[[#This Row],[الحساب]]=Tabledaily[الحســاب المديــــن]),0)),0)</f>
        <v>15000</v>
      </c>
      <c r="L562" s="123" cm="1">
        <f t="array" ref="L562">IFERROR(INDEX(Tabledaily[المبلـــــــغ],MATCH(1,(TableDailyJournal[[#This Row],[رقم العملية]]=Tabledaily[رقم العملية])*(TableDailyJournal[[#This Row],[الحساب]]=Tabledaily[الحســاب الدئـــن]),0)),0)</f>
        <v>0</v>
      </c>
      <c r="M562" s="119">
        <f>IFERROR(TableDailyJournal[[#This Row],[المبلغ مدين]]/TableDailyJournal[[#This Row],[سعــــــر
الصـــــرف]],0)</f>
        <v>37.037037037037038</v>
      </c>
      <c r="N562" s="119">
        <f>IFERROR(TableDailyJournal[[#This Row],[المبلغ دائن]]/TableDailyJournal[[#This Row],[سعــــــر
الصـــــرف]],0)</f>
        <v>0</v>
      </c>
      <c r="O562" s="121" t="str">
        <f>INDEX(Tabledaily[المستفيــــــــد],MATCH(TableDailyJournal[[#This Row],[رقم العملية]],Tabledaily[رقم العملية],0))</f>
        <v>البشرية</v>
      </c>
      <c r="P562" s="121" t="str">
        <f>INDEX(Tabledaily[المــــرجـــــــــع],MATCH(TableDailyJournal[[#This Row],[رقم العملية]],Tabledaily[رقم العملية],0))</f>
        <v>كشف صرف</v>
      </c>
      <c r="Q562" s="121" t="str">
        <f>INDEX(Tabledaily[اســـــــم المــــرجــــع],MATCH(TableDailyJournal[[#This Row],[رقم العملية]],Tabledaily[رقم العملية],0))</f>
        <v>كشف صرف</v>
      </c>
      <c r="R562" s="121">
        <f>INDEX(Tabledaily[رقم المـــــرجـــع],MATCH(TableDailyJournal[[#This Row],[رقم العملية]],Tabledaily[رقم العملية],0))</f>
        <v>0</v>
      </c>
      <c r="S562" s="121" t="str">
        <f>INDEX(Tabledaily[مركـــــــزالتكلفــــــة],MATCH(TableDailyJournal[[#This Row],[رقم العملية]],Tabledaily[رقم العملية],0))</f>
        <v>الفرقة الثالثة</v>
      </c>
      <c r="T562" s="121">
        <f>IFERROR(INDEX(tablecost[رقم المركز],MATCH(TableDailyJournal[[#This Row],[مركـــــــزالتكلفــــــة]],tablecost[الاسم],0)),0)</f>
        <v>1</v>
      </c>
      <c r="U562" s="122">
        <f>IFERROR(DATE(TableDailyJournal[[#This Row],[السنــــة]],TableDailyJournal[[#This Row],[الشهــــر]],TableDailyJournal[[#This Row],[الـــــيوم]]),"01-01-2026")</f>
        <v>46191</v>
      </c>
      <c r="V562" s="126"/>
      <c r="W562" s="58"/>
      <c r="X562" s="58">
        <f>IFERROR(YEAR(TableDailyJournal[[#This Row],[التاريخ]]),"")</f>
        <v>2026</v>
      </c>
      <c r="Y562" s="58">
        <f>IFERROR(MONTH(TableDailyJournal[[#This Row],[التاريخ]]),"")</f>
        <v>6</v>
      </c>
      <c r="Z562" s="58">
        <f>IFERROR(DAY(TableDailyJournal[[#This Row],[التاريخ]]),"")</f>
        <v>18</v>
      </c>
      <c r="AA562"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للبشرية عدد1 بامر</v>
      </c>
      <c r="AB562" s="121">
        <f>INDEX(Tabledaily[جهة الامر],MATCH(TableDailyJournal[[#This Row],[رقم العملية]],Tabledaily[رقم العملية],0))</f>
        <v>0</v>
      </c>
    </row>
    <row r="563" spans="2:28" ht="45.75" x14ac:dyDescent="0.55000000000000004">
      <c r="B563" s="58">
        <f t="shared" si="18"/>
        <v>559</v>
      </c>
      <c r="C563" s="59" t="s">
        <v>965</v>
      </c>
      <c r="D563" s="60">
        <f>INDEX(Tabledaily[date],MATCH(TableDailyJournal[[#This Row],[رقم العملية]],Tabledaily[رقم العملية],0))</f>
        <v>46191</v>
      </c>
      <c r="E563" s="58" t="str">
        <f>INDEX(Tabledaily[نوع العمليــة],MATCH(TableDailyJournal[[#This Row],[رقم العملية]],Tabledaily[رقم العملية],0))</f>
        <v>قيد عهده</v>
      </c>
      <c r="F563" s="58">
        <f>IFERROR(INDEX(TableJudje[رقم الحساب],MATCH(TableDailyJournal[[#This Row],[الحساب]],TableJudje[اسم الحساب],0)),0)</f>
        <v>11060205</v>
      </c>
      <c r="G563" s="58" t="s">
        <v>513</v>
      </c>
      <c r="H563"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للبشرية عدد1 بامر</v>
      </c>
      <c r="I563" s="60" t="str">
        <f>INDEX(Tabledaily[العملـــة],MATCH(TableDailyJournal[[#This Row],[رقم العملية]],Tabledaily[رقم العملية],0))</f>
        <v>ريال يمني</v>
      </c>
      <c r="J563" s="59">
        <f>IFERROR(INDEX(Tabledaily[سعــــــر
الصـــــرف],MATCH(C563,Tabledaily[رقم العملية],0)),1)</f>
        <v>405</v>
      </c>
      <c r="K563" s="123" cm="1">
        <f t="array" ref="K563">IFERROR(INDEX(Tabledaily[المبلـــــــغ],MATCH(1,(TableDailyJournal[[#This Row],[رقم العملية]]=Tabledaily[رقم العملية])*(TableDailyJournal[[#This Row],[الحساب]]=Tabledaily[الحســاب المديــــن]),0)),0)</f>
        <v>0</v>
      </c>
      <c r="L563" s="123" cm="1">
        <f t="array" ref="L563">IFERROR(INDEX(Tabledaily[المبلـــــــغ],MATCH(1,(TableDailyJournal[[#This Row],[رقم العملية]]=Tabledaily[رقم العملية])*(TableDailyJournal[[#This Row],[الحساب]]=Tabledaily[الحســاب الدئـــن]),0)),0)</f>
        <v>15000</v>
      </c>
      <c r="M563" s="119">
        <f>IFERROR(TableDailyJournal[[#This Row],[المبلغ مدين]]/TableDailyJournal[[#This Row],[سعــــــر
الصـــــرف]],0)</f>
        <v>0</v>
      </c>
      <c r="N563" s="119">
        <f>IFERROR(TableDailyJournal[[#This Row],[المبلغ دائن]]/TableDailyJournal[[#This Row],[سعــــــر
الصـــــرف]],0)</f>
        <v>37.037037037037038</v>
      </c>
      <c r="O563" s="121" t="str">
        <f>INDEX(Tabledaily[المستفيــــــــد],MATCH(TableDailyJournal[[#This Row],[رقم العملية]],Tabledaily[رقم العملية],0))</f>
        <v>البشرية</v>
      </c>
      <c r="P563" s="121" t="str">
        <f>INDEX(Tabledaily[المــــرجـــــــــع],MATCH(TableDailyJournal[[#This Row],[رقم العملية]],Tabledaily[رقم العملية],0))</f>
        <v>كشف صرف</v>
      </c>
      <c r="Q563" s="121" t="str">
        <f>INDEX(Tabledaily[اســـــــم المــــرجــــع],MATCH(TableDailyJournal[[#This Row],[رقم العملية]],Tabledaily[رقم العملية],0))</f>
        <v>كشف صرف</v>
      </c>
      <c r="R563" s="121">
        <f>INDEX(Tabledaily[رقم المـــــرجـــع],MATCH(TableDailyJournal[[#This Row],[رقم العملية]],Tabledaily[رقم العملية],0))</f>
        <v>0</v>
      </c>
      <c r="S563" s="121" t="str">
        <f>INDEX(Tabledaily[مركـــــــزالتكلفــــــة],MATCH(TableDailyJournal[[#This Row],[رقم العملية]],Tabledaily[رقم العملية],0))</f>
        <v>الفرقة الثالثة</v>
      </c>
      <c r="T563" s="121">
        <f>IFERROR(INDEX(tablecost[رقم المركز],MATCH(TableDailyJournal[[#This Row],[مركـــــــزالتكلفــــــة]],tablecost[الاسم],0)),0)</f>
        <v>1</v>
      </c>
      <c r="U563" s="122">
        <f>IFERROR(DATE(TableDailyJournal[[#This Row],[السنــــة]],TableDailyJournal[[#This Row],[الشهــــر]],TableDailyJournal[[#This Row],[الـــــيوم]]),"01-01-2026")</f>
        <v>46191</v>
      </c>
      <c r="V563" s="126"/>
      <c r="W563" s="58"/>
      <c r="X563" s="58">
        <f>IFERROR(YEAR(TableDailyJournal[[#This Row],[التاريخ]]),"")</f>
        <v>2026</v>
      </c>
      <c r="Y563" s="58">
        <f>IFERROR(MONTH(TableDailyJournal[[#This Row],[التاريخ]]),"")</f>
        <v>6</v>
      </c>
      <c r="Z563" s="58">
        <f>IFERROR(DAY(TableDailyJournal[[#This Row],[التاريخ]]),"")</f>
        <v>18</v>
      </c>
      <c r="AA563"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للبشرية عدد1 بامر</v>
      </c>
      <c r="AB563" s="121">
        <f>INDEX(Tabledaily[جهة الامر],MATCH(TableDailyJournal[[#This Row],[رقم العملية]],Tabledaily[رقم العملية],0))</f>
        <v>0</v>
      </c>
    </row>
    <row r="564" spans="2:28" ht="45.75" x14ac:dyDescent="0.55000000000000004">
      <c r="B564" s="58">
        <f t="shared" si="18"/>
        <v>560</v>
      </c>
      <c r="C564" s="59" t="s">
        <v>968</v>
      </c>
      <c r="D564" s="60">
        <f>INDEX(Tabledaily[date],MATCH(TableDailyJournal[[#This Row],[رقم العملية]],Tabledaily[رقم العملية],0))</f>
        <v>46191</v>
      </c>
      <c r="E564" s="58" t="str">
        <f>INDEX(Tabledaily[نوع العمليــة],MATCH(TableDailyJournal[[#This Row],[رقم العملية]],Tabledaily[رقم العملية],0))</f>
        <v>قيد عهده</v>
      </c>
      <c r="F564" s="58">
        <f>IFERROR(INDEX(TableJudje[رقم الحساب],MATCH(TableDailyJournal[[#This Row],[الحساب]],TableJudje[اسم الحساب],0)),0)</f>
        <v>31010101</v>
      </c>
      <c r="G564" s="58" t="s">
        <v>111</v>
      </c>
      <c r="H564"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564" s="60" t="str">
        <f>INDEX(Tabledaily[العملـــة],MATCH(TableDailyJournal[[#This Row],[رقم العملية]],Tabledaily[رقم العملية],0))</f>
        <v>ريال يمني</v>
      </c>
      <c r="J564" s="59">
        <f>IFERROR(INDEX(Tabledaily[سعــــــر
الصـــــرف],MATCH(C564,Tabledaily[رقم العملية],0)),1)</f>
        <v>405</v>
      </c>
      <c r="K564" s="123" cm="1">
        <f t="array" ref="K564">IFERROR(INDEX(Tabledaily[المبلـــــــغ],MATCH(1,(TableDailyJournal[[#This Row],[رقم العملية]]=Tabledaily[رقم العملية])*(TableDailyJournal[[#This Row],[الحساب]]=Tabledaily[الحســاب المديــــن]),0)),0)</f>
        <v>80000</v>
      </c>
      <c r="L564" s="123" cm="1">
        <f t="array" ref="L564">IFERROR(INDEX(Tabledaily[المبلـــــــغ],MATCH(1,(TableDailyJournal[[#This Row],[رقم العملية]]=Tabledaily[رقم العملية])*(TableDailyJournal[[#This Row],[الحساب]]=Tabledaily[الحســاب الدئـــن]),0)),0)</f>
        <v>0</v>
      </c>
      <c r="M564" s="119">
        <f>IFERROR(TableDailyJournal[[#This Row],[المبلغ مدين]]/TableDailyJournal[[#This Row],[سعــــــر
الصـــــرف]],0)</f>
        <v>197.53086419753086</v>
      </c>
      <c r="N564" s="119">
        <f>IFERROR(TableDailyJournal[[#This Row],[المبلغ دائن]]/TableDailyJournal[[#This Row],[سعــــــر
الصـــــرف]],0)</f>
        <v>0</v>
      </c>
      <c r="O564" s="121" t="str">
        <f>INDEX(Tabledaily[المستفيــــــــد],MATCH(TableDailyJournal[[#This Row],[رقم العملية]],Tabledaily[رقم العملية],0))</f>
        <v>الاستخبارات</v>
      </c>
      <c r="P564" s="121" t="str">
        <f>INDEX(Tabledaily[المــــرجـــــــــع],MATCH(TableDailyJournal[[#This Row],[رقم العملية]],Tabledaily[رقم العملية],0))</f>
        <v>كشف صرف</v>
      </c>
      <c r="Q564" s="121" t="str">
        <f>INDEX(Tabledaily[اســـــــم المــــرجــــع],MATCH(TableDailyJournal[[#This Row],[رقم العملية]],Tabledaily[رقم العملية],0))</f>
        <v>كشف صرف</v>
      </c>
      <c r="R564" s="121">
        <f>INDEX(Tabledaily[رقم المـــــرجـــع],MATCH(TableDailyJournal[[#This Row],[رقم العملية]],Tabledaily[رقم العملية],0))</f>
        <v>0</v>
      </c>
      <c r="S564" s="121" t="str">
        <f>INDEX(Tabledaily[مركـــــــزالتكلفــــــة],MATCH(TableDailyJournal[[#This Row],[رقم العملية]],Tabledaily[رقم العملية],0))</f>
        <v>الفرقة الثالثة</v>
      </c>
      <c r="T564" s="121">
        <f>IFERROR(INDEX(tablecost[رقم المركز],MATCH(TableDailyJournal[[#This Row],[مركـــــــزالتكلفــــــة]],tablecost[الاسم],0)),0)</f>
        <v>1</v>
      </c>
      <c r="U564" s="122">
        <f>IFERROR(DATE(TableDailyJournal[[#This Row],[السنــــة]],TableDailyJournal[[#This Row],[الشهــــر]],TableDailyJournal[[#This Row],[الـــــيوم]]),"01-01-2026")</f>
        <v>46191</v>
      </c>
      <c r="V564" s="126"/>
      <c r="W564" s="58"/>
      <c r="X564" s="58">
        <f>IFERROR(YEAR(TableDailyJournal[[#This Row],[التاريخ]]),"")</f>
        <v>2026</v>
      </c>
      <c r="Y564" s="58">
        <f>IFERROR(MONTH(TableDailyJournal[[#This Row],[التاريخ]]),"")</f>
        <v>6</v>
      </c>
      <c r="Z564" s="58">
        <f>IFERROR(DAY(TableDailyJournal[[#This Row],[التاريخ]]),"")</f>
        <v>18</v>
      </c>
      <c r="AA564"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564" s="121">
        <f>INDEX(Tabledaily[جهة الامر],MATCH(TableDailyJournal[[#This Row],[رقم العملية]],Tabledaily[رقم العملية],0))</f>
        <v>0</v>
      </c>
    </row>
    <row r="565" spans="2:28" ht="45.75" x14ac:dyDescent="0.55000000000000004">
      <c r="B565" s="58">
        <f t="shared" si="18"/>
        <v>561</v>
      </c>
      <c r="C565" s="59" t="s">
        <v>968</v>
      </c>
      <c r="D565" s="60">
        <f>INDEX(Tabledaily[date],MATCH(TableDailyJournal[[#This Row],[رقم العملية]],Tabledaily[رقم العملية],0))</f>
        <v>46191</v>
      </c>
      <c r="E565" s="58" t="str">
        <f>INDEX(Tabledaily[نوع العمليــة],MATCH(TableDailyJournal[[#This Row],[رقم العملية]],Tabledaily[رقم العملية],0))</f>
        <v>قيد عهده</v>
      </c>
      <c r="F565" s="58">
        <f>IFERROR(INDEX(TableJudje[رقم الحساب],MATCH(TableDailyJournal[[#This Row],[الحساب]],TableJudje[اسم الحساب],0)),0)</f>
        <v>11060205</v>
      </c>
      <c r="G565" s="58" t="s">
        <v>513</v>
      </c>
      <c r="H565"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565" s="60" t="str">
        <f>INDEX(Tabledaily[العملـــة],MATCH(TableDailyJournal[[#This Row],[رقم العملية]],Tabledaily[رقم العملية],0))</f>
        <v>ريال يمني</v>
      </c>
      <c r="J565" s="59">
        <f>IFERROR(INDEX(Tabledaily[سعــــــر
الصـــــرف],MATCH(C565,Tabledaily[رقم العملية],0)),1)</f>
        <v>405</v>
      </c>
      <c r="K565" s="123" cm="1">
        <f t="array" ref="K565">IFERROR(INDEX(Tabledaily[المبلـــــــغ],MATCH(1,(TableDailyJournal[[#This Row],[رقم العملية]]=Tabledaily[رقم العملية])*(TableDailyJournal[[#This Row],[الحساب]]=Tabledaily[الحســاب المديــــن]),0)),0)</f>
        <v>0</v>
      </c>
      <c r="L565" s="123" cm="1">
        <f t="array" ref="L565">IFERROR(INDEX(Tabledaily[المبلـــــــغ],MATCH(1,(TableDailyJournal[[#This Row],[رقم العملية]]=Tabledaily[رقم العملية])*(TableDailyJournal[[#This Row],[الحساب]]=Tabledaily[الحســاب الدئـــن]),0)),0)</f>
        <v>80000</v>
      </c>
      <c r="M565" s="119">
        <f>IFERROR(TableDailyJournal[[#This Row],[المبلغ مدين]]/TableDailyJournal[[#This Row],[سعــــــر
الصـــــرف]],0)</f>
        <v>0</v>
      </c>
      <c r="N565" s="119">
        <f>IFERROR(TableDailyJournal[[#This Row],[المبلغ دائن]]/TableDailyJournal[[#This Row],[سعــــــر
الصـــــرف]],0)</f>
        <v>197.53086419753086</v>
      </c>
      <c r="O565" s="121" t="str">
        <f>INDEX(Tabledaily[المستفيــــــــد],MATCH(TableDailyJournal[[#This Row],[رقم العملية]],Tabledaily[رقم العملية],0))</f>
        <v>الاستخبارات</v>
      </c>
      <c r="P565" s="121" t="str">
        <f>INDEX(Tabledaily[المــــرجـــــــــع],MATCH(TableDailyJournal[[#This Row],[رقم العملية]],Tabledaily[رقم العملية],0))</f>
        <v>كشف صرف</v>
      </c>
      <c r="Q565" s="121" t="str">
        <f>INDEX(Tabledaily[اســـــــم المــــرجــــع],MATCH(TableDailyJournal[[#This Row],[رقم العملية]],Tabledaily[رقم العملية],0))</f>
        <v>كشف صرف</v>
      </c>
      <c r="R565" s="121">
        <f>INDEX(Tabledaily[رقم المـــــرجـــع],MATCH(TableDailyJournal[[#This Row],[رقم العملية]],Tabledaily[رقم العملية],0))</f>
        <v>0</v>
      </c>
      <c r="S565" s="121" t="str">
        <f>INDEX(Tabledaily[مركـــــــزالتكلفــــــة],MATCH(TableDailyJournal[[#This Row],[رقم العملية]],Tabledaily[رقم العملية],0))</f>
        <v>الفرقة الثالثة</v>
      </c>
      <c r="T565" s="121">
        <f>IFERROR(INDEX(tablecost[رقم المركز],MATCH(TableDailyJournal[[#This Row],[مركـــــــزالتكلفــــــة]],tablecost[الاسم],0)),0)</f>
        <v>1</v>
      </c>
      <c r="U565" s="122">
        <f>IFERROR(DATE(TableDailyJournal[[#This Row],[السنــــة]],TableDailyJournal[[#This Row],[الشهــــر]],TableDailyJournal[[#This Row],[الـــــيوم]]),"01-01-2026")</f>
        <v>46191</v>
      </c>
      <c r="V565" s="126"/>
      <c r="W565" s="58"/>
      <c r="X565" s="58">
        <f>IFERROR(YEAR(TableDailyJournal[[#This Row],[التاريخ]]),"")</f>
        <v>2026</v>
      </c>
      <c r="Y565" s="58">
        <f>IFERROR(MONTH(TableDailyJournal[[#This Row],[التاريخ]]),"")</f>
        <v>6</v>
      </c>
      <c r="Z565" s="58">
        <f>IFERROR(DAY(TableDailyJournal[[#This Row],[التاريخ]]),"")</f>
        <v>18</v>
      </c>
      <c r="AA565"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565" s="121">
        <f>INDEX(Tabledaily[جهة الامر],MATCH(TableDailyJournal[[#This Row],[رقم العملية]],Tabledaily[رقم العملية],0))</f>
        <v>0</v>
      </c>
    </row>
    <row r="566" spans="2:28" ht="45.75" x14ac:dyDescent="0.55000000000000004">
      <c r="B566" s="58">
        <f t="shared" si="18"/>
        <v>562</v>
      </c>
      <c r="C566" s="59" t="s">
        <v>970</v>
      </c>
      <c r="D566" s="60">
        <f>INDEX(Tabledaily[date],MATCH(TableDailyJournal[[#This Row],[رقم العملية]],Tabledaily[رقم العملية],0))</f>
        <v>46191</v>
      </c>
      <c r="E566" s="58" t="str">
        <f>INDEX(Tabledaily[نوع العمليــة],MATCH(TableDailyJournal[[#This Row],[رقم العملية]],Tabledaily[رقم العملية],0))</f>
        <v>قيد عهده</v>
      </c>
      <c r="F566" s="58">
        <f>IFERROR(INDEX(TableJudje[رقم الحساب],MATCH(TableDailyJournal[[#This Row],[الحساب]],TableJudje[اسم الحساب],0)),0)</f>
        <v>31010101</v>
      </c>
      <c r="G566" s="58" t="s">
        <v>111</v>
      </c>
      <c r="H566"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566" s="60" t="str">
        <f>INDEX(Tabledaily[العملـــة],MATCH(TableDailyJournal[[#This Row],[رقم العملية]],Tabledaily[رقم العملية],0))</f>
        <v>ريال يمني</v>
      </c>
      <c r="J566" s="59">
        <f>IFERROR(INDEX(Tabledaily[سعــــــر
الصـــــرف],MATCH(C566,Tabledaily[رقم العملية],0)),1)</f>
        <v>405</v>
      </c>
      <c r="K566" s="123" cm="1">
        <f t="array" ref="K566">IFERROR(INDEX(Tabledaily[المبلـــــــغ],MATCH(1,(TableDailyJournal[[#This Row],[رقم العملية]]=Tabledaily[رقم العملية])*(TableDailyJournal[[#This Row],[الحساب]]=Tabledaily[الحســاب المديــــن]),0)),0)</f>
        <v>45000</v>
      </c>
      <c r="L566" s="123" cm="1">
        <f t="array" ref="L566">IFERROR(INDEX(Tabledaily[المبلـــــــغ],MATCH(1,(TableDailyJournal[[#This Row],[رقم العملية]]=Tabledaily[رقم العملية])*(TableDailyJournal[[#This Row],[الحساب]]=Tabledaily[الحســاب الدئـــن]),0)),0)</f>
        <v>0</v>
      </c>
      <c r="M566" s="119">
        <f>IFERROR(TableDailyJournal[[#This Row],[المبلغ مدين]]/TableDailyJournal[[#This Row],[سعــــــر
الصـــــرف]],0)</f>
        <v>111.11111111111111</v>
      </c>
      <c r="N566" s="119">
        <f>IFERROR(TableDailyJournal[[#This Row],[المبلغ دائن]]/TableDailyJournal[[#This Row],[سعــــــر
الصـــــرف]],0)</f>
        <v>0</v>
      </c>
      <c r="O566" s="121" t="str">
        <f>INDEX(Tabledaily[المستفيــــــــد],MATCH(TableDailyJournal[[#This Row],[رقم العملية]],Tabledaily[رقم العملية],0))</f>
        <v>المدفعية</v>
      </c>
      <c r="P566" s="121" t="str">
        <f>INDEX(Tabledaily[المــــرجـــــــــع],MATCH(TableDailyJournal[[#This Row],[رقم العملية]],Tabledaily[رقم العملية],0))</f>
        <v>كشف صرف</v>
      </c>
      <c r="Q566" s="121" t="str">
        <f>INDEX(Tabledaily[اســـــــم المــــرجــــع],MATCH(TableDailyJournal[[#This Row],[رقم العملية]],Tabledaily[رقم العملية],0))</f>
        <v>كشف صرف</v>
      </c>
      <c r="R566" s="121">
        <f>INDEX(Tabledaily[رقم المـــــرجـــع],MATCH(TableDailyJournal[[#This Row],[رقم العملية]],Tabledaily[رقم العملية],0))</f>
        <v>0</v>
      </c>
      <c r="S566" s="121" t="str">
        <f>INDEX(Tabledaily[مركـــــــزالتكلفــــــة],MATCH(TableDailyJournal[[#This Row],[رقم العملية]],Tabledaily[رقم العملية],0))</f>
        <v>الفرقة الثالثة</v>
      </c>
      <c r="T566" s="121">
        <f>IFERROR(INDEX(tablecost[رقم المركز],MATCH(TableDailyJournal[[#This Row],[مركـــــــزالتكلفــــــة]],tablecost[الاسم],0)),0)</f>
        <v>1</v>
      </c>
      <c r="U566" s="122">
        <f>IFERROR(DATE(TableDailyJournal[[#This Row],[السنــــة]],TableDailyJournal[[#This Row],[الشهــــر]],TableDailyJournal[[#This Row],[الـــــيوم]]),"01-01-2026")</f>
        <v>46191</v>
      </c>
      <c r="V566" s="126"/>
      <c r="W566" s="58"/>
      <c r="X566" s="58">
        <f>IFERROR(YEAR(TableDailyJournal[[#This Row],[التاريخ]]),"")</f>
        <v>2026</v>
      </c>
      <c r="Y566" s="58">
        <f>IFERROR(MONTH(TableDailyJournal[[#This Row],[التاريخ]]),"")</f>
        <v>6</v>
      </c>
      <c r="Z566" s="58">
        <f>IFERROR(DAY(TableDailyJournal[[#This Row],[التاريخ]]),"")</f>
        <v>18</v>
      </c>
      <c r="AA566"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566" s="121">
        <f>INDEX(Tabledaily[جهة الامر],MATCH(TableDailyJournal[[#This Row],[رقم العملية]],Tabledaily[رقم العملية],0))</f>
        <v>0</v>
      </c>
    </row>
    <row r="567" spans="2:28" ht="45.75" x14ac:dyDescent="0.55000000000000004">
      <c r="B567" s="58">
        <f t="shared" si="18"/>
        <v>563</v>
      </c>
      <c r="C567" s="59" t="s">
        <v>970</v>
      </c>
      <c r="D567" s="60">
        <f>INDEX(Tabledaily[date],MATCH(TableDailyJournal[[#This Row],[رقم العملية]],Tabledaily[رقم العملية],0))</f>
        <v>46191</v>
      </c>
      <c r="E567" s="58" t="str">
        <f>INDEX(Tabledaily[نوع العمليــة],MATCH(TableDailyJournal[[#This Row],[رقم العملية]],Tabledaily[رقم العملية],0))</f>
        <v>قيد عهده</v>
      </c>
      <c r="F567" s="58">
        <f>IFERROR(INDEX(TableJudje[رقم الحساب],MATCH(TableDailyJournal[[#This Row],[الحساب]],TableJudje[اسم الحساب],0)),0)</f>
        <v>11060205</v>
      </c>
      <c r="G567" s="58" t="s">
        <v>513</v>
      </c>
      <c r="H567"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567" s="60" t="str">
        <f>INDEX(Tabledaily[العملـــة],MATCH(TableDailyJournal[[#This Row],[رقم العملية]],Tabledaily[رقم العملية],0))</f>
        <v>ريال يمني</v>
      </c>
      <c r="J567" s="59">
        <f>IFERROR(INDEX(Tabledaily[سعــــــر
الصـــــرف],MATCH(C567,Tabledaily[رقم العملية],0)),1)</f>
        <v>405</v>
      </c>
      <c r="K567" s="123" cm="1">
        <f t="array" ref="K567">IFERROR(INDEX(Tabledaily[المبلـــــــغ],MATCH(1,(TableDailyJournal[[#This Row],[رقم العملية]]=Tabledaily[رقم العملية])*(TableDailyJournal[[#This Row],[الحساب]]=Tabledaily[الحســاب المديــــن]),0)),0)</f>
        <v>0</v>
      </c>
      <c r="L567" s="123" cm="1">
        <f t="array" ref="L567">IFERROR(INDEX(Tabledaily[المبلـــــــغ],MATCH(1,(TableDailyJournal[[#This Row],[رقم العملية]]=Tabledaily[رقم العملية])*(TableDailyJournal[[#This Row],[الحساب]]=Tabledaily[الحســاب الدئـــن]),0)),0)</f>
        <v>45000</v>
      </c>
      <c r="M567" s="119">
        <f>IFERROR(TableDailyJournal[[#This Row],[المبلغ مدين]]/TableDailyJournal[[#This Row],[سعــــــر
الصـــــرف]],0)</f>
        <v>0</v>
      </c>
      <c r="N567" s="119">
        <f>IFERROR(TableDailyJournal[[#This Row],[المبلغ دائن]]/TableDailyJournal[[#This Row],[سعــــــر
الصـــــرف]],0)</f>
        <v>111.11111111111111</v>
      </c>
      <c r="O567" s="121" t="str">
        <f>INDEX(Tabledaily[المستفيــــــــد],MATCH(TableDailyJournal[[#This Row],[رقم العملية]],Tabledaily[رقم العملية],0))</f>
        <v>المدفعية</v>
      </c>
      <c r="P567" s="121" t="str">
        <f>INDEX(Tabledaily[المــــرجـــــــــع],MATCH(TableDailyJournal[[#This Row],[رقم العملية]],Tabledaily[رقم العملية],0))</f>
        <v>كشف صرف</v>
      </c>
      <c r="Q567" s="121" t="str">
        <f>INDEX(Tabledaily[اســـــــم المــــرجــــع],MATCH(TableDailyJournal[[#This Row],[رقم العملية]],Tabledaily[رقم العملية],0))</f>
        <v>كشف صرف</v>
      </c>
      <c r="R567" s="121">
        <f>INDEX(Tabledaily[رقم المـــــرجـــع],MATCH(TableDailyJournal[[#This Row],[رقم العملية]],Tabledaily[رقم العملية],0))</f>
        <v>0</v>
      </c>
      <c r="S567" s="121" t="str">
        <f>INDEX(Tabledaily[مركـــــــزالتكلفــــــة],MATCH(TableDailyJournal[[#This Row],[رقم العملية]],Tabledaily[رقم العملية],0))</f>
        <v>الفرقة الثالثة</v>
      </c>
      <c r="T567" s="121">
        <f>IFERROR(INDEX(tablecost[رقم المركز],MATCH(TableDailyJournal[[#This Row],[مركـــــــزالتكلفــــــة]],tablecost[الاسم],0)),0)</f>
        <v>1</v>
      </c>
      <c r="U567" s="122">
        <f>IFERROR(DATE(TableDailyJournal[[#This Row],[السنــــة]],TableDailyJournal[[#This Row],[الشهــــر]],TableDailyJournal[[#This Row],[الـــــيوم]]),"01-01-2026")</f>
        <v>46191</v>
      </c>
      <c r="V567" s="126"/>
      <c r="W567" s="58"/>
      <c r="X567" s="58">
        <f>IFERROR(YEAR(TableDailyJournal[[#This Row],[التاريخ]]),"")</f>
        <v>2026</v>
      </c>
      <c r="Y567" s="58">
        <f>IFERROR(MONTH(TableDailyJournal[[#This Row],[التاريخ]]),"")</f>
        <v>6</v>
      </c>
      <c r="Z567" s="58">
        <f>IFERROR(DAY(TableDailyJournal[[#This Row],[التاريخ]]),"")</f>
        <v>18</v>
      </c>
      <c r="AA567"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567" s="121">
        <f>INDEX(Tabledaily[جهة الامر],MATCH(TableDailyJournal[[#This Row],[رقم العملية]],Tabledaily[رقم العملية],0))</f>
        <v>0</v>
      </c>
    </row>
    <row r="568" spans="2:28" ht="45.75" x14ac:dyDescent="0.55000000000000004">
      <c r="B568" s="58">
        <f t="shared" si="18"/>
        <v>564</v>
      </c>
      <c r="C568" s="59" t="s">
        <v>972</v>
      </c>
      <c r="D568" s="60">
        <f>INDEX(Tabledaily[date],MATCH(TableDailyJournal[[#This Row],[رقم العملية]],Tabledaily[رقم العملية],0))</f>
        <v>46191</v>
      </c>
      <c r="E568" s="58" t="str">
        <f>INDEX(Tabledaily[نوع العمليــة],MATCH(TableDailyJournal[[#This Row],[رقم العملية]],Tabledaily[رقم العملية],0))</f>
        <v>قيد عهده</v>
      </c>
      <c r="F568" s="58">
        <f>IFERROR(INDEX(TableJudje[رقم الحساب],MATCH(TableDailyJournal[[#This Row],[الحساب]],TableJudje[اسم الحساب],0)),0)</f>
        <v>31010101</v>
      </c>
      <c r="G568" s="58" t="s">
        <v>111</v>
      </c>
      <c r="H568"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I568" s="60" t="str">
        <f>INDEX(Tabledaily[العملـــة],MATCH(TableDailyJournal[[#This Row],[رقم العملية]],Tabledaily[رقم العملية],0))</f>
        <v>ريال يمني</v>
      </c>
      <c r="J568" s="59">
        <f>IFERROR(INDEX(Tabledaily[سعــــــر
الصـــــرف],MATCH(C568,Tabledaily[رقم العملية],0)),1)</f>
        <v>405</v>
      </c>
      <c r="K568" s="123" cm="1">
        <f t="array" ref="K568">IFERROR(INDEX(Tabledaily[المبلـــــــغ],MATCH(1,(TableDailyJournal[[#This Row],[رقم العملية]]=Tabledaily[رقم العملية])*(TableDailyJournal[[#This Row],[الحساب]]=Tabledaily[الحســاب المديــــن]),0)),0)</f>
        <v>80000</v>
      </c>
      <c r="L568" s="123" cm="1">
        <f t="array" ref="L568">IFERROR(INDEX(Tabledaily[المبلـــــــغ],MATCH(1,(TableDailyJournal[[#This Row],[رقم العملية]]=Tabledaily[رقم العملية])*(TableDailyJournal[[#This Row],[الحساب]]=Tabledaily[الحســاب الدئـــن]),0)),0)</f>
        <v>0</v>
      </c>
      <c r="M568" s="119">
        <f>IFERROR(TableDailyJournal[[#This Row],[المبلغ مدين]]/TableDailyJournal[[#This Row],[سعــــــر
الصـــــرف]],0)</f>
        <v>197.53086419753086</v>
      </c>
      <c r="N568" s="119">
        <f>IFERROR(TableDailyJournal[[#This Row],[المبلغ دائن]]/TableDailyJournal[[#This Row],[سعــــــر
الصـــــرف]],0)</f>
        <v>0</v>
      </c>
      <c r="O568" s="121" t="str">
        <f>INDEX(Tabledaily[المستفيــــــــد],MATCH(TableDailyJournal[[#This Row],[رقم العملية]],Tabledaily[رقم العملية],0))</f>
        <v>اخرون</v>
      </c>
      <c r="P568" s="121" t="str">
        <f>INDEX(Tabledaily[المــــرجـــــــــع],MATCH(TableDailyJournal[[#This Row],[رقم العملية]],Tabledaily[رقم العملية],0))</f>
        <v>كشف صرف</v>
      </c>
      <c r="Q568" s="121" t="str">
        <f>INDEX(Tabledaily[اســـــــم المــــرجــــع],MATCH(TableDailyJournal[[#This Row],[رقم العملية]],Tabledaily[رقم العملية],0))</f>
        <v>كشف صرف</v>
      </c>
      <c r="R568" s="121">
        <f>INDEX(Tabledaily[رقم المـــــرجـــع],MATCH(TableDailyJournal[[#This Row],[رقم العملية]],Tabledaily[رقم العملية],0))</f>
        <v>0</v>
      </c>
      <c r="S568" s="121" t="str">
        <f>INDEX(Tabledaily[مركـــــــزالتكلفــــــة],MATCH(TableDailyJournal[[#This Row],[رقم العملية]],Tabledaily[رقم العملية],0))</f>
        <v>الفرقة الثالثة</v>
      </c>
      <c r="T568" s="121">
        <f>IFERROR(INDEX(tablecost[رقم المركز],MATCH(TableDailyJournal[[#This Row],[مركـــــــزالتكلفــــــة]],tablecost[الاسم],0)),0)</f>
        <v>1</v>
      </c>
      <c r="U568" s="122">
        <f>IFERROR(DATE(TableDailyJournal[[#This Row],[السنــــة]],TableDailyJournal[[#This Row],[الشهــــر]],TableDailyJournal[[#This Row],[الـــــيوم]]),"01-01-2026")</f>
        <v>46191</v>
      </c>
      <c r="V568" s="126"/>
      <c r="W568" s="58"/>
      <c r="X568" s="58">
        <f>IFERROR(YEAR(TableDailyJournal[[#This Row],[التاريخ]]),"")</f>
        <v>2026</v>
      </c>
      <c r="Y568" s="58">
        <f>IFERROR(MONTH(TableDailyJournal[[#This Row],[التاريخ]]),"")</f>
        <v>6</v>
      </c>
      <c r="Z568" s="58">
        <f>IFERROR(DAY(TableDailyJournal[[#This Row],[التاريخ]]),"")</f>
        <v>18</v>
      </c>
      <c r="AA568"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AB568" s="121">
        <f>INDEX(Tabledaily[جهة الامر],MATCH(TableDailyJournal[[#This Row],[رقم العملية]],Tabledaily[رقم العملية],0))</f>
        <v>0</v>
      </c>
    </row>
    <row r="569" spans="2:28" ht="45.75" x14ac:dyDescent="0.55000000000000004">
      <c r="B569" s="58">
        <f t="shared" si="18"/>
        <v>565</v>
      </c>
      <c r="C569" s="59" t="s">
        <v>972</v>
      </c>
      <c r="D569" s="60">
        <f>INDEX(Tabledaily[date],MATCH(TableDailyJournal[[#This Row],[رقم العملية]],Tabledaily[رقم العملية],0))</f>
        <v>46191</v>
      </c>
      <c r="E569" s="58" t="str">
        <f>INDEX(Tabledaily[نوع العمليــة],MATCH(TableDailyJournal[[#This Row],[رقم العملية]],Tabledaily[رقم العملية],0))</f>
        <v>قيد عهده</v>
      </c>
      <c r="F569" s="58">
        <f>IFERROR(INDEX(TableJudje[رقم الحساب],MATCH(TableDailyJournal[[#This Row],[الحساب]],TableJudje[اسم الحساب],0)),0)</f>
        <v>11060205</v>
      </c>
      <c r="G569" s="58" t="s">
        <v>513</v>
      </c>
      <c r="H569"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I569" s="60" t="str">
        <f>INDEX(Tabledaily[العملـــة],MATCH(TableDailyJournal[[#This Row],[رقم العملية]],Tabledaily[رقم العملية],0))</f>
        <v>ريال يمني</v>
      </c>
      <c r="J569" s="59">
        <f>IFERROR(INDEX(Tabledaily[سعــــــر
الصـــــرف],MATCH(C569,Tabledaily[رقم العملية],0)),1)</f>
        <v>405</v>
      </c>
      <c r="K569" s="123" cm="1">
        <f t="array" ref="K569">IFERROR(INDEX(Tabledaily[المبلـــــــغ],MATCH(1,(TableDailyJournal[[#This Row],[رقم العملية]]=Tabledaily[رقم العملية])*(TableDailyJournal[[#This Row],[الحساب]]=Tabledaily[الحســاب المديــــن]),0)),0)</f>
        <v>0</v>
      </c>
      <c r="L569" s="123" cm="1">
        <f t="array" ref="L569">IFERROR(INDEX(Tabledaily[المبلـــــــغ],MATCH(1,(TableDailyJournal[[#This Row],[رقم العملية]]=Tabledaily[رقم العملية])*(TableDailyJournal[[#This Row],[الحساب]]=Tabledaily[الحســاب الدئـــن]),0)),0)</f>
        <v>80000</v>
      </c>
      <c r="M569" s="119">
        <f>IFERROR(TableDailyJournal[[#This Row],[المبلغ مدين]]/TableDailyJournal[[#This Row],[سعــــــر
الصـــــرف]],0)</f>
        <v>0</v>
      </c>
      <c r="N569" s="119">
        <f>IFERROR(TableDailyJournal[[#This Row],[المبلغ دائن]]/TableDailyJournal[[#This Row],[سعــــــر
الصـــــرف]],0)</f>
        <v>197.53086419753086</v>
      </c>
      <c r="O569" s="121" t="str">
        <f>INDEX(Tabledaily[المستفيــــــــد],MATCH(TableDailyJournal[[#This Row],[رقم العملية]],Tabledaily[رقم العملية],0))</f>
        <v>اخرون</v>
      </c>
      <c r="P569" s="121" t="str">
        <f>INDEX(Tabledaily[المــــرجـــــــــع],MATCH(TableDailyJournal[[#This Row],[رقم العملية]],Tabledaily[رقم العملية],0))</f>
        <v>كشف صرف</v>
      </c>
      <c r="Q569" s="121" t="str">
        <f>INDEX(Tabledaily[اســـــــم المــــرجــــع],MATCH(TableDailyJournal[[#This Row],[رقم العملية]],Tabledaily[رقم العملية],0))</f>
        <v>كشف صرف</v>
      </c>
      <c r="R569" s="121">
        <f>INDEX(Tabledaily[رقم المـــــرجـــع],MATCH(TableDailyJournal[[#This Row],[رقم العملية]],Tabledaily[رقم العملية],0))</f>
        <v>0</v>
      </c>
      <c r="S569" s="121" t="str">
        <f>INDEX(Tabledaily[مركـــــــزالتكلفــــــة],MATCH(TableDailyJournal[[#This Row],[رقم العملية]],Tabledaily[رقم العملية],0))</f>
        <v>الفرقة الثالثة</v>
      </c>
      <c r="T569" s="121">
        <f>IFERROR(INDEX(tablecost[رقم المركز],MATCH(TableDailyJournal[[#This Row],[مركـــــــزالتكلفــــــة]],tablecost[الاسم],0)),0)</f>
        <v>1</v>
      </c>
      <c r="U569" s="122">
        <f>IFERROR(DATE(TableDailyJournal[[#This Row],[السنــــة]],TableDailyJournal[[#This Row],[الشهــــر]],TableDailyJournal[[#This Row],[الـــــيوم]]),"01-01-2026")</f>
        <v>46191</v>
      </c>
      <c r="V569" s="126"/>
      <c r="W569" s="58"/>
      <c r="X569" s="58">
        <f>IFERROR(YEAR(TableDailyJournal[[#This Row],[التاريخ]]),"")</f>
        <v>2026</v>
      </c>
      <c r="Y569" s="58">
        <f>IFERROR(MONTH(TableDailyJournal[[#This Row],[التاريخ]]),"")</f>
        <v>6</v>
      </c>
      <c r="Z569" s="58">
        <f>IFERROR(DAY(TableDailyJournal[[#This Row],[التاريخ]]),"")</f>
        <v>18</v>
      </c>
      <c r="AA569"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AB569" s="121">
        <f>INDEX(Tabledaily[جهة الامر],MATCH(TableDailyJournal[[#This Row],[رقم العملية]],Tabledaily[رقم العملية],0))</f>
        <v>0</v>
      </c>
    </row>
    <row r="570" spans="2:28" ht="67.5" x14ac:dyDescent="0.55000000000000004">
      <c r="B570" s="58">
        <f t="shared" si="18"/>
        <v>566</v>
      </c>
      <c r="C570" s="59" t="s">
        <v>974</v>
      </c>
      <c r="D570" s="60">
        <f>INDEX(Tabledaily[date],MATCH(TableDailyJournal[[#This Row],[رقم العملية]],Tabledaily[رقم العملية],0))</f>
        <v>46191</v>
      </c>
      <c r="E570" s="58" t="str">
        <f>INDEX(Tabledaily[نوع العمليــة],MATCH(TableDailyJournal[[#This Row],[رقم العملية]],Tabledaily[رقم العملية],0))</f>
        <v>قيد عهده</v>
      </c>
      <c r="F570" s="58">
        <f>IFERROR(INDEX(TableJudje[رقم الحساب],MATCH(TableDailyJournal[[#This Row],[الحساب]],TableJudje[اسم الحساب],0)),0)</f>
        <v>31010101</v>
      </c>
      <c r="G570" s="58" t="s">
        <v>111</v>
      </c>
      <c r="H570"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I570" s="60" t="str">
        <f>INDEX(Tabledaily[العملـــة],MATCH(TableDailyJournal[[#This Row],[رقم العملية]],Tabledaily[رقم العملية],0))</f>
        <v>ريال يمني</v>
      </c>
      <c r="J570" s="59">
        <f>IFERROR(INDEX(Tabledaily[سعــــــر
الصـــــرف],MATCH(C570,Tabledaily[رقم العملية],0)),1)</f>
        <v>405</v>
      </c>
      <c r="K570" s="123" cm="1">
        <f t="array" ref="K570">IFERROR(INDEX(Tabledaily[المبلـــــــغ],MATCH(1,(TableDailyJournal[[#This Row],[رقم العملية]]=Tabledaily[رقم العملية])*(TableDailyJournal[[#This Row],[الحساب]]=Tabledaily[الحســاب المديــــن]),0)),0)</f>
        <v>112000</v>
      </c>
      <c r="L570" s="123" cm="1">
        <f t="array" ref="L570">IFERROR(INDEX(Tabledaily[المبلـــــــغ],MATCH(1,(TableDailyJournal[[#This Row],[رقم العملية]]=Tabledaily[رقم العملية])*(TableDailyJournal[[#This Row],[الحساب]]=Tabledaily[الحســاب الدئـــن]),0)),0)</f>
        <v>0</v>
      </c>
      <c r="M570" s="119">
        <f>IFERROR(TableDailyJournal[[#This Row],[المبلغ مدين]]/TableDailyJournal[[#This Row],[سعــــــر
الصـــــرف]],0)</f>
        <v>276.54320987654319</v>
      </c>
      <c r="N570" s="119">
        <f>IFERROR(TableDailyJournal[[#This Row],[المبلغ دائن]]/TableDailyJournal[[#This Row],[سعــــــر
الصـــــرف]],0)</f>
        <v>0</v>
      </c>
      <c r="O570" s="121" t="str">
        <f>INDEX(Tabledaily[المستفيــــــــد],MATCH(TableDailyJournal[[#This Row],[رقم العملية]],Tabledaily[رقم العملية],0))</f>
        <v>المستشارين والمساعدين</v>
      </c>
      <c r="P570" s="121" t="str">
        <f>INDEX(Tabledaily[المــــرجـــــــــع],MATCH(TableDailyJournal[[#This Row],[رقم العملية]],Tabledaily[رقم العملية],0))</f>
        <v>كشف صرف</v>
      </c>
      <c r="Q570" s="121" t="str">
        <f>INDEX(Tabledaily[اســـــــم المــــرجــــع],MATCH(TableDailyJournal[[#This Row],[رقم العملية]],Tabledaily[رقم العملية],0))</f>
        <v>كشف صرف</v>
      </c>
      <c r="R570" s="121">
        <f>INDEX(Tabledaily[رقم المـــــرجـــع],MATCH(TableDailyJournal[[#This Row],[رقم العملية]],Tabledaily[رقم العملية],0))</f>
        <v>0</v>
      </c>
      <c r="S570" s="121" t="str">
        <f>INDEX(Tabledaily[مركـــــــزالتكلفــــــة],MATCH(TableDailyJournal[[#This Row],[رقم العملية]],Tabledaily[رقم العملية],0))</f>
        <v>الفرقة الثالثة</v>
      </c>
      <c r="T570" s="121">
        <f>IFERROR(INDEX(tablecost[رقم المركز],MATCH(TableDailyJournal[[#This Row],[مركـــــــزالتكلفــــــة]],tablecost[الاسم],0)),0)</f>
        <v>1</v>
      </c>
      <c r="U570" s="122">
        <f>IFERROR(DATE(TableDailyJournal[[#This Row],[السنــــة]],TableDailyJournal[[#This Row],[الشهــــر]],TableDailyJournal[[#This Row],[الـــــيوم]]),"01-01-2026")</f>
        <v>46191</v>
      </c>
      <c r="V570" s="126"/>
      <c r="W570" s="58"/>
      <c r="X570" s="58">
        <f>IFERROR(YEAR(TableDailyJournal[[#This Row],[التاريخ]]),"")</f>
        <v>2026</v>
      </c>
      <c r="Y570" s="58">
        <f>IFERROR(MONTH(TableDailyJournal[[#This Row],[التاريخ]]),"")</f>
        <v>6</v>
      </c>
      <c r="Z570" s="58">
        <f>IFERROR(DAY(TableDailyJournal[[#This Row],[التاريخ]]),"")</f>
        <v>18</v>
      </c>
      <c r="AA570"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B570" s="121">
        <f>INDEX(Tabledaily[جهة الامر],MATCH(TableDailyJournal[[#This Row],[رقم العملية]],Tabledaily[رقم العملية],0))</f>
        <v>0</v>
      </c>
    </row>
    <row r="571" spans="2:28" ht="67.5" x14ac:dyDescent="0.55000000000000004">
      <c r="B571" s="58">
        <f t="shared" si="18"/>
        <v>567</v>
      </c>
      <c r="C571" s="59" t="s">
        <v>974</v>
      </c>
      <c r="D571" s="60">
        <f>INDEX(Tabledaily[date],MATCH(TableDailyJournal[[#This Row],[رقم العملية]],Tabledaily[رقم العملية],0))</f>
        <v>46191</v>
      </c>
      <c r="E571" s="58" t="str">
        <f>INDEX(Tabledaily[نوع العمليــة],MATCH(TableDailyJournal[[#This Row],[رقم العملية]],Tabledaily[رقم العملية],0))</f>
        <v>قيد عهده</v>
      </c>
      <c r="F571" s="58">
        <f>IFERROR(INDEX(TableJudje[رقم الحساب],MATCH(TableDailyJournal[[#This Row],[الحساب]],TableJudje[اسم الحساب],0)),0)</f>
        <v>11060205</v>
      </c>
      <c r="G571" s="58" t="s">
        <v>513</v>
      </c>
      <c r="H571"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I571" s="60" t="str">
        <f>INDEX(Tabledaily[العملـــة],MATCH(TableDailyJournal[[#This Row],[رقم العملية]],Tabledaily[رقم العملية],0))</f>
        <v>ريال يمني</v>
      </c>
      <c r="J571" s="59">
        <f>IFERROR(INDEX(Tabledaily[سعــــــر
الصـــــرف],MATCH(C571,Tabledaily[رقم العملية],0)),1)</f>
        <v>405</v>
      </c>
      <c r="K571" s="123" cm="1">
        <f t="array" ref="K571">IFERROR(INDEX(Tabledaily[المبلـــــــغ],MATCH(1,(TableDailyJournal[[#This Row],[رقم العملية]]=Tabledaily[رقم العملية])*(TableDailyJournal[[#This Row],[الحساب]]=Tabledaily[الحســاب المديــــن]),0)),0)</f>
        <v>0</v>
      </c>
      <c r="L571" s="123" cm="1">
        <f t="array" ref="L571">IFERROR(INDEX(Tabledaily[المبلـــــــغ],MATCH(1,(TableDailyJournal[[#This Row],[رقم العملية]]=Tabledaily[رقم العملية])*(TableDailyJournal[[#This Row],[الحساب]]=Tabledaily[الحســاب الدئـــن]),0)),0)</f>
        <v>112000</v>
      </c>
      <c r="M571" s="119">
        <f>IFERROR(TableDailyJournal[[#This Row],[المبلغ مدين]]/TableDailyJournal[[#This Row],[سعــــــر
الصـــــرف]],0)</f>
        <v>0</v>
      </c>
      <c r="N571" s="119">
        <f>IFERROR(TableDailyJournal[[#This Row],[المبلغ دائن]]/TableDailyJournal[[#This Row],[سعــــــر
الصـــــرف]],0)</f>
        <v>276.54320987654319</v>
      </c>
      <c r="O571" s="121" t="str">
        <f>INDEX(Tabledaily[المستفيــــــــد],MATCH(TableDailyJournal[[#This Row],[رقم العملية]],Tabledaily[رقم العملية],0))</f>
        <v>المستشارين والمساعدين</v>
      </c>
      <c r="P571" s="121" t="str">
        <f>INDEX(Tabledaily[المــــرجـــــــــع],MATCH(TableDailyJournal[[#This Row],[رقم العملية]],Tabledaily[رقم العملية],0))</f>
        <v>كشف صرف</v>
      </c>
      <c r="Q571" s="121" t="str">
        <f>INDEX(Tabledaily[اســـــــم المــــرجــــع],MATCH(TableDailyJournal[[#This Row],[رقم العملية]],Tabledaily[رقم العملية],0))</f>
        <v>كشف صرف</v>
      </c>
      <c r="R571" s="121">
        <f>INDEX(Tabledaily[رقم المـــــرجـــع],MATCH(TableDailyJournal[[#This Row],[رقم العملية]],Tabledaily[رقم العملية],0))</f>
        <v>0</v>
      </c>
      <c r="S571" s="121" t="str">
        <f>INDEX(Tabledaily[مركـــــــزالتكلفــــــة],MATCH(TableDailyJournal[[#This Row],[رقم العملية]],Tabledaily[رقم العملية],0))</f>
        <v>الفرقة الثالثة</v>
      </c>
      <c r="T571" s="121">
        <f>IFERROR(INDEX(tablecost[رقم المركز],MATCH(TableDailyJournal[[#This Row],[مركـــــــزالتكلفــــــة]],tablecost[الاسم],0)),0)</f>
        <v>1</v>
      </c>
      <c r="U571" s="122">
        <f>IFERROR(DATE(TableDailyJournal[[#This Row],[السنــــة]],TableDailyJournal[[#This Row],[الشهــــر]],TableDailyJournal[[#This Row],[الـــــيوم]]),"01-01-2026")</f>
        <v>46191</v>
      </c>
      <c r="V571" s="126"/>
      <c r="W571" s="58"/>
      <c r="X571" s="58">
        <f>IFERROR(YEAR(TableDailyJournal[[#This Row],[التاريخ]]),"")</f>
        <v>2026</v>
      </c>
      <c r="Y571" s="58">
        <f>IFERROR(MONTH(TableDailyJournal[[#This Row],[التاريخ]]),"")</f>
        <v>6</v>
      </c>
      <c r="Z571" s="58">
        <f>IFERROR(DAY(TableDailyJournal[[#This Row],[التاريخ]]),"")</f>
        <v>18</v>
      </c>
      <c r="AA571"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B571" s="121">
        <f>INDEX(Tabledaily[جهة الامر],MATCH(TableDailyJournal[[#This Row],[رقم العملية]],Tabledaily[رقم العملية],0))</f>
        <v>0</v>
      </c>
    </row>
    <row r="572" spans="2:28" ht="45.75" x14ac:dyDescent="0.55000000000000004">
      <c r="B572" s="58">
        <f t="shared" si="18"/>
        <v>568</v>
      </c>
      <c r="C572" s="59" t="s">
        <v>975</v>
      </c>
      <c r="D572" s="60">
        <f>INDEX(Tabledaily[date],MATCH(TableDailyJournal[[#This Row],[رقم العملية]],Tabledaily[رقم العملية],0))</f>
        <v>46191</v>
      </c>
      <c r="E572" s="58" t="str">
        <f>INDEX(Tabledaily[نوع العمليــة],MATCH(TableDailyJournal[[#This Row],[رقم العملية]],Tabledaily[رقم العملية],0))</f>
        <v>قيد عهده</v>
      </c>
      <c r="F572" s="58">
        <f>IFERROR(INDEX(TableJudje[رقم الحساب],MATCH(TableDailyJournal[[#This Row],[الحساب]],TableJudje[اسم الحساب],0)),0)</f>
        <v>31010101</v>
      </c>
      <c r="G572" s="58" t="s">
        <v>111</v>
      </c>
      <c r="H572"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572" s="60" t="str">
        <f>INDEX(Tabledaily[العملـــة],MATCH(TableDailyJournal[[#This Row],[رقم العملية]],Tabledaily[رقم العملية],0))</f>
        <v>ريال يمني</v>
      </c>
      <c r="J572" s="59">
        <f>IFERROR(INDEX(Tabledaily[سعــــــر
الصـــــرف],MATCH(C572,Tabledaily[رقم العملية],0)),1)</f>
        <v>405</v>
      </c>
      <c r="K572" s="123" cm="1">
        <f t="array" ref="K572">IFERROR(INDEX(Tabledaily[المبلـــــــغ],MATCH(1,(TableDailyJournal[[#This Row],[رقم العملية]]=Tabledaily[رقم العملية])*(TableDailyJournal[[#This Row],[الحساب]]=Tabledaily[الحســاب المديــــن]),0)),0)</f>
        <v>35000</v>
      </c>
      <c r="L572" s="123" cm="1">
        <f t="array" ref="L572">IFERROR(INDEX(Tabledaily[المبلـــــــغ],MATCH(1,(TableDailyJournal[[#This Row],[رقم العملية]]=Tabledaily[رقم العملية])*(TableDailyJournal[[#This Row],[الحساب]]=Tabledaily[الحســاب الدئـــن]),0)),0)</f>
        <v>0</v>
      </c>
      <c r="M572" s="119">
        <f>IFERROR(TableDailyJournal[[#This Row],[المبلغ مدين]]/TableDailyJournal[[#This Row],[سعــــــر
الصـــــرف]],0)</f>
        <v>86.419753086419746</v>
      </c>
      <c r="N572" s="119">
        <f>IFERROR(TableDailyJournal[[#This Row],[المبلغ دائن]]/TableDailyJournal[[#This Row],[سعــــــر
الصـــــرف]],0)</f>
        <v>0</v>
      </c>
      <c r="O572" s="121" t="str">
        <f>INDEX(Tabledaily[المستفيــــــــد],MATCH(TableDailyJournal[[#This Row],[رقم العملية]],Tabledaily[رقم العملية],0))</f>
        <v>الاشغال</v>
      </c>
      <c r="P572" s="121" t="str">
        <f>INDEX(Tabledaily[المــــرجـــــــــع],MATCH(TableDailyJournal[[#This Row],[رقم العملية]],Tabledaily[رقم العملية],0))</f>
        <v>كشف صرف</v>
      </c>
      <c r="Q572" s="121" t="str">
        <f>INDEX(Tabledaily[اســـــــم المــــرجــــع],MATCH(TableDailyJournal[[#This Row],[رقم العملية]],Tabledaily[رقم العملية],0))</f>
        <v>كشف صرف</v>
      </c>
      <c r="R572" s="121">
        <f>INDEX(Tabledaily[رقم المـــــرجـــع],MATCH(TableDailyJournal[[#This Row],[رقم العملية]],Tabledaily[رقم العملية],0))</f>
        <v>0</v>
      </c>
      <c r="S572" s="121" t="str">
        <f>INDEX(Tabledaily[مركـــــــزالتكلفــــــة],MATCH(TableDailyJournal[[#This Row],[رقم العملية]],Tabledaily[رقم العملية],0))</f>
        <v>الفرقة الثالثة</v>
      </c>
      <c r="T572" s="121">
        <f>IFERROR(INDEX(tablecost[رقم المركز],MATCH(TableDailyJournal[[#This Row],[مركـــــــزالتكلفــــــة]],tablecost[الاسم],0)),0)</f>
        <v>1</v>
      </c>
      <c r="U572" s="122">
        <f>IFERROR(DATE(TableDailyJournal[[#This Row],[السنــــة]],TableDailyJournal[[#This Row],[الشهــــر]],TableDailyJournal[[#This Row],[الـــــيوم]]),"01-01-2026")</f>
        <v>46191</v>
      </c>
      <c r="V572" s="126"/>
      <c r="W572" s="58"/>
      <c r="X572" s="58">
        <f>IFERROR(YEAR(TableDailyJournal[[#This Row],[التاريخ]]),"")</f>
        <v>2026</v>
      </c>
      <c r="Y572" s="58">
        <f>IFERROR(MONTH(TableDailyJournal[[#This Row],[التاريخ]]),"")</f>
        <v>6</v>
      </c>
      <c r="Z572" s="58">
        <f>IFERROR(DAY(TableDailyJournal[[#This Row],[التاريخ]]),"")</f>
        <v>18</v>
      </c>
      <c r="AA572"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572" s="121">
        <f>INDEX(Tabledaily[جهة الامر],MATCH(TableDailyJournal[[#This Row],[رقم العملية]],Tabledaily[رقم العملية],0))</f>
        <v>0</v>
      </c>
    </row>
    <row r="573" spans="2:28" ht="45.75" x14ac:dyDescent="0.55000000000000004">
      <c r="B573" s="58">
        <f t="shared" si="18"/>
        <v>569</v>
      </c>
      <c r="C573" s="59" t="s">
        <v>975</v>
      </c>
      <c r="D573" s="60">
        <f>INDEX(Tabledaily[date],MATCH(TableDailyJournal[[#This Row],[رقم العملية]],Tabledaily[رقم العملية],0))</f>
        <v>46191</v>
      </c>
      <c r="E573" s="58" t="str">
        <f>INDEX(Tabledaily[نوع العمليــة],MATCH(TableDailyJournal[[#This Row],[رقم العملية]],Tabledaily[رقم العملية],0))</f>
        <v>قيد عهده</v>
      </c>
      <c r="F573" s="58">
        <f>IFERROR(INDEX(TableJudje[رقم الحساب],MATCH(TableDailyJournal[[#This Row],[الحساب]],TableJudje[اسم الحساب],0)),0)</f>
        <v>11060205</v>
      </c>
      <c r="G573" s="58" t="s">
        <v>513</v>
      </c>
      <c r="H573"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I573" s="60" t="str">
        <f>INDEX(Tabledaily[العملـــة],MATCH(TableDailyJournal[[#This Row],[رقم العملية]],Tabledaily[رقم العملية],0))</f>
        <v>ريال يمني</v>
      </c>
      <c r="J573" s="59">
        <f>IFERROR(INDEX(Tabledaily[سعــــــر
الصـــــرف],MATCH(C573,Tabledaily[رقم العملية],0)),1)</f>
        <v>405</v>
      </c>
      <c r="K573" s="123" cm="1">
        <f t="array" ref="K573">IFERROR(INDEX(Tabledaily[المبلـــــــغ],MATCH(1,(TableDailyJournal[[#This Row],[رقم العملية]]=Tabledaily[رقم العملية])*(TableDailyJournal[[#This Row],[الحساب]]=Tabledaily[الحســاب المديــــن]),0)),0)</f>
        <v>0</v>
      </c>
      <c r="L573" s="123" cm="1">
        <f t="array" ref="L573">IFERROR(INDEX(Tabledaily[المبلـــــــغ],MATCH(1,(TableDailyJournal[[#This Row],[رقم العملية]]=Tabledaily[رقم العملية])*(TableDailyJournal[[#This Row],[الحساب]]=Tabledaily[الحســاب الدئـــن]),0)),0)</f>
        <v>35000</v>
      </c>
      <c r="M573" s="119">
        <f>IFERROR(TableDailyJournal[[#This Row],[المبلغ مدين]]/TableDailyJournal[[#This Row],[سعــــــر
الصـــــرف]],0)</f>
        <v>0</v>
      </c>
      <c r="N573" s="119">
        <f>IFERROR(TableDailyJournal[[#This Row],[المبلغ دائن]]/TableDailyJournal[[#This Row],[سعــــــر
الصـــــرف]],0)</f>
        <v>86.419753086419746</v>
      </c>
      <c r="O573" s="121" t="str">
        <f>INDEX(Tabledaily[المستفيــــــــد],MATCH(TableDailyJournal[[#This Row],[رقم العملية]],Tabledaily[رقم العملية],0))</f>
        <v>الاشغال</v>
      </c>
      <c r="P573" s="121" t="str">
        <f>INDEX(Tabledaily[المــــرجـــــــــع],MATCH(TableDailyJournal[[#This Row],[رقم العملية]],Tabledaily[رقم العملية],0))</f>
        <v>كشف صرف</v>
      </c>
      <c r="Q573" s="121" t="str">
        <f>INDEX(Tabledaily[اســـــــم المــــرجــــع],MATCH(TableDailyJournal[[#This Row],[رقم العملية]],Tabledaily[رقم العملية],0))</f>
        <v>كشف صرف</v>
      </c>
      <c r="R573" s="121">
        <f>INDEX(Tabledaily[رقم المـــــرجـــع],MATCH(TableDailyJournal[[#This Row],[رقم العملية]],Tabledaily[رقم العملية],0))</f>
        <v>0</v>
      </c>
      <c r="S573" s="121" t="str">
        <f>INDEX(Tabledaily[مركـــــــزالتكلفــــــة],MATCH(TableDailyJournal[[#This Row],[رقم العملية]],Tabledaily[رقم العملية],0))</f>
        <v>الفرقة الثالثة</v>
      </c>
      <c r="T573" s="121">
        <f>IFERROR(INDEX(tablecost[رقم المركز],MATCH(TableDailyJournal[[#This Row],[مركـــــــزالتكلفــــــة]],tablecost[الاسم],0)),0)</f>
        <v>1</v>
      </c>
      <c r="U573" s="122">
        <f>IFERROR(DATE(TableDailyJournal[[#This Row],[السنــــة]],TableDailyJournal[[#This Row],[الشهــــر]],TableDailyJournal[[#This Row],[الـــــيوم]]),"01-01-2026")</f>
        <v>46191</v>
      </c>
      <c r="V573" s="126"/>
      <c r="W573" s="58"/>
      <c r="X573" s="58">
        <f>IFERROR(YEAR(TableDailyJournal[[#This Row],[التاريخ]]),"")</f>
        <v>2026</v>
      </c>
      <c r="Y573" s="58">
        <f>IFERROR(MONTH(TableDailyJournal[[#This Row],[التاريخ]]),"")</f>
        <v>6</v>
      </c>
      <c r="Z573" s="58">
        <f>IFERROR(DAY(TableDailyJournal[[#This Row],[التاريخ]]),"")</f>
        <v>18</v>
      </c>
      <c r="AA573"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للاشغال لعدد 3 بامر</v>
      </c>
      <c r="AB573" s="121">
        <f>INDEX(Tabledaily[جهة الامر],MATCH(TableDailyJournal[[#This Row],[رقم العملية]],Tabledaily[رقم العملية],0))</f>
        <v>0</v>
      </c>
    </row>
    <row r="574" spans="2:28" ht="45.75" x14ac:dyDescent="0.55000000000000004">
      <c r="B574" s="58">
        <f t="shared" si="18"/>
        <v>570</v>
      </c>
      <c r="C574" s="59" t="s">
        <v>976</v>
      </c>
      <c r="D574" s="60">
        <f>INDEX(Tabledaily[date],MATCH(TableDailyJournal[[#This Row],[رقم العملية]],Tabledaily[رقم العملية],0))</f>
        <v>46191</v>
      </c>
      <c r="E574" s="58" t="str">
        <f>INDEX(Tabledaily[نوع العمليــة],MATCH(TableDailyJournal[[#This Row],[رقم العملية]],Tabledaily[رقم العملية],0))</f>
        <v>قيد عهده</v>
      </c>
      <c r="F574" s="58">
        <f>IFERROR(INDEX(TableJudje[رقم الحساب],MATCH(TableDailyJournal[[#This Row],[الحساب]],TableJudje[اسم الحساب],0)),0)</f>
        <v>31010101</v>
      </c>
      <c r="G574" s="58" t="s">
        <v>111</v>
      </c>
      <c r="H574"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574" s="60" t="str">
        <f>INDEX(Tabledaily[العملـــة],MATCH(TableDailyJournal[[#This Row],[رقم العملية]],Tabledaily[رقم العملية],0))</f>
        <v>ريال يمني</v>
      </c>
      <c r="J574" s="59">
        <f>IFERROR(INDEX(Tabledaily[سعــــــر
الصـــــرف],MATCH(C574,Tabledaily[رقم العملية],0)),1)</f>
        <v>405</v>
      </c>
      <c r="K574" s="123" cm="1">
        <f t="array" ref="K574">IFERROR(INDEX(Tabledaily[المبلـــــــغ],MATCH(1,(TableDailyJournal[[#This Row],[رقم العملية]]=Tabledaily[رقم العملية])*(TableDailyJournal[[#This Row],[الحساب]]=Tabledaily[الحســاب المديــــن]),0)),0)</f>
        <v>25000</v>
      </c>
      <c r="L574" s="123" cm="1">
        <f t="array" ref="L574">IFERROR(INDEX(Tabledaily[المبلـــــــغ],MATCH(1,(TableDailyJournal[[#This Row],[رقم العملية]]=Tabledaily[رقم العملية])*(TableDailyJournal[[#This Row],[الحساب]]=Tabledaily[الحســاب الدئـــن]),0)),0)</f>
        <v>0</v>
      </c>
      <c r="M574" s="119">
        <f>IFERROR(TableDailyJournal[[#This Row],[المبلغ مدين]]/TableDailyJournal[[#This Row],[سعــــــر
الصـــــرف]],0)</f>
        <v>61.728395061728392</v>
      </c>
      <c r="N574" s="119">
        <f>IFERROR(TableDailyJournal[[#This Row],[المبلغ دائن]]/TableDailyJournal[[#This Row],[سعــــــر
الصـــــرف]],0)</f>
        <v>0</v>
      </c>
      <c r="O574" s="121" t="str">
        <f>INDEX(Tabledaily[المستفيــــــــد],MATCH(TableDailyJournal[[#This Row],[رقم العملية]],Tabledaily[رقم العملية],0))</f>
        <v>مرافقي الاركان</v>
      </c>
      <c r="P574" s="121" t="str">
        <f>INDEX(Tabledaily[المــــرجـــــــــع],MATCH(TableDailyJournal[[#This Row],[رقم العملية]],Tabledaily[رقم العملية],0))</f>
        <v>كشف صرف</v>
      </c>
      <c r="Q574" s="121" t="str">
        <f>INDEX(Tabledaily[اســـــــم المــــرجــــع],MATCH(TableDailyJournal[[#This Row],[رقم العملية]],Tabledaily[رقم العملية],0))</f>
        <v>كشف صرف</v>
      </c>
      <c r="R574" s="121">
        <f>INDEX(Tabledaily[رقم المـــــرجـــع],MATCH(TableDailyJournal[[#This Row],[رقم العملية]],Tabledaily[رقم العملية],0))</f>
        <v>0</v>
      </c>
      <c r="S574" s="121" t="str">
        <f>INDEX(Tabledaily[مركـــــــزالتكلفــــــة],MATCH(TableDailyJournal[[#This Row],[رقم العملية]],Tabledaily[رقم العملية],0))</f>
        <v>الفرقة الثالثة</v>
      </c>
      <c r="T574" s="121">
        <f>IFERROR(INDEX(tablecost[رقم المركز],MATCH(TableDailyJournal[[#This Row],[مركـــــــزالتكلفــــــة]],tablecost[الاسم],0)),0)</f>
        <v>1</v>
      </c>
      <c r="U574" s="122">
        <f>IFERROR(DATE(TableDailyJournal[[#This Row],[السنــــة]],TableDailyJournal[[#This Row],[الشهــــر]],TableDailyJournal[[#This Row],[الـــــيوم]]),"01-01-2026")</f>
        <v>46191</v>
      </c>
      <c r="V574" s="126"/>
      <c r="W574" s="58"/>
      <c r="X574" s="58">
        <f>IFERROR(YEAR(TableDailyJournal[[#This Row],[التاريخ]]),"")</f>
        <v>2026</v>
      </c>
      <c r="Y574" s="58">
        <f>IFERROR(MONTH(TableDailyJournal[[#This Row],[التاريخ]]),"")</f>
        <v>6</v>
      </c>
      <c r="Z574" s="58">
        <f>IFERROR(DAY(TableDailyJournal[[#This Row],[التاريخ]]),"")</f>
        <v>18</v>
      </c>
      <c r="AA574"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574" s="121">
        <f>INDEX(Tabledaily[جهة الامر],MATCH(TableDailyJournal[[#This Row],[رقم العملية]],Tabledaily[رقم العملية],0))</f>
        <v>0</v>
      </c>
    </row>
    <row r="575" spans="2:28" ht="45.75" x14ac:dyDescent="0.55000000000000004">
      <c r="B575" s="58">
        <f t="shared" si="18"/>
        <v>571</v>
      </c>
      <c r="C575" s="59" t="s">
        <v>976</v>
      </c>
      <c r="D575" s="60">
        <f>INDEX(Tabledaily[date],MATCH(TableDailyJournal[[#This Row],[رقم العملية]],Tabledaily[رقم العملية],0))</f>
        <v>46191</v>
      </c>
      <c r="E575" s="58" t="str">
        <f>INDEX(Tabledaily[نوع العمليــة],MATCH(TableDailyJournal[[#This Row],[رقم العملية]],Tabledaily[رقم العملية],0))</f>
        <v>قيد عهده</v>
      </c>
      <c r="F575" s="58">
        <f>IFERROR(INDEX(TableJudje[رقم الحساب],MATCH(TableDailyJournal[[#This Row],[الحساب]],TableJudje[اسم الحساب],0)),0)</f>
        <v>11060205</v>
      </c>
      <c r="G575" s="58" t="s">
        <v>513</v>
      </c>
      <c r="H575"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575" s="60" t="str">
        <f>INDEX(Tabledaily[العملـــة],MATCH(TableDailyJournal[[#This Row],[رقم العملية]],Tabledaily[رقم العملية],0))</f>
        <v>ريال يمني</v>
      </c>
      <c r="J575" s="59">
        <f>IFERROR(INDEX(Tabledaily[سعــــــر
الصـــــرف],MATCH(C575,Tabledaily[رقم العملية],0)),1)</f>
        <v>405</v>
      </c>
      <c r="K575" s="123" cm="1">
        <f t="array" ref="K575">IFERROR(INDEX(Tabledaily[المبلـــــــغ],MATCH(1,(TableDailyJournal[[#This Row],[رقم العملية]]=Tabledaily[رقم العملية])*(TableDailyJournal[[#This Row],[الحساب]]=Tabledaily[الحســاب المديــــن]),0)),0)</f>
        <v>0</v>
      </c>
      <c r="L575" s="123" cm="1">
        <f t="array" ref="L575">IFERROR(INDEX(Tabledaily[المبلـــــــغ],MATCH(1,(TableDailyJournal[[#This Row],[رقم العملية]]=Tabledaily[رقم العملية])*(TableDailyJournal[[#This Row],[الحساب]]=Tabledaily[الحســاب الدئـــن]),0)),0)</f>
        <v>25000</v>
      </c>
      <c r="M575" s="119">
        <f>IFERROR(TableDailyJournal[[#This Row],[المبلغ مدين]]/TableDailyJournal[[#This Row],[سعــــــر
الصـــــرف]],0)</f>
        <v>0</v>
      </c>
      <c r="N575" s="119">
        <f>IFERROR(TableDailyJournal[[#This Row],[المبلغ دائن]]/TableDailyJournal[[#This Row],[سعــــــر
الصـــــرف]],0)</f>
        <v>61.728395061728392</v>
      </c>
      <c r="O575" s="121" t="str">
        <f>INDEX(Tabledaily[المستفيــــــــد],MATCH(TableDailyJournal[[#This Row],[رقم العملية]],Tabledaily[رقم العملية],0))</f>
        <v>مرافقي الاركان</v>
      </c>
      <c r="P575" s="121" t="str">
        <f>INDEX(Tabledaily[المــــرجـــــــــع],MATCH(TableDailyJournal[[#This Row],[رقم العملية]],Tabledaily[رقم العملية],0))</f>
        <v>كشف صرف</v>
      </c>
      <c r="Q575" s="121" t="str">
        <f>INDEX(Tabledaily[اســـــــم المــــرجــــع],MATCH(TableDailyJournal[[#This Row],[رقم العملية]],Tabledaily[رقم العملية],0))</f>
        <v>كشف صرف</v>
      </c>
      <c r="R575" s="121">
        <f>INDEX(Tabledaily[رقم المـــــرجـــع],MATCH(TableDailyJournal[[#This Row],[رقم العملية]],Tabledaily[رقم العملية],0))</f>
        <v>0</v>
      </c>
      <c r="S575" s="121" t="str">
        <f>INDEX(Tabledaily[مركـــــــزالتكلفــــــة],MATCH(TableDailyJournal[[#This Row],[رقم العملية]],Tabledaily[رقم العملية],0))</f>
        <v>الفرقة الثالثة</v>
      </c>
      <c r="T575" s="121">
        <f>IFERROR(INDEX(tablecost[رقم المركز],MATCH(TableDailyJournal[[#This Row],[مركـــــــزالتكلفــــــة]],tablecost[الاسم],0)),0)</f>
        <v>1</v>
      </c>
      <c r="U575" s="122">
        <f>IFERROR(DATE(TableDailyJournal[[#This Row],[السنــــة]],TableDailyJournal[[#This Row],[الشهــــر]],TableDailyJournal[[#This Row],[الـــــيوم]]),"01-01-2026")</f>
        <v>46191</v>
      </c>
      <c r="V575" s="126"/>
      <c r="W575" s="58"/>
      <c r="X575" s="58">
        <f>IFERROR(YEAR(TableDailyJournal[[#This Row],[التاريخ]]),"")</f>
        <v>2026</v>
      </c>
      <c r="Y575" s="58">
        <f>IFERROR(MONTH(TableDailyJournal[[#This Row],[التاريخ]]),"")</f>
        <v>6</v>
      </c>
      <c r="Z575" s="58">
        <f>IFERROR(DAY(TableDailyJournal[[#This Row],[التاريخ]]),"")</f>
        <v>18</v>
      </c>
      <c r="AA575"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575" s="121">
        <f>INDEX(Tabledaily[جهة الامر],MATCH(TableDailyJournal[[#This Row],[رقم العملية]],Tabledaily[رقم العملية],0))</f>
        <v>0</v>
      </c>
    </row>
    <row r="576" spans="2:28" ht="45.75" x14ac:dyDescent="0.55000000000000004">
      <c r="B576" s="58">
        <f t="shared" si="18"/>
        <v>572</v>
      </c>
      <c r="C576" s="59" t="s">
        <v>978</v>
      </c>
      <c r="D576" s="60">
        <f>INDEX(Tabledaily[date],MATCH(TableDailyJournal[[#This Row],[رقم العملية]],Tabledaily[رقم العملية],0))</f>
        <v>46191</v>
      </c>
      <c r="E576" s="58" t="str">
        <f>INDEX(Tabledaily[نوع العمليــة],MATCH(TableDailyJournal[[#This Row],[رقم العملية]],Tabledaily[رقم العملية],0))</f>
        <v>قيد عهده</v>
      </c>
      <c r="F576" s="58">
        <f>IFERROR(INDEX(TableJudje[رقم الحساب],MATCH(TableDailyJournal[[#This Row],[الحساب]],TableJudje[اسم الحساب],0)),0)</f>
        <v>31010101</v>
      </c>
      <c r="G576" s="58" t="s">
        <v>111</v>
      </c>
      <c r="H576" s="61"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576" s="60" t="str">
        <f>INDEX(Tabledaily[العملـــة],MATCH(TableDailyJournal[[#This Row],[رقم العملية]],Tabledaily[رقم العملية],0))</f>
        <v>ريال يمني</v>
      </c>
      <c r="J576" s="59">
        <f>IFERROR(INDEX(Tabledaily[سعــــــر
الصـــــرف],MATCH(C576,Tabledaily[رقم العملية],0)),1)</f>
        <v>405</v>
      </c>
      <c r="K576" s="123" cm="1">
        <f t="array" ref="K576">IFERROR(INDEX(Tabledaily[المبلـــــــغ],MATCH(1,(TableDailyJournal[[#This Row],[رقم العملية]]=Tabledaily[رقم العملية])*(TableDailyJournal[[#This Row],[الحساب]]=Tabledaily[الحســاب المديــــن]),0)),0)</f>
        <v>18000</v>
      </c>
      <c r="L576" s="123" cm="1">
        <f t="array" ref="L576">IFERROR(INDEX(Tabledaily[المبلـــــــغ],MATCH(1,(TableDailyJournal[[#This Row],[رقم العملية]]=Tabledaily[رقم العملية])*(TableDailyJournal[[#This Row],[الحساب]]=Tabledaily[الحســاب الدئـــن]),0)),0)</f>
        <v>0</v>
      </c>
      <c r="M576" s="119">
        <f>IFERROR(TableDailyJournal[[#This Row],[المبلغ مدين]]/TableDailyJournal[[#This Row],[سعــــــر
الصـــــرف]],0)</f>
        <v>44.444444444444443</v>
      </c>
      <c r="N576" s="119">
        <f>IFERROR(TableDailyJournal[[#This Row],[المبلغ دائن]]/TableDailyJournal[[#This Row],[سعــــــر
الصـــــرف]],0)</f>
        <v>0</v>
      </c>
      <c r="O576" s="121" t="str">
        <f>INDEX(Tabledaily[المستفيــــــــد],MATCH(TableDailyJournal[[#This Row],[رقم العملية]],Tabledaily[رقم العملية],0))</f>
        <v>طقم اللواء السابع</v>
      </c>
      <c r="P576" s="121" t="str">
        <f>INDEX(Tabledaily[المــــرجـــــــــع],MATCH(TableDailyJournal[[#This Row],[رقم العملية]],Tabledaily[رقم العملية],0))</f>
        <v>كشف صرف</v>
      </c>
      <c r="Q576" s="121" t="str">
        <f>INDEX(Tabledaily[اســـــــم المــــرجــــع],MATCH(TableDailyJournal[[#This Row],[رقم العملية]],Tabledaily[رقم العملية],0))</f>
        <v>كشف صرف</v>
      </c>
      <c r="R576" s="121">
        <f>INDEX(Tabledaily[رقم المـــــرجـــع],MATCH(TableDailyJournal[[#This Row],[رقم العملية]],Tabledaily[رقم العملية],0))</f>
        <v>0</v>
      </c>
      <c r="S576" s="121" t="str">
        <f>INDEX(Tabledaily[مركـــــــزالتكلفــــــة],MATCH(TableDailyJournal[[#This Row],[رقم العملية]],Tabledaily[رقم العملية],0))</f>
        <v>الفرقة الثالثة</v>
      </c>
      <c r="T576" s="121">
        <f>IFERROR(INDEX(tablecost[رقم المركز],MATCH(TableDailyJournal[[#This Row],[مركـــــــزالتكلفــــــة]],tablecost[الاسم],0)),0)</f>
        <v>1</v>
      </c>
      <c r="U576" s="122">
        <f>IFERROR(DATE(TableDailyJournal[[#This Row],[السنــــة]],TableDailyJournal[[#This Row],[الشهــــر]],TableDailyJournal[[#This Row],[الـــــيوم]]),"01-01-2026")</f>
        <v>46191</v>
      </c>
      <c r="V576" s="126"/>
      <c r="W576" s="58"/>
      <c r="X576" s="58">
        <f>IFERROR(YEAR(TableDailyJournal[[#This Row],[التاريخ]]),"")</f>
        <v>2026</v>
      </c>
      <c r="Y576" s="58">
        <f>IFERROR(MONTH(TableDailyJournal[[#This Row],[التاريخ]]),"")</f>
        <v>6</v>
      </c>
      <c r="Z576" s="58">
        <f>IFERROR(DAY(TableDailyJournal[[#This Row],[التاريخ]]),"")</f>
        <v>18</v>
      </c>
      <c r="AA576"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576" s="121">
        <f>INDEX(Tabledaily[جهة الامر],MATCH(TableDailyJournal[[#This Row],[رقم العملية]],Tabledaily[رقم العملية],0))</f>
        <v>0</v>
      </c>
    </row>
    <row r="577" spans="2:28" ht="45.75" x14ac:dyDescent="0.55000000000000004">
      <c r="B577" s="58">
        <f t="shared" si="18"/>
        <v>573</v>
      </c>
      <c r="C577" s="59" t="s">
        <v>978</v>
      </c>
      <c r="D577" s="60">
        <f>INDEX(Tabledaily[date],MATCH(TableDailyJournal[[#This Row],[رقم العملية]],Tabledaily[رقم العملية],0))</f>
        <v>46191</v>
      </c>
      <c r="E577" s="58" t="str">
        <f>INDEX(Tabledaily[نوع العمليــة],MATCH(TableDailyJournal[[#This Row],[رقم العملية]],Tabledaily[رقم العملية],0))</f>
        <v>قيد عهده</v>
      </c>
      <c r="F577" s="58">
        <f>IFERROR(INDEX(TableJudje[رقم الحساب],MATCH(TableDailyJournal[[#This Row],[الحساب]],TableJudje[اسم الحساب],0)),0)</f>
        <v>11060205</v>
      </c>
      <c r="G577" s="58" t="s">
        <v>513</v>
      </c>
      <c r="H577" s="61"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577" s="60" t="str">
        <f>INDEX(Tabledaily[العملـــة],MATCH(TableDailyJournal[[#This Row],[رقم العملية]],Tabledaily[رقم العملية],0))</f>
        <v>ريال يمني</v>
      </c>
      <c r="J577" s="59">
        <f>IFERROR(INDEX(Tabledaily[سعــــــر
الصـــــرف],MATCH(C577,Tabledaily[رقم العملية],0)),1)</f>
        <v>405</v>
      </c>
      <c r="K577" s="123" cm="1">
        <f t="array" ref="K577">IFERROR(INDEX(Tabledaily[المبلـــــــغ],MATCH(1,(TableDailyJournal[[#This Row],[رقم العملية]]=Tabledaily[رقم العملية])*(TableDailyJournal[[#This Row],[الحساب]]=Tabledaily[الحســاب المديــــن]),0)),0)</f>
        <v>0</v>
      </c>
      <c r="L577" s="123" cm="1">
        <f t="array" ref="L577">IFERROR(INDEX(Tabledaily[المبلـــــــغ],MATCH(1,(TableDailyJournal[[#This Row],[رقم العملية]]=Tabledaily[رقم العملية])*(TableDailyJournal[[#This Row],[الحساب]]=Tabledaily[الحســاب الدئـــن]),0)),0)</f>
        <v>18000</v>
      </c>
      <c r="M577" s="119">
        <f>IFERROR(TableDailyJournal[[#This Row],[المبلغ مدين]]/TableDailyJournal[[#This Row],[سعــــــر
الصـــــرف]],0)</f>
        <v>0</v>
      </c>
      <c r="N577" s="119">
        <f>IFERROR(TableDailyJournal[[#This Row],[المبلغ دائن]]/TableDailyJournal[[#This Row],[سعــــــر
الصـــــرف]],0)</f>
        <v>44.444444444444443</v>
      </c>
      <c r="O577" s="121" t="str">
        <f>INDEX(Tabledaily[المستفيــــــــد],MATCH(TableDailyJournal[[#This Row],[رقم العملية]],Tabledaily[رقم العملية],0))</f>
        <v>طقم اللواء السابع</v>
      </c>
      <c r="P577" s="121" t="str">
        <f>INDEX(Tabledaily[المــــرجـــــــــع],MATCH(TableDailyJournal[[#This Row],[رقم العملية]],Tabledaily[رقم العملية],0))</f>
        <v>كشف صرف</v>
      </c>
      <c r="Q577" s="121" t="str">
        <f>INDEX(Tabledaily[اســـــــم المــــرجــــع],MATCH(TableDailyJournal[[#This Row],[رقم العملية]],Tabledaily[رقم العملية],0))</f>
        <v>كشف صرف</v>
      </c>
      <c r="R577" s="121">
        <f>INDEX(Tabledaily[رقم المـــــرجـــع],MATCH(TableDailyJournal[[#This Row],[رقم العملية]],Tabledaily[رقم العملية],0))</f>
        <v>0</v>
      </c>
      <c r="S577" s="121" t="str">
        <f>INDEX(Tabledaily[مركـــــــزالتكلفــــــة],MATCH(TableDailyJournal[[#This Row],[رقم العملية]],Tabledaily[رقم العملية],0))</f>
        <v>الفرقة الثالثة</v>
      </c>
      <c r="T577" s="121">
        <f>IFERROR(INDEX(tablecost[رقم المركز],MATCH(TableDailyJournal[[#This Row],[مركـــــــزالتكلفــــــة]],tablecost[الاسم],0)),0)</f>
        <v>1</v>
      </c>
      <c r="U577" s="122">
        <f>IFERROR(DATE(TableDailyJournal[[#This Row],[السنــــة]],TableDailyJournal[[#This Row],[الشهــــر]],TableDailyJournal[[#This Row],[الـــــيوم]]),"01-01-2026")</f>
        <v>46191</v>
      </c>
      <c r="V577" s="126"/>
      <c r="W577" s="58"/>
      <c r="X577" s="58">
        <f>IFERROR(YEAR(TableDailyJournal[[#This Row],[التاريخ]]),"")</f>
        <v>2026</v>
      </c>
      <c r="Y577" s="58">
        <f>IFERROR(MONTH(TableDailyJournal[[#This Row],[التاريخ]]),"")</f>
        <v>6</v>
      </c>
      <c r="Z577" s="58">
        <f>IFERROR(DAY(TableDailyJournal[[#This Row],[التاريخ]]),"")</f>
        <v>18</v>
      </c>
      <c r="AA577"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577" s="121">
        <f>INDEX(Tabledaily[جهة الامر],MATCH(TableDailyJournal[[#This Row],[رقم العملية]],Tabledaily[رقم العملية],0))</f>
        <v>0</v>
      </c>
    </row>
    <row r="578" spans="2:28" ht="45.75" x14ac:dyDescent="0.55000000000000004">
      <c r="B578" s="58">
        <f t="shared" si="18"/>
        <v>574</v>
      </c>
      <c r="C578" s="59" t="s">
        <v>979</v>
      </c>
      <c r="D578" s="60">
        <f>INDEX(Tabledaily[date],MATCH(TableDailyJournal[[#This Row],[رقم العملية]],Tabledaily[رقم العملية],0))</f>
        <v>46191</v>
      </c>
      <c r="E578" s="58" t="str">
        <f>INDEX(Tabledaily[نوع العمليــة],MATCH(TableDailyJournal[[#This Row],[رقم العملية]],Tabledaily[رقم العملية],0))</f>
        <v>قيد عهده</v>
      </c>
      <c r="F578" s="58">
        <f>IFERROR(INDEX(TableJudje[رقم الحساب],MATCH(TableDailyJournal[[#This Row],[الحساب]],TableJudje[اسم الحساب],0)),0)</f>
        <v>31010101</v>
      </c>
      <c r="G578" s="58" t="s">
        <v>111</v>
      </c>
      <c r="H578"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I578" s="60" t="str">
        <f>INDEX(Tabledaily[العملـــة],MATCH(TableDailyJournal[[#This Row],[رقم العملية]],Tabledaily[رقم العملية],0))</f>
        <v>ريال يمني</v>
      </c>
      <c r="J578" s="59">
        <f>IFERROR(INDEX(Tabledaily[سعــــــر
الصـــــرف],MATCH(C578,Tabledaily[رقم العملية],0)),1)</f>
        <v>405</v>
      </c>
      <c r="K578" s="123" cm="1">
        <f t="array" ref="K578">IFERROR(INDEX(Tabledaily[المبلـــــــغ],MATCH(1,(TableDailyJournal[[#This Row],[رقم العملية]]=Tabledaily[رقم العملية])*(TableDailyJournal[[#This Row],[الحساب]]=Tabledaily[الحســاب المديــــن]),0)),0)</f>
        <v>100000</v>
      </c>
      <c r="L578" s="123" cm="1">
        <f t="array" ref="L578">IFERROR(INDEX(Tabledaily[المبلـــــــغ],MATCH(1,(TableDailyJournal[[#This Row],[رقم العملية]]=Tabledaily[رقم العملية])*(TableDailyJournal[[#This Row],[الحساب]]=Tabledaily[الحســاب الدئـــن]),0)),0)</f>
        <v>0</v>
      </c>
      <c r="M578" s="119">
        <f>IFERROR(TableDailyJournal[[#This Row],[المبلغ مدين]]/TableDailyJournal[[#This Row],[سعــــــر
الصـــــرف]],0)</f>
        <v>246.91358024691357</v>
      </c>
      <c r="N578" s="119">
        <f>IFERROR(TableDailyJournal[[#This Row],[المبلغ دائن]]/TableDailyJournal[[#This Row],[سعــــــر
الصـــــرف]],0)</f>
        <v>0</v>
      </c>
      <c r="O578" s="121" t="str">
        <f>INDEX(Tabledaily[المستفيــــــــد],MATCH(TableDailyJournal[[#This Row],[رقم العملية]],Tabledaily[رقم العملية],0))</f>
        <v>الضباط السابقين</v>
      </c>
      <c r="P578" s="121" t="str">
        <f>INDEX(Tabledaily[المــــرجـــــــــع],MATCH(TableDailyJournal[[#This Row],[رقم العملية]],Tabledaily[رقم العملية],0))</f>
        <v>كشف صرف</v>
      </c>
      <c r="Q578" s="121" t="str">
        <f>INDEX(Tabledaily[اســـــــم المــــرجــــع],MATCH(TableDailyJournal[[#This Row],[رقم العملية]],Tabledaily[رقم العملية],0))</f>
        <v>كشف صرف</v>
      </c>
      <c r="R578" s="121">
        <f>INDEX(Tabledaily[رقم المـــــرجـــع],MATCH(TableDailyJournal[[#This Row],[رقم العملية]],Tabledaily[رقم العملية],0))</f>
        <v>0</v>
      </c>
      <c r="S578" s="121" t="str">
        <f>INDEX(Tabledaily[مركـــــــزالتكلفــــــة],MATCH(TableDailyJournal[[#This Row],[رقم العملية]],Tabledaily[رقم العملية],0))</f>
        <v>الفرقة الثالثة</v>
      </c>
      <c r="T578" s="121">
        <f>IFERROR(INDEX(tablecost[رقم المركز],MATCH(TableDailyJournal[[#This Row],[مركـــــــزالتكلفــــــة]],tablecost[الاسم],0)),0)</f>
        <v>1</v>
      </c>
      <c r="U578" s="122">
        <f>IFERROR(DATE(TableDailyJournal[[#This Row],[السنــــة]],TableDailyJournal[[#This Row],[الشهــــر]],TableDailyJournal[[#This Row],[الـــــيوم]]),"01-01-2026")</f>
        <v>46191</v>
      </c>
      <c r="V578" s="126"/>
      <c r="W578" s="58"/>
      <c r="X578" s="58">
        <f>IFERROR(YEAR(TableDailyJournal[[#This Row],[التاريخ]]),"")</f>
        <v>2026</v>
      </c>
      <c r="Y578" s="58">
        <f>IFERROR(MONTH(TableDailyJournal[[#This Row],[التاريخ]]),"")</f>
        <v>6</v>
      </c>
      <c r="Z578" s="58">
        <f>IFERROR(DAY(TableDailyJournal[[#This Row],[التاريخ]]),"")</f>
        <v>18</v>
      </c>
      <c r="AA578"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AB578" s="121">
        <f>INDEX(Tabledaily[جهة الامر],MATCH(TableDailyJournal[[#This Row],[رقم العملية]],Tabledaily[رقم العملية],0))</f>
        <v>0</v>
      </c>
    </row>
    <row r="579" spans="2:28" ht="45.75" x14ac:dyDescent="0.55000000000000004">
      <c r="B579" s="58">
        <f t="shared" si="18"/>
        <v>575</v>
      </c>
      <c r="C579" s="59" t="s">
        <v>979</v>
      </c>
      <c r="D579" s="60">
        <f>INDEX(Tabledaily[date],MATCH(TableDailyJournal[[#This Row],[رقم العملية]],Tabledaily[رقم العملية],0))</f>
        <v>46191</v>
      </c>
      <c r="E579" s="58" t="str">
        <f>INDEX(Tabledaily[نوع العمليــة],MATCH(TableDailyJournal[[#This Row],[رقم العملية]],Tabledaily[رقم العملية],0))</f>
        <v>قيد عهده</v>
      </c>
      <c r="F579" s="58">
        <f>IFERROR(INDEX(TableJudje[رقم الحساب],MATCH(TableDailyJournal[[#This Row],[الحساب]],TableJudje[اسم الحساب],0)),0)</f>
        <v>11060205</v>
      </c>
      <c r="G579" s="58" t="s">
        <v>513</v>
      </c>
      <c r="H579"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I579" s="60" t="str">
        <f>INDEX(Tabledaily[العملـــة],MATCH(TableDailyJournal[[#This Row],[رقم العملية]],Tabledaily[رقم العملية],0))</f>
        <v>ريال يمني</v>
      </c>
      <c r="J579" s="59">
        <f>IFERROR(INDEX(Tabledaily[سعــــــر
الصـــــرف],MATCH(C579,Tabledaily[رقم العملية],0)),1)</f>
        <v>405</v>
      </c>
      <c r="K579" s="123" cm="1">
        <f t="array" ref="K579">IFERROR(INDEX(Tabledaily[المبلـــــــغ],MATCH(1,(TableDailyJournal[[#This Row],[رقم العملية]]=Tabledaily[رقم العملية])*(TableDailyJournal[[#This Row],[الحساب]]=Tabledaily[الحســاب المديــــن]),0)),0)</f>
        <v>0</v>
      </c>
      <c r="L579" s="123" cm="1">
        <f t="array" ref="L579">IFERROR(INDEX(Tabledaily[المبلـــــــغ],MATCH(1,(TableDailyJournal[[#This Row],[رقم العملية]]=Tabledaily[رقم العملية])*(TableDailyJournal[[#This Row],[الحساب]]=Tabledaily[الحســاب الدئـــن]),0)),0)</f>
        <v>100000</v>
      </c>
      <c r="M579" s="119">
        <f>IFERROR(TableDailyJournal[[#This Row],[المبلغ مدين]]/TableDailyJournal[[#This Row],[سعــــــر
الصـــــرف]],0)</f>
        <v>0</v>
      </c>
      <c r="N579" s="119">
        <f>IFERROR(TableDailyJournal[[#This Row],[المبلغ دائن]]/TableDailyJournal[[#This Row],[سعــــــر
الصـــــرف]],0)</f>
        <v>246.91358024691357</v>
      </c>
      <c r="O579" s="121" t="str">
        <f>INDEX(Tabledaily[المستفيــــــــد],MATCH(TableDailyJournal[[#This Row],[رقم العملية]],Tabledaily[رقم العملية],0))</f>
        <v>الضباط السابقين</v>
      </c>
      <c r="P579" s="121" t="str">
        <f>INDEX(Tabledaily[المــــرجـــــــــع],MATCH(TableDailyJournal[[#This Row],[رقم العملية]],Tabledaily[رقم العملية],0))</f>
        <v>كشف صرف</v>
      </c>
      <c r="Q579" s="121" t="str">
        <f>INDEX(Tabledaily[اســـــــم المــــرجــــع],MATCH(TableDailyJournal[[#This Row],[رقم العملية]],Tabledaily[رقم العملية],0))</f>
        <v>كشف صرف</v>
      </c>
      <c r="R579" s="121">
        <f>INDEX(Tabledaily[رقم المـــــرجـــع],MATCH(TableDailyJournal[[#This Row],[رقم العملية]],Tabledaily[رقم العملية],0))</f>
        <v>0</v>
      </c>
      <c r="S579" s="121" t="str">
        <f>INDEX(Tabledaily[مركـــــــزالتكلفــــــة],MATCH(TableDailyJournal[[#This Row],[رقم العملية]],Tabledaily[رقم العملية],0))</f>
        <v>الفرقة الثالثة</v>
      </c>
      <c r="T579" s="121">
        <f>IFERROR(INDEX(tablecost[رقم المركز],MATCH(TableDailyJournal[[#This Row],[مركـــــــزالتكلفــــــة]],tablecost[الاسم],0)),0)</f>
        <v>1</v>
      </c>
      <c r="U579" s="122">
        <f>IFERROR(DATE(TableDailyJournal[[#This Row],[السنــــة]],TableDailyJournal[[#This Row],[الشهــــر]],TableDailyJournal[[#This Row],[الـــــيوم]]),"01-01-2026")</f>
        <v>46191</v>
      </c>
      <c r="V579" s="126"/>
      <c r="W579" s="58"/>
      <c r="X579" s="58">
        <f>IFERROR(YEAR(TableDailyJournal[[#This Row],[التاريخ]]),"")</f>
        <v>2026</v>
      </c>
      <c r="Y579" s="58">
        <f>IFERROR(MONTH(TableDailyJournal[[#This Row],[التاريخ]]),"")</f>
        <v>6</v>
      </c>
      <c r="Z579" s="58">
        <f>IFERROR(DAY(TableDailyJournal[[#This Row],[التاريخ]]),"")</f>
        <v>18</v>
      </c>
      <c r="AA579"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عدد10 ضباط بامر</v>
      </c>
      <c r="AB579" s="121">
        <f>INDEX(Tabledaily[جهة الامر],MATCH(TableDailyJournal[[#This Row],[رقم العملية]],Tabledaily[رقم العملية],0))</f>
        <v>0</v>
      </c>
    </row>
    <row r="580" spans="2:28" ht="67.5" x14ac:dyDescent="0.55000000000000004">
      <c r="B580" s="58">
        <f t="shared" si="18"/>
        <v>576</v>
      </c>
      <c r="C580" s="59" t="s">
        <v>980</v>
      </c>
      <c r="D580" s="60">
        <f>INDEX(Tabledaily[date],MATCH(TableDailyJournal[[#This Row],[رقم العملية]],Tabledaily[رقم العملية],0))</f>
        <v>46191</v>
      </c>
      <c r="E580" s="58" t="str">
        <f>INDEX(Tabledaily[نوع العمليــة],MATCH(TableDailyJournal[[#This Row],[رقم العملية]],Tabledaily[رقم العملية],0))</f>
        <v>قيد عهده</v>
      </c>
      <c r="F580" s="58">
        <f>IFERROR(INDEX(TableJudje[رقم الحساب],MATCH(TableDailyJournal[[#This Row],[الحساب]],TableJudje[اسم الحساب],0)),0)</f>
        <v>31010101</v>
      </c>
      <c r="G580" s="58" t="s">
        <v>111</v>
      </c>
      <c r="H580" s="61" t="str">
        <f>INDEX(Tabledaily[المرجع البياني],MATCH(TableDailyJournal[[#This Row],[رقم العملية]],Tabledaily[رقم العملية],0))</f>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v>
      </c>
      <c r="I580" s="60" t="str">
        <f>INDEX(Tabledaily[العملـــة],MATCH(TableDailyJournal[[#This Row],[رقم العملية]],Tabledaily[رقم العملية],0))</f>
        <v>ريال يمني</v>
      </c>
      <c r="J580" s="59">
        <f>IFERROR(INDEX(Tabledaily[سعــــــر
الصـــــرف],MATCH(C580,Tabledaily[رقم العملية],0)),1)</f>
        <v>405</v>
      </c>
      <c r="K580" s="123" cm="1">
        <f t="array" ref="K580">IFERROR(INDEX(Tabledaily[المبلـــــــغ],MATCH(1,(TableDailyJournal[[#This Row],[رقم العملية]]=Tabledaily[رقم العملية])*(TableDailyJournal[[#This Row],[الحساب]]=Tabledaily[الحســاب المديــــن]),0)),0)</f>
        <v>60000</v>
      </c>
      <c r="L580" s="123" cm="1">
        <f t="array" ref="L580">IFERROR(INDEX(Tabledaily[المبلـــــــغ],MATCH(1,(TableDailyJournal[[#This Row],[رقم العملية]]=Tabledaily[رقم العملية])*(TableDailyJournal[[#This Row],[الحساب]]=Tabledaily[الحســاب الدئـــن]),0)),0)</f>
        <v>0</v>
      </c>
      <c r="M580" s="119">
        <f>IFERROR(TableDailyJournal[[#This Row],[المبلغ مدين]]/TableDailyJournal[[#This Row],[سعــــــر
الصـــــرف]],0)</f>
        <v>148.14814814814815</v>
      </c>
      <c r="N580" s="119">
        <f>IFERROR(TableDailyJournal[[#This Row],[المبلغ دائن]]/TableDailyJournal[[#This Row],[سعــــــر
الصـــــرف]],0)</f>
        <v>0</v>
      </c>
      <c r="O580" s="121" t="str">
        <f>INDEX(Tabledaily[المستفيــــــــد],MATCH(TableDailyJournal[[#This Row],[رقم العملية]],Tabledaily[رقم العملية],0))</f>
        <v>ضباط اللواء السادس</v>
      </c>
      <c r="P580" s="121" t="str">
        <f>INDEX(Tabledaily[المــــرجـــــــــع],MATCH(TableDailyJournal[[#This Row],[رقم العملية]],Tabledaily[رقم العملية],0))</f>
        <v>كشف صرف</v>
      </c>
      <c r="Q580" s="121" t="str">
        <f>INDEX(Tabledaily[اســـــــم المــــرجــــع],MATCH(TableDailyJournal[[#This Row],[رقم العملية]],Tabledaily[رقم العملية],0))</f>
        <v>كشف صرف</v>
      </c>
      <c r="R580" s="121">
        <f>INDEX(Tabledaily[رقم المـــــرجـــع],MATCH(TableDailyJournal[[#This Row],[رقم العملية]],Tabledaily[رقم العملية],0))</f>
        <v>0</v>
      </c>
      <c r="S580" s="121" t="str">
        <f>INDEX(Tabledaily[مركـــــــزالتكلفــــــة],MATCH(TableDailyJournal[[#This Row],[رقم العملية]],Tabledaily[رقم العملية],0))</f>
        <v>اللواء السادس</v>
      </c>
      <c r="T580" s="121">
        <f>IFERROR(INDEX(tablecost[رقم المركز],MATCH(TableDailyJournal[[#This Row],[مركـــــــزالتكلفــــــة]],tablecost[الاسم],0)),0)</f>
        <v>7</v>
      </c>
      <c r="U580" s="122">
        <f>IFERROR(DATE(TableDailyJournal[[#This Row],[السنــــة]],TableDailyJournal[[#This Row],[الشهــــر]],TableDailyJournal[[#This Row],[الـــــيوم]]),"01-01-2026")</f>
        <v>46191</v>
      </c>
      <c r="V580" s="126"/>
      <c r="W580" s="58"/>
      <c r="X580" s="58">
        <f>IFERROR(YEAR(TableDailyJournal[[#This Row],[التاريخ]]),"")</f>
        <v>2026</v>
      </c>
      <c r="Y580" s="58">
        <f>IFERROR(MONTH(TableDailyJournal[[#This Row],[التاريخ]]),"")</f>
        <v>6</v>
      </c>
      <c r="Z580" s="58">
        <f>IFERROR(DAY(TableDailyJournal[[#This Row],[التاريخ]]),"")</f>
        <v>18</v>
      </c>
      <c r="AA580" s="126" t="str">
        <f>INDEX(Tabledaily[المرجع البياني],MATCH(TableDailyJournal[[#This Row],[رقم العملية]],Tabledaily[رقم العملية],0))</f>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v>
      </c>
      <c r="AB580" s="121" t="str">
        <f>INDEX(Tabledaily[جهة الامر],MATCH(TableDailyJournal[[#This Row],[رقم العملية]],Tabledaily[رقم العملية],0))</f>
        <v>المستشار المالي</v>
      </c>
    </row>
    <row r="581" spans="2:28" ht="67.5" x14ac:dyDescent="0.55000000000000004">
      <c r="B581" s="58">
        <f t="shared" si="18"/>
        <v>577</v>
      </c>
      <c r="C581" s="59" t="s">
        <v>980</v>
      </c>
      <c r="D581" s="60">
        <f>INDEX(Tabledaily[date],MATCH(TableDailyJournal[[#This Row],[رقم العملية]],Tabledaily[رقم العملية],0))</f>
        <v>46191</v>
      </c>
      <c r="E581" s="58" t="str">
        <f>INDEX(Tabledaily[نوع العمليــة],MATCH(TableDailyJournal[[#This Row],[رقم العملية]],Tabledaily[رقم العملية],0))</f>
        <v>قيد عهده</v>
      </c>
      <c r="F581" s="58">
        <f>IFERROR(INDEX(TableJudje[رقم الحساب],MATCH(TableDailyJournal[[#This Row],[الحساب]],TableJudje[اسم الحساب],0)),0)</f>
        <v>11060205</v>
      </c>
      <c r="G581" s="58" t="s">
        <v>513</v>
      </c>
      <c r="H581" s="61" t="str">
        <f>INDEX(Tabledaily[المرجع البياني],MATCH(TableDailyJournal[[#This Row],[رقم العملية]],Tabledaily[رقم العملية],0))</f>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v>
      </c>
      <c r="I581" s="60" t="str">
        <f>INDEX(Tabledaily[العملـــة],MATCH(TableDailyJournal[[#This Row],[رقم العملية]],Tabledaily[رقم العملية],0))</f>
        <v>ريال يمني</v>
      </c>
      <c r="J581" s="59">
        <f>IFERROR(INDEX(Tabledaily[سعــــــر
الصـــــرف],MATCH(C581,Tabledaily[رقم العملية],0)),1)</f>
        <v>405</v>
      </c>
      <c r="K581" s="123" cm="1">
        <f t="array" ref="K581">IFERROR(INDEX(Tabledaily[المبلـــــــغ],MATCH(1,(TableDailyJournal[[#This Row],[رقم العملية]]=Tabledaily[رقم العملية])*(TableDailyJournal[[#This Row],[الحساب]]=Tabledaily[الحســاب المديــــن]),0)),0)</f>
        <v>0</v>
      </c>
      <c r="L581" s="123" cm="1">
        <f t="array" ref="L581">IFERROR(INDEX(Tabledaily[المبلـــــــغ],MATCH(1,(TableDailyJournal[[#This Row],[رقم العملية]]=Tabledaily[رقم العملية])*(TableDailyJournal[[#This Row],[الحساب]]=Tabledaily[الحســاب الدئـــن]),0)),0)</f>
        <v>60000</v>
      </c>
      <c r="M581" s="119">
        <f>IFERROR(TableDailyJournal[[#This Row],[المبلغ مدين]]/TableDailyJournal[[#This Row],[سعــــــر
الصـــــرف]],0)</f>
        <v>0</v>
      </c>
      <c r="N581" s="119">
        <f>IFERROR(TableDailyJournal[[#This Row],[المبلغ دائن]]/TableDailyJournal[[#This Row],[سعــــــر
الصـــــرف]],0)</f>
        <v>148.14814814814815</v>
      </c>
      <c r="O581" s="121" t="str">
        <f>INDEX(Tabledaily[المستفيــــــــد],MATCH(TableDailyJournal[[#This Row],[رقم العملية]],Tabledaily[رقم العملية],0))</f>
        <v>ضباط اللواء السادس</v>
      </c>
      <c r="P581" s="121" t="str">
        <f>INDEX(Tabledaily[المــــرجـــــــــع],MATCH(TableDailyJournal[[#This Row],[رقم العملية]],Tabledaily[رقم العملية],0))</f>
        <v>كشف صرف</v>
      </c>
      <c r="Q581" s="121" t="str">
        <f>INDEX(Tabledaily[اســـــــم المــــرجــــع],MATCH(TableDailyJournal[[#This Row],[رقم العملية]],Tabledaily[رقم العملية],0))</f>
        <v>كشف صرف</v>
      </c>
      <c r="R581" s="121">
        <f>INDEX(Tabledaily[رقم المـــــرجـــع],MATCH(TableDailyJournal[[#This Row],[رقم العملية]],Tabledaily[رقم العملية],0))</f>
        <v>0</v>
      </c>
      <c r="S581" s="121" t="str">
        <f>INDEX(Tabledaily[مركـــــــزالتكلفــــــة],MATCH(TableDailyJournal[[#This Row],[رقم العملية]],Tabledaily[رقم العملية],0))</f>
        <v>اللواء السادس</v>
      </c>
      <c r="T581" s="121">
        <f>IFERROR(INDEX(tablecost[رقم المركز],MATCH(TableDailyJournal[[#This Row],[مركـــــــزالتكلفــــــة]],tablecost[الاسم],0)),0)</f>
        <v>7</v>
      </c>
      <c r="U581" s="122">
        <f>IFERROR(DATE(TableDailyJournal[[#This Row],[السنــــة]],TableDailyJournal[[#This Row],[الشهــــر]],TableDailyJournal[[#This Row],[الـــــيوم]]),"01-01-2026")</f>
        <v>46191</v>
      </c>
      <c r="V581" s="126"/>
      <c r="W581" s="58"/>
      <c r="X581" s="58">
        <f>IFERROR(YEAR(TableDailyJournal[[#This Row],[التاريخ]]),"")</f>
        <v>2026</v>
      </c>
      <c r="Y581" s="58">
        <f>IFERROR(MONTH(TableDailyJournal[[#This Row],[التاريخ]]),"")</f>
        <v>6</v>
      </c>
      <c r="Z581" s="58">
        <f>IFERROR(DAY(TableDailyJournal[[#This Row],[التاريخ]]),"")</f>
        <v>18</v>
      </c>
      <c r="AA581" s="126" t="str">
        <f>INDEX(Tabledaily[المرجع البياني],MATCH(TableDailyJournal[[#This Row],[رقم العملية]],Tabledaily[رقم العملية],0))</f>
        <v>قيـد مقابـل:- (مصاريف  صرفة يومية للافراد  - ضباط اللواء السادس - اللواء السادس)  - كشف صرف رقم   كشف صرف - صرف الصرفة اليومية لضباط اللواء السادس عدد 6 ضباط بامرالمستشار المالي</v>
      </c>
      <c r="AB581" s="121" t="str">
        <f>INDEX(Tabledaily[جهة الامر],MATCH(TableDailyJournal[[#This Row],[رقم العملية]],Tabledaily[رقم العملية],0))</f>
        <v>المستشار المالي</v>
      </c>
    </row>
    <row r="582" spans="2:28" ht="45.75" x14ac:dyDescent="0.55000000000000004">
      <c r="B582" s="58">
        <f t="shared" ref="B582:B613" si="19">ROW()-4</f>
        <v>578</v>
      </c>
      <c r="C582" s="59" t="s">
        <v>983</v>
      </c>
      <c r="D582" s="60">
        <f>INDEX(Tabledaily[date],MATCH(TableDailyJournal[[#This Row],[رقم العملية]],Tabledaily[رقم العملية],0))</f>
        <v>46191</v>
      </c>
      <c r="E582" s="58" t="str">
        <f>INDEX(Tabledaily[نوع العمليــة],MATCH(TableDailyJournal[[#This Row],[رقم العملية]],Tabledaily[رقم العملية],0))</f>
        <v>قيد عهده</v>
      </c>
      <c r="F582" s="58">
        <f>IFERROR(INDEX(TableJudje[رقم الحساب],MATCH(TableDailyJournal[[#This Row],[الحساب]],TableJudje[اسم الحساب],0)),0)</f>
        <v>31010101</v>
      </c>
      <c r="G582" s="58" t="s">
        <v>111</v>
      </c>
      <c r="H582" s="61"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60 فرد بامر</v>
      </c>
      <c r="I582" s="60" t="str">
        <f>INDEX(Tabledaily[العملـــة],MATCH(TableDailyJournal[[#This Row],[رقم العملية]],Tabledaily[رقم العملية],0))</f>
        <v>ريال يمني</v>
      </c>
      <c r="J582" s="59">
        <f>IFERROR(INDEX(Tabledaily[سعــــــر
الصـــــرف],MATCH(C582,Tabledaily[رقم العملية],0)),1)</f>
        <v>405</v>
      </c>
      <c r="K582" s="123" cm="1">
        <f t="array" ref="K582">IFERROR(INDEX(Tabledaily[المبلـــــــغ],MATCH(1,(TableDailyJournal[[#This Row],[رقم العملية]]=Tabledaily[رقم العملية])*(TableDailyJournal[[#This Row],[الحساب]]=Tabledaily[الحســاب المديــــن]),0)),0)</f>
        <v>720000</v>
      </c>
      <c r="L582" s="123" cm="1">
        <f t="array" ref="L582">IFERROR(INDEX(Tabledaily[المبلـــــــغ],MATCH(1,(TableDailyJournal[[#This Row],[رقم العملية]]=Tabledaily[رقم العملية])*(TableDailyJournal[[#This Row],[الحساب]]=Tabledaily[الحســاب الدئـــن]),0)),0)</f>
        <v>0</v>
      </c>
      <c r="M582" s="119">
        <f>IFERROR(TableDailyJournal[[#This Row],[المبلغ مدين]]/TableDailyJournal[[#This Row],[سعــــــر
الصـــــرف]],0)</f>
        <v>1777.7777777777778</v>
      </c>
      <c r="N582" s="119">
        <f>IFERROR(TableDailyJournal[[#This Row],[المبلغ دائن]]/TableDailyJournal[[#This Row],[سعــــــر
الصـــــرف]],0)</f>
        <v>0</v>
      </c>
      <c r="O582" s="121" t="str">
        <f>INDEX(Tabledaily[المستفيــــــــد],MATCH(TableDailyJournal[[#This Row],[رقم العملية]],Tabledaily[رقم العملية],0))</f>
        <v>سرية الشرطة</v>
      </c>
      <c r="P582" s="121" t="str">
        <f>INDEX(Tabledaily[المــــرجـــــــــع],MATCH(TableDailyJournal[[#This Row],[رقم العملية]],Tabledaily[رقم العملية],0))</f>
        <v>كشف صرف</v>
      </c>
      <c r="Q582" s="121" t="str">
        <f>INDEX(Tabledaily[اســـــــم المــــرجــــع],MATCH(TableDailyJournal[[#This Row],[رقم العملية]],Tabledaily[رقم العملية],0))</f>
        <v>كشف صرف</v>
      </c>
      <c r="R582" s="121">
        <f>INDEX(Tabledaily[رقم المـــــرجـــع],MATCH(TableDailyJournal[[#This Row],[رقم العملية]],Tabledaily[رقم العملية],0))</f>
        <v>0</v>
      </c>
      <c r="S582" s="121" t="str">
        <f>INDEX(Tabledaily[مركـــــــزالتكلفــــــة],MATCH(TableDailyJournal[[#This Row],[رقم العملية]],Tabledaily[رقم العملية],0))</f>
        <v>الفرقة الثالثة</v>
      </c>
      <c r="T582" s="121">
        <f>IFERROR(INDEX(tablecost[رقم المركز],MATCH(TableDailyJournal[[#This Row],[مركـــــــزالتكلفــــــة]],tablecost[الاسم],0)),0)</f>
        <v>1</v>
      </c>
      <c r="U582" s="122">
        <f>IFERROR(DATE(TableDailyJournal[[#This Row],[السنــــة]],TableDailyJournal[[#This Row],[الشهــــر]],TableDailyJournal[[#This Row],[الـــــيوم]]),"01-01-2026")</f>
        <v>46191</v>
      </c>
      <c r="V582" s="126"/>
      <c r="W582" s="58"/>
      <c r="X582" s="58">
        <f>IFERROR(YEAR(TableDailyJournal[[#This Row],[التاريخ]]),"")</f>
        <v>2026</v>
      </c>
      <c r="Y582" s="58">
        <f>IFERROR(MONTH(TableDailyJournal[[#This Row],[التاريخ]]),"")</f>
        <v>6</v>
      </c>
      <c r="Z582" s="58">
        <f>IFERROR(DAY(TableDailyJournal[[#This Row],[التاريخ]]),"")</f>
        <v>18</v>
      </c>
      <c r="AA582" s="126"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60 فرد بامر</v>
      </c>
      <c r="AB582" s="121">
        <f>INDEX(Tabledaily[جهة الامر],MATCH(TableDailyJournal[[#This Row],[رقم العملية]],Tabledaily[رقم العملية],0))</f>
        <v>0</v>
      </c>
    </row>
    <row r="583" spans="2:28" ht="45.75" x14ac:dyDescent="0.55000000000000004">
      <c r="B583" s="58">
        <f t="shared" si="19"/>
        <v>579</v>
      </c>
      <c r="C583" s="59" t="s">
        <v>983</v>
      </c>
      <c r="D583" s="60">
        <f>INDEX(Tabledaily[date],MATCH(TableDailyJournal[[#This Row],[رقم العملية]],Tabledaily[رقم العملية],0))</f>
        <v>46191</v>
      </c>
      <c r="E583" s="58" t="str">
        <f>INDEX(Tabledaily[نوع العمليــة],MATCH(TableDailyJournal[[#This Row],[رقم العملية]],Tabledaily[رقم العملية],0))</f>
        <v>قيد عهده</v>
      </c>
      <c r="F583" s="58">
        <f>IFERROR(INDEX(TableJudje[رقم الحساب],MATCH(TableDailyJournal[[#This Row],[الحساب]],TableJudje[اسم الحساب],0)),0)</f>
        <v>11060205</v>
      </c>
      <c r="G583" s="58" t="s">
        <v>513</v>
      </c>
      <c r="H583" s="61"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60 فرد بامر</v>
      </c>
      <c r="I583" s="60" t="str">
        <f>INDEX(Tabledaily[العملـــة],MATCH(TableDailyJournal[[#This Row],[رقم العملية]],Tabledaily[رقم العملية],0))</f>
        <v>ريال يمني</v>
      </c>
      <c r="J583" s="59">
        <f>IFERROR(INDEX(Tabledaily[سعــــــر
الصـــــرف],MATCH(C583,Tabledaily[رقم العملية],0)),1)</f>
        <v>405</v>
      </c>
      <c r="K583" s="123" cm="1">
        <f t="array" ref="K583">IFERROR(INDEX(Tabledaily[المبلـــــــغ],MATCH(1,(TableDailyJournal[[#This Row],[رقم العملية]]=Tabledaily[رقم العملية])*(TableDailyJournal[[#This Row],[الحساب]]=Tabledaily[الحســاب المديــــن]),0)),0)</f>
        <v>0</v>
      </c>
      <c r="L583" s="123" cm="1">
        <f t="array" ref="L583">IFERROR(INDEX(Tabledaily[المبلـــــــغ],MATCH(1,(TableDailyJournal[[#This Row],[رقم العملية]]=Tabledaily[رقم العملية])*(TableDailyJournal[[#This Row],[الحساب]]=Tabledaily[الحســاب الدئـــن]),0)),0)</f>
        <v>720000</v>
      </c>
      <c r="M583" s="119">
        <f>IFERROR(TableDailyJournal[[#This Row],[المبلغ مدين]]/TableDailyJournal[[#This Row],[سعــــــر
الصـــــرف]],0)</f>
        <v>0</v>
      </c>
      <c r="N583" s="119">
        <f>IFERROR(TableDailyJournal[[#This Row],[المبلغ دائن]]/TableDailyJournal[[#This Row],[سعــــــر
الصـــــرف]],0)</f>
        <v>1777.7777777777778</v>
      </c>
      <c r="O583" s="121" t="str">
        <f>INDEX(Tabledaily[المستفيــــــــد],MATCH(TableDailyJournal[[#This Row],[رقم العملية]],Tabledaily[رقم العملية],0))</f>
        <v>سرية الشرطة</v>
      </c>
      <c r="P583" s="121" t="str">
        <f>INDEX(Tabledaily[المــــرجـــــــــع],MATCH(TableDailyJournal[[#This Row],[رقم العملية]],Tabledaily[رقم العملية],0))</f>
        <v>كشف صرف</v>
      </c>
      <c r="Q583" s="121" t="str">
        <f>INDEX(Tabledaily[اســـــــم المــــرجــــع],MATCH(TableDailyJournal[[#This Row],[رقم العملية]],Tabledaily[رقم العملية],0))</f>
        <v>كشف صرف</v>
      </c>
      <c r="R583" s="121">
        <f>INDEX(Tabledaily[رقم المـــــرجـــع],MATCH(TableDailyJournal[[#This Row],[رقم العملية]],Tabledaily[رقم العملية],0))</f>
        <v>0</v>
      </c>
      <c r="S583" s="121" t="str">
        <f>INDEX(Tabledaily[مركـــــــزالتكلفــــــة],MATCH(TableDailyJournal[[#This Row],[رقم العملية]],Tabledaily[رقم العملية],0))</f>
        <v>الفرقة الثالثة</v>
      </c>
      <c r="T583" s="121">
        <f>IFERROR(INDEX(tablecost[رقم المركز],MATCH(TableDailyJournal[[#This Row],[مركـــــــزالتكلفــــــة]],tablecost[الاسم],0)),0)</f>
        <v>1</v>
      </c>
      <c r="U583" s="122">
        <f>IFERROR(DATE(TableDailyJournal[[#This Row],[السنــــة]],TableDailyJournal[[#This Row],[الشهــــر]],TableDailyJournal[[#This Row],[الـــــيوم]]),"01-01-2026")</f>
        <v>46191</v>
      </c>
      <c r="V583" s="126"/>
      <c r="W583" s="58"/>
      <c r="X583" s="58">
        <f>IFERROR(YEAR(TableDailyJournal[[#This Row],[التاريخ]]),"")</f>
        <v>2026</v>
      </c>
      <c r="Y583" s="58">
        <f>IFERROR(MONTH(TableDailyJournal[[#This Row],[التاريخ]]),"")</f>
        <v>6</v>
      </c>
      <c r="Z583" s="58">
        <f>IFERROR(DAY(TableDailyJournal[[#This Row],[التاريخ]]),"")</f>
        <v>18</v>
      </c>
      <c r="AA583" s="126" t="str">
        <f>INDEX(Tabledaily[المرجع البياني],MATCH(TableDailyJournal[[#This Row],[رقم العملية]],Tabledaily[رقم العملية],0))</f>
        <v>قيـد مقابـل:- (مصاريف  صرفة يومية للافراد  - سرية الشرطة - الفرقة الثالثة)  - كشف صرف رقم   كشف صرف - صرف الصرفة الاسبوعي سرية الشرطة لعدد 60 فرد بامر</v>
      </c>
      <c r="AB583" s="121">
        <f>INDEX(Tabledaily[جهة الامر],MATCH(TableDailyJournal[[#This Row],[رقم العملية]],Tabledaily[رقم العملية],0))</f>
        <v>0</v>
      </c>
    </row>
    <row r="584" spans="2:28" ht="67.5" x14ac:dyDescent="0.55000000000000004">
      <c r="B584" s="58">
        <f t="shared" si="19"/>
        <v>580</v>
      </c>
      <c r="C584" s="59" t="s">
        <v>985</v>
      </c>
      <c r="D584" s="60">
        <f>INDEX(Tabledaily[date],MATCH(TableDailyJournal[[#This Row],[رقم العملية]],Tabledaily[رقم العملية],0))</f>
        <v>46191</v>
      </c>
      <c r="E584" s="58" t="str">
        <f>INDEX(Tabledaily[نوع العمليــة],MATCH(TableDailyJournal[[#This Row],[رقم العملية]],Tabledaily[رقم العملية],0))</f>
        <v>قيد عهده</v>
      </c>
      <c r="F584" s="58">
        <f>IFERROR(INDEX(TableJudje[رقم الحساب],MATCH(TableDailyJournal[[#This Row],[الحساب]],TableJudje[اسم الحساب],0)),0)</f>
        <v>31010101</v>
      </c>
      <c r="G584" s="58" t="s">
        <v>111</v>
      </c>
      <c r="H584" s="61"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v>
      </c>
      <c r="I584" s="60" t="str">
        <f>INDEX(Tabledaily[العملـــة],MATCH(TableDailyJournal[[#This Row],[رقم العملية]],Tabledaily[رقم العملية],0))</f>
        <v>ريال يمني</v>
      </c>
      <c r="J584" s="59">
        <f>IFERROR(INDEX(Tabledaily[سعــــــر
الصـــــرف],MATCH(C584,Tabledaily[رقم العملية],0)),1)</f>
        <v>405</v>
      </c>
      <c r="K584" s="123" cm="1">
        <f t="array" ref="K584">IFERROR(INDEX(Tabledaily[المبلـــــــغ],MATCH(1,(TableDailyJournal[[#This Row],[رقم العملية]]=Tabledaily[رقم العملية])*(TableDailyJournal[[#This Row],[الحساب]]=Tabledaily[الحســاب المديــــن]),0)),0)</f>
        <v>216000</v>
      </c>
      <c r="L584" s="123" cm="1">
        <f t="array" ref="L584">IFERROR(INDEX(Tabledaily[المبلـــــــغ],MATCH(1,(TableDailyJournal[[#This Row],[رقم العملية]]=Tabledaily[رقم العملية])*(TableDailyJournal[[#This Row],[الحساب]]=Tabledaily[الحســاب الدئـــن]),0)),0)</f>
        <v>0</v>
      </c>
      <c r="M584" s="119">
        <f>IFERROR(TableDailyJournal[[#This Row],[المبلغ مدين]]/TableDailyJournal[[#This Row],[سعــــــر
الصـــــرف]],0)</f>
        <v>533.33333333333337</v>
      </c>
      <c r="N584" s="119">
        <f>IFERROR(TableDailyJournal[[#This Row],[المبلغ دائن]]/TableDailyJournal[[#This Row],[سعــــــر
الصـــــرف]],0)</f>
        <v>0</v>
      </c>
      <c r="O584" s="121" t="str">
        <f>INDEX(Tabledaily[المستفيــــــــد],MATCH(TableDailyJournal[[#This Row],[رقم العملية]],Tabledaily[رقم العملية],0))</f>
        <v>سرية الآمن اللواء السادس</v>
      </c>
      <c r="P584" s="121" t="str">
        <f>INDEX(Tabledaily[المــــرجـــــــــع],MATCH(TableDailyJournal[[#This Row],[رقم العملية]],Tabledaily[رقم العملية],0))</f>
        <v>كشف صرف</v>
      </c>
      <c r="Q584" s="121" t="str">
        <f>INDEX(Tabledaily[اســـــــم المــــرجــــع],MATCH(TableDailyJournal[[#This Row],[رقم العملية]],Tabledaily[رقم العملية],0))</f>
        <v>كشف صرف</v>
      </c>
      <c r="R584" s="121">
        <f>INDEX(Tabledaily[رقم المـــــرجـــع],MATCH(TableDailyJournal[[#This Row],[رقم العملية]],Tabledaily[رقم العملية],0))</f>
        <v>0</v>
      </c>
      <c r="S584" s="121" t="str">
        <f>INDEX(Tabledaily[مركـــــــزالتكلفــــــة],MATCH(TableDailyJournal[[#This Row],[رقم العملية]],Tabledaily[رقم العملية],0))</f>
        <v>اللواء السادس</v>
      </c>
      <c r="T584" s="121">
        <f>IFERROR(INDEX(tablecost[رقم المركز],MATCH(TableDailyJournal[[#This Row],[مركـــــــزالتكلفــــــة]],tablecost[الاسم],0)),0)</f>
        <v>7</v>
      </c>
      <c r="U584" s="122">
        <f>IFERROR(DATE(TableDailyJournal[[#This Row],[السنــــة]],TableDailyJournal[[#This Row],[الشهــــر]],TableDailyJournal[[#This Row],[الـــــيوم]]),"01-01-2026")</f>
        <v>46191</v>
      </c>
      <c r="V584" s="126"/>
      <c r="W584" s="58"/>
      <c r="X584" s="58">
        <f>IFERROR(YEAR(TableDailyJournal[[#This Row],[التاريخ]]),"")</f>
        <v>2026</v>
      </c>
      <c r="Y584" s="58">
        <f>IFERROR(MONTH(TableDailyJournal[[#This Row],[التاريخ]]),"")</f>
        <v>6</v>
      </c>
      <c r="Z584" s="58">
        <f>IFERROR(DAY(TableDailyJournal[[#This Row],[التاريخ]]),"")</f>
        <v>18</v>
      </c>
      <c r="AA584" s="126"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v>
      </c>
      <c r="AB584" s="121">
        <f>INDEX(Tabledaily[جهة الامر],MATCH(TableDailyJournal[[#This Row],[رقم العملية]],Tabledaily[رقم العملية],0))</f>
        <v>0</v>
      </c>
    </row>
    <row r="585" spans="2:28" ht="67.5" x14ac:dyDescent="0.55000000000000004">
      <c r="B585" s="58">
        <f t="shared" si="19"/>
        <v>581</v>
      </c>
      <c r="C585" s="59" t="s">
        <v>985</v>
      </c>
      <c r="D585" s="60">
        <f>INDEX(Tabledaily[date],MATCH(TableDailyJournal[[#This Row],[رقم العملية]],Tabledaily[رقم العملية],0))</f>
        <v>46191</v>
      </c>
      <c r="E585" s="58" t="str">
        <f>INDEX(Tabledaily[نوع العمليــة],MATCH(TableDailyJournal[[#This Row],[رقم العملية]],Tabledaily[رقم العملية],0))</f>
        <v>قيد عهده</v>
      </c>
      <c r="F585" s="58">
        <f>IFERROR(INDEX(TableJudje[رقم الحساب],MATCH(TableDailyJournal[[#This Row],[الحساب]],TableJudje[اسم الحساب],0)),0)</f>
        <v>11060205</v>
      </c>
      <c r="G585" s="58" t="s">
        <v>513</v>
      </c>
      <c r="H585" s="61"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v>
      </c>
      <c r="I585" s="60" t="str">
        <f>INDEX(Tabledaily[العملـــة],MATCH(TableDailyJournal[[#This Row],[رقم العملية]],Tabledaily[رقم العملية],0))</f>
        <v>ريال يمني</v>
      </c>
      <c r="J585" s="59">
        <f>IFERROR(INDEX(Tabledaily[سعــــــر
الصـــــرف],MATCH(C585,Tabledaily[رقم العملية],0)),1)</f>
        <v>405</v>
      </c>
      <c r="K585" s="123" cm="1">
        <f t="array" ref="K585">IFERROR(INDEX(Tabledaily[المبلـــــــغ],MATCH(1,(TableDailyJournal[[#This Row],[رقم العملية]]=Tabledaily[رقم العملية])*(TableDailyJournal[[#This Row],[الحساب]]=Tabledaily[الحســاب المديــــن]),0)),0)</f>
        <v>0</v>
      </c>
      <c r="L585" s="123" cm="1">
        <f t="array" ref="L585">IFERROR(INDEX(Tabledaily[المبلـــــــغ],MATCH(1,(TableDailyJournal[[#This Row],[رقم العملية]]=Tabledaily[رقم العملية])*(TableDailyJournal[[#This Row],[الحساب]]=Tabledaily[الحســاب الدئـــن]),0)),0)</f>
        <v>216000</v>
      </c>
      <c r="M585" s="119">
        <f>IFERROR(TableDailyJournal[[#This Row],[المبلغ مدين]]/TableDailyJournal[[#This Row],[سعــــــر
الصـــــرف]],0)</f>
        <v>0</v>
      </c>
      <c r="N585" s="119">
        <f>IFERROR(TableDailyJournal[[#This Row],[المبلغ دائن]]/TableDailyJournal[[#This Row],[سعــــــر
الصـــــرف]],0)</f>
        <v>533.33333333333337</v>
      </c>
      <c r="O585" s="121" t="str">
        <f>INDEX(Tabledaily[المستفيــــــــد],MATCH(TableDailyJournal[[#This Row],[رقم العملية]],Tabledaily[رقم العملية],0))</f>
        <v>سرية الآمن اللواء السادس</v>
      </c>
      <c r="P585" s="121" t="str">
        <f>INDEX(Tabledaily[المــــرجـــــــــع],MATCH(TableDailyJournal[[#This Row],[رقم العملية]],Tabledaily[رقم العملية],0))</f>
        <v>كشف صرف</v>
      </c>
      <c r="Q585" s="121" t="str">
        <f>INDEX(Tabledaily[اســـــــم المــــرجــــع],MATCH(TableDailyJournal[[#This Row],[رقم العملية]],Tabledaily[رقم العملية],0))</f>
        <v>كشف صرف</v>
      </c>
      <c r="R585" s="121">
        <f>INDEX(Tabledaily[رقم المـــــرجـــع],MATCH(TableDailyJournal[[#This Row],[رقم العملية]],Tabledaily[رقم العملية],0))</f>
        <v>0</v>
      </c>
      <c r="S585" s="121" t="str">
        <f>INDEX(Tabledaily[مركـــــــزالتكلفــــــة],MATCH(TableDailyJournal[[#This Row],[رقم العملية]],Tabledaily[رقم العملية],0))</f>
        <v>اللواء السادس</v>
      </c>
      <c r="T585" s="121">
        <f>IFERROR(INDEX(tablecost[رقم المركز],MATCH(TableDailyJournal[[#This Row],[مركـــــــزالتكلفــــــة]],tablecost[الاسم],0)),0)</f>
        <v>7</v>
      </c>
      <c r="U585" s="122">
        <f>IFERROR(DATE(TableDailyJournal[[#This Row],[السنــــة]],TableDailyJournal[[#This Row],[الشهــــر]],TableDailyJournal[[#This Row],[الـــــيوم]]),"01-01-2026")</f>
        <v>46191</v>
      </c>
      <c r="V585" s="126"/>
      <c r="W585" s="58"/>
      <c r="X585" s="58">
        <f>IFERROR(YEAR(TableDailyJournal[[#This Row],[التاريخ]]),"")</f>
        <v>2026</v>
      </c>
      <c r="Y585" s="58">
        <f>IFERROR(MONTH(TableDailyJournal[[#This Row],[التاريخ]]),"")</f>
        <v>6</v>
      </c>
      <c r="Z585" s="58">
        <f>IFERROR(DAY(TableDailyJournal[[#This Row],[التاريخ]]),"")</f>
        <v>18</v>
      </c>
      <c r="AA585" s="126"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عدد29 فرد بامر</v>
      </c>
      <c r="AB585" s="121">
        <f>INDEX(Tabledaily[جهة الامر],MATCH(TableDailyJournal[[#This Row],[رقم العملية]],Tabledaily[رقم العملية],0))</f>
        <v>0</v>
      </c>
    </row>
    <row r="586" spans="2:28" ht="45.75" x14ac:dyDescent="0.55000000000000004">
      <c r="B586" s="58">
        <f t="shared" si="19"/>
        <v>582</v>
      </c>
      <c r="C586" s="59" t="s">
        <v>988</v>
      </c>
      <c r="D586" s="60">
        <f>INDEX(Tabledaily[date],MATCH(TableDailyJournal[[#This Row],[رقم العملية]],Tabledaily[رقم العملية],0))</f>
        <v>46191</v>
      </c>
      <c r="E586" s="58" t="str">
        <f>INDEX(Tabledaily[نوع العمليــة],MATCH(TableDailyJournal[[#This Row],[رقم العملية]],Tabledaily[رقم العملية],0))</f>
        <v>قيد عهده</v>
      </c>
      <c r="F586" s="58">
        <f>IFERROR(INDEX(TableJudje[رقم الحساب],MATCH(TableDailyJournal[[#This Row],[الحساب]],TableJudje[اسم الحساب],0)),0)</f>
        <v>31010101</v>
      </c>
      <c r="G586" s="58" t="s">
        <v>111</v>
      </c>
      <c r="H586"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صرف الصرفة اليومية سرية اللواء السادس ع دد 35 فرد بامر</v>
      </c>
      <c r="I586" s="60" t="str">
        <f>INDEX(Tabledaily[العملـــة],MATCH(TableDailyJournal[[#This Row],[رقم العملية]],Tabledaily[رقم العملية],0))</f>
        <v>ريال يمني</v>
      </c>
      <c r="J586" s="59">
        <f>IFERROR(INDEX(Tabledaily[سعــــــر
الصـــــرف],MATCH(C586,Tabledaily[رقم العملية],0)),1)</f>
        <v>405</v>
      </c>
      <c r="K586" s="123" cm="1">
        <f t="array" ref="K586">IFERROR(INDEX(Tabledaily[المبلـــــــغ],MATCH(1,(TableDailyJournal[[#This Row],[رقم العملية]]=Tabledaily[رقم العملية])*(TableDailyJournal[[#This Row],[الحساب]]=Tabledaily[الحســاب المديــــن]),0)),0)</f>
        <v>140000</v>
      </c>
      <c r="L586" s="123" cm="1">
        <f t="array" ref="L586">IFERROR(INDEX(Tabledaily[المبلـــــــغ],MATCH(1,(TableDailyJournal[[#This Row],[رقم العملية]]=Tabledaily[رقم العملية])*(TableDailyJournal[[#This Row],[الحساب]]=Tabledaily[الحســاب الدئـــن]),0)),0)</f>
        <v>0</v>
      </c>
      <c r="M586" s="119">
        <f>IFERROR(TableDailyJournal[[#This Row],[المبلغ مدين]]/TableDailyJournal[[#This Row],[سعــــــر
الصـــــرف]],0)</f>
        <v>345.67901234567898</v>
      </c>
      <c r="N586" s="119">
        <f>IFERROR(TableDailyJournal[[#This Row],[المبلغ دائن]]/TableDailyJournal[[#This Row],[سعــــــر
الصـــــرف]],0)</f>
        <v>0</v>
      </c>
      <c r="O586" s="121" t="str">
        <f>INDEX(Tabledaily[المستفيــــــــد],MATCH(TableDailyJournal[[#This Row],[رقم العملية]],Tabledaily[رقم العملية],0))</f>
        <v>سرية اللواء السادس</v>
      </c>
      <c r="P586" s="121" t="str">
        <f>INDEX(Tabledaily[المــــرجـــــــــع],MATCH(TableDailyJournal[[#This Row],[رقم العملية]],Tabledaily[رقم العملية],0))</f>
        <v>كشف صرف</v>
      </c>
      <c r="Q586" s="121" t="str">
        <f>INDEX(Tabledaily[اســـــــم المــــرجــــع],MATCH(TableDailyJournal[[#This Row],[رقم العملية]],Tabledaily[رقم العملية],0))</f>
        <v>كشف صرف</v>
      </c>
      <c r="R586" s="121">
        <f>INDEX(Tabledaily[رقم المـــــرجـــع],MATCH(TableDailyJournal[[#This Row],[رقم العملية]],Tabledaily[رقم العملية],0))</f>
        <v>0</v>
      </c>
      <c r="S586" s="121" t="str">
        <f>INDEX(Tabledaily[مركـــــــزالتكلفــــــة],MATCH(TableDailyJournal[[#This Row],[رقم العملية]],Tabledaily[رقم العملية],0))</f>
        <v>اللواء السادس</v>
      </c>
      <c r="T586" s="121">
        <f>IFERROR(INDEX(tablecost[رقم المركز],MATCH(TableDailyJournal[[#This Row],[مركـــــــزالتكلفــــــة]],tablecost[الاسم],0)),0)</f>
        <v>7</v>
      </c>
      <c r="U586" s="122">
        <f>IFERROR(DATE(TableDailyJournal[[#This Row],[السنــــة]],TableDailyJournal[[#This Row],[الشهــــر]],TableDailyJournal[[#This Row],[الـــــيوم]]),"01-01-2026")</f>
        <v>46191</v>
      </c>
      <c r="V586" s="126"/>
      <c r="W586" s="58"/>
      <c r="X586" s="58">
        <f>IFERROR(YEAR(TableDailyJournal[[#This Row],[التاريخ]]),"")</f>
        <v>2026</v>
      </c>
      <c r="Y586" s="58">
        <f>IFERROR(MONTH(TableDailyJournal[[#This Row],[التاريخ]]),"")</f>
        <v>6</v>
      </c>
      <c r="Z586" s="58">
        <f>IFERROR(DAY(TableDailyJournal[[#This Row],[التاريخ]]),"")</f>
        <v>18</v>
      </c>
      <c r="AA586"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صرف الصرفة اليومية سرية اللواء السادس ع دد 35 فرد بامر</v>
      </c>
      <c r="AB586" s="121">
        <f>INDEX(Tabledaily[جهة الامر],MATCH(TableDailyJournal[[#This Row],[رقم العملية]],Tabledaily[رقم العملية],0))</f>
        <v>0</v>
      </c>
    </row>
    <row r="587" spans="2:28" ht="45.75" x14ac:dyDescent="0.55000000000000004">
      <c r="B587" s="58">
        <f t="shared" si="19"/>
        <v>583</v>
      </c>
      <c r="C587" s="59" t="s">
        <v>988</v>
      </c>
      <c r="D587" s="60">
        <f>INDEX(Tabledaily[date],MATCH(TableDailyJournal[[#This Row],[رقم العملية]],Tabledaily[رقم العملية],0))</f>
        <v>46191</v>
      </c>
      <c r="E587" s="58" t="str">
        <f>INDEX(Tabledaily[نوع العمليــة],MATCH(TableDailyJournal[[#This Row],[رقم العملية]],Tabledaily[رقم العملية],0))</f>
        <v>قيد عهده</v>
      </c>
      <c r="F587" s="58">
        <f>IFERROR(INDEX(TableJudje[رقم الحساب],MATCH(TableDailyJournal[[#This Row],[الحساب]],TableJudje[اسم الحساب],0)),0)</f>
        <v>11060205</v>
      </c>
      <c r="G587" s="58" t="s">
        <v>513</v>
      </c>
      <c r="H587" s="61"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صرف الصرفة اليومية سرية اللواء السادس ع دد 35 فرد بامر</v>
      </c>
      <c r="I587" s="60" t="str">
        <f>INDEX(Tabledaily[العملـــة],MATCH(TableDailyJournal[[#This Row],[رقم العملية]],Tabledaily[رقم العملية],0))</f>
        <v>ريال يمني</v>
      </c>
      <c r="J587" s="59">
        <f>IFERROR(INDEX(Tabledaily[سعــــــر
الصـــــرف],MATCH(C587,Tabledaily[رقم العملية],0)),1)</f>
        <v>405</v>
      </c>
      <c r="K587" s="123" cm="1">
        <f t="array" ref="K587">IFERROR(INDEX(Tabledaily[المبلـــــــغ],MATCH(1,(TableDailyJournal[[#This Row],[رقم العملية]]=Tabledaily[رقم العملية])*(TableDailyJournal[[#This Row],[الحساب]]=Tabledaily[الحســاب المديــــن]),0)),0)</f>
        <v>0</v>
      </c>
      <c r="L587" s="123" cm="1">
        <f t="array" ref="L587">IFERROR(INDEX(Tabledaily[المبلـــــــغ],MATCH(1,(TableDailyJournal[[#This Row],[رقم العملية]]=Tabledaily[رقم العملية])*(TableDailyJournal[[#This Row],[الحساب]]=Tabledaily[الحســاب الدئـــن]),0)),0)</f>
        <v>140000</v>
      </c>
      <c r="M587" s="119">
        <f>IFERROR(TableDailyJournal[[#This Row],[المبلغ مدين]]/TableDailyJournal[[#This Row],[سعــــــر
الصـــــرف]],0)</f>
        <v>0</v>
      </c>
      <c r="N587" s="119">
        <f>IFERROR(TableDailyJournal[[#This Row],[المبلغ دائن]]/TableDailyJournal[[#This Row],[سعــــــر
الصـــــرف]],0)</f>
        <v>345.67901234567898</v>
      </c>
      <c r="O587" s="121" t="str">
        <f>INDEX(Tabledaily[المستفيــــــــد],MATCH(TableDailyJournal[[#This Row],[رقم العملية]],Tabledaily[رقم العملية],0))</f>
        <v>سرية اللواء السادس</v>
      </c>
      <c r="P587" s="121" t="str">
        <f>INDEX(Tabledaily[المــــرجـــــــــع],MATCH(TableDailyJournal[[#This Row],[رقم العملية]],Tabledaily[رقم العملية],0))</f>
        <v>كشف صرف</v>
      </c>
      <c r="Q587" s="121" t="str">
        <f>INDEX(Tabledaily[اســـــــم المــــرجــــع],MATCH(TableDailyJournal[[#This Row],[رقم العملية]],Tabledaily[رقم العملية],0))</f>
        <v>كشف صرف</v>
      </c>
      <c r="R587" s="121">
        <f>INDEX(Tabledaily[رقم المـــــرجـــع],MATCH(TableDailyJournal[[#This Row],[رقم العملية]],Tabledaily[رقم العملية],0))</f>
        <v>0</v>
      </c>
      <c r="S587" s="121" t="str">
        <f>INDEX(Tabledaily[مركـــــــزالتكلفــــــة],MATCH(TableDailyJournal[[#This Row],[رقم العملية]],Tabledaily[رقم العملية],0))</f>
        <v>اللواء السادس</v>
      </c>
      <c r="T587" s="121">
        <f>IFERROR(INDEX(tablecost[رقم المركز],MATCH(TableDailyJournal[[#This Row],[مركـــــــزالتكلفــــــة]],tablecost[الاسم],0)),0)</f>
        <v>7</v>
      </c>
      <c r="U587" s="122">
        <f>IFERROR(DATE(TableDailyJournal[[#This Row],[السنــــة]],TableDailyJournal[[#This Row],[الشهــــر]],TableDailyJournal[[#This Row],[الـــــيوم]]),"01-01-2026")</f>
        <v>46191</v>
      </c>
      <c r="V587" s="126"/>
      <c r="W587" s="58"/>
      <c r="X587" s="58">
        <f>IFERROR(YEAR(TableDailyJournal[[#This Row],[التاريخ]]),"")</f>
        <v>2026</v>
      </c>
      <c r="Y587" s="58">
        <f>IFERROR(MONTH(TableDailyJournal[[#This Row],[التاريخ]]),"")</f>
        <v>6</v>
      </c>
      <c r="Z587" s="58">
        <f>IFERROR(DAY(TableDailyJournal[[#This Row],[التاريخ]]),"")</f>
        <v>18</v>
      </c>
      <c r="AA587" s="126" t="str">
        <f>INDEX(Tabledaily[المرجع البياني],MATCH(TableDailyJournal[[#This Row],[رقم العملية]],Tabledaily[رقم العملية],0))</f>
        <v>قيـد مقابـل:- (مصاريف  صرفة يومية للافراد  - سرية اللواء السادس - اللواء السادس)  - كشف صرف رقم   كشف صرف - صرف الصرفة اليومية سرية اللواء السادس ع دد 35 فرد بامر</v>
      </c>
      <c r="AB587" s="121">
        <f>INDEX(Tabledaily[جهة الامر],MATCH(TableDailyJournal[[#This Row],[رقم العملية]],Tabledaily[رقم العملية],0))</f>
        <v>0</v>
      </c>
    </row>
    <row r="588" spans="2:28" ht="45.75" x14ac:dyDescent="0.55000000000000004">
      <c r="B588" s="58">
        <f t="shared" si="19"/>
        <v>584</v>
      </c>
      <c r="C588" s="59" t="s">
        <v>990</v>
      </c>
      <c r="D588" s="60">
        <f>INDEX(Tabledaily[date],MATCH(TableDailyJournal[[#This Row],[رقم العملية]],Tabledaily[رقم العملية],0))</f>
        <v>46191</v>
      </c>
      <c r="E588" s="58" t="str">
        <f>INDEX(Tabledaily[نوع العمليــة],MATCH(TableDailyJournal[[#This Row],[رقم العملية]],Tabledaily[رقم العملية],0))</f>
        <v>قيد عهده</v>
      </c>
      <c r="F588" s="58">
        <f>IFERROR(INDEX(TableJudje[رقم الحساب],MATCH(TableDailyJournal[[#This Row],[الحساب]],TableJudje[اسم الحساب],0)),0)</f>
        <v>31010106</v>
      </c>
      <c r="G588" s="58" t="s">
        <v>115</v>
      </c>
      <c r="H588" s="61" t="str">
        <f>INDEX(Tabledaily[المرجع البياني],MATCH(TableDailyJournal[[#This Row],[رقم العملية]],Tabledaily[رقم العملية],0))</f>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v>
      </c>
      <c r="I588" s="60" t="str">
        <f>INDEX(Tabledaily[العملـــة],MATCH(TableDailyJournal[[#This Row],[رقم العملية]],Tabledaily[رقم العملية],0))</f>
        <v>ريال يمني</v>
      </c>
      <c r="J588" s="59">
        <f>IFERROR(INDEX(Tabledaily[سعــــــر
الصـــــرف],MATCH(C588,Tabledaily[رقم العملية],0)),1)</f>
        <v>405</v>
      </c>
      <c r="K588" s="123" cm="1">
        <f t="array" ref="K588">IFERROR(INDEX(Tabledaily[المبلـــــــغ],MATCH(1,(TableDailyJournal[[#This Row],[رقم العملية]]=Tabledaily[رقم العملية])*(TableDailyJournal[[#This Row],[الحساب]]=Tabledaily[الحســاب المديــــن]),0)),0)</f>
        <v>19500</v>
      </c>
      <c r="L588" s="123" cm="1">
        <f t="array" ref="L588">IFERROR(INDEX(Tabledaily[المبلـــــــغ],MATCH(1,(TableDailyJournal[[#This Row],[رقم العملية]]=Tabledaily[رقم العملية])*(TableDailyJournal[[#This Row],[الحساب]]=Tabledaily[الحســاب الدئـــن]),0)),0)</f>
        <v>0</v>
      </c>
      <c r="M588" s="119">
        <f>IFERROR(TableDailyJournal[[#This Row],[المبلغ مدين]]/TableDailyJournal[[#This Row],[سعــــــر
الصـــــرف]],0)</f>
        <v>48.148148148148145</v>
      </c>
      <c r="N588" s="119">
        <f>IFERROR(TableDailyJournal[[#This Row],[المبلغ دائن]]/TableDailyJournal[[#This Row],[سعــــــر
الصـــــرف]],0)</f>
        <v>0</v>
      </c>
      <c r="O588" s="121" t="str">
        <f>INDEX(Tabledaily[المستفيــــــــد],MATCH(TableDailyJournal[[#This Row],[رقم العملية]],Tabledaily[رقم العملية],0))</f>
        <v>قيادة الفرقة الثالثة</v>
      </c>
      <c r="P588" s="121" t="str">
        <f>INDEX(Tabledaily[المــــرجـــــــــع],MATCH(TableDailyJournal[[#This Row],[رقم العملية]],Tabledaily[رقم العملية],0))</f>
        <v>فاتورة</v>
      </c>
      <c r="Q588" s="121" t="str">
        <f>INDEX(Tabledaily[اســـــــم المــــرجــــع],MATCH(TableDailyJournal[[#This Row],[رقم العملية]],Tabledaily[رقم العملية],0))</f>
        <v>مركز الوفاء التجاري</v>
      </c>
      <c r="R588" s="121">
        <f>INDEX(Tabledaily[رقم المـــــرجـــع],MATCH(TableDailyJournal[[#This Row],[رقم العملية]],Tabledaily[رقم العملية],0))</f>
        <v>4268</v>
      </c>
      <c r="S588" s="121" t="str">
        <f>INDEX(Tabledaily[مركـــــــزالتكلفــــــة],MATCH(TableDailyJournal[[#This Row],[رقم العملية]],Tabledaily[رقم العملية],0))</f>
        <v>الفرقة الثالثة</v>
      </c>
      <c r="T588" s="121">
        <f>IFERROR(INDEX(tablecost[رقم المركز],MATCH(TableDailyJournal[[#This Row],[مركـــــــزالتكلفــــــة]],tablecost[الاسم],0)),0)</f>
        <v>1</v>
      </c>
      <c r="U588" s="122">
        <f>IFERROR(DATE(TableDailyJournal[[#This Row],[السنــــة]],TableDailyJournal[[#This Row],[الشهــــر]],TableDailyJournal[[#This Row],[الـــــيوم]]),"01-01-2026")</f>
        <v>46191</v>
      </c>
      <c r="V588" s="126"/>
      <c r="W588" s="58"/>
      <c r="X588" s="58">
        <f>IFERROR(YEAR(TableDailyJournal[[#This Row],[التاريخ]]),"")</f>
        <v>2026</v>
      </c>
      <c r="Y588" s="58">
        <f>IFERROR(MONTH(TableDailyJournal[[#This Row],[التاريخ]]),"")</f>
        <v>6</v>
      </c>
      <c r="Z588" s="58">
        <f>IFERROR(DAY(TableDailyJournal[[#This Row],[التاريخ]]),"")</f>
        <v>18</v>
      </c>
      <c r="AA588" s="126" t="str">
        <f>INDEX(Tabledaily[المرجع البياني],MATCH(TableDailyJournal[[#This Row],[رقم العملية]],Tabledaily[رقم العملية],0))</f>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v>
      </c>
      <c r="AB588" s="121" t="str">
        <f>INDEX(Tabledaily[جهة الامر],MATCH(TableDailyJournal[[#This Row],[رقم العملية]],Tabledaily[رقم العملية],0))</f>
        <v>المستشار المالي</v>
      </c>
    </row>
    <row r="589" spans="2:28" ht="45.75" x14ac:dyDescent="0.55000000000000004">
      <c r="B589" s="58">
        <f t="shared" si="19"/>
        <v>585</v>
      </c>
      <c r="C589" s="59" t="s">
        <v>990</v>
      </c>
      <c r="D589" s="60">
        <f>INDEX(Tabledaily[date],MATCH(TableDailyJournal[[#This Row],[رقم العملية]],Tabledaily[رقم العملية],0))</f>
        <v>46191</v>
      </c>
      <c r="E589" s="58" t="str">
        <f>INDEX(Tabledaily[نوع العمليــة],MATCH(TableDailyJournal[[#This Row],[رقم العملية]],Tabledaily[رقم العملية],0))</f>
        <v>قيد عهده</v>
      </c>
      <c r="F589" s="58">
        <f>IFERROR(INDEX(TableJudje[رقم الحساب],MATCH(TableDailyJournal[[#This Row],[الحساب]],TableJudje[اسم الحساب],0)),0)</f>
        <v>11060205</v>
      </c>
      <c r="G589" s="58" t="s">
        <v>513</v>
      </c>
      <c r="H589" s="61" t="str">
        <f>INDEX(Tabledaily[المرجع البياني],MATCH(TableDailyJournal[[#This Row],[رقم العملية]],Tabledaily[رقم العملية],0))</f>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v>
      </c>
      <c r="I589" s="60" t="str">
        <f>INDEX(Tabledaily[العملـــة],MATCH(TableDailyJournal[[#This Row],[رقم العملية]],Tabledaily[رقم العملية],0))</f>
        <v>ريال يمني</v>
      </c>
      <c r="J589" s="59">
        <f>IFERROR(INDEX(Tabledaily[سعــــــر
الصـــــرف],MATCH(C589,Tabledaily[رقم العملية],0)),1)</f>
        <v>405</v>
      </c>
      <c r="K589" s="123" cm="1">
        <f t="array" ref="K589">IFERROR(INDEX(Tabledaily[المبلـــــــغ],MATCH(1,(TableDailyJournal[[#This Row],[رقم العملية]]=Tabledaily[رقم العملية])*(TableDailyJournal[[#This Row],[الحساب]]=Tabledaily[الحســاب المديــــن]),0)),0)</f>
        <v>0</v>
      </c>
      <c r="L589" s="123" cm="1">
        <f t="array" ref="L589">IFERROR(INDEX(Tabledaily[المبلـــــــغ],MATCH(1,(TableDailyJournal[[#This Row],[رقم العملية]]=Tabledaily[رقم العملية])*(TableDailyJournal[[#This Row],[الحساب]]=Tabledaily[الحســاب الدئـــن]),0)),0)</f>
        <v>19500</v>
      </c>
      <c r="M589" s="119">
        <f>IFERROR(TableDailyJournal[[#This Row],[المبلغ مدين]]/TableDailyJournal[[#This Row],[سعــــــر
الصـــــرف]],0)</f>
        <v>0</v>
      </c>
      <c r="N589" s="119">
        <f>IFERROR(TableDailyJournal[[#This Row],[المبلغ دائن]]/TableDailyJournal[[#This Row],[سعــــــر
الصـــــرف]],0)</f>
        <v>48.148148148148145</v>
      </c>
      <c r="O589" s="121" t="str">
        <f>INDEX(Tabledaily[المستفيــــــــد],MATCH(TableDailyJournal[[#This Row],[رقم العملية]],Tabledaily[رقم العملية],0))</f>
        <v>قيادة الفرقة الثالثة</v>
      </c>
      <c r="P589" s="121" t="str">
        <f>INDEX(Tabledaily[المــــرجـــــــــع],MATCH(TableDailyJournal[[#This Row],[رقم العملية]],Tabledaily[رقم العملية],0))</f>
        <v>فاتورة</v>
      </c>
      <c r="Q589" s="121" t="str">
        <f>INDEX(Tabledaily[اســـــــم المــــرجــــع],MATCH(TableDailyJournal[[#This Row],[رقم العملية]],Tabledaily[رقم العملية],0))</f>
        <v>مركز الوفاء التجاري</v>
      </c>
      <c r="R589" s="121">
        <f>INDEX(Tabledaily[رقم المـــــرجـــع],MATCH(TableDailyJournal[[#This Row],[رقم العملية]],Tabledaily[رقم العملية],0))</f>
        <v>4268</v>
      </c>
      <c r="S589" s="121" t="str">
        <f>INDEX(Tabledaily[مركـــــــزالتكلفــــــة],MATCH(TableDailyJournal[[#This Row],[رقم العملية]],Tabledaily[رقم العملية],0))</f>
        <v>الفرقة الثالثة</v>
      </c>
      <c r="T589" s="121">
        <f>IFERROR(INDEX(tablecost[رقم المركز],MATCH(TableDailyJournal[[#This Row],[مركـــــــزالتكلفــــــة]],tablecost[الاسم],0)),0)</f>
        <v>1</v>
      </c>
      <c r="U589" s="122">
        <f>IFERROR(DATE(TableDailyJournal[[#This Row],[السنــــة]],TableDailyJournal[[#This Row],[الشهــــر]],TableDailyJournal[[#This Row],[الـــــيوم]]),"01-01-2026")</f>
        <v>46191</v>
      </c>
      <c r="V589" s="126"/>
      <c r="W589" s="58"/>
      <c r="X589" s="58">
        <f>IFERROR(YEAR(TableDailyJournal[[#This Row],[التاريخ]]),"")</f>
        <v>2026</v>
      </c>
      <c r="Y589" s="58">
        <f>IFERROR(MONTH(TableDailyJournal[[#This Row],[التاريخ]]),"")</f>
        <v>6</v>
      </c>
      <c r="Z589" s="58">
        <f>IFERROR(DAY(TableDailyJournal[[#This Row],[التاريخ]]),"")</f>
        <v>18</v>
      </c>
      <c r="AA589" s="126" t="str">
        <f>INDEX(Tabledaily[المرجع البياني],MATCH(TableDailyJournal[[#This Row],[رقم العملية]],Tabledaily[رقم العملية],0))</f>
        <v>قيـد مقابـل:- (مصاريف صيانة واصلاحات فنية  - قيادة الفرقة الثالثة - الفرقة الثالثة)  - فاتورة رقم 4268  مركز الوفاء التجاري - تعبئة هواء + لقمة + مسمار لقاطرة الماء بامرالمستشار المالي</v>
      </c>
      <c r="AB589" s="121" t="str">
        <f>INDEX(Tabledaily[جهة الامر],MATCH(TableDailyJournal[[#This Row],[رقم العملية]],Tabledaily[رقم العملية],0))</f>
        <v>المستشار المالي</v>
      </c>
    </row>
    <row r="590" spans="2:28" ht="45.75" x14ac:dyDescent="0.55000000000000004">
      <c r="B590" s="58">
        <f t="shared" si="19"/>
        <v>586</v>
      </c>
      <c r="C590" s="59" t="s">
        <v>993</v>
      </c>
      <c r="D590" s="60">
        <f>INDEX(Tabledaily[date],MATCH(TableDailyJournal[[#This Row],[رقم العملية]],Tabledaily[رقم العملية],0))</f>
        <v>46190</v>
      </c>
      <c r="E590" s="58" t="str">
        <f>INDEX(Tabledaily[نوع العمليــة],MATCH(TableDailyJournal[[#This Row],[رقم العملية]],Tabledaily[رقم العملية],0))</f>
        <v>قيد عهده</v>
      </c>
      <c r="F590" s="58">
        <f>IFERROR(INDEX(TableJudje[رقم الحساب],MATCH(TableDailyJournal[[#This Row],[الحساب]],TableJudje[اسم الحساب],0)),0)</f>
        <v>31010101</v>
      </c>
      <c r="G590" s="58" t="s">
        <v>111</v>
      </c>
      <c r="H590"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590" s="60" t="str">
        <f>INDEX(Tabledaily[العملـــة],MATCH(TableDailyJournal[[#This Row],[رقم العملية]],Tabledaily[رقم العملية],0))</f>
        <v>ريال يمني</v>
      </c>
      <c r="J590" s="59">
        <f>IFERROR(INDEX(Tabledaily[سعــــــر
الصـــــرف],MATCH(C590,Tabledaily[رقم العملية],0)),1)</f>
        <v>405</v>
      </c>
      <c r="K590" s="123" cm="1">
        <f t="array" ref="K590">IFERROR(INDEX(Tabledaily[المبلـــــــغ],MATCH(1,(TableDailyJournal[[#This Row],[رقم العملية]]=Tabledaily[رقم العملية])*(TableDailyJournal[[#This Row],[الحساب]]=Tabledaily[الحســاب المديــــن]),0)),0)</f>
        <v>25000</v>
      </c>
      <c r="L590" s="123" cm="1">
        <f t="array" ref="L590">IFERROR(INDEX(Tabledaily[المبلـــــــغ],MATCH(1,(TableDailyJournal[[#This Row],[رقم العملية]]=Tabledaily[رقم العملية])*(TableDailyJournal[[#This Row],[الحساب]]=Tabledaily[الحســاب الدئـــن]),0)),0)</f>
        <v>0</v>
      </c>
      <c r="M590" s="119">
        <f>IFERROR(TableDailyJournal[[#This Row],[المبلغ مدين]]/TableDailyJournal[[#This Row],[سعــــــر
الصـــــرف]],0)</f>
        <v>61.728395061728392</v>
      </c>
      <c r="N590" s="119">
        <f>IFERROR(TableDailyJournal[[#This Row],[المبلغ دائن]]/TableDailyJournal[[#This Row],[سعــــــر
الصـــــرف]],0)</f>
        <v>0</v>
      </c>
      <c r="O590" s="121" t="str">
        <f>INDEX(Tabledaily[المستفيــــــــد],MATCH(TableDailyJournal[[#This Row],[رقم العملية]],Tabledaily[رقم العملية],0))</f>
        <v>مرافقي الاركان</v>
      </c>
      <c r="P590" s="121" t="str">
        <f>INDEX(Tabledaily[المــــرجـــــــــع],MATCH(TableDailyJournal[[#This Row],[رقم العملية]],Tabledaily[رقم العملية],0))</f>
        <v>كشف صرف</v>
      </c>
      <c r="Q590" s="121" t="str">
        <f>INDEX(Tabledaily[اســـــــم المــــرجــــع],MATCH(TableDailyJournal[[#This Row],[رقم العملية]],Tabledaily[رقم العملية],0))</f>
        <v>كشف صرف</v>
      </c>
      <c r="R590" s="121">
        <f>INDEX(Tabledaily[رقم المـــــرجـــع],MATCH(TableDailyJournal[[#This Row],[رقم العملية]],Tabledaily[رقم العملية],0))</f>
        <v>0</v>
      </c>
      <c r="S590" s="121" t="str">
        <f>INDEX(Tabledaily[مركـــــــزالتكلفــــــة],MATCH(TableDailyJournal[[#This Row],[رقم العملية]],Tabledaily[رقم العملية],0))</f>
        <v>الفرقة الثالثة</v>
      </c>
      <c r="T590" s="121">
        <f>IFERROR(INDEX(tablecost[رقم المركز],MATCH(TableDailyJournal[[#This Row],[مركـــــــزالتكلفــــــة]],tablecost[الاسم],0)),0)</f>
        <v>1</v>
      </c>
      <c r="U590" s="122">
        <f>IFERROR(DATE(TableDailyJournal[[#This Row],[السنــــة]],TableDailyJournal[[#This Row],[الشهــــر]],TableDailyJournal[[#This Row],[الـــــيوم]]),"01-01-2026")</f>
        <v>46190</v>
      </c>
      <c r="V590" s="126"/>
      <c r="W590" s="58"/>
      <c r="X590" s="58">
        <f>IFERROR(YEAR(TableDailyJournal[[#This Row],[التاريخ]]),"")</f>
        <v>2026</v>
      </c>
      <c r="Y590" s="58">
        <f>IFERROR(MONTH(TableDailyJournal[[#This Row],[التاريخ]]),"")</f>
        <v>6</v>
      </c>
      <c r="Z590" s="58">
        <f>IFERROR(DAY(TableDailyJournal[[#This Row],[التاريخ]]),"")</f>
        <v>17</v>
      </c>
      <c r="AA590"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590" s="121">
        <f>INDEX(Tabledaily[جهة الامر],MATCH(TableDailyJournal[[#This Row],[رقم العملية]],Tabledaily[رقم العملية],0))</f>
        <v>0</v>
      </c>
    </row>
    <row r="591" spans="2:28" ht="45.75" x14ac:dyDescent="0.55000000000000004">
      <c r="B591" s="58">
        <f t="shared" si="19"/>
        <v>587</v>
      </c>
      <c r="C591" s="59" t="s">
        <v>993</v>
      </c>
      <c r="D591" s="60">
        <f>INDEX(Tabledaily[date],MATCH(TableDailyJournal[[#This Row],[رقم العملية]],Tabledaily[رقم العملية],0))</f>
        <v>46190</v>
      </c>
      <c r="E591" s="58" t="str">
        <f>INDEX(Tabledaily[نوع العمليــة],MATCH(TableDailyJournal[[#This Row],[رقم العملية]],Tabledaily[رقم العملية],0))</f>
        <v>قيد عهده</v>
      </c>
      <c r="F591" s="58">
        <f>IFERROR(INDEX(TableJudje[رقم الحساب],MATCH(TableDailyJournal[[#This Row],[الحساب]],TableJudje[اسم الحساب],0)),0)</f>
        <v>11060205</v>
      </c>
      <c r="G591" s="58" t="s">
        <v>513</v>
      </c>
      <c r="H591"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591" s="60" t="str">
        <f>INDEX(Tabledaily[العملـــة],MATCH(TableDailyJournal[[#This Row],[رقم العملية]],Tabledaily[رقم العملية],0))</f>
        <v>ريال يمني</v>
      </c>
      <c r="J591" s="59">
        <f>IFERROR(INDEX(Tabledaily[سعــــــر
الصـــــرف],MATCH(C591,Tabledaily[رقم العملية],0)),1)</f>
        <v>405</v>
      </c>
      <c r="K591" s="123" cm="1">
        <f t="array" ref="K591">IFERROR(INDEX(Tabledaily[المبلـــــــغ],MATCH(1,(TableDailyJournal[[#This Row],[رقم العملية]]=Tabledaily[رقم العملية])*(TableDailyJournal[[#This Row],[الحساب]]=Tabledaily[الحســاب المديــــن]),0)),0)</f>
        <v>0</v>
      </c>
      <c r="L591" s="123" cm="1">
        <f t="array" ref="L591">IFERROR(INDEX(Tabledaily[المبلـــــــغ],MATCH(1,(TableDailyJournal[[#This Row],[رقم العملية]]=Tabledaily[رقم العملية])*(TableDailyJournal[[#This Row],[الحساب]]=Tabledaily[الحســاب الدئـــن]),0)),0)</f>
        <v>25000</v>
      </c>
      <c r="M591" s="119">
        <f>IFERROR(TableDailyJournal[[#This Row],[المبلغ مدين]]/TableDailyJournal[[#This Row],[سعــــــر
الصـــــرف]],0)</f>
        <v>0</v>
      </c>
      <c r="N591" s="119">
        <f>IFERROR(TableDailyJournal[[#This Row],[المبلغ دائن]]/TableDailyJournal[[#This Row],[سعــــــر
الصـــــرف]],0)</f>
        <v>61.728395061728392</v>
      </c>
      <c r="O591" s="121" t="str">
        <f>INDEX(Tabledaily[المستفيــــــــد],MATCH(TableDailyJournal[[#This Row],[رقم العملية]],Tabledaily[رقم العملية],0))</f>
        <v>مرافقي الاركان</v>
      </c>
      <c r="P591" s="121" t="str">
        <f>INDEX(Tabledaily[المــــرجـــــــــع],MATCH(TableDailyJournal[[#This Row],[رقم العملية]],Tabledaily[رقم العملية],0))</f>
        <v>كشف صرف</v>
      </c>
      <c r="Q591" s="121" t="str">
        <f>INDEX(Tabledaily[اســـــــم المــــرجــــع],MATCH(TableDailyJournal[[#This Row],[رقم العملية]],Tabledaily[رقم العملية],0))</f>
        <v>كشف صرف</v>
      </c>
      <c r="R591" s="121">
        <f>INDEX(Tabledaily[رقم المـــــرجـــع],MATCH(TableDailyJournal[[#This Row],[رقم العملية]],Tabledaily[رقم العملية],0))</f>
        <v>0</v>
      </c>
      <c r="S591" s="121" t="str">
        <f>INDEX(Tabledaily[مركـــــــزالتكلفــــــة],MATCH(TableDailyJournal[[#This Row],[رقم العملية]],Tabledaily[رقم العملية],0))</f>
        <v>الفرقة الثالثة</v>
      </c>
      <c r="T591" s="121">
        <f>IFERROR(INDEX(tablecost[رقم المركز],MATCH(TableDailyJournal[[#This Row],[مركـــــــزالتكلفــــــة]],tablecost[الاسم],0)),0)</f>
        <v>1</v>
      </c>
      <c r="U591" s="122">
        <f>IFERROR(DATE(TableDailyJournal[[#This Row],[السنــــة]],TableDailyJournal[[#This Row],[الشهــــر]],TableDailyJournal[[#This Row],[الـــــيوم]]),"01-01-2026")</f>
        <v>46190</v>
      </c>
      <c r="V591" s="126"/>
      <c r="W591" s="58"/>
      <c r="X591" s="58">
        <f>IFERROR(YEAR(TableDailyJournal[[#This Row],[التاريخ]]),"")</f>
        <v>2026</v>
      </c>
      <c r="Y591" s="58">
        <f>IFERROR(MONTH(TableDailyJournal[[#This Row],[التاريخ]]),"")</f>
        <v>6</v>
      </c>
      <c r="Z591" s="58">
        <f>IFERROR(DAY(TableDailyJournal[[#This Row],[التاريخ]]),"")</f>
        <v>17</v>
      </c>
      <c r="AA591"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591" s="121">
        <f>INDEX(Tabledaily[جهة الامر],MATCH(TableDailyJournal[[#This Row],[رقم العملية]],Tabledaily[رقم العملية],0))</f>
        <v>0</v>
      </c>
    </row>
    <row r="592" spans="2:28" ht="67.5" x14ac:dyDescent="0.55000000000000004">
      <c r="B592" s="58">
        <f t="shared" si="19"/>
        <v>588</v>
      </c>
      <c r="C592" s="59" t="s">
        <v>1079</v>
      </c>
      <c r="D592" s="60">
        <f>INDEX(Tabledaily[date],MATCH(TableDailyJournal[[#This Row],[رقم العملية]],Tabledaily[رقم العملية],0))</f>
        <v>46191</v>
      </c>
      <c r="E592" s="58" t="str">
        <f>INDEX(Tabledaily[نوع العمليــة],MATCH(TableDailyJournal[[#This Row],[رقم العملية]],Tabledaily[رقم العملية],0))</f>
        <v>قيد عهده</v>
      </c>
      <c r="F592" s="58">
        <f>IFERROR(INDEX(TableJudje[رقم الحساب],MATCH(TableDailyJournal[[#This Row],[الحساب]],TableJudje[اسم الحساب],0)),0)</f>
        <v>31010101</v>
      </c>
      <c r="G592" s="58" t="s">
        <v>111</v>
      </c>
      <c r="H592" s="61"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v>
      </c>
      <c r="I592" s="60" t="str">
        <f>INDEX(Tabledaily[العملـــة],MATCH(TableDailyJournal[[#This Row],[رقم العملية]],Tabledaily[رقم العملية],0))</f>
        <v>ريال يمني</v>
      </c>
      <c r="J592" s="59">
        <f>IFERROR(INDEX(Tabledaily[سعــــــر
الصـــــرف],MATCH(C592,Tabledaily[رقم العملية],0)),1)</f>
        <v>405</v>
      </c>
      <c r="K592" s="123" cm="1">
        <f t="array" ref="K592">IFERROR(INDEX(Tabledaily[المبلـــــــغ],MATCH(1,(TableDailyJournal[[#This Row],[رقم العملية]]=Tabledaily[رقم العملية])*(TableDailyJournal[[#This Row],[الحساب]]=Tabledaily[الحســاب المديــــن]),0)),0)</f>
        <v>30000</v>
      </c>
      <c r="L592" s="123" cm="1">
        <f t="array" ref="L592">IFERROR(INDEX(Tabledaily[المبلـــــــغ],MATCH(1,(TableDailyJournal[[#This Row],[رقم العملية]]=Tabledaily[رقم العملية])*(TableDailyJournal[[#This Row],[الحساب]]=Tabledaily[الحســاب الدئـــن]),0)),0)</f>
        <v>0</v>
      </c>
      <c r="M592" s="119">
        <f>IFERROR(TableDailyJournal[[#This Row],[المبلغ مدين]]/TableDailyJournal[[#This Row],[سعــــــر
الصـــــرف]],0)</f>
        <v>74.074074074074076</v>
      </c>
      <c r="N592" s="119">
        <f>IFERROR(TableDailyJournal[[#This Row],[المبلغ دائن]]/TableDailyJournal[[#This Row],[سعــــــر
الصـــــرف]],0)</f>
        <v>0</v>
      </c>
      <c r="O592" s="121" t="str">
        <f>INDEX(Tabledaily[المستفيــــــــد],MATCH(TableDailyJournal[[#This Row],[رقم العملية]],Tabledaily[رقم العملية],0))</f>
        <v>عبدالمغني عبدالصمد عبدالحميد الصلوي</v>
      </c>
      <c r="P592" s="121" t="str">
        <f>INDEX(Tabledaily[المــــرجـــــــــع],MATCH(TableDailyJournal[[#This Row],[رقم العملية]],Tabledaily[رقم العملية],0))</f>
        <v>استلام نقدي</v>
      </c>
      <c r="Q592" s="121" t="str">
        <f>INDEX(Tabledaily[اســـــــم المــــرجــــع],MATCH(TableDailyJournal[[#This Row],[رقم العملية]],Tabledaily[رقم العملية],0))</f>
        <v>سند استلام</v>
      </c>
      <c r="R592" s="121" t="str">
        <f>INDEX(Tabledaily[رقم المـــــرجـــع],MATCH(TableDailyJournal[[#This Row],[رقم العملية]],Tabledaily[رقم العملية],0))</f>
        <v>100-454</v>
      </c>
      <c r="S592" s="121" t="str">
        <f>INDEX(Tabledaily[مركـــــــزالتكلفــــــة],MATCH(TableDailyJournal[[#This Row],[رقم العملية]],Tabledaily[رقم العملية],0))</f>
        <v>الفرقة الثالثة</v>
      </c>
      <c r="T592" s="121">
        <f>IFERROR(INDEX(tablecost[رقم المركز],MATCH(TableDailyJournal[[#This Row],[مركـــــــزالتكلفــــــة]],tablecost[الاسم],0)),0)</f>
        <v>1</v>
      </c>
      <c r="U592" s="122">
        <f>IFERROR(DATE(TableDailyJournal[[#This Row],[السنــــة]],TableDailyJournal[[#This Row],[الشهــــر]],TableDailyJournal[[#This Row],[الـــــيوم]]),"01-01-2026")</f>
        <v>46191</v>
      </c>
      <c r="V592" s="126"/>
      <c r="W592" s="58"/>
      <c r="X592" s="58">
        <f>IFERROR(YEAR(TableDailyJournal[[#This Row],[التاريخ]]),"")</f>
        <v>2026</v>
      </c>
      <c r="Y592" s="58">
        <f>IFERROR(MONTH(TableDailyJournal[[#This Row],[التاريخ]]),"")</f>
        <v>6</v>
      </c>
      <c r="Z592" s="58">
        <f>IFERROR(DAY(TableDailyJournal[[#This Row],[التاريخ]]),"")</f>
        <v>18</v>
      </c>
      <c r="AA592" s="126"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v>
      </c>
      <c r="AB592" s="121">
        <f>INDEX(Tabledaily[جهة الامر],MATCH(TableDailyJournal[[#This Row],[رقم العملية]],Tabledaily[رقم العملية],0))</f>
        <v>0</v>
      </c>
    </row>
    <row r="593" spans="2:28" ht="67.5" x14ac:dyDescent="0.55000000000000004">
      <c r="B593" s="58">
        <f t="shared" si="19"/>
        <v>589</v>
      </c>
      <c r="C593" s="59" t="s">
        <v>1079</v>
      </c>
      <c r="D593" s="60">
        <f>INDEX(Tabledaily[date],MATCH(TableDailyJournal[[#This Row],[رقم العملية]],Tabledaily[رقم العملية],0))</f>
        <v>46191</v>
      </c>
      <c r="E593" s="58" t="str">
        <f>INDEX(Tabledaily[نوع العمليــة],MATCH(TableDailyJournal[[#This Row],[رقم العملية]],Tabledaily[رقم العملية],0))</f>
        <v>قيد عهده</v>
      </c>
      <c r="F593" s="58">
        <f>IFERROR(INDEX(TableJudje[رقم الحساب],MATCH(TableDailyJournal[[#This Row],[الحساب]],TableJudje[اسم الحساب],0)),0)</f>
        <v>11060205</v>
      </c>
      <c r="G593" s="58" t="s">
        <v>513</v>
      </c>
      <c r="H593" s="61"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v>
      </c>
      <c r="I593" s="60" t="str">
        <f>INDEX(Tabledaily[العملـــة],MATCH(TableDailyJournal[[#This Row],[رقم العملية]],Tabledaily[رقم العملية],0))</f>
        <v>ريال يمني</v>
      </c>
      <c r="J593" s="59">
        <f>IFERROR(INDEX(Tabledaily[سعــــــر
الصـــــرف],MATCH(C593,Tabledaily[رقم العملية],0)),1)</f>
        <v>405</v>
      </c>
      <c r="K593" s="123" cm="1">
        <f t="array" ref="K593">IFERROR(INDEX(Tabledaily[المبلـــــــغ],MATCH(1,(TableDailyJournal[[#This Row],[رقم العملية]]=Tabledaily[رقم العملية])*(TableDailyJournal[[#This Row],[الحساب]]=Tabledaily[الحســاب المديــــن]),0)),0)</f>
        <v>0</v>
      </c>
      <c r="L593" s="123" cm="1">
        <f t="array" ref="L593">IFERROR(INDEX(Tabledaily[المبلـــــــغ],MATCH(1,(TableDailyJournal[[#This Row],[رقم العملية]]=Tabledaily[رقم العملية])*(TableDailyJournal[[#This Row],[الحساب]]=Tabledaily[الحســاب الدئـــن]),0)),0)</f>
        <v>30000</v>
      </c>
      <c r="M593" s="119">
        <f>IFERROR(TableDailyJournal[[#This Row],[المبلغ مدين]]/TableDailyJournal[[#This Row],[سعــــــر
الصـــــرف]],0)</f>
        <v>0</v>
      </c>
      <c r="N593" s="119">
        <f>IFERROR(TableDailyJournal[[#This Row],[المبلغ دائن]]/TableDailyJournal[[#This Row],[سعــــــر
الصـــــرف]],0)</f>
        <v>74.074074074074076</v>
      </c>
      <c r="O593" s="121" t="str">
        <f>INDEX(Tabledaily[المستفيــــــــد],MATCH(TableDailyJournal[[#This Row],[رقم العملية]],Tabledaily[رقم العملية],0))</f>
        <v>عبدالمغني عبدالصمد عبدالحميد الصلوي</v>
      </c>
      <c r="P593" s="121" t="str">
        <f>INDEX(Tabledaily[المــــرجـــــــــع],MATCH(TableDailyJournal[[#This Row],[رقم العملية]],Tabledaily[رقم العملية],0))</f>
        <v>استلام نقدي</v>
      </c>
      <c r="Q593" s="121" t="str">
        <f>INDEX(Tabledaily[اســـــــم المــــرجــــع],MATCH(TableDailyJournal[[#This Row],[رقم العملية]],Tabledaily[رقم العملية],0))</f>
        <v>سند استلام</v>
      </c>
      <c r="R593" s="121" t="str">
        <f>INDEX(Tabledaily[رقم المـــــرجـــع],MATCH(TableDailyJournal[[#This Row],[رقم العملية]],Tabledaily[رقم العملية],0))</f>
        <v>100-454</v>
      </c>
      <c r="S593" s="121" t="str">
        <f>INDEX(Tabledaily[مركـــــــزالتكلفــــــة],MATCH(TableDailyJournal[[#This Row],[رقم العملية]],Tabledaily[رقم العملية],0))</f>
        <v>الفرقة الثالثة</v>
      </c>
      <c r="T593" s="121">
        <f>IFERROR(INDEX(tablecost[رقم المركز],MATCH(TableDailyJournal[[#This Row],[مركـــــــزالتكلفــــــة]],tablecost[الاسم],0)),0)</f>
        <v>1</v>
      </c>
      <c r="U593" s="122">
        <f>IFERROR(DATE(TableDailyJournal[[#This Row],[السنــــة]],TableDailyJournal[[#This Row],[الشهــــر]],TableDailyJournal[[#This Row],[الـــــيوم]]),"01-01-2026")</f>
        <v>46191</v>
      </c>
      <c r="V593" s="126"/>
      <c r="W593" s="58"/>
      <c r="X593" s="58">
        <f>IFERROR(YEAR(TableDailyJournal[[#This Row],[التاريخ]]),"")</f>
        <v>2026</v>
      </c>
      <c r="Y593" s="58">
        <f>IFERROR(MONTH(TableDailyJournal[[#This Row],[التاريخ]]),"")</f>
        <v>6</v>
      </c>
      <c r="Z593" s="58">
        <f>IFERROR(DAY(TableDailyJournal[[#This Row],[التاريخ]]),"")</f>
        <v>18</v>
      </c>
      <c r="AA593" s="126" t="str">
        <f>INDEX(Tabledaily[المرجع البياني],MATCH(TableDailyJournal[[#This Row],[رقم العملية]],Tabledaily[رقم العملية],0))</f>
        <v>قيـد مقابـل:- (مصاريف  صرفة يومية للافراد  - عبدالمغني عبدالصمد عبدالحميد الصلوي - الفرقة الثالثة)  - استلام نقدي رقم 100-454  سند استلام - صرف صرفة عبد المغني اليومية للفترة من 15 الى16 يونيو كونه جريح في مستشفى سيؤون  بامر</v>
      </c>
      <c r="AB593" s="121">
        <f>INDEX(Tabledaily[جهة الامر],MATCH(TableDailyJournal[[#This Row],[رقم العملية]],Tabledaily[رقم العملية],0))</f>
        <v>0</v>
      </c>
    </row>
    <row r="594" spans="2:28" ht="45.75" x14ac:dyDescent="0.55000000000000004">
      <c r="B594" s="58">
        <f t="shared" si="19"/>
        <v>590</v>
      </c>
      <c r="C594" s="59" t="s">
        <v>1082</v>
      </c>
      <c r="D594" s="60">
        <f>INDEX(Tabledaily[date],MATCH(TableDailyJournal[[#This Row],[رقم العملية]],Tabledaily[رقم العملية],0))</f>
        <v>46191</v>
      </c>
      <c r="E594" s="58" t="str">
        <f>INDEX(Tabledaily[نوع العمليــة],MATCH(TableDailyJournal[[#This Row],[رقم العملية]],Tabledaily[رقم العملية],0))</f>
        <v>قيد عهده</v>
      </c>
      <c r="F594" s="58">
        <f>IFERROR(INDEX(TableJudje[رقم الحساب],MATCH(TableDailyJournal[[#This Row],[الحساب]],TableJudje[اسم الحساب],0)),0)</f>
        <v>31010115</v>
      </c>
      <c r="G594" s="58" t="s">
        <v>486</v>
      </c>
      <c r="H594" s="61" t="str">
        <f>INDEX(Tabledaily[المرجع البياني],MATCH(TableDailyJournal[[#This Row],[رقم العملية]],Tabledaily[رقم العملية],0))</f>
        <v>قيـد مقابـل:- (مصاريف مياة - وايت الماء - الفرقة الثالثة)  - استلام نقدي رقم 100-487  سند استلام - تعبئة القاطرة متء من الخشعة وتغيير زيت بامرالمستشار المالي</v>
      </c>
      <c r="I594" s="60" t="str">
        <f>INDEX(Tabledaily[العملـــة],MATCH(TableDailyJournal[[#This Row],[رقم العملية]],Tabledaily[رقم العملية],0))</f>
        <v>ريال يمني</v>
      </c>
      <c r="J594" s="59">
        <f>IFERROR(INDEX(Tabledaily[سعــــــر
الصـــــرف],MATCH(C594,Tabledaily[رقم العملية],0)),1)</f>
        <v>405</v>
      </c>
      <c r="K594" s="123" cm="1">
        <f t="array" ref="K594">IFERROR(INDEX(Tabledaily[المبلـــــــغ],MATCH(1,(TableDailyJournal[[#This Row],[رقم العملية]]=Tabledaily[رقم العملية])*(TableDailyJournal[[#This Row],[الحساب]]=Tabledaily[الحســاب المديــــن]),0)),0)</f>
        <v>100000</v>
      </c>
      <c r="L594" s="123" cm="1">
        <f t="array" ref="L594">IFERROR(INDEX(Tabledaily[المبلـــــــغ],MATCH(1,(TableDailyJournal[[#This Row],[رقم العملية]]=Tabledaily[رقم العملية])*(TableDailyJournal[[#This Row],[الحساب]]=Tabledaily[الحســاب الدئـــن]),0)),0)</f>
        <v>0</v>
      </c>
      <c r="M594" s="119">
        <f>IFERROR(TableDailyJournal[[#This Row],[المبلغ مدين]]/TableDailyJournal[[#This Row],[سعــــــر
الصـــــرف]],0)</f>
        <v>246.91358024691357</v>
      </c>
      <c r="N594" s="119">
        <f>IFERROR(TableDailyJournal[[#This Row],[المبلغ دائن]]/TableDailyJournal[[#This Row],[سعــــــر
الصـــــرف]],0)</f>
        <v>0</v>
      </c>
      <c r="O594" s="121" t="str">
        <f>INDEX(Tabledaily[المستفيــــــــد],MATCH(TableDailyJournal[[#This Row],[رقم العملية]],Tabledaily[رقم العملية],0))</f>
        <v>وايت الماء</v>
      </c>
      <c r="P594" s="121" t="str">
        <f>INDEX(Tabledaily[المــــرجـــــــــع],MATCH(TableDailyJournal[[#This Row],[رقم العملية]],Tabledaily[رقم العملية],0))</f>
        <v>استلام نقدي</v>
      </c>
      <c r="Q594" s="121" t="str">
        <f>INDEX(Tabledaily[اســـــــم المــــرجــــع],MATCH(TableDailyJournal[[#This Row],[رقم العملية]],Tabledaily[رقم العملية],0))</f>
        <v>سند استلام</v>
      </c>
      <c r="R594" s="121" t="str">
        <f>INDEX(Tabledaily[رقم المـــــرجـــع],MATCH(TableDailyJournal[[#This Row],[رقم العملية]],Tabledaily[رقم العملية],0))</f>
        <v>100-487</v>
      </c>
      <c r="S594" s="121" t="str">
        <f>INDEX(Tabledaily[مركـــــــزالتكلفــــــة],MATCH(TableDailyJournal[[#This Row],[رقم العملية]],Tabledaily[رقم العملية],0))</f>
        <v>الفرقة الثالثة</v>
      </c>
      <c r="T594" s="121">
        <f>IFERROR(INDEX(tablecost[رقم المركز],MATCH(TableDailyJournal[[#This Row],[مركـــــــزالتكلفــــــة]],tablecost[الاسم],0)),0)</f>
        <v>1</v>
      </c>
      <c r="U594" s="122">
        <f>IFERROR(DATE(TableDailyJournal[[#This Row],[السنــــة]],TableDailyJournal[[#This Row],[الشهــــر]],TableDailyJournal[[#This Row],[الـــــيوم]]),"01-01-2026")</f>
        <v>46191</v>
      </c>
      <c r="V594" s="126"/>
      <c r="W594" s="58"/>
      <c r="X594" s="58">
        <f>IFERROR(YEAR(TableDailyJournal[[#This Row],[التاريخ]]),"")</f>
        <v>2026</v>
      </c>
      <c r="Y594" s="58">
        <f>IFERROR(MONTH(TableDailyJournal[[#This Row],[التاريخ]]),"")</f>
        <v>6</v>
      </c>
      <c r="Z594" s="58">
        <f>IFERROR(DAY(TableDailyJournal[[#This Row],[التاريخ]]),"")</f>
        <v>18</v>
      </c>
      <c r="AA594" s="126" t="str">
        <f>INDEX(Tabledaily[المرجع البياني],MATCH(TableDailyJournal[[#This Row],[رقم العملية]],Tabledaily[رقم العملية],0))</f>
        <v>قيـد مقابـل:- (مصاريف مياة - وايت الماء - الفرقة الثالثة)  - استلام نقدي رقم 100-487  سند استلام - تعبئة القاطرة متء من الخشعة وتغيير زيت بامرالمستشار المالي</v>
      </c>
      <c r="AB594" s="121" t="str">
        <f>INDEX(Tabledaily[جهة الامر],MATCH(TableDailyJournal[[#This Row],[رقم العملية]],Tabledaily[رقم العملية],0))</f>
        <v>المستشار المالي</v>
      </c>
    </row>
    <row r="595" spans="2:28" ht="45.75" x14ac:dyDescent="0.55000000000000004">
      <c r="B595" s="58">
        <f t="shared" si="19"/>
        <v>591</v>
      </c>
      <c r="C595" s="59" t="s">
        <v>1082</v>
      </c>
      <c r="D595" s="60">
        <f>INDEX(Tabledaily[date],MATCH(TableDailyJournal[[#This Row],[رقم العملية]],Tabledaily[رقم العملية],0))</f>
        <v>46191</v>
      </c>
      <c r="E595" s="58" t="str">
        <f>INDEX(Tabledaily[نوع العمليــة],MATCH(TableDailyJournal[[#This Row],[رقم العملية]],Tabledaily[رقم العملية],0))</f>
        <v>قيد عهده</v>
      </c>
      <c r="F595" s="58">
        <f>IFERROR(INDEX(TableJudje[رقم الحساب],MATCH(TableDailyJournal[[#This Row],[الحساب]],TableJudje[اسم الحساب],0)),0)</f>
        <v>11060205</v>
      </c>
      <c r="G595" s="58" t="s">
        <v>513</v>
      </c>
      <c r="H595" s="61" t="str">
        <f>INDEX(Tabledaily[المرجع البياني],MATCH(TableDailyJournal[[#This Row],[رقم العملية]],Tabledaily[رقم العملية],0))</f>
        <v>قيـد مقابـل:- (مصاريف مياة - وايت الماء - الفرقة الثالثة)  - استلام نقدي رقم 100-487  سند استلام - تعبئة القاطرة متء من الخشعة وتغيير زيت بامرالمستشار المالي</v>
      </c>
      <c r="I595" s="60" t="str">
        <f>INDEX(Tabledaily[العملـــة],MATCH(TableDailyJournal[[#This Row],[رقم العملية]],Tabledaily[رقم العملية],0))</f>
        <v>ريال يمني</v>
      </c>
      <c r="J595" s="59">
        <f>IFERROR(INDEX(Tabledaily[سعــــــر
الصـــــرف],MATCH(C595,Tabledaily[رقم العملية],0)),1)</f>
        <v>405</v>
      </c>
      <c r="K595" s="123" cm="1">
        <f t="array" ref="K595">IFERROR(INDEX(Tabledaily[المبلـــــــغ],MATCH(1,(TableDailyJournal[[#This Row],[رقم العملية]]=Tabledaily[رقم العملية])*(TableDailyJournal[[#This Row],[الحساب]]=Tabledaily[الحســاب المديــــن]),0)),0)</f>
        <v>0</v>
      </c>
      <c r="L595" s="123" cm="1">
        <f t="array" ref="L595">IFERROR(INDEX(Tabledaily[المبلـــــــغ],MATCH(1,(TableDailyJournal[[#This Row],[رقم العملية]]=Tabledaily[رقم العملية])*(TableDailyJournal[[#This Row],[الحساب]]=Tabledaily[الحســاب الدئـــن]),0)),0)</f>
        <v>100000</v>
      </c>
      <c r="M595" s="119">
        <f>IFERROR(TableDailyJournal[[#This Row],[المبلغ مدين]]/TableDailyJournal[[#This Row],[سعــــــر
الصـــــرف]],0)</f>
        <v>0</v>
      </c>
      <c r="N595" s="119">
        <f>IFERROR(TableDailyJournal[[#This Row],[المبلغ دائن]]/TableDailyJournal[[#This Row],[سعــــــر
الصـــــرف]],0)</f>
        <v>246.91358024691357</v>
      </c>
      <c r="O595" s="121" t="str">
        <f>INDEX(Tabledaily[المستفيــــــــد],MATCH(TableDailyJournal[[#This Row],[رقم العملية]],Tabledaily[رقم العملية],0))</f>
        <v>وايت الماء</v>
      </c>
      <c r="P595" s="121" t="str">
        <f>INDEX(Tabledaily[المــــرجـــــــــع],MATCH(TableDailyJournal[[#This Row],[رقم العملية]],Tabledaily[رقم العملية],0))</f>
        <v>استلام نقدي</v>
      </c>
      <c r="Q595" s="121" t="str">
        <f>INDEX(Tabledaily[اســـــــم المــــرجــــع],MATCH(TableDailyJournal[[#This Row],[رقم العملية]],Tabledaily[رقم العملية],0))</f>
        <v>سند استلام</v>
      </c>
      <c r="R595" s="121" t="str">
        <f>INDEX(Tabledaily[رقم المـــــرجـــع],MATCH(TableDailyJournal[[#This Row],[رقم العملية]],Tabledaily[رقم العملية],0))</f>
        <v>100-487</v>
      </c>
      <c r="S595" s="121" t="str">
        <f>INDEX(Tabledaily[مركـــــــزالتكلفــــــة],MATCH(TableDailyJournal[[#This Row],[رقم العملية]],Tabledaily[رقم العملية],0))</f>
        <v>الفرقة الثالثة</v>
      </c>
      <c r="T595" s="121">
        <f>IFERROR(INDEX(tablecost[رقم المركز],MATCH(TableDailyJournal[[#This Row],[مركـــــــزالتكلفــــــة]],tablecost[الاسم],0)),0)</f>
        <v>1</v>
      </c>
      <c r="U595" s="122">
        <f>IFERROR(DATE(TableDailyJournal[[#This Row],[السنــــة]],TableDailyJournal[[#This Row],[الشهــــر]],TableDailyJournal[[#This Row],[الـــــيوم]]),"01-01-2026")</f>
        <v>46191</v>
      </c>
      <c r="V595" s="126"/>
      <c r="W595" s="58"/>
      <c r="X595" s="58">
        <f>IFERROR(YEAR(TableDailyJournal[[#This Row],[التاريخ]]),"")</f>
        <v>2026</v>
      </c>
      <c r="Y595" s="58">
        <f>IFERROR(MONTH(TableDailyJournal[[#This Row],[التاريخ]]),"")</f>
        <v>6</v>
      </c>
      <c r="Z595" s="58">
        <f>IFERROR(DAY(TableDailyJournal[[#This Row],[التاريخ]]),"")</f>
        <v>18</v>
      </c>
      <c r="AA595" s="126" t="str">
        <f>INDEX(Tabledaily[المرجع البياني],MATCH(TableDailyJournal[[#This Row],[رقم العملية]],Tabledaily[رقم العملية],0))</f>
        <v>قيـد مقابـل:- (مصاريف مياة - وايت الماء - الفرقة الثالثة)  - استلام نقدي رقم 100-487  سند استلام - تعبئة القاطرة متء من الخشعة وتغيير زيت بامرالمستشار المالي</v>
      </c>
      <c r="AB595" s="121" t="str">
        <f>INDEX(Tabledaily[جهة الامر],MATCH(TableDailyJournal[[#This Row],[رقم العملية]],Tabledaily[رقم العملية],0))</f>
        <v>المستشار المالي</v>
      </c>
    </row>
    <row r="596" spans="2:28" ht="67.5" x14ac:dyDescent="0.55000000000000004">
      <c r="B596" s="58">
        <f t="shared" si="19"/>
        <v>592</v>
      </c>
      <c r="C596" s="59" t="s">
        <v>1085</v>
      </c>
      <c r="D596" s="60">
        <f>INDEX(Tabledaily[date],MATCH(TableDailyJournal[[#This Row],[رقم العملية]],Tabledaily[رقم العملية],0))</f>
        <v>46191</v>
      </c>
      <c r="E596" s="58" t="str">
        <f>INDEX(Tabledaily[نوع العمليــة],MATCH(TableDailyJournal[[#This Row],[رقم العملية]],Tabledaily[رقم العملية],0))</f>
        <v>قيد عهده</v>
      </c>
      <c r="F596" s="58">
        <f>IFERROR(INDEX(TableJudje[رقم الحساب],MATCH(TableDailyJournal[[#This Row],[الحساب]],TableJudje[اسم الحساب],0)),0)</f>
        <v>31010101</v>
      </c>
      <c r="G596" s="58" t="s">
        <v>111</v>
      </c>
      <c r="H596" s="61" t="str">
        <f>INDEX(Tabledaily[المرجع البياني],MATCH(TableDailyJournal[[#This Row],[رقم العملية]],Tabledaily[رقم العملية],0))</f>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v>
      </c>
      <c r="I596" s="60" t="str">
        <f>INDEX(Tabledaily[العملـــة],MATCH(TableDailyJournal[[#This Row],[رقم العملية]],Tabledaily[رقم العملية],0))</f>
        <v>ريال يمني</v>
      </c>
      <c r="J596" s="59">
        <f>IFERROR(INDEX(Tabledaily[سعــــــر
الصـــــرف],MATCH(C596,Tabledaily[رقم العملية],0)),1)</f>
        <v>405</v>
      </c>
      <c r="K596" s="123" cm="1">
        <f t="array" ref="K596">IFERROR(INDEX(Tabledaily[المبلـــــــغ],MATCH(1,(TableDailyJournal[[#This Row],[رقم العملية]]=Tabledaily[رقم العملية])*(TableDailyJournal[[#This Row],[الحساب]]=Tabledaily[الحســاب المديــــن]),0)),0)</f>
        <v>60000</v>
      </c>
      <c r="L596" s="123" cm="1">
        <f t="array" ref="L596">IFERROR(INDEX(Tabledaily[المبلـــــــغ],MATCH(1,(TableDailyJournal[[#This Row],[رقم العملية]]=Tabledaily[رقم العملية])*(TableDailyJournal[[#This Row],[الحساب]]=Tabledaily[الحســاب الدئـــن]),0)),0)</f>
        <v>0</v>
      </c>
      <c r="M596" s="119">
        <f>IFERROR(TableDailyJournal[[#This Row],[المبلغ مدين]]/TableDailyJournal[[#This Row],[سعــــــر
الصـــــرف]],0)</f>
        <v>148.14814814814815</v>
      </c>
      <c r="N596" s="119">
        <f>IFERROR(TableDailyJournal[[#This Row],[المبلغ دائن]]/TableDailyJournal[[#This Row],[سعــــــر
الصـــــرف]],0)</f>
        <v>0</v>
      </c>
      <c r="O596" s="121" t="str">
        <f>INDEX(Tabledaily[المستفيــــــــد],MATCH(TableDailyJournal[[#This Row],[رقم العملية]],Tabledaily[رقم العملية],0))</f>
        <v xml:space="preserve">محمد ردمان + حسام فؤاد </v>
      </c>
      <c r="P596" s="121" t="str">
        <f>INDEX(Tabledaily[المــــرجـــــــــع],MATCH(TableDailyJournal[[#This Row],[رقم العملية]],Tabledaily[رقم العملية],0))</f>
        <v>استلام نقدي</v>
      </c>
      <c r="Q596" s="121" t="str">
        <f>INDEX(Tabledaily[اســـــــم المــــرجــــع],MATCH(TableDailyJournal[[#This Row],[رقم العملية]],Tabledaily[رقم العملية],0))</f>
        <v>سند استلام</v>
      </c>
      <c r="R596" s="121" t="str">
        <f>INDEX(Tabledaily[رقم المـــــرجـــع],MATCH(TableDailyJournal[[#This Row],[رقم العملية]],Tabledaily[رقم العملية],0))</f>
        <v>100-475</v>
      </c>
      <c r="S596" s="121" t="str">
        <f>INDEX(Tabledaily[مركـــــــزالتكلفــــــة],MATCH(TableDailyJournal[[#This Row],[رقم العملية]],Tabledaily[رقم العملية],0))</f>
        <v>الفرقة الثالثة</v>
      </c>
      <c r="T596" s="121">
        <f>IFERROR(INDEX(tablecost[رقم المركز],MATCH(TableDailyJournal[[#This Row],[مركـــــــزالتكلفــــــة]],tablecost[الاسم],0)),0)</f>
        <v>1</v>
      </c>
      <c r="U596" s="122">
        <f>IFERROR(DATE(TableDailyJournal[[#This Row],[السنــــة]],TableDailyJournal[[#This Row],[الشهــــر]],TableDailyJournal[[#This Row],[الـــــيوم]]),"01-01-2026")</f>
        <v>46191</v>
      </c>
      <c r="V596" s="126"/>
      <c r="W596" s="58"/>
      <c r="X596" s="58">
        <f>IFERROR(YEAR(TableDailyJournal[[#This Row],[التاريخ]]),"")</f>
        <v>2026</v>
      </c>
      <c r="Y596" s="58">
        <f>IFERROR(MONTH(TableDailyJournal[[#This Row],[التاريخ]]),"")</f>
        <v>6</v>
      </c>
      <c r="Z596" s="58">
        <f>IFERROR(DAY(TableDailyJournal[[#This Row],[التاريخ]]),"")</f>
        <v>18</v>
      </c>
      <c r="AA596" s="126" t="str">
        <f>INDEX(Tabledaily[المرجع البياني],MATCH(TableDailyJournal[[#This Row],[رقم العملية]],Tabledaily[رقم العملية],0))</f>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v>
      </c>
      <c r="AB596" s="121">
        <f>INDEX(Tabledaily[جهة الامر],MATCH(TableDailyJournal[[#This Row],[رقم العملية]],Tabledaily[رقم العملية],0))</f>
        <v>0</v>
      </c>
    </row>
    <row r="597" spans="2:28" ht="67.5" x14ac:dyDescent="0.55000000000000004">
      <c r="B597" s="58">
        <f t="shared" si="19"/>
        <v>593</v>
      </c>
      <c r="C597" s="59" t="s">
        <v>1085</v>
      </c>
      <c r="D597" s="60">
        <f>INDEX(Tabledaily[date],MATCH(TableDailyJournal[[#This Row],[رقم العملية]],Tabledaily[رقم العملية],0))</f>
        <v>46191</v>
      </c>
      <c r="E597" s="58" t="str">
        <f>INDEX(Tabledaily[نوع العمليــة],MATCH(TableDailyJournal[[#This Row],[رقم العملية]],Tabledaily[رقم العملية],0))</f>
        <v>قيد عهده</v>
      </c>
      <c r="F597" s="58">
        <f>IFERROR(INDEX(TableJudje[رقم الحساب],MATCH(TableDailyJournal[[#This Row],[الحساب]],TableJudje[اسم الحساب],0)),0)</f>
        <v>11060205</v>
      </c>
      <c r="G597" s="58" t="s">
        <v>513</v>
      </c>
      <c r="H597" s="61" t="str">
        <f>INDEX(Tabledaily[المرجع البياني],MATCH(TableDailyJournal[[#This Row],[رقم العملية]],Tabledaily[رقم العملية],0))</f>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v>
      </c>
      <c r="I597" s="60" t="str">
        <f>INDEX(Tabledaily[العملـــة],MATCH(TableDailyJournal[[#This Row],[رقم العملية]],Tabledaily[رقم العملية],0))</f>
        <v>ريال يمني</v>
      </c>
      <c r="J597" s="59">
        <f>IFERROR(INDEX(Tabledaily[سعــــــر
الصـــــرف],MATCH(C597,Tabledaily[رقم العملية],0)),1)</f>
        <v>405</v>
      </c>
      <c r="K597" s="123" cm="1">
        <f t="array" ref="K597">IFERROR(INDEX(Tabledaily[المبلـــــــغ],MATCH(1,(TableDailyJournal[[#This Row],[رقم العملية]]=Tabledaily[رقم العملية])*(TableDailyJournal[[#This Row],[الحساب]]=Tabledaily[الحســاب المديــــن]),0)),0)</f>
        <v>0</v>
      </c>
      <c r="L597" s="123" cm="1">
        <f t="array" ref="L597">IFERROR(INDEX(Tabledaily[المبلـــــــغ],MATCH(1,(TableDailyJournal[[#This Row],[رقم العملية]]=Tabledaily[رقم العملية])*(TableDailyJournal[[#This Row],[الحساب]]=Tabledaily[الحســاب الدئـــن]),0)),0)</f>
        <v>60000</v>
      </c>
      <c r="M597" s="119">
        <f>IFERROR(TableDailyJournal[[#This Row],[المبلغ مدين]]/TableDailyJournal[[#This Row],[سعــــــر
الصـــــرف]],0)</f>
        <v>0</v>
      </c>
      <c r="N597" s="119">
        <f>IFERROR(TableDailyJournal[[#This Row],[المبلغ دائن]]/TableDailyJournal[[#This Row],[سعــــــر
الصـــــرف]],0)</f>
        <v>148.14814814814815</v>
      </c>
      <c r="O597" s="121" t="str">
        <f>INDEX(Tabledaily[المستفيــــــــد],MATCH(TableDailyJournal[[#This Row],[رقم العملية]],Tabledaily[رقم العملية],0))</f>
        <v xml:space="preserve">محمد ردمان + حسام فؤاد </v>
      </c>
      <c r="P597" s="121" t="str">
        <f>INDEX(Tabledaily[المــــرجـــــــــع],MATCH(TableDailyJournal[[#This Row],[رقم العملية]],Tabledaily[رقم العملية],0))</f>
        <v>استلام نقدي</v>
      </c>
      <c r="Q597" s="121" t="str">
        <f>INDEX(Tabledaily[اســـــــم المــــرجــــع],MATCH(TableDailyJournal[[#This Row],[رقم العملية]],Tabledaily[رقم العملية],0))</f>
        <v>سند استلام</v>
      </c>
      <c r="R597" s="121" t="str">
        <f>INDEX(Tabledaily[رقم المـــــرجـــع],MATCH(TableDailyJournal[[#This Row],[رقم العملية]],Tabledaily[رقم العملية],0))</f>
        <v>100-475</v>
      </c>
      <c r="S597" s="121" t="str">
        <f>INDEX(Tabledaily[مركـــــــزالتكلفــــــة],MATCH(TableDailyJournal[[#This Row],[رقم العملية]],Tabledaily[رقم العملية],0))</f>
        <v>الفرقة الثالثة</v>
      </c>
      <c r="T597" s="121">
        <f>IFERROR(INDEX(tablecost[رقم المركز],MATCH(TableDailyJournal[[#This Row],[مركـــــــزالتكلفــــــة]],tablecost[الاسم],0)),0)</f>
        <v>1</v>
      </c>
      <c r="U597" s="122">
        <f>IFERROR(DATE(TableDailyJournal[[#This Row],[السنــــة]],TableDailyJournal[[#This Row],[الشهــــر]],TableDailyJournal[[#This Row],[الـــــيوم]]),"01-01-2026")</f>
        <v>46191</v>
      </c>
      <c r="V597" s="126"/>
      <c r="W597" s="58"/>
      <c r="X597" s="58">
        <f>IFERROR(YEAR(TableDailyJournal[[#This Row],[التاريخ]]),"")</f>
        <v>2026</v>
      </c>
      <c r="Y597" s="58">
        <f>IFERROR(MONTH(TableDailyJournal[[#This Row],[التاريخ]]),"")</f>
        <v>6</v>
      </c>
      <c r="Z597" s="58">
        <f>IFERROR(DAY(TableDailyJournal[[#This Row],[التاريخ]]),"")</f>
        <v>18</v>
      </c>
      <c r="AA597" s="126" t="str">
        <f>INDEX(Tabledaily[المرجع البياني],MATCH(TableDailyJournal[[#This Row],[رقم العملية]],Tabledaily[رقم العملية],0))</f>
        <v>قيـد مقابـل:- (مصاريف  صرفة يومية للافراد  - محمد ردمان + حسام فؤاد  - الفرقة الثالثة)  - استلام نقدي رقم 100-475  سند استلام - صرف الصرفة اليومية لافراد الاستطلاع عدد 2 افراد من 16 إلى 17 يونيو بامر</v>
      </c>
      <c r="AB597" s="121">
        <f>INDEX(Tabledaily[جهة الامر],MATCH(TableDailyJournal[[#This Row],[رقم العملية]],Tabledaily[رقم العملية],0))</f>
        <v>0</v>
      </c>
    </row>
    <row r="598" spans="2:28" ht="45.75" x14ac:dyDescent="0.55000000000000004">
      <c r="B598" s="58">
        <f t="shared" si="19"/>
        <v>594</v>
      </c>
      <c r="C598" s="59" t="s">
        <v>1089</v>
      </c>
      <c r="D598" s="60">
        <f>INDEX(Tabledaily[date],MATCH(TableDailyJournal[[#This Row],[رقم العملية]],Tabledaily[رقم العملية],0))</f>
        <v>46191</v>
      </c>
      <c r="E598" s="58" t="str">
        <f>INDEX(Tabledaily[نوع العمليــة],MATCH(TableDailyJournal[[#This Row],[رقم العملية]],Tabledaily[رقم العملية],0))</f>
        <v>قيد عهده</v>
      </c>
      <c r="F598" s="58">
        <f>IFERROR(INDEX(TableJudje[رقم الحساب],MATCH(TableDailyJournal[[#This Row],[الحساب]],TableJudje[اسم الحساب],0)),0)</f>
        <v>31010101</v>
      </c>
      <c r="G598" s="58" t="s">
        <v>111</v>
      </c>
      <c r="H598" s="61"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v>
      </c>
      <c r="I598" s="60" t="str">
        <f>INDEX(Tabledaily[العملـــة],MATCH(TableDailyJournal[[#This Row],[رقم العملية]],Tabledaily[رقم العملية],0))</f>
        <v>ريال يمني</v>
      </c>
      <c r="J598" s="59">
        <f>IFERROR(INDEX(Tabledaily[سعــــــر
الصـــــرف],MATCH(C598,Tabledaily[رقم العملية],0)),1)</f>
        <v>405</v>
      </c>
      <c r="K598" s="123" cm="1">
        <f t="array" ref="K598">IFERROR(INDEX(Tabledaily[المبلـــــــغ],MATCH(1,(TableDailyJournal[[#This Row],[رقم العملية]]=Tabledaily[رقم العملية])*(TableDailyJournal[[#This Row],[الحساب]]=Tabledaily[الحســاب المديــــن]),0)),0)</f>
        <v>20000</v>
      </c>
      <c r="L598" s="123" cm="1">
        <f t="array" ref="L598">IFERROR(INDEX(Tabledaily[المبلـــــــغ],MATCH(1,(TableDailyJournal[[#This Row],[رقم العملية]]=Tabledaily[رقم العملية])*(TableDailyJournal[[#This Row],[الحساب]]=Tabledaily[الحســاب الدئـــن]),0)),0)</f>
        <v>0</v>
      </c>
      <c r="M598" s="119">
        <f>IFERROR(TableDailyJournal[[#This Row],[المبلغ مدين]]/TableDailyJournal[[#This Row],[سعــــــر
الصـــــرف]],0)</f>
        <v>49.382716049382715</v>
      </c>
      <c r="N598" s="119">
        <f>IFERROR(TableDailyJournal[[#This Row],[المبلغ دائن]]/TableDailyJournal[[#This Row],[سعــــــر
الصـــــرف]],0)</f>
        <v>0</v>
      </c>
      <c r="O598" s="121" t="str">
        <f>INDEX(Tabledaily[المستفيــــــــد],MATCH(TableDailyJournal[[#This Row],[رقم العملية]],Tabledaily[رقم العملية],0))</f>
        <v>اركان اللواء السادس</v>
      </c>
      <c r="P598" s="121" t="str">
        <f>INDEX(Tabledaily[المــــرجـــــــــع],MATCH(TableDailyJournal[[#This Row],[رقم العملية]],Tabledaily[رقم العملية],0))</f>
        <v>استلام نقدي</v>
      </c>
      <c r="Q598" s="121" t="str">
        <f>INDEX(Tabledaily[اســـــــم المــــرجــــع],MATCH(TableDailyJournal[[#This Row],[رقم العملية]],Tabledaily[رقم العملية],0))</f>
        <v>سند استلام</v>
      </c>
      <c r="R598" s="121" t="str">
        <f>INDEX(Tabledaily[رقم المـــــرجـــع],MATCH(TableDailyJournal[[#This Row],[رقم العملية]],Tabledaily[رقم العملية],0))</f>
        <v>100-454</v>
      </c>
      <c r="S598" s="121" t="str">
        <f>INDEX(Tabledaily[مركـــــــزالتكلفــــــة],MATCH(TableDailyJournal[[#This Row],[رقم العملية]],Tabledaily[رقم العملية],0))</f>
        <v>اللواء السادس</v>
      </c>
      <c r="T598" s="121">
        <f>IFERROR(INDEX(tablecost[رقم المركز],MATCH(TableDailyJournal[[#This Row],[مركـــــــزالتكلفــــــة]],tablecost[الاسم],0)),0)</f>
        <v>7</v>
      </c>
      <c r="U598" s="122">
        <f>IFERROR(DATE(TableDailyJournal[[#This Row],[السنــــة]],TableDailyJournal[[#This Row],[الشهــــر]],TableDailyJournal[[#This Row],[الـــــيوم]]),"01-01-2026")</f>
        <v>46191</v>
      </c>
      <c r="V598" s="126"/>
      <c r="W598" s="58"/>
      <c r="X598" s="58">
        <f>IFERROR(YEAR(TableDailyJournal[[#This Row],[التاريخ]]),"")</f>
        <v>2026</v>
      </c>
      <c r="Y598" s="58">
        <f>IFERROR(MONTH(TableDailyJournal[[#This Row],[التاريخ]]),"")</f>
        <v>6</v>
      </c>
      <c r="Z598" s="58">
        <f>IFERROR(DAY(TableDailyJournal[[#This Row],[التاريخ]]),"")</f>
        <v>18</v>
      </c>
      <c r="AA598" s="126"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v>
      </c>
      <c r="AB598" s="121" t="str">
        <f>INDEX(Tabledaily[جهة الامر],MATCH(TableDailyJournal[[#This Row],[رقم العملية]],Tabledaily[رقم العملية],0))</f>
        <v>المستشار المالي</v>
      </c>
    </row>
    <row r="599" spans="2:28" ht="45.75" x14ac:dyDescent="0.55000000000000004">
      <c r="B599" s="58">
        <f t="shared" si="19"/>
        <v>595</v>
      </c>
      <c r="C599" s="59" t="s">
        <v>1089</v>
      </c>
      <c r="D599" s="60">
        <f>INDEX(Tabledaily[date],MATCH(TableDailyJournal[[#This Row],[رقم العملية]],Tabledaily[رقم العملية],0))</f>
        <v>46191</v>
      </c>
      <c r="E599" s="58" t="str">
        <f>INDEX(Tabledaily[نوع العمليــة],MATCH(TableDailyJournal[[#This Row],[رقم العملية]],Tabledaily[رقم العملية],0))</f>
        <v>قيد عهده</v>
      </c>
      <c r="F599" s="58">
        <f>IFERROR(INDEX(TableJudje[رقم الحساب],MATCH(TableDailyJournal[[#This Row],[الحساب]],TableJudje[اسم الحساب],0)),0)</f>
        <v>11060205</v>
      </c>
      <c r="G599" s="58" t="s">
        <v>513</v>
      </c>
      <c r="H599" s="61"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v>
      </c>
      <c r="I599" s="60" t="str">
        <f>INDEX(Tabledaily[العملـــة],MATCH(TableDailyJournal[[#This Row],[رقم العملية]],Tabledaily[رقم العملية],0))</f>
        <v>ريال يمني</v>
      </c>
      <c r="J599" s="59">
        <f>IFERROR(INDEX(Tabledaily[سعــــــر
الصـــــرف],MATCH(C599,Tabledaily[رقم العملية],0)),1)</f>
        <v>405</v>
      </c>
      <c r="K599" s="123" cm="1">
        <f t="array" ref="K599">IFERROR(INDEX(Tabledaily[المبلـــــــغ],MATCH(1,(TableDailyJournal[[#This Row],[رقم العملية]]=Tabledaily[رقم العملية])*(TableDailyJournal[[#This Row],[الحساب]]=Tabledaily[الحســاب المديــــن]),0)),0)</f>
        <v>0</v>
      </c>
      <c r="L599" s="123" cm="1">
        <f t="array" ref="L599">IFERROR(INDEX(Tabledaily[المبلـــــــغ],MATCH(1,(TableDailyJournal[[#This Row],[رقم العملية]]=Tabledaily[رقم العملية])*(TableDailyJournal[[#This Row],[الحساب]]=Tabledaily[الحســاب الدئـــن]),0)),0)</f>
        <v>20000</v>
      </c>
      <c r="M599" s="119">
        <f>IFERROR(TableDailyJournal[[#This Row],[المبلغ مدين]]/TableDailyJournal[[#This Row],[سعــــــر
الصـــــرف]],0)</f>
        <v>0</v>
      </c>
      <c r="N599" s="119">
        <f>IFERROR(TableDailyJournal[[#This Row],[المبلغ دائن]]/TableDailyJournal[[#This Row],[سعــــــر
الصـــــرف]],0)</f>
        <v>49.382716049382715</v>
      </c>
      <c r="O599" s="121" t="str">
        <f>INDEX(Tabledaily[المستفيــــــــد],MATCH(TableDailyJournal[[#This Row],[رقم العملية]],Tabledaily[رقم العملية],0))</f>
        <v>اركان اللواء السادس</v>
      </c>
      <c r="P599" s="121" t="str">
        <f>INDEX(Tabledaily[المــــرجـــــــــع],MATCH(TableDailyJournal[[#This Row],[رقم العملية]],Tabledaily[رقم العملية],0))</f>
        <v>استلام نقدي</v>
      </c>
      <c r="Q599" s="121" t="str">
        <f>INDEX(Tabledaily[اســـــــم المــــرجــــع],MATCH(TableDailyJournal[[#This Row],[رقم العملية]],Tabledaily[رقم العملية],0))</f>
        <v>سند استلام</v>
      </c>
      <c r="R599" s="121" t="str">
        <f>INDEX(Tabledaily[رقم المـــــرجـــع],MATCH(TableDailyJournal[[#This Row],[رقم العملية]],Tabledaily[رقم العملية],0))</f>
        <v>100-454</v>
      </c>
      <c r="S599" s="121" t="str">
        <f>INDEX(Tabledaily[مركـــــــزالتكلفــــــة],MATCH(TableDailyJournal[[#This Row],[رقم العملية]],Tabledaily[رقم العملية],0))</f>
        <v>اللواء السادس</v>
      </c>
      <c r="T599" s="121">
        <f>IFERROR(INDEX(tablecost[رقم المركز],MATCH(TableDailyJournal[[#This Row],[مركـــــــزالتكلفــــــة]],tablecost[الاسم],0)),0)</f>
        <v>7</v>
      </c>
      <c r="U599" s="122">
        <f>IFERROR(DATE(TableDailyJournal[[#This Row],[السنــــة]],TableDailyJournal[[#This Row],[الشهــــر]],TableDailyJournal[[#This Row],[الـــــيوم]]),"01-01-2026")</f>
        <v>46191</v>
      </c>
      <c r="V599" s="126"/>
      <c r="W599" s="58"/>
      <c r="X599" s="58">
        <f>IFERROR(YEAR(TableDailyJournal[[#This Row],[التاريخ]]),"")</f>
        <v>2026</v>
      </c>
      <c r="Y599" s="58">
        <f>IFERROR(MONTH(TableDailyJournal[[#This Row],[التاريخ]]),"")</f>
        <v>6</v>
      </c>
      <c r="Z599" s="58">
        <f>IFERROR(DAY(TableDailyJournal[[#This Row],[التاريخ]]),"")</f>
        <v>18</v>
      </c>
      <c r="AA599" s="126"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100-454  سند استلام - صرف نثريات اركان اللواء السادس بامرالمستشار المالي</v>
      </c>
      <c r="AB599" s="121" t="str">
        <f>INDEX(Tabledaily[جهة الامر],MATCH(TableDailyJournal[[#This Row],[رقم العملية]],Tabledaily[رقم العملية],0))</f>
        <v>المستشار المالي</v>
      </c>
    </row>
    <row r="600" spans="2:28" ht="67.5" x14ac:dyDescent="0.55000000000000004">
      <c r="B600" s="58">
        <f t="shared" si="19"/>
        <v>596</v>
      </c>
      <c r="C600" s="59" t="s">
        <v>1092</v>
      </c>
      <c r="D600" s="60">
        <f>INDEX(Tabledaily[date],MATCH(TableDailyJournal[[#This Row],[رقم العملية]],Tabledaily[رقم العملية],0))</f>
        <v>46191</v>
      </c>
      <c r="E600" s="58" t="str">
        <f>INDEX(Tabledaily[نوع العمليــة],MATCH(TableDailyJournal[[#This Row],[رقم العملية]],Tabledaily[رقم العملية],0))</f>
        <v>قيد عهده</v>
      </c>
      <c r="F600" s="58">
        <f>IFERROR(INDEX(TableJudje[رقم الحساب],MATCH(TableDailyJournal[[#This Row],[الحساب]],TableJudje[اسم الحساب],0)),0)</f>
        <v>31010106</v>
      </c>
      <c r="G600" s="58" t="s">
        <v>115</v>
      </c>
      <c r="H600" s="61" t="str">
        <f>INDEX(Tabledaily[المرجع البياني],MATCH(TableDailyJournal[[#This Row],[رقم العملية]],Tabledaily[رقم العملية],0))</f>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v>
      </c>
      <c r="I600" s="60" t="str">
        <f>INDEX(Tabledaily[العملـــة],MATCH(TableDailyJournal[[#This Row],[رقم العملية]],Tabledaily[رقم العملية],0))</f>
        <v>ريال يمني</v>
      </c>
      <c r="J600" s="59">
        <f>IFERROR(INDEX(Tabledaily[سعــــــر
الصـــــرف],MATCH(C600,Tabledaily[رقم العملية],0)),1)</f>
        <v>405</v>
      </c>
      <c r="K600" s="123" cm="1">
        <f t="array" ref="K600">IFERROR(INDEX(Tabledaily[المبلـــــــغ],MATCH(1,(TableDailyJournal[[#This Row],[رقم العملية]]=Tabledaily[رقم العملية])*(TableDailyJournal[[#This Row],[الحساب]]=Tabledaily[الحســاب المديــــن]),0)),0)</f>
        <v>32000</v>
      </c>
      <c r="L600" s="123" cm="1">
        <f t="array" ref="L600">IFERROR(INDEX(Tabledaily[المبلـــــــغ],MATCH(1,(TableDailyJournal[[#This Row],[رقم العملية]]=Tabledaily[رقم العملية])*(TableDailyJournal[[#This Row],[الحساب]]=Tabledaily[الحســاب الدئـــن]),0)),0)</f>
        <v>0</v>
      </c>
      <c r="M600" s="119">
        <f>IFERROR(TableDailyJournal[[#This Row],[المبلغ مدين]]/TableDailyJournal[[#This Row],[سعــــــر
الصـــــرف]],0)</f>
        <v>79.012345679012341</v>
      </c>
      <c r="N600" s="119">
        <f>IFERROR(TableDailyJournal[[#This Row],[المبلغ دائن]]/TableDailyJournal[[#This Row],[سعــــــر
الصـــــرف]],0)</f>
        <v>0</v>
      </c>
      <c r="O600" s="121" t="str">
        <f>INDEX(Tabledaily[المستفيــــــــد],MATCH(TableDailyJournal[[#This Row],[رقم العملية]],Tabledaily[رقم العملية],0))</f>
        <v>زيد علي علي المروعي</v>
      </c>
      <c r="P600" s="121" t="str">
        <f>INDEX(Tabledaily[المــــرجـــــــــع],MATCH(TableDailyJournal[[#This Row],[رقم العملية]],Tabledaily[رقم العملية],0))</f>
        <v>استلام نقدي</v>
      </c>
      <c r="Q600" s="121" t="str">
        <f>INDEX(Tabledaily[اســـــــم المــــرجــــع],MATCH(TableDailyJournal[[#This Row],[رقم العملية]],Tabledaily[رقم العملية],0))</f>
        <v>سند استلام</v>
      </c>
      <c r="R600" s="121" t="str">
        <f>INDEX(Tabledaily[رقم المـــــرجـــع],MATCH(TableDailyJournal[[#This Row],[رقم العملية]],Tabledaily[رقم العملية],0))</f>
        <v>100-1</v>
      </c>
      <c r="S600" s="121" t="str">
        <f>INDEX(Tabledaily[مركـــــــزالتكلفــــــة],MATCH(TableDailyJournal[[#This Row],[رقم العملية]],Tabledaily[رقم العملية],0))</f>
        <v>الفرقة الثالثة</v>
      </c>
      <c r="T600" s="121">
        <f>IFERROR(INDEX(tablecost[رقم المركز],MATCH(TableDailyJournal[[#This Row],[مركـــــــزالتكلفــــــة]],tablecost[الاسم],0)),0)</f>
        <v>1</v>
      </c>
      <c r="U600" s="122">
        <f>IFERROR(DATE(TableDailyJournal[[#This Row],[السنــــة]],TableDailyJournal[[#This Row],[الشهــــر]],TableDailyJournal[[#This Row],[الـــــيوم]]),"01-01-2026")</f>
        <v>46191</v>
      </c>
      <c r="V600" s="126"/>
      <c r="W600" s="58"/>
      <c r="X600" s="58">
        <f>IFERROR(YEAR(TableDailyJournal[[#This Row],[التاريخ]]),"")</f>
        <v>2026</v>
      </c>
      <c r="Y600" s="58">
        <f>IFERROR(MONTH(TableDailyJournal[[#This Row],[التاريخ]]),"")</f>
        <v>6</v>
      </c>
      <c r="Z600" s="58">
        <f>IFERROR(DAY(TableDailyJournal[[#This Row],[التاريخ]]),"")</f>
        <v>18</v>
      </c>
      <c r="AA600" s="126" t="str">
        <f>INDEX(Tabledaily[المرجع البياني],MATCH(TableDailyJournal[[#This Row],[رقم العملية]],Tabledaily[رقم العملية],0))</f>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v>
      </c>
      <c r="AB600" s="121" t="str">
        <f>INDEX(Tabledaily[جهة الامر],MATCH(TableDailyJournal[[#This Row],[رقم العملية]],Tabledaily[رقم العملية],0))</f>
        <v>الأركان جمال مسدوس</v>
      </c>
    </row>
    <row r="601" spans="2:28" ht="67.5" x14ac:dyDescent="0.55000000000000004">
      <c r="B601" s="58">
        <f t="shared" si="19"/>
        <v>597</v>
      </c>
      <c r="C601" s="59" t="s">
        <v>1092</v>
      </c>
      <c r="D601" s="60">
        <f>INDEX(Tabledaily[date],MATCH(TableDailyJournal[[#This Row],[رقم العملية]],Tabledaily[رقم العملية],0))</f>
        <v>46191</v>
      </c>
      <c r="E601" s="58" t="str">
        <f>INDEX(Tabledaily[نوع العمليــة],MATCH(TableDailyJournal[[#This Row],[رقم العملية]],Tabledaily[رقم العملية],0))</f>
        <v>قيد عهده</v>
      </c>
      <c r="F601" s="58">
        <f>IFERROR(INDEX(TableJudje[رقم الحساب],MATCH(TableDailyJournal[[#This Row],[الحساب]],TableJudje[اسم الحساب],0)),0)</f>
        <v>11060205</v>
      </c>
      <c r="G601" s="58" t="s">
        <v>513</v>
      </c>
      <c r="H601" s="61" t="str">
        <f>INDEX(Tabledaily[المرجع البياني],MATCH(TableDailyJournal[[#This Row],[رقم العملية]],Tabledaily[رقم العملية],0))</f>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v>
      </c>
      <c r="I601" s="60" t="str">
        <f>INDEX(Tabledaily[العملـــة],MATCH(TableDailyJournal[[#This Row],[رقم العملية]],Tabledaily[رقم العملية],0))</f>
        <v>ريال يمني</v>
      </c>
      <c r="J601" s="59">
        <f>IFERROR(INDEX(Tabledaily[سعــــــر
الصـــــرف],MATCH(C601,Tabledaily[رقم العملية],0)),1)</f>
        <v>405</v>
      </c>
      <c r="K601" s="123" cm="1">
        <f t="array" ref="K601">IFERROR(INDEX(Tabledaily[المبلـــــــغ],MATCH(1,(TableDailyJournal[[#This Row],[رقم العملية]]=Tabledaily[رقم العملية])*(TableDailyJournal[[#This Row],[الحساب]]=Tabledaily[الحســاب المديــــن]),0)),0)</f>
        <v>0</v>
      </c>
      <c r="L601" s="123" cm="1">
        <f t="array" ref="L601">IFERROR(INDEX(Tabledaily[المبلـــــــغ],MATCH(1,(TableDailyJournal[[#This Row],[رقم العملية]]=Tabledaily[رقم العملية])*(TableDailyJournal[[#This Row],[الحساب]]=Tabledaily[الحســاب الدئـــن]),0)),0)</f>
        <v>32000</v>
      </c>
      <c r="M601" s="119">
        <f>IFERROR(TableDailyJournal[[#This Row],[المبلغ مدين]]/TableDailyJournal[[#This Row],[سعــــــر
الصـــــرف]],0)</f>
        <v>0</v>
      </c>
      <c r="N601" s="119">
        <f>IFERROR(TableDailyJournal[[#This Row],[المبلغ دائن]]/TableDailyJournal[[#This Row],[سعــــــر
الصـــــرف]],0)</f>
        <v>79.012345679012341</v>
      </c>
      <c r="O601" s="121" t="str">
        <f>INDEX(Tabledaily[المستفيــــــــد],MATCH(TableDailyJournal[[#This Row],[رقم العملية]],Tabledaily[رقم العملية],0))</f>
        <v>زيد علي علي المروعي</v>
      </c>
      <c r="P601" s="121" t="str">
        <f>INDEX(Tabledaily[المــــرجـــــــــع],MATCH(TableDailyJournal[[#This Row],[رقم العملية]],Tabledaily[رقم العملية],0))</f>
        <v>استلام نقدي</v>
      </c>
      <c r="Q601" s="121" t="str">
        <f>INDEX(Tabledaily[اســـــــم المــــرجــــع],MATCH(TableDailyJournal[[#This Row],[رقم العملية]],Tabledaily[رقم العملية],0))</f>
        <v>سند استلام</v>
      </c>
      <c r="R601" s="121" t="str">
        <f>INDEX(Tabledaily[رقم المـــــرجـــع],MATCH(TableDailyJournal[[#This Row],[رقم العملية]],Tabledaily[رقم العملية],0))</f>
        <v>100-1</v>
      </c>
      <c r="S601" s="121" t="str">
        <f>INDEX(Tabledaily[مركـــــــزالتكلفــــــة],MATCH(TableDailyJournal[[#This Row],[رقم العملية]],Tabledaily[رقم العملية],0))</f>
        <v>الفرقة الثالثة</v>
      </c>
      <c r="T601" s="121">
        <f>IFERROR(INDEX(tablecost[رقم المركز],MATCH(TableDailyJournal[[#This Row],[مركـــــــزالتكلفــــــة]],tablecost[الاسم],0)),0)</f>
        <v>1</v>
      </c>
      <c r="U601" s="122">
        <f>IFERROR(DATE(TableDailyJournal[[#This Row],[السنــــة]],TableDailyJournal[[#This Row],[الشهــــر]],TableDailyJournal[[#This Row],[الـــــيوم]]),"01-01-2026")</f>
        <v>46191</v>
      </c>
      <c r="V601" s="126"/>
      <c r="W601" s="58"/>
      <c r="X601" s="58">
        <f>IFERROR(YEAR(TableDailyJournal[[#This Row],[التاريخ]]),"")</f>
        <v>2026</v>
      </c>
      <c r="Y601" s="58">
        <f>IFERROR(MONTH(TableDailyJournal[[#This Row],[التاريخ]]),"")</f>
        <v>6</v>
      </c>
      <c r="Z601" s="58">
        <f>IFERROR(DAY(TableDailyJournal[[#This Row],[التاريخ]]),"")</f>
        <v>18</v>
      </c>
      <c r="AA601" s="126" t="str">
        <f>INDEX(Tabledaily[المرجع البياني],MATCH(TableDailyJournal[[#This Row],[رقم العملية]],Tabledaily[رقم العملية],0))</f>
        <v>قيـد مقابـل:- (مصاريف صيانة واصلاحات فنية  - زيد علي علي المروعي - الفرقة الثالثة)  - استلام نقدي رقم 100-1  سند استلام - التحرك إلى الخشعة اللواء الرابع مع المهندس لمعاينة الماطور  بامرالأركان جمال مسدوس</v>
      </c>
      <c r="AB601" s="121" t="str">
        <f>INDEX(Tabledaily[جهة الامر],MATCH(TableDailyJournal[[#This Row],[رقم العملية]],Tabledaily[رقم العملية],0))</f>
        <v>الأركان جمال مسدوس</v>
      </c>
    </row>
    <row r="602" spans="2:28" ht="45.75" x14ac:dyDescent="0.55000000000000004">
      <c r="B602" s="58">
        <f t="shared" si="19"/>
        <v>598</v>
      </c>
      <c r="C602" s="59" t="s">
        <v>1096</v>
      </c>
      <c r="D602" s="60">
        <f>INDEX(Tabledaily[date],MATCH(TableDailyJournal[[#This Row],[رقم العملية]],Tabledaily[رقم العملية],0))</f>
        <v>46192</v>
      </c>
      <c r="E602" s="58" t="str">
        <f>INDEX(Tabledaily[نوع العمليــة],MATCH(TableDailyJournal[[#This Row],[رقم العملية]],Tabledaily[رقم العملية],0))</f>
        <v>قيد عهده</v>
      </c>
      <c r="F602" s="58">
        <f>IFERROR(INDEX(TableJudje[رقم الحساب],MATCH(TableDailyJournal[[#This Row],[الحساب]],TableJudje[اسم الحساب],0)),0)</f>
        <v>31010101</v>
      </c>
      <c r="G602" s="58" t="s">
        <v>111</v>
      </c>
      <c r="H602"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602" s="60" t="str">
        <f>INDEX(Tabledaily[العملـــة],MATCH(TableDailyJournal[[#This Row],[رقم العملية]],Tabledaily[رقم العملية],0))</f>
        <v>ريال يمني</v>
      </c>
      <c r="J602" s="59">
        <f>IFERROR(INDEX(Tabledaily[سعــــــر
الصـــــرف],MATCH(C602,Tabledaily[رقم العملية],0)),1)</f>
        <v>405</v>
      </c>
      <c r="K602" s="123" cm="1">
        <f t="array" ref="K602">IFERROR(INDEX(Tabledaily[المبلـــــــغ],MATCH(1,(TableDailyJournal[[#This Row],[رقم العملية]]=Tabledaily[رقم العملية])*(TableDailyJournal[[#This Row],[الحساب]]=Tabledaily[الحســاب المديــــن]),0)),0)</f>
        <v>55000</v>
      </c>
      <c r="L602" s="123" cm="1">
        <f t="array" ref="L602">IFERROR(INDEX(Tabledaily[المبلـــــــغ],MATCH(1,(TableDailyJournal[[#This Row],[رقم العملية]]=Tabledaily[رقم العملية])*(TableDailyJournal[[#This Row],[الحساب]]=Tabledaily[الحســاب الدئـــن]),0)),0)</f>
        <v>0</v>
      </c>
      <c r="M602" s="119">
        <f>IFERROR(TableDailyJournal[[#This Row],[المبلغ مدين]]/TableDailyJournal[[#This Row],[سعــــــر
الصـــــرف]],0)</f>
        <v>135.80246913580248</v>
      </c>
      <c r="N602" s="119">
        <f>IFERROR(TableDailyJournal[[#This Row],[المبلغ دائن]]/TableDailyJournal[[#This Row],[سعــــــر
الصـــــرف]],0)</f>
        <v>0</v>
      </c>
      <c r="O602" s="121" t="str">
        <f>INDEX(Tabledaily[المستفيــــــــد],MATCH(TableDailyJournal[[#This Row],[رقم العملية]],Tabledaily[رقم العملية],0))</f>
        <v>السيطرة والاتصالات</v>
      </c>
      <c r="P602" s="121" t="str">
        <f>INDEX(Tabledaily[المــــرجـــــــــع],MATCH(TableDailyJournal[[#This Row],[رقم العملية]],Tabledaily[رقم العملية],0))</f>
        <v>كشف صرف</v>
      </c>
      <c r="Q602" s="121" t="str">
        <f>INDEX(Tabledaily[اســـــــم المــــرجــــع],MATCH(TableDailyJournal[[#This Row],[رقم العملية]],Tabledaily[رقم العملية],0))</f>
        <v>كشف صرف</v>
      </c>
      <c r="R602" s="121">
        <f>INDEX(Tabledaily[رقم المـــــرجـــع],MATCH(TableDailyJournal[[#This Row],[رقم العملية]],Tabledaily[رقم العملية],0))</f>
        <v>0</v>
      </c>
      <c r="S602" s="121" t="str">
        <f>INDEX(Tabledaily[مركـــــــزالتكلفــــــة],MATCH(TableDailyJournal[[#This Row],[رقم العملية]],Tabledaily[رقم العملية],0))</f>
        <v>الفرقة الثالثة</v>
      </c>
      <c r="T602" s="121">
        <f>IFERROR(INDEX(tablecost[رقم المركز],MATCH(TableDailyJournal[[#This Row],[مركـــــــزالتكلفــــــة]],tablecost[الاسم],0)),0)</f>
        <v>1</v>
      </c>
      <c r="U602" s="122">
        <f>IFERROR(DATE(TableDailyJournal[[#This Row],[السنــــة]],TableDailyJournal[[#This Row],[الشهــــر]],TableDailyJournal[[#This Row],[الـــــيوم]]),"01-01-2026")</f>
        <v>46192</v>
      </c>
      <c r="V602" s="126"/>
      <c r="W602" s="58"/>
      <c r="X602" s="58">
        <f>IFERROR(YEAR(TableDailyJournal[[#This Row],[التاريخ]]),"")</f>
        <v>2026</v>
      </c>
      <c r="Y602" s="58">
        <f>IFERROR(MONTH(TableDailyJournal[[#This Row],[التاريخ]]),"")</f>
        <v>6</v>
      </c>
      <c r="Z602" s="58">
        <f>IFERROR(DAY(TableDailyJournal[[#This Row],[التاريخ]]),"")</f>
        <v>19</v>
      </c>
      <c r="AA602"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602" s="121">
        <f>INDEX(Tabledaily[جهة الامر],MATCH(TableDailyJournal[[#This Row],[رقم العملية]],Tabledaily[رقم العملية],0))</f>
        <v>0</v>
      </c>
    </row>
    <row r="603" spans="2:28" ht="45.75" x14ac:dyDescent="0.55000000000000004">
      <c r="B603" s="58">
        <f t="shared" si="19"/>
        <v>599</v>
      </c>
      <c r="C603" s="59" t="s">
        <v>1096</v>
      </c>
      <c r="D603" s="60">
        <f>INDEX(Tabledaily[date],MATCH(TableDailyJournal[[#This Row],[رقم العملية]],Tabledaily[رقم العملية],0))</f>
        <v>46192</v>
      </c>
      <c r="E603" s="58" t="str">
        <f>INDEX(Tabledaily[نوع العمليــة],MATCH(TableDailyJournal[[#This Row],[رقم العملية]],Tabledaily[رقم العملية],0))</f>
        <v>قيد عهده</v>
      </c>
      <c r="F603" s="58">
        <f>IFERROR(INDEX(TableJudje[رقم الحساب],MATCH(TableDailyJournal[[#This Row],[الحساب]],TableJudje[اسم الحساب],0)),0)</f>
        <v>11060205</v>
      </c>
      <c r="G603" s="58" t="s">
        <v>513</v>
      </c>
      <c r="H603"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I603" s="60" t="str">
        <f>INDEX(Tabledaily[العملـــة],MATCH(TableDailyJournal[[#This Row],[رقم العملية]],Tabledaily[رقم العملية],0))</f>
        <v>ريال يمني</v>
      </c>
      <c r="J603" s="59">
        <f>IFERROR(INDEX(Tabledaily[سعــــــر
الصـــــرف],MATCH(C603,Tabledaily[رقم العملية],0)),1)</f>
        <v>405</v>
      </c>
      <c r="K603" s="123" cm="1">
        <f t="array" ref="K603">IFERROR(INDEX(Tabledaily[المبلـــــــغ],MATCH(1,(TableDailyJournal[[#This Row],[رقم العملية]]=Tabledaily[رقم العملية])*(TableDailyJournal[[#This Row],[الحساب]]=Tabledaily[الحســاب المديــــن]),0)),0)</f>
        <v>0</v>
      </c>
      <c r="L603" s="123" cm="1">
        <f t="array" ref="L603">IFERROR(INDEX(Tabledaily[المبلـــــــغ],MATCH(1,(TableDailyJournal[[#This Row],[رقم العملية]]=Tabledaily[رقم العملية])*(TableDailyJournal[[#This Row],[الحساب]]=Tabledaily[الحســاب الدئـــن]),0)),0)</f>
        <v>55000</v>
      </c>
      <c r="M603" s="119">
        <f>IFERROR(TableDailyJournal[[#This Row],[المبلغ مدين]]/TableDailyJournal[[#This Row],[سعــــــر
الصـــــرف]],0)</f>
        <v>0</v>
      </c>
      <c r="N603" s="119">
        <f>IFERROR(TableDailyJournal[[#This Row],[المبلغ دائن]]/TableDailyJournal[[#This Row],[سعــــــر
الصـــــرف]],0)</f>
        <v>135.80246913580248</v>
      </c>
      <c r="O603" s="121" t="str">
        <f>INDEX(Tabledaily[المستفيــــــــد],MATCH(TableDailyJournal[[#This Row],[رقم العملية]],Tabledaily[رقم العملية],0))</f>
        <v>السيطرة والاتصالات</v>
      </c>
      <c r="P603" s="121" t="str">
        <f>INDEX(Tabledaily[المــــرجـــــــــع],MATCH(TableDailyJournal[[#This Row],[رقم العملية]],Tabledaily[رقم العملية],0))</f>
        <v>كشف صرف</v>
      </c>
      <c r="Q603" s="121" t="str">
        <f>INDEX(Tabledaily[اســـــــم المــــرجــــع],MATCH(TableDailyJournal[[#This Row],[رقم العملية]],Tabledaily[رقم العملية],0))</f>
        <v>كشف صرف</v>
      </c>
      <c r="R603" s="121">
        <f>INDEX(Tabledaily[رقم المـــــرجـــع],MATCH(TableDailyJournal[[#This Row],[رقم العملية]],Tabledaily[رقم العملية],0))</f>
        <v>0</v>
      </c>
      <c r="S603" s="121" t="str">
        <f>INDEX(Tabledaily[مركـــــــزالتكلفــــــة],MATCH(TableDailyJournal[[#This Row],[رقم العملية]],Tabledaily[رقم العملية],0))</f>
        <v>الفرقة الثالثة</v>
      </c>
      <c r="T603" s="121">
        <f>IFERROR(INDEX(tablecost[رقم المركز],MATCH(TableDailyJournal[[#This Row],[مركـــــــزالتكلفــــــة]],tablecost[الاسم],0)),0)</f>
        <v>1</v>
      </c>
      <c r="U603" s="122">
        <f>IFERROR(DATE(TableDailyJournal[[#This Row],[السنــــة]],TableDailyJournal[[#This Row],[الشهــــر]],TableDailyJournal[[#This Row],[الـــــيوم]]),"01-01-2026")</f>
        <v>46192</v>
      </c>
      <c r="V603" s="126"/>
      <c r="W603" s="58"/>
      <c r="X603" s="58">
        <f>IFERROR(YEAR(TableDailyJournal[[#This Row],[التاريخ]]),"")</f>
        <v>2026</v>
      </c>
      <c r="Y603" s="58">
        <f>IFERROR(MONTH(TableDailyJournal[[#This Row],[التاريخ]]),"")</f>
        <v>6</v>
      </c>
      <c r="Z603" s="58">
        <f>IFERROR(DAY(TableDailyJournal[[#This Row],[التاريخ]]),"")</f>
        <v>19</v>
      </c>
      <c r="AA603"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 9 بامر</v>
      </c>
      <c r="AB603" s="121">
        <f>INDEX(Tabledaily[جهة الامر],MATCH(TableDailyJournal[[#This Row],[رقم العملية]],Tabledaily[رقم العملية],0))</f>
        <v>0</v>
      </c>
    </row>
    <row r="604" spans="2:28" ht="45.75" x14ac:dyDescent="0.55000000000000004">
      <c r="B604" s="58">
        <f t="shared" si="19"/>
        <v>600</v>
      </c>
      <c r="C604" s="59" t="s">
        <v>1097</v>
      </c>
      <c r="D604" s="60">
        <f>INDEX(Tabledaily[date],MATCH(TableDailyJournal[[#This Row],[رقم العملية]],Tabledaily[رقم العملية],0))</f>
        <v>46192</v>
      </c>
      <c r="E604" s="58" t="str">
        <f>INDEX(Tabledaily[نوع العمليــة],MATCH(TableDailyJournal[[#This Row],[رقم العملية]],Tabledaily[رقم العملية],0))</f>
        <v>قيد عهده</v>
      </c>
      <c r="F604" s="58">
        <f>IFERROR(INDEX(TableJudje[رقم الحساب],MATCH(TableDailyJournal[[#This Row],[الحساب]],TableJudje[اسم الحساب],0)),0)</f>
        <v>31010101</v>
      </c>
      <c r="G604" s="58" t="s">
        <v>111</v>
      </c>
      <c r="H604"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604" s="60" t="str">
        <f>INDEX(Tabledaily[العملـــة],MATCH(TableDailyJournal[[#This Row],[رقم العملية]],Tabledaily[رقم العملية],0))</f>
        <v>ريال يمني</v>
      </c>
      <c r="J604" s="59">
        <f>IFERROR(INDEX(Tabledaily[سعــــــر
الصـــــرف],MATCH(C604,Tabledaily[رقم العملية],0)),1)</f>
        <v>405</v>
      </c>
      <c r="K604" s="123" cm="1">
        <f t="array" ref="K604">IFERROR(INDEX(Tabledaily[المبلـــــــغ],MATCH(1,(TableDailyJournal[[#This Row],[رقم العملية]]=Tabledaily[رقم العملية])*(TableDailyJournal[[#This Row],[الحساب]]=Tabledaily[الحســاب المديــــن]),0)),0)</f>
        <v>70000</v>
      </c>
      <c r="L604" s="123" cm="1">
        <f t="array" ref="L604">IFERROR(INDEX(Tabledaily[المبلـــــــغ],MATCH(1,(TableDailyJournal[[#This Row],[رقم العملية]]=Tabledaily[رقم العملية])*(TableDailyJournal[[#This Row],[الحساب]]=Tabledaily[الحســاب الدئـــن]),0)),0)</f>
        <v>0</v>
      </c>
      <c r="M604" s="119">
        <f>IFERROR(TableDailyJournal[[#This Row],[المبلغ مدين]]/TableDailyJournal[[#This Row],[سعــــــر
الصـــــرف]],0)</f>
        <v>172.83950617283949</v>
      </c>
      <c r="N604" s="119">
        <f>IFERROR(TableDailyJournal[[#This Row],[المبلغ دائن]]/TableDailyJournal[[#This Row],[سعــــــر
الصـــــرف]],0)</f>
        <v>0</v>
      </c>
      <c r="O604" s="121" t="str">
        <f>INDEX(Tabledaily[المستفيــــــــد],MATCH(TableDailyJournal[[#This Row],[رقم العملية]],Tabledaily[رقم العملية],0))</f>
        <v>الامداد</v>
      </c>
      <c r="P604" s="121" t="str">
        <f>INDEX(Tabledaily[المــــرجـــــــــع],MATCH(TableDailyJournal[[#This Row],[رقم العملية]],Tabledaily[رقم العملية],0))</f>
        <v>كشف صرف</v>
      </c>
      <c r="Q604" s="121" t="str">
        <f>INDEX(Tabledaily[اســـــــم المــــرجــــع],MATCH(TableDailyJournal[[#This Row],[رقم العملية]],Tabledaily[رقم العملية],0))</f>
        <v>كشف صرف</v>
      </c>
      <c r="R604" s="121">
        <f>INDEX(Tabledaily[رقم المـــــرجـــع],MATCH(TableDailyJournal[[#This Row],[رقم العملية]],Tabledaily[رقم العملية],0))</f>
        <v>0</v>
      </c>
      <c r="S604" s="121" t="str">
        <f>INDEX(Tabledaily[مركـــــــزالتكلفــــــة],MATCH(TableDailyJournal[[#This Row],[رقم العملية]],Tabledaily[رقم العملية],0))</f>
        <v>الفرقة الثالثة</v>
      </c>
      <c r="T604" s="121">
        <f>IFERROR(INDEX(tablecost[رقم المركز],MATCH(TableDailyJournal[[#This Row],[مركـــــــزالتكلفــــــة]],tablecost[الاسم],0)),0)</f>
        <v>1</v>
      </c>
      <c r="U604" s="122">
        <f>IFERROR(DATE(TableDailyJournal[[#This Row],[السنــــة]],TableDailyJournal[[#This Row],[الشهــــر]],TableDailyJournal[[#This Row],[الـــــيوم]]),"01-01-2026")</f>
        <v>46192</v>
      </c>
      <c r="V604" s="126"/>
      <c r="W604" s="58"/>
      <c r="X604" s="58">
        <f>IFERROR(YEAR(TableDailyJournal[[#This Row],[التاريخ]]),"")</f>
        <v>2026</v>
      </c>
      <c r="Y604" s="58">
        <f>IFERROR(MONTH(TableDailyJournal[[#This Row],[التاريخ]]),"")</f>
        <v>6</v>
      </c>
      <c r="Z604" s="58">
        <f>IFERROR(DAY(TableDailyJournal[[#This Row],[التاريخ]]),"")</f>
        <v>19</v>
      </c>
      <c r="AA604"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604" s="121">
        <f>INDEX(Tabledaily[جهة الامر],MATCH(TableDailyJournal[[#This Row],[رقم العملية]],Tabledaily[رقم العملية],0))</f>
        <v>0</v>
      </c>
    </row>
    <row r="605" spans="2:28" ht="45.75" x14ac:dyDescent="0.55000000000000004">
      <c r="B605" s="58">
        <f t="shared" si="19"/>
        <v>601</v>
      </c>
      <c r="C605" s="59" t="s">
        <v>1097</v>
      </c>
      <c r="D605" s="60">
        <f>INDEX(Tabledaily[date],MATCH(TableDailyJournal[[#This Row],[رقم العملية]],Tabledaily[رقم العملية],0))</f>
        <v>46192</v>
      </c>
      <c r="E605" s="58" t="str">
        <f>INDEX(Tabledaily[نوع العمليــة],MATCH(TableDailyJournal[[#This Row],[رقم العملية]],Tabledaily[رقم العملية],0))</f>
        <v>قيد عهده</v>
      </c>
      <c r="F605" s="58">
        <f>IFERROR(INDEX(TableJudje[رقم الحساب],MATCH(TableDailyJournal[[#This Row],[الحساب]],TableJudje[اسم الحساب],0)),0)</f>
        <v>11060205</v>
      </c>
      <c r="G605" s="58" t="s">
        <v>513</v>
      </c>
      <c r="H605"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605" s="60" t="str">
        <f>INDEX(Tabledaily[العملـــة],MATCH(TableDailyJournal[[#This Row],[رقم العملية]],Tabledaily[رقم العملية],0))</f>
        <v>ريال يمني</v>
      </c>
      <c r="J605" s="59">
        <f>IFERROR(INDEX(Tabledaily[سعــــــر
الصـــــرف],MATCH(C605,Tabledaily[رقم العملية],0)),1)</f>
        <v>405</v>
      </c>
      <c r="K605" s="123" cm="1">
        <f t="array" ref="K605">IFERROR(INDEX(Tabledaily[المبلـــــــغ],MATCH(1,(TableDailyJournal[[#This Row],[رقم العملية]]=Tabledaily[رقم العملية])*(TableDailyJournal[[#This Row],[الحساب]]=Tabledaily[الحســاب المديــــن]),0)),0)</f>
        <v>0</v>
      </c>
      <c r="L605" s="123" cm="1">
        <f t="array" ref="L605">IFERROR(INDEX(Tabledaily[المبلـــــــغ],MATCH(1,(TableDailyJournal[[#This Row],[رقم العملية]]=Tabledaily[رقم العملية])*(TableDailyJournal[[#This Row],[الحساب]]=Tabledaily[الحســاب الدئـــن]),0)),0)</f>
        <v>70000</v>
      </c>
      <c r="M605" s="119">
        <f>IFERROR(TableDailyJournal[[#This Row],[المبلغ مدين]]/TableDailyJournal[[#This Row],[سعــــــر
الصـــــرف]],0)</f>
        <v>0</v>
      </c>
      <c r="N605" s="119">
        <f>IFERROR(TableDailyJournal[[#This Row],[المبلغ دائن]]/TableDailyJournal[[#This Row],[سعــــــر
الصـــــرف]],0)</f>
        <v>172.83950617283949</v>
      </c>
      <c r="O605" s="121" t="str">
        <f>INDEX(Tabledaily[المستفيــــــــد],MATCH(TableDailyJournal[[#This Row],[رقم العملية]],Tabledaily[رقم العملية],0))</f>
        <v>الامداد</v>
      </c>
      <c r="P605" s="121" t="str">
        <f>INDEX(Tabledaily[المــــرجـــــــــع],MATCH(TableDailyJournal[[#This Row],[رقم العملية]],Tabledaily[رقم العملية],0))</f>
        <v>كشف صرف</v>
      </c>
      <c r="Q605" s="121" t="str">
        <f>INDEX(Tabledaily[اســـــــم المــــرجــــع],MATCH(TableDailyJournal[[#This Row],[رقم العملية]],Tabledaily[رقم العملية],0))</f>
        <v>كشف صرف</v>
      </c>
      <c r="R605" s="121">
        <f>INDEX(Tabledaily[رقم المـــــرجـــع],MATCH(TableDailyJournal[[#This Row],[رقم العملية]],Tabledaily[رقم العملية],0))</f>
        <v>0</v>
      </c>
      <c r="S605" s="121" t="str">
        <f>INDEX(Tabledaily[مركـــــــزالتكلفــــــة],MATCH(TableDailyJournal[[#This Row],[رقم العملية]],Tabledaily[رقم العملية],0))</f>
        <v>الفرقة الثالثة</v>
      </c>
      <c r="T605" s="121">
        <f>IFERROR(INDEX(tablecost[رقم المركز],MATCH(TableDailyJournal[[#This Row],[مركـــــــزالتكلفــــــة]],tablecost[الاسم],0)),0)</f>
        <v>1</v>
      </c>
      <c r="U605" s="122">
        <f>IFERROR(DATE(TableDailyJournal[[#This Row],[السنــــة]],TableDailyJournal[[#This Row],[الشهــــر]],TableDailyJournal[[#This Row],[الـــــيوم]]),"01-01-2026")</f>
        <v>46192</v>
      </c>
      <c r="V605" s="126"/>
      <c r="W605" s="58"/>
      <c r="X605" s="58">
        <f>IFERROR(YEAR(TableDailyJournal[[#This Row],[التاريخ]]),"")</f>
        <v>2026</v>
      </c>
      <c r="Y605" s="58">
        <f>IFERROR(MONTH(TableDailyJournal[[#This Row],[التاريخ]]),"")</f>
        <v>6</v>
      </c>
      <c r="Z605" s="58">
        <f>IFERROR(DAY(TableDailyJournal[[#This Row],[التاريخ]]),"")</f>
        <v>19</v>
      </c>
      <c r="AA605"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605" s="121">
        <f>INDEX(Tabledaily[جهة الامر],MATCH(TableDailyJournal[[#This Row],[رقم العملية]],Tabledaily[رقم العملية],0))</f>
        <v>0</v>
      </c>
    </row>
    <row r="606" spans="2:28" ht="45.75" x14ac:dyDescent="0.55000000000000004">
      <c r="B606" s="58">
        <f t="shared" si="19"/>
        <v>602</v>
      </c>
      <c r="C606" s="59" t="s">
        <v>1098</v>
      </c>
      <c r="D606" s="60">
        <f>INDEX(Tabledaily[date],MATCH(TableDailyJournal[[#This Row],[رقم العملية]],Tabledaily[رقم العملية],0))</f>
        <v>46192</v>
      </c>
      <c r="E606" s="58" t="str">
        <f>INDEX(Tabledaily[نوع العمليــة],MATCH(TableDailyJournal[[#This Row],[رقم العملية]],Tabledaily[رقم العملية],0))</f>
        <v>قيد عهده</v>
      </c>
      <c r="F606" s="58">
        <f>IFERROR(INDEX(TableJudje[رقم الحساب],MATCH(TableDailyJournal[[#This Row],[الحساب]],TableJudje[اسم الحساب],0)),0)</f>
        <v>31010101</v>
      </c>
      <c r="G606" s="58" t="s">
        <v>111</v>
      </c>
      <c r="H606"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606" s="60" t="str">
        <f>INDEX(Tabledaily[العملـــة],MATCH(TableDailyJournal[[#This Row],[رقم العملية]],Tabledaily[رقم العملية],0))</f>
        <v>ريال يمني</v>
      </c>
      <c r="J606" s="59">
        <f>IFERROR(INDEX(Tabledaily[سعــــــر
الصـــــرف],MATCH(C606,Tabledaily[رقم العملية],0)),1)</f>
        <v>405</v>
      </c>
      <c r="K606" s="123" cm="1">
        <f t="array" ref="K606">IFERROR(INDEX(Tabledaily[المبلـــــــغ],MATCH(1,(TableDailyJournal[[#This Row],[رقم العملية]]=Tabledaily[رقم العملية])*(TableDailyJournal[[#This Row],[الحساب]]=Tabledaily[الحســاب المديــــن]),0)),0)</f>
        <v>31000</v>
      </c>
      <c r="L606" s="123" cm="1">
        <f t="array" ref="L606">IFERROR(INDEX(Tabledaily[المبلـــــــغ],MATCH(1,(TableDailyJournal[[#This Row],[رقم العملية]]=Tabledaily[رقم العملية])*(TableDailyJournal[[#This Row],[الحساب]]=Tabledaily[الحســاب الدئـــن]),0)),0)</f>
        <v>0</v>
      </c>
      <c r="M606" s="119">
        <f>IFERROR(TableDailyJournal[[#This Row],[المبلغ مدين]]/TableDailyJournal[[#This Row],[سعــــــر
الصـــــرف]],0)</f>
        <v>76.543209876543216</v>
      </c>
      <c r="N606" s="119">
        <f>IFERROR(TableDailyJournal[[#This Row],[المبلغ دائن]]/TableDailyJournal[[#This Row],[سعــــــر
الصـــــرف]],0)</f>
        <v>0</v>
      </c>
      <c r="O606" s="121" t="str">
        <f>INDEX(Tabledaily[المستفيــــــــد],MATCH(TableDailyJournal[[#This Row],[رقم العملية]],Tabledaily[رقم العملية],0))</f>
        <v>قسم المشتريات</v>
      </c>
      <c r="P606" s="121" t="str">
        <f>INDEX(Tabledaily[المــــرجـــــــــع],MATCH(TableDailyJournal[[#This Row],[رقم العملية]],Tabledaily[رقم العملية],0))</f>
        <v>كشف صرف</v>
      </c>
      <c r="Q606" s="121" t="str">
        <f>INDEX(Tabledaily[اســـــــم المــــرجــــع],MATCH(TableDailyJournal[[#This Row],[رقم العملية]],Tabledaily[رقم العملية],0))</f>
        <v>كشف صرف</v>
      </c>
      <c r="R606" s="121">
        <f>INDEX(Tabledaily[رقم المـــــرجـــع],MATCH(TableDailyJournal[[#This Row],[رقم العملية]],Tabledaily[رقم العملية],0))</f>
        <v>0</v>
      </c>
      <c r="S606" s="121" t="str">
        <f>INDEX(Tabledaily[مركـــــــزالتكلفــــــة],MATCH(TableDailyJournal[[#This Row],[رقم العملية]],Tabledaily[رقم العملية],0))</f>
        <v>الفرقة الثالثة</v>
      </c>
      <c r="T606" s="121">
        <f>IFERROR(INDEX(tablecost[رقم المركز],MATCH(TableDailyJournal[[#This Row],[مركـــــــزالتكلفــــــة]],tablecost[الاسم],0)),0)</f>
        <v>1</v>
      </c>
      <c r="U606" s="122">
        <f>IFERROR(DATE(TableDailyJournal[[#This Row],[السنــــة]],TableDailyJournal[[#This Row],[الشهــــر]],TableDailyJournal[[#This Row],[الـــــيوم]]),"01-01-2026")</f>
        <v>46192</v>
      </c>
      <c r="V606" s="126"/>
      <c r="W606" s="58"/>
      <c r="X606" s="58">
        <f>IFERROR(YEAR(TableDailyJournal[[#This Row],[التاريخ]]),"")</f>
        <v>2026</v>
      </c>
      <c r="Y606" s="58">
        <f>IFERROR(MONTH(TableDailyJournal[[#This Row],[التاريخ]]),"")</f>
        <v>6</v>
      </c>
      <c r="Z606" s="58">
        <f>IFERROR(DAY(TableDailyJournal[[#This Row],[التاريخ]]),"")</f>
        <v>19</v>
      </c>
      <c r="AA606"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606" s="121">
        <f>INDEX(Tabledaily[جهة الامر],MATCH(TableDailyJournal[[#This Row],[رقم العملية]],Tabledaily[رقم العملية],0))</f>
        <v>0</v>
      </c>
    </row>
    <row r="607" spans="2:28" ht="45.75" x14ac:dyDescent="0.55000000000000004">
      <c r="B607" s="58">
        <f t="shared" si="19"/>
        <v>603</v>
      </c>
      <c r="C607" s="59" t="s">
        <v>1098</v>
      </c>
      <c r="D607" s="60">
        <f>INDEX(Tabledaily[date],MATCH(TableDailyJournal[[#This Row],[رقم العملية]],Tabledaily[رقم العملية],0))</f>
        <v>46192</v>
      </c>
      <c r="E607" s="58" t="str">
        <f>INDEX(Tabledaily[نوع العمليــة],MATCH(TableDailyJournal[[#This Row],[رقم العملية]],Tabledaily[رقم العملية],0))</f>
        <v>قيد عهده</v>
      </c>
      <c r="F607" s="58">
        <f>IFERROR(INDEX(TableJudje[رقم الحساب],MATCH(TableDailyJournal[[#This Row],[الحساب]],TableJudje[اسم الحساب],0)),0)</f>
        <v>11060205</v>
      </c>
      <c r="G607" s="58" t="s">
        <v>513</v>
      </c>
      <c r="H607"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607" s="60" t="str">
        <f>INDEX(Tabledaily[العملـــة],MATCH(TableDailyJournal[[#This Row],[رقم العملية]],Tabledaily[رقم العملية],0))</f>
        <v>ريال يمني</v>
      </c>
      <c r="J607" s="59">
        <f>IFERROR(INDEX(Tabledaily[سعــــــر
الصـــــرف],MATCH(C607,Tabledaily[رقم العملية],0)),1)</f>
        <v>405</v>
      </c>
      <c r="K607" s="123" cm="1">
        <f t="array" ref="K607">IFERROR(INDEX(Tabledaily[المبلـــــــغ],MATCH(1,(TableDailyJournal[[#This Row],[رقم العملية]]=Tabledaily[رقم العملية])*(TableDailyJournal[[#This Row],[الحساب]]=Tabledaily[الحســاب المديــــن]),0)),0)</f>
        <v>0</v>
      </c>
      <c r="L607" s="123" cm="1">
        <f t="array" ref="L607">IFERROR(INDEX(Tabledaily[المبلـــــــغ],MATCH(1,(TableDailyJournal[[#This Row],[رقم العملية]]=Tabledaily[رقم العملية])*(TableDailyJournal[[#This Row],[الحساب]]=Tabledaily[الحســاب الدئـــن]),0)),0)</f>
        <v>31000</v>
      </c>
      <c r="M607" s="119">
        <f>IFERROR(TableDailyJournal[[#This Row],[المبلغ مدين]]/TableDailyJournal[[#This Row],[سعــــــر
الصـــــرف]],0)</f>
        <v>0</v>
      </c>
      <c r="N607" s="119">
        <f>IFERROR(TableDailyJournal[[#This Row],[المبلغ دائن]]/TableDailyJournal[[#This Row],[سعــــــر
الصـــــرف]],0)</f>
        <v>76.543209876543216</v>
      </c>
      <c r="O607" s="121" t="str">
        <f>INDEX(Tabledaily[المستفيــــــــد],MATCH(TableDailyJournal[[#This Row],[رقم العملية]],Tabledaily[رقم العملية],0))</f>
        <v>قسم المشتريات</v>
      </c>
      <c r="P607" s="121" t="str">
        <f>INDEX(Tabledaily[المــــرجـــــــــع],MATCH(TableDailyJournal[[#This Row],[رقم العملية]],Tabledaily[رقم العملية],0))</f>
        <v>كشف صرف</v>
      </c>
      <c r="Q607" s="121" t="str">
        <f>INDEX(Tabledaily[اســـــــم المــــرجــــع],MATCH(TableDailyJournal[[#This Row],[رقم العملية]],Tabledaily[رقم العملية],0))</f>
        <v>كشف صرف</v>
      </c>
      <c r="R607" s="121">
        <f>INDEX(Tabledaily[رقم المـــــرجـــع],MATCH(TableDailyJournal[[#This Row],[رقم العملية]],Tabledaily[رقم العملية],0))</f>
        <v>0</v>
      </c>
      <c r="S607" s="121" t="str">
        <f>INDEX(Tabledaily[مركـــــــزالتكلفــــــة],MATCH(TableDailyJournal[[#This Row],[رقم العملية]],Tabledaily[رقم العملية],0))</f>
        <v>الفرقة الثالثة</v>
      </c>
      <c r="T607" s="121">
        <f>IFERROR(INDEX(tablecost[رقم المركز],MATCH(TableDailyJournal[[#This Row],[مركـــــــزالتكلفــــــة]],tablecost[الاسم],0)),0)</f>
        <v>1</v>
      </c>
      <c r="U607" s="122">
        <f>IFERROR(DATE(TableDailyJournal[[#This Row],[السنــــة]],TableDailyJournal[[#This Row],[الشهــــر]],TableDailyJournal[[#This Row],[الـــــيوم]]),"01-01-2026")</f>
        <v>46192</v>
      </c>
      <c r="V607" s="126"/>
      <c r="W607" s="58"/>
      <c r="X607" s="58">
        <f>IFERROR(YEAR(TableDailyJournal[[#This Row],[التاريخ]]),"")</f>
        <v>2026</v>
      </c>
      <c r="Y607" s="58">
        <f>IFERROR(MONTH(TableDailyJournal[[#This Row],[التاريخ]]),"")</f>
        <v>6</v>
      </c>
      <c r="Z607" s="58">
        <f>IFERROR(DAY(TableDailyJournal[[#This Row],[التاريخ]]),"")</f>
        <v>19</v>
      </c>
      <c r="AA607"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607" s="121">
        <f>INDEX(Tabledaily[جهة الامر],MATCH(TableDailyJournal[[#This Row],[رقم العملية]],Tabledaily[رقم العملية],0))</f>
        <v>0</v>
      </c>
    </row>
    <row r="608" spans="2:28" ht="45.75" x14ac:dyDescent="0.55000000000000004">
      <c r="B608" s="58">
        <f t="shared" si="19"/>
        <v>604</v>
      </c>
      <c r="C608" s="59" t="s">
        <v>1099</v>
      </c>
      <c r="D608" s="60">
        <f>INDEX(Tabledaily[date],MATCH(TableDailyJournal[[#This Row],[رقم العملية]],Tabledaily[رقم العملية],0))</f>
        <v>46192</v>
      </c>
      <c r="E608" s="58" t="str">
        <f>INDEX(Tabledaily[نوع العمليــة],MATCH(TableDailyJournal[[#This Row],[رقم العملية]],Tabledaily[رقم العملية],0))</f>
        <v>قيد عهده</v>
      </c>
      <c r="F608" s="58">
        <f>IFERROR(INDEX(TableJudje[رقم الحساب],MATCH(TableDailyJournal[[#This Row],[الحساب]],TableJudje[اسم الحساب],0)),0)</f>
        <v>31010101</v>
      </c>
      <c r="G608" s="58" t="s">
        <v>111</v>
      </c>
      <c r="H608" s="61"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v>
      </c>
      <c r="I608" s="60" t="str">
        <f>INDEX(Tabledaily[العملـــة],MATCH(TableDailyJournal[[#This Row],[رقم العملية]],Tabledaily[رقم العملية],0))</f>
        <v>ريال يمني</v>
      </c>
      <c r="J608" s="59">
        <f>IFERROR(INDEX(Tabledaily[سعــــــر
الصـــــرف],MATCH(C608,Tabledaily[رقم العملية],0)),1)</f>
        <v>405</v>
      </c>
      <c r="K608" s="123" cm="1">
        <f t="array" ref="K608">IFERROR(INDEX(Tabledaily[المبلـــــــغ],MATCH(1,(TableDailyJournal[[#This Row],[رقم العملية]]=Tabledaily[رقم العملية])*(TableDailyJournal[[#This Row],[الحساب]]=Tabledaily[الحســاب المديــــن]),0)),0)</f>
        <v>30000</v>
      </c>
      <c r="L608" s="123" cm="1">
        <f t="array" ref="L608">IFERROR(INDEX(Tabledaily[المبلـــــــغ],MATCH(1,(TableDailyJournal[[#This Row],[رقم العملية]]=Tabledaily[رقم العملية])*(TableDailyJournal[[#This Row],[الحساب]]=Tabledaily[الحســاب الدئـــن]),0)),0)</f>
        <v>0</v>
      </c>
      <c r="M608" s="119">
        <f>IFERROR(TableDailyJournal[[#This Row],[المبلغ مدين]]/TableDailyJournal[[#This Row],[سعــــــر
الصـــــرف]],0)</f>
        <v>74.074074074074076</v>
      </c>
      <c r="N608" s="119">
        <f>IFERROR(TableDailyJournal[[#This Row],[المبلغ دائن]]/TableDailyJournal[[#This Row],[سعــــــر
الصـــــرف]],0)</f>
        <v>0</v>
      </c>
      <c r="O608" s="121" t="str">
        <f>INDEX(Tabledaily[المستفيــــــــد],MATCH(TableDailyJournal[[#This Row],[رقم العملية]],Tabledaily[رقم العملية],0))</f>
        <v>الاستطلاع</v>
      </c>
      <c r="P608" s="121" t="str">
        <f>INDEX(Tabledaily[المــــرجـــــــــع],MATCH(TableDailyJournal[[#This Row],[رقم العملية]],Tabledaily[رقم العملية],0))</f>
        <v>كشف صرف</v>
      </c>
      <c r="Q608" s="121" t="str">
        <f>INDEX(Tabledaily[اســـــــم المــــرجــــع],MATCH(TableDailyJournal[[#This Row],[رقم العملية]],Tabledaily[رقم العملية],0))</f>
        <v>كشف صرف</v>
      </c>
      <c r="R608" s="121">
        <f>INDEX(Tabledaily[رقم المـــــرجـــع],MATCH(TableDailyJournal[[#This Row],[رقم العملية]],Tabledaily[رقم العملية],0))</f>
        <v>0</v>
      </c>
      <c r="S608" s="121" t="str">
        <f>INDEX(Tabledaily[مركـــــــزالتكلفــــــة],MATCH(TableDailyJournal[[#This Row],[رقم العملية]],Tabledaily[رقم العملية],0))</f>
        <v>الفرقة الثالثة</v>
      </c>
      <c r="T608" s="121">
        <f>IFERROR(INDEX(tablecost[رقم المركز],MATCH(TableDailyJournal[[#This Row],[مركـــــــزالتكلفــــــة]],tablecost[الاسم],0)),0)</f>
        <v>1</v>
      </c>
      <c r="U608" s="122">
        <f>IFERROR(DATE(TableDailyJournal[[#This Row],[السنــــة]],TableDailyJournal[[#This Row],[الشهــــر]],TableDailyJournal[[#This Row],[الـــــيوم]]),"01-01-2026")</f>
        <v>46192</v>
      </c>
      <c r="V608" s="126"/>
      <c r="W608" s="58"/>
      <c r="X608" s="58">
        <f>IFERROR(YEAR(TableDailyJournal[[#This Row],[التاريخ]]),"")</f>
        <v>2026</v>
      </c>
      <c r="Y608" s="58">
        <f>IFERROR(MONTH(TableDailyJournal[[#This Row],[التاريخ]]),"")</f>
        <v>6</v>
      </c>
      <c r="Z608" s="58">
        <f>IFERROR(DAY(TableDailyJournal[[#This Row],[التاريخ]]),"")</f>
        <v>19</v>
      </c>
      <c r="AA608"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v>
      </c>
      <c r="AB608" s="121">
        <f>INDEX(Tabledaily[جهة الامر],MATCH(TableDailyJournal[[#This Row],[رقم العملية]],Tabledaily[رقم العملية],0))</f>
        <v>0</v>
      </c>
    </row>
    <row r="609" spans="2:28" ht="45.75" x14ac:dyDescent="0.55000000000000004">
      <c r="B609" s="58">
        <f t="shared" si="19"/>
        <v>605</v>
      </c>
      <c r="C609" s="59" t="s">
        <v>1099</v>
      </c>
      <c r="D609" s="60">
        <f>INDEX(Tabledaily[date],MATCH(TableDailyJournal[[#This Row],[رقم العملية]],Tabledaily[رقم العملية],0))</f>
        <v>46192</v>
      </c>
      <c r="E609" s="58" t="str">
        <f>INDEX(Tabledaily[نوع العمليــة],MATCH(TableDailyJournal[[#This Row],[رقم العملية]],Tabledaily[رقم العملية],0))</f>
        <v>قيد عهده</v>
      </c>
      <c r="F609" s="58">
        <f>IFERROR(INDEX(TableJudje[رقم الحساب],MATCH(TableDailyJournal[[#This Row],[الحساب]],TableJudje[اسم الحساب],0)),0)</f>
        <v>11060205</v>
      </c>
      <c r="G609" s="58" t="s">
        <v>513</v>
      </c>
      <c r="H609" s="61"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v>
      </c>
      <c r="I609" s="60" t="str">
        <f>INDEX(Tabledaily[العملـــة],MATCH(TableDailyJournal[[#This Row],[رقم العملية]],Tabledaily[رقم العملية],0))</f>
        <v>ريال يمني</v>
      </c>
      <c r="J609" s="59">
        <f>IFERROR(INDEX(Tabledaily[سعــــــر
الصـــــرف],MATCH(C609,Tabledaily[رقم العملية],0)),1)</f>
        <v>405</v>
      </c>
      <c r="K609" s="123" cm="1">
        <f t="array" ref="K609">IFERROR(INDEX(Tabledaily[المبلـــــــغ],MATCH(1,(TableDailyJournal[[#This Row],[رقم العملية]]=Tabledaily[رقم العملية])*(TableDailyJournal[[#This Row],[الحساب]]=Tabledaily[الحســاب المديــــن]),0)),0)</f>
        <v>0</v>
      </c>
      <c r="L609" s="123" cm="1">
        <f t="array" ref="L609">IFERROR(INDEX(Tabledaily[المبلـــــــغ],MATCH(1,(TableDailyJournal[[#This Row],[رقم العملية]]=Tabledaily[رقم العملية])*(TableDailyJournal[[#This Row],[الحساب]]=Tabledaily[الحســاب الدئـــن]),0)),0)</f>
        <v>30000</v>
      </c>
      <c r="M609" s="119">
        <f>IFERROR(TableDailyJournal[[#This Row],[المبلغ مدين]]/TableDailyJournal[[#This Row],[سعــــــر
الصـــــرف]],0)</f>
        <v>0</v>
      </c>
      <c r="N609" s="119">
        <f>IFERROR(TableDailyJournal[[#This Row],[المبلغ دائن]]/TableDailyJournal[[#This Row],[سعــــــر
الصـــــرف]],0)</f>
        <v>74.074074074074076</v>
      </c>
      <c r="O609" s="121" t="str">
        <f>INDEX(Tabledaily[المستفيــــــــد],MATCH(TableDailyJournal[[#This Row],[رقم العملية]],Tabledaily[رقم العملية],0))</f>
        <v>الاستطلاع</v>
      </c>
      <c r="P609" s="121" t="str">
        <f>INDEX(Tabledaily[المــــرجـــــــــع],MATCH(TableDailyJournal[[#This Row],[رقم العملية]],Tabledaily[رقم العملية],0))</f>
        <v>كشف صرف</v>
      </c>
      <c r="Q609" s="121" t="str">
        <f>INDEX(Tabledaily[اســـــــم المــــرجــــع],MATCH(TableDailyJournal[[#This Row],[رقم العملية]],Tabledaily[رقم العملية],0))</f>
        <v>كشف صرف</v>
      </c>
      <c r="R609" s="121">
        <f>INDEX(Tabledaily[رقم المـــــرجـــع],MATCH(TableDailyJournal[[#This Row],[رقم العملية]],Tabledaily[رقم العملية],0))</f>
        <v>0</v>
      </c>
      <c r="S609" s="121" t="str">
        <f>INDEX(Tabledaily[مركـــــــزالتكلفــــــة],MATCH(TableDailyJournal[[#This Row],[رقم العملية]],Tabledaily[رقم العملية],0))</f>
        <v>الفرقة الثالثة</v>
      </c>
      <c r="T609" s="121">
        <f>IFERROR(INDEX(tablecost[رقم المركز],MATCH(TableDailyJournal[[#This Row],[مركـــــــزالتكلفــــــة]],tablecost[الاسم],0)),0)</f>
        <v>1</v>
      </c>
      <c r="U609" s="122">
        <f>IFERROR(DATE(TableDailyJournal[[#This Row],[السنــــة]],TableDailyJournal[[#This Row],[الشهــــر]],TableDailyJournal[[#This Row],[الـــــيوم]]),"01-01-2026")</f>
        <v>46192</v>
      </c>
      <c r="V609" s="126"/>
      <c r="W609" s="58"/>
      <c r="X609" s="58">
        <f>IFERROR(YEAR(TableDailyJournal[[#This Row],[التاريخ]]),"")</f>
        <v>2026</v>
      </c>
      <c r="Y609" s="58">
        <f>IFERROR(MONTH(TableDailyJournal[[#This Row],[التاريخ]]),"")</f>
        <v>6</v>
      </c>
      <c r="Z609" s="58">
        <f>IFERROR(DAY(TableDailyJournal[[#This Row],[التاريخ]]),"")</f>
        <v>19</v>
      </c>
      <c r="AA609"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من 16 إلى 17 يونيو بامر</v>
      </c>
      <c r="AB609" s="121">
        <f>INDEX(Tabledaily[جهة الامر],MATCH(TableDailyJournal[[#This Row],[رقم العملية]],Tabledaily[رقم العملية],0))</f>
        <v>0</v>
      </c>
    </row>
    <row r="610" spans="2:28" ht="45.75" x14ac:dyDescent="0.55000000000000004">
      <c r="B610" s="58">
        <f t="shared" si="19"/>
        <v>606</v>
      </c>
      <c r="C610" s="59" t="s">
        <v>1100</v>
      </c>
      <c r="D610" s="60">
        <f>INDEX(Tabledaily[date],MATCH(TableDailyJournal[[#This Row],[رقم العملية]],Tabledaily[رقم العملية],0))</f>
        <v>46192</v>
      </c>
      <c r="E610" s="58" t="str">
        <f>INDEX(Tabledaily[نوع العمليــة],MATCH(TableDailyJournal[[#This Row],[رقم العملية]],Tabledaily[رقم العملية],0))</f>
        <v>قيد عهده</v>
      </c>
      <c r="F610" s="58">
        <f>IFERROR(INDEX(TableJudje[رقم الحساب],MATCH(TableDailyJournal[[#This Row],[الحساب]],TableJudje[اسم الحساب],0)),0)</f>
        <v>31010101</v>
      </c>
      <c r="G610" s="58" t="s">
        <v>111</v>
      </c>
      <c r="H610"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610" s="60" t="str">
        <f>INDEX(Tabledaily[العملـــة],MATCH(TableDailyJournal[[#This Row],[رقم العملية]],Tabledaily[رقم العملية],0))</f>
        <v>ريال يمني</v>
      </c>
      <c r="J610" s="59">
        <f>IFERROR(INDEX(Tabledaily[سعــــــر
الصـــــرف],MATCH(C610,Tabledaily[رقم العملية],0)),1)</f>
        <v>405</v>
      </c>
      <c r="K610" s="123" cm="1">
        <f t="array" ref="K610">IFERROR(INDEX(Tabledaily[المبلـــــــغ],MATCH(1,(TableDailyJournal[[#This Row],[رقم العملية]]=Tabledaily[رقم العملية])*(TableDailyJournal[[#This Row],[الحساب]]=Tabledaily[الحســاب المديــــن]),0)),0)</f>
        <v>25000</v>
      </c>
      <c r="L610" s="123" cm="1">
        <f t="array" ref="L610">IFERROR(INDEX(Tabledaily[المبلـــــــغ],MATCH(1,(TableDailyJournal[[#This Row],[رقم العملية]]=Tabledaily[رقم العملية])*(TableDailyJournal[[#This Row],[الحساب]]=Tabledaily[الحســاب الدئـــن]),0)),0)</f>
        <v>0</v>
      </c>
      <c r="M610" s="119">
        <f>IFERROR(TableDailyJournal[[#This Row],[المبلغ مدين]]/TableDailyJournal[[#This Row],[سعــــــر
الصـــــرف]],0)</f>
        <v>61.728395061728392</v>
      </c>
      <c r="N610" s="119">
        <f>IFERROR(TableDailyJournal[[#This Row],[المبلغ دائن]]/TableDailyJournal[[#This Row],[سعــــــر
الصـــــرف]],0)</f>
        <v>0</v>
      </c>
      <c r="O610" s="121" t="str">
        <f>INDEX(Tabledaily[المستفيــــــــد],MATCH(TableDailyJournal[[#This Row],[رقم العملية]],Tabledaily[رقم العملية],0))</f>
        <v>المحاسبين</v>
      </c>
      <c r="P610" s="121" t="str">
        <f>INDEX(Tabledaily[المــــرجـــــــــع],MATCH(TableDailyJournal[[#This Row],[رقم العملية]],Tabledaily[رقم العملية],0))</f>
        <v>كشف صرف</v>
      </c>
      <c r="Q610" s="121" t="str">
        <f>INDEX(Tabledaily[اســـــــم المــــرجــــع],MATCH(TableDailyJournal[[#This Row],[رقم العملية]],Tabledaily[رقم العملية],0))</f>
        <v>كشف صرف</v>
      </c>
      <c r="R610" s="121">
        <f>INDEX(Tabledaily[رقم المـــــرجـــع],MATCH(TableDailyJournal[[#This Row],[رقم العملية]],Tabledaily[رقم العملية],0))</f>
        <v>0</v>
      </c>
      <c r="S610" s="121" t="str">
        <f>INDEX(Tabledaily[مركـــــــزالتكلفــــــة],MATCH(TableDailyJournal[[#This Row],[رقم العملية]],Tabledaily[رقم العملية],0))</f>
        <v>الفرقة الثالثة</v>
      </c>
      <c r="T610" s="121">
        <f>IFERROR(INDEX(tablecost[رقم المركز],MATCH(TableDailyJournal[[#This Row],[مركـــــــزالتكلفــــــة]],tablecost[الاسم],0)),0)</f>
        <v>1</v>
      </c>
      <c r="U610" s="122">
        <f>IFERROR(DATE(TableDailyJournal[[#This Row],[السنــــة]],TableDailyJournal[[#This Row],[الشهــــر]],TableDailyJournal[[#This Row],[الـــــيوم]]),"01-01-2026")</f>
        <v>46192</v>
      </c>
      <c r="V610" s="126"/>
      <c r="W610" s="58"/>
      <c r="X610" s="58">
        <f>IFERROR(YEAR(TableDailyJournal[[#This Row],[التاريخ]]),"")</f>
        <v>2026</v>
      </c>
      <c r="Y610" s="58">
        <f>IFERROR(MONTH(TableDailyJournal[[#This Row],[التاريخ]]),"")</f>
        <v>6</v>
      </c>
      <c r="Z610" s="58">
        <f>IFERROR(DAY(TableDailyJournal[[#This Row],[التاريخ]]),"")</f>
        <v>19</v>
      </c>
      <c r="AA610"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610" s="121">
        <f>INDEX(Tabledaily[جهة الامر],MATCH(TableDailyJournal[[#This Row],[رقم العملية]],Tabledaily[رقم العملية],0))</f>
        <v>0</v>
      </c>
    </row>
    <row r="611" spans="2:28" ht="45.75" x14ac:dyDescent="0.55000000000000004">
      <c r="B611" s="58">
        <f t="shared" si="19"/>
        <v>607</v>
      </c>
      <c r="C611" s="59" t="s">
        <v>1100</v>
      </c>
      <c r="D611" s="60">
        <f>INDEX(Tabledaily[date],MATCH(TableDailyJournal[[#This Row],[رقم العملية]],Tabledaily[رقم العملية],0))</f>
        <v>46192</v>
      </c>
      <c r="E611" s="58" t="str">
        <f>INDEX(Tabledaily[نوع العمليــة],MATCH(TableDailyJournal[[#This Row],[رقم العملية]],Tabledaily[رقم العملية],0))</f>
        <v>قيد عهده</v>
      </c>
      <c r="F611" s="58">
        <f>IFERROR(INDEX(TableJudje[رقم الحساب],MATCH(TableDailyJournal[[#This Row],[الحساب]],TableJudje[اسم الحساب],0)),0)</f>
        <v>11060205</v>
      </c>
      <c r="G611" s="58" t="s">
        <v>513</v>
      </c>
      <c r="H611"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611" s="60" t="str">
        <f>INDEX(Tabledaily[العملـــة],MATCH(TableDailyJournal[[#This Row],[رقم العملية]],Tabledaily[رقم العملية],0))</f>
        <v>ريال يمني</v>
      </c>
      <c r="J611" s="59">
        <f>IFERROR(INDEX(Tabledaily[سعــــــر
الصـــــرف],MATCH(C611,Tabledaily[رقم العملية],0)),1)</f>
        <v>405</v>
      </c>
      <c r="K611" s="123" cm="1">
        <f t="array" ref="K611">IFERROR(INDEX(Tabledaily[المبلـــــــغ],MATCH(1,(TableDailyJournal[[#This Row],[رقم العملية]]=Tabledaily[رقم العملية])*(TableDailyJournal[[#This Row],[الحساب]]=Tabledaily[الحســاب المديــــن]),0)),0)</f>
        <v>0</v>
      </c>
      <c r="L611" s="123" cm="1">
        <f t="array" ref="L611">IFERROR(INDEX(Tabledaily[المبلـــــــغ],MATCH(1,(TableDailyJournal[[#This Row],[رقم العملية]]=Tabledaily[رقم العملية])*(TableDailyJournal[[#This Row],[الحساب]]=Tabledaily[الحســاب الدئـــن]),0)),0)</f>
        <v>25000</v>
      </c>
      <c r="M611" s="119">
        <f>IFERROR(TableDailyJournal[[#This Row],[المبلغ مدين]]/TableDailyJournal[[#This Row],[سعــــــر
الصـــــرف]],0)</f>
        <v>0</v>
      </c>
      <c r="N611" s="119">
        <f>IFERROR(TableDailyJournal[[#This Row],[المبلغ دائن]]/TableDailyJournal[[#This Row],[سعــــــر
الصـــــرف]],0)</f>
        <v>61.728395061728392</v>
      </c>
      <c r="O611" s="121" t="str">
        <f>INDEX(Tabledaily[المستفيــــــــد],MATCH(TableDailyJournal[[#This Row],[رقم العملية]],Tabledaily[رقم العملية],0))</f>
        <v>المحاسبين</v>
      </c>
      <c r="P611" s="121" t="str">
        <f>INDEX(Tabledaily[المــــرجـــــــــع],MATCH(TableDailyJournal[[#This Row],[رقم العملية]],Tabledaily[رقم العملية],0))</f>
        <v>كشف صرف</v>
      </c>
      <c r="Q611" s="121" t="str">
        <f>INDEX(Tabledaily[اســـــــم المــــرجــــع],MATCH(TableDailyJournal[[#This Row],[رقم العملية]],Tabledaily[رقم العملية],0))</f>
        <v>كشف صرف</v>
      </c>
      <c r="R611" s="121">
        <f>INDEX(Tabledaily[رقم المـــــرجـــع],MATCH(TableDailyJournal[[#This Row],[رقم العملية]],Tabledaily[رقم العملية],0))</f>
        <v>0</v>
      </c>
      <c r="S611" s="121" t="str">
        <f>INDEX(Tabledaily[مركـــــــزالتكلفــــــة],MATCH(TableDailyJournal[[#This Row],[رقم العملية]],Tabledaily[رقم العملية],0))</f>
        <v>الفرقة الثالثة</v>
      </c>
      <c r="T611" s="121">
        <f>IFERROR(INDEX(tablecost[رقم المركز],MATCH(TableDailyJournal[[#This Row],[مركـــــــزالتكلفــــــة]],tablecost[الاسم],0)),0)</f>
        <v>1</v>
      </c>
      <c r="U611" s="122">
        <f>IFERROR(DATE(TableDailyJournal[[#This Row],[السنــــة]],TableDailyJournal[[#This Row],[الشهــــر]],TableDailyJournal[[#This Row],[الـــــيوم]]),"01-01-2026")</f>
        <v>46192</v>
      </c>
      <c r="V611" s="126"/>
      <c r="W611" s="58"/>
      <c r="X611" s="58">
        <f>IFERROR(YEAR(TableDailyJournal[[#This Row],[التاريخ]]),"")</f>
        <v>2026</v>
      </c>
      <c r="Y611" s="58">
        <f>IFERROR(MONTH(TableDailyJournal[[#This Row],[التاريخ]]),"")</f>
        <v>6</v>
      </c>
      <c r="Z611" s="58">
        <f>IFERROR(DAY(TableDailyJournal[[#This Row],[التاريخ]]),"")</f>
        <v>19</v>
      </c>
      <c r="AA611"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611" s="121">
        <f>INDEX(Tabledaily[جهة الامر],MATCH(TableDailyJournal[[#This Row],[رقم العملية]],Tabledaily[رقم العملية],0))</f>
        <v>0</v>
      </c>
    </row>
    <row r="612" spans="2:28" ht="45.75" x14ac:dyDescent="0.55000000000000004">
      <c r="B612" s="58">
        <f t="shared" si="19"/>
        <v>608</v>
      </c>
      <c r="C612" s="59" t="s">
        <v>1101</v>
      </c>
      <c r="D612" s="60">
        <f>INDEX(Tabledaily[date],MATCH(TableDailyJournal[[#This Row],[رقم العملية]],Tabledaily[رقم العملية],0))</f>
        <v>46192</v>
      </c>
      <c r="E612" s="58" t="str">
        <f>INDEX(Tabledaily[نوع العمليــة],MATCH(TableDailyJournal[[#This Row],[رقم العملية]],Tabledaily[رقم العملية],0))</f>
        <v>قيد عهده</v>
      </c>
      <c r="F612" s="58">
        <f>IFERROR(INDEX(TableJudje[رقم الحساب],MATCH(TableDailyJournal[[#This Row],[الحساب]],TableJudje[اسم الحساب],0)),0)</f>
        <v>31010101</v>
      </c>
      <c r="G612" s="58" t="s">
        <v>111</v>
      </c>
      <c r="H612"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612" s="60" t="str">
        <f>INDEX(Tabledaily[العملـــة],MATCH(TableDailyJournal[[#This Row],[رقم العملية]],Tabledaily[رقم العملية],0))</f>
        <v>ريال يمني</v>
      </c>
      <c r="J612" s="59">
        <f>IFERROR(INDEX(Tabledaily[سعــــــر
الصـــــرف],MATCH(C612,Tabledaily[رقم العملية],0)),1)</f>
        <v>405</v>
      </c>
      <c r="K612" s="123" cm="1">
        <f t="array" ref="K612">IFERROR(INDEX(Tabledaily[المبلـــــــغ],MATCH(1,(TableDailyJournal[[#This Row],[رقم العملية]]=Tabledaily[رقم العملية])*(TableDailyJournal[[#This Row],[الحساب]]=Tabledaily[الحســاب المديــــن]),0)),0)</f>
        <v>15000</v>
      </c>
      <c r="L612" s="123" cm="1">
        <f t="array" ref="L612">IFERROR(INDEX(Tabledaily[المبلـــــــغ],MATCH(1,(TableDailyJournal[[#This Row],[رقم العملية]]=Tabledaily[رقم العملية])*(TableDailyJournal[[#This Row],[الحساب]]=Tabledaily[الحســاب الدئـــن]),0)),0)</f>
        <v>0</v>
      </c>
      <c r="M612" s="119">
        <f>IFERROR(TableDailyJournal[[#This Row],[المبلغ مدين]]/TableDailyJournal[[#This Row],[سعــــــر
الصـــــرف]],0)</f>
        <v>37.037037037037038</v>
      </c>
      <c r="N612" s="119">
        <f>IFERROR(TableDailyJournal[[#This Row],[المبلغ دائن]]/TableDailyJournal[[#This Row],[سعــــــر
الصـــــرف]],0)</f>
        <v>0</v>
      </c>
      <c r="O612" s="121" t="str">
        <f>INDEX(Tabledaily[المستفيــــــــد],MATCH(TableDailyJournal[[#This Row],[رقم العملية]],Tabledaily[رقم العملية],0))</f>
        <v>البشرية</v>
      </c>
      <c r="P612" s="121" t="str">
        <f>INDEX(Tabledaily[المــــرجـــــــــع],MATCH(TableDailyJournal[[#This Row],[رقم العملية]],Tabledaily[رقم العملية],0))</f>
        <v>كشف صرف</v>
      </c>
      <c r="Q612" s="121" t="str">
        <f>INDEX(Tabledaily[اســـــــم المــــرجــــع],MATCH(TableDailyJournal[[#This Row],[رقم العملية]],Tabledaily[رقم العملية],0))</f>
        <v>كشف صرف</v>
      </c>
      <c r="R612" s="121">
        <f>INDEX(Tabledaily[رقم المـــــرجـــع],MATCH(TableDailyJournal[[#This Row],[رقم العملية]],Tabledaily[رقم العملية],0))</f>
        <v>0</v>
      </c>
      <c r="S612" s="121" t="str">
        <f>INDEX(Tabledaily[مركـــــــزالتكلفــــــة],MATCH(TableDailyJournal[[#This Row],[رقم العملية]],Tabledaily[رقم العملية],0))</f>
        <v>الفرقة الثالثة</v>
      </c>
      <c r="T612" s="121">
        <f>IFERROR(INDEX(tablecost[رقم المركز],MATCH(TableDailyJournal[[#This Row],[مركـــــــزالتكلفــــــة]],tablecost[الاسم],0)),0)</f>
        <v>1</v>
      </c>
      <c r="U612" s="122">
        <f>IFERROR(DATE(TableDailyJournal[[#This Row],[السنــــة]],TableDailyJournal[[#This Row],[الشهــــر]],TableDailyJournal[[#This Row],[الـــــيوم]]),"01-01-2026")</f>
        <v>46192</v>
      </c>
      <c r="V612" s="126"/>
      <c r="W612" s="58"/>
      <c r="X612" s="58">
        <f>IFERROR(YEAR(TableDailyJournal[[#This Row],[التاريخ]]),"")</f>
        <v>2026</v>
      </c>
      <c r="Y612" s="58">
        <f>IFERROR(MONTH(TableDailyJournal[[#This Row],[التاريخ]]),"")</f>
        <v>6</v>
      </c>
      <c r="Z612" s="58">
        <f>IFERROR(DAY(TableDailyJournal[[#This Row],[التاريخ]]),"")</f>
        <v>19</v>
      </c>
      <c r="AA612"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612" s="121">
        <f>INDEX(Tabledaily[جهة الامر],MATCH(TableDailyJournal[[#This Row],[رقم العملية]],Tabledaily[رقم العملية],0))</f>
        <v>0</v>
      </c>
    </row>
    <row r="613" spans="2:28" ht="45.75" x14ac:dyDescent="0.55000000000000004">
      <c r="B613" s="58">
        <f t="shared" si="19"/>
        <v>609</v>
      </c>
      <c r="C613" s="59" t="s">
        <v>1101</v>
      </c>
      <c r="D613" s="60">
        <f>INDEX(Tabledaily[date],MATCH(TableDailyJournal[[#This Row],[رقم العملية]],Tabledaily[رقم العملية],0))</f>
        <v>46192</v>
      </c>
      <c r="E613" s="58" t="str">
        <f>INDEX(Tabledaily[نوع العمليــة],MATCH(TableDailyJournal[[#This Row],[رقم العملية]],Tabledaily[رقم العملية],0))</f>
        <v>قيد عهده</v>
      </c>
      <c r="F613" s="58">
        <f>IFERROR(INDEX(TableJudje[رقم الحساب],MATCH(TableDailyJournal[[#This Row],[الحساب]],TableJudje[اسم الحساب],0)),0)</f>
        <v>11060205</v>
      </c>
      <c r="G613" s="58" t="s">
        <v>513</v>
      </c>
      <c r="H613"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613" s="60" t="str">
        <f>INDEX(Tabledaily[العملـــة],MATCH(TableDailyJournal[[#This Row],[رقم العملية]],Tabledaily[رقم العملية],0))</f>
        <v>ريال يمني</v>
      </c>
      <c r="J613" s="59">
        <f>IFERROR(INDEX(Tabledaily[سعــــــر
الصـــــرف],MATCH(C613,Tabledaily[رقم العملية],0)),1)</f>
        <v>405</v>
      </c>
      <c r="K613" s="123" cm="1">
        <f t="array" ref="K613">IFERROR(INDEX(Tabledaily[المبلـــــــغ],MATCH(1,(TableDailyJournal[[#This Row],[رقم العملية]]=Tabledaily[رقم العملية])*(TableDailyJournal[[#This Row],[الحساب]]=Tabledaily[الحســاب المديــــن]),0)),0)</f>
        <v>0</v>
      </c>
      <c r="L613" s="123" cm="1">
        <f t="array" ref="L613">IFERROR(INDEX(Tabledaily[المبلـــــــغ],MATCH(1,(TableDailyJournal[[#This Row],[رقم العملية]]=Tabledaily[رقم العملية])*(TableDailyJournal[[#This Row],[الحساب]]=Tabledaily[الحســاب الدئـــن]),0)),0)</f>
        <v>15000</v>
      </c>
      <c r="M613" s="119">
        <f>IFERROR(TableDailyJournal[[#This Row],[المبلغ مدين]]/TableDailyJournal[[#This Row],[سعــــــر
الصـــــرف]],0)</f>
        <v>0</v>
      </c>
      <c r="N613" s="119">
        <f>IFERROR(TableDailyJournal[[#This Row],[المبلغ دائن]]/TableDailyJournal[[#This Row],[سعــــــر
الصـــــرف]],0)</f>
        <v>37.037037037037038</v>
      </c>
      <c r="O613" s="121" t="str">
        <f>INDEX(Tabledaily[المستفيــــــــد],MATCH(TableDailyJournal[[#This Row],[رقم العملية]],Tabledaily[رقم العملية],0))</f>
        <v>البشرية</v>
      </c>
      <c r="P613" s="121" t="str">
        <f>INDEX(Tabledaily[المــــرجـــــــــع],MATCH(TableDailyJournal[[#This Row],[رقم العملية]],Tabledaily[رقم العملية],0))</f>
        <v>كشف صرف</v>
      </c>
      <c r="Q613" s="121" t="str">
        <f>INDEX(Tabledaily[اســـــــم المــــرجــــع],MATCH(TableDailyJournal[[#This Row],[رقم العملية]],Tabledaily[رقم العملية],0))</f>
        <v>كشف صرف</v>
      </c>
      <c r="R613" s="121">
        <f>INDEX(Tabledaily[رقم المـــــرجـــع],MATCH(TableDailyJournal[[#This Row],[رقم العملية]],Tabledaily[رقم العملية],0))</f>
        <v>0</v>
      </c>
      <c r="S613" s="121" t="str">
        <f>INDEX(Tabledaily[مركـــــــزالتكلفــــــة],MATCH(TableDailyJournal[[#This Row],[رقم العملية]],Tabledaily[رقم العملية],0))</f>
        <v>الفرقة الثالثة</v>
      </c>
      <c r="T613" s="121">
        <f>IFERROR(INDEX(tablecost[رقم المركز],MATCH(TableDailyJournal[[#This Row],[مركـــــــزالتكلفــــــة]],tablecost[الاسم],0)),0)</f>
        <v>1</v>
      </c>
      <c r="U613" s="122">
        <f>IFERROR(DATE(TableDailyJournal[[#This Row],[السنــــة]],TableDailyJournal[[#This Row],[الشهــــر]],TableDailyJournal[[#This Row],[الـــــيوم]]),"01-01-2026")</f>
        <v>46192</v>
      </c>
      <c r="V613" s="126"/>
      <c r="W613" s="58"/>
      <c r="X613" s="58">
        <f>IFERROR(YEAR(TableDailyJournal[[#This Row],[التاريخ]]),"")</f>
        <v>2026</v>
      </c>
      <c r="Y613" s="58">
        <f>IFERROR(MONTH(TableDailyJournal[[#This Row],[التاريخ]]),"")</f>
        <v>6</v>
      </c>
      <c r="Z613" s="58">
        <f>IFERROR(DAY(TableDailyJournal[[#This Row],[التاريخ]]),"")</f>
        <v>19</v>
      </c>
      <c r="AA613"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613" s="121">
        <f>INDEX(Tabledaily[جهة الامر],MATCH(TableDailyJournal[[#This Row],[رقم العملية]],Tabledaily[رقم العملية],0))</f>
        <v>0</v>
      </c>
    </row>
    <row r="614" spans="2:28" ht="45.75" x14ac:dyDescent="0.55000000000000004">
      <c r="B614" s="58">
        <f t="shared" ref="B614:B645" si="20">ROW()-4</f>
        <v>610</v>
      </c>
      <c r="C614" s="59" t="s">
        <v>1102</v>
      </c>
      <c r="D614" s="60">
        <f>INDEX(Tabledaily[date],MATCH(TableDailyJournal[[#This Row],[رقم العملية]],Tabledaily[رقم العملية],0))</f>
        <v>46192</v>
      </c>
      <c r="E614" s="58" t="str">
        <f>INDEX(Tabledaily[نوع العمليــة],MATCH(TableDailyJournal[[#This Row],[رقم العملية]],Tabledaily[رقم العملية],0))</f>
        <v>قيد عهده</v>
      </c>
      <c r="F614" s="58">
        <f>IFERROR(INDEX(TableJudje[رقم الحساب],MATCH(TableDailyJournal[[#This Row],[الحساب]],TableJudje[اسم الحساب],0)),0)</f>
        <v>31010101</v>
      </c>
      <c r="G614" s="58" t="s">
        <v>111</v>
      </c>
      <c r="H614"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614" s="60" t="str">
        <f>INDEX(Tabledaily[العملـــة],MATCH(TableDailyJournal[[#This Row],[رقم العملية]],Tabledaily[رقم العملية],0))</f>
        <v>ريال يمني</v>
      </c>
      <c r="J614" s="59">
        <f>IFERROR(INDEX(Tabledaily[سعــــــر
الصـــــرف],MATCH(C614,Tabledaily[رقم العملية],0)),1)</f>
        <v>405</v>
      </c>
      <c r="K614" s="123" cm="1">
        <f t="array" ref="K614">IFERROR(INDEX(Tabledaily[المبلـــــــغ],MATCH(1,(TableDailyJournal[[#This Row],[رقم العملية]]=Tabledaily[رقم العملية])*(TableDailyJournal[[#This Row],[الحساب]]=Tabledaily[الحســاب المديــــن]),0)),0)</f>
        <v>80000</v>
      </c>
      <c r="L614" s="123" cm="1">
        <f t="array" ref="L614">IFERROR(INDEX(Tabledaily[المبلـــــــغ],MATCH(1,(TableDailyJournal[[#This Row],[رقم العملية]]=Tabledaily[رقم العملية])*(TableDailyJournal[[#This Row],[الحساب]]=Tabledaily[الحســاب الدئـــن]),0)),0)</f>
        <v>0</v>
      </c>
      <c r="M614" s="119">
        <f>IFERROR(TableDailyJournal[[#This Row],[المبلغ مدين]]/TableDailyJournal[[#This Row],[سعــــــر
الصـــــرف]],0)</f>
        <v>197.53086419753086</v>
      </c>
      <c r="N614" s="119">
        <f>IFERROR(TableDailyJournal[[#This Row],[المبلغ دائن]]/TableDailyJournal[[#This Row],[سعــــــر
الصـــــرف]],0)</f>
        <v>0</v>
      </c>
      <c r="O614" s="121" t="str">
        <f>INDEX(Tabledaily[المستفيــــــــد],MATCH(TableDailyJournal[[#This Row],[رقم العملية]],Tabledaily[رقم العملية],0))</f>
        <v>الاستخبارات</v>
      </c>
      <c r="P614" s="121" t="str">
        <f>INDEX(Tabledaily[المــــرجـــــــــع],MATCH(TableDailyJournal[[#This Row],[رقم العملية]],Tabledaily[رقم العملية],0))</f>
        <v>كشف صرف</v>
      </c>
      <c r="Q614" s="121" t="str">
        <f>INDEX(Tabledaily[اســـــــم المــــرجــــع],MATCH(TableDailyJournal[[#This Row],[رقم العملية]],Tabledaily[رقم العملية],0))</f>
        <v>كشف صرف</v>
      </c>
      <c r="R614" s="121">
        <f>INDEX(Tabledaily[رقم المـــــرجـــع],MATCH(TableDailyJournal[[#This Row],[رقم العملية]],Tabledaily[رقم العملية],0))</f>
        <v>0</v>
      </c>
      <c r="S614" s="121" t="str">
        <f>INDEX(Tabledaily[مركـــــــزالتكلفــــــة],MATCH(TableDailyJournal[[#This Row],[رقم العملية]],Tabledaily[رقم العملية],0))</f>
        <v>الفرقة الثالثة</v>
      </c>
      <c r="T614" s="121">
        <f>IFERROR(INDEX(tablecost[رقم المركز],MATCH(TableDailyJournal[[#This Row],[مركـــــــزالتكلفــــــة]],tablecost[الاسم],0)),0)</f>
        <v>1</v>
      </c>
      <c r="U614" s="122">
        <f>IFERROR(DATE(TableDailyJournal[[#This Row],[السنــــة]],TableDailyJournal[[#This Row],[الشهــــر]],TableDailyJournal[[#This Row],[الـــــيوم]]),"01-01-2026")</f>
        <v>46192</v>
      </c>
      <c r="V614" s="126"/>
      <c r="W614" s="58"/>
      <c r="X614" s="58">
        <f>IFERROR(YEAR(TableDailyJournal[[#This Row],[التاريخ]]),"")</f>
        <v>2026</v>
      </c>
      <c r="Y614" s="58">
        <f>IFERROR(MONTH(TableDailyJournal[[#This Row],[التاريخ]]),"")</f>
        <v>6</v>
      </c>
      <c r="Z614" s="58">
        <f>IFERROR(DAY(TableDailyJournal[[#This Row],[التاريخ]]),"")</f>
        <v>19</v>
      </c>
      <c r="AA614"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614" s="121">
        <f>INDEX(Tabledaily[جهة الامر],MATCH(TableDailyJournal[[#This Row],[رقم العملية]],Tabledaily[رقم العملية],0))</f>
        <v>0</v>
      </c>
    </row>
    <row r="615" spans="2:28" ht="45.75" x14ac:dyDescent="0.55000000000000004">
      <c r="B615" s="58">
        <f t="shared" si="20"/>
        <v>611</v>
      </c>
      <c r="C615" s="59" t="s">
        <v>1102</v>
      </c>
      <c r="D615" s="60">
        <f>INDEX(Tabledaily[date],MATCH(TableDailyJournal[[#This Row],[رقم العملية]],Tabledaily[رقم العملية],0))</f>
        <v>46192</v>
      </c>
      <c r="E615" s="58" t="str">
        <f>INDEX(Tabledaily[نوع العمليــة],MATCH(TableDailyJournal[[#This Row],[رقم العملية]],Tabledaily[رقم العملية],0))</f>
        <v>قيد عهده</v>
      </c>
      <c r="F615" s="58">
        <f>IFERROR(INDEX(TableJudje[رقم الحساب],MATCH(TableDailyJournal[[#This Row],[الحساب]],TableJudje[اسم الحساب],0)),0)</f>
        <v>11060205</v>
      </c>
      <c r="G615" s="58" t="s">
        <v>513</v>
      </c>
      <c r="H615"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615" s="60" t="str">
        <f>INDEX(Tabledaily[العملـــة],MATCH(TableDailyJournal[[#This Row],[رقم العملية]],Tabledaily[رقم العملية],0))</f>
        <v>ريال يمني</v>
      </c>
      <c r="J615" s="59">
        <f>IFERROR(INDEX(Tabledaily[سعــــــر
الصـــــرف],MATCH(C615,Tabledaily[رقم العملية],0)),1)</f>
        <v>405</v>
      </c>
      <c r="K615" s="123" cm="1">
        <f t="array" ref="K615">IFERROR(INDEX(Tabledaily[المبلـــــــغ],MATCH(1,(TableDailyJournal[[#This Row],[رقم العملية]]=Tabledaily[رقم العملية])*(TableDailyJournal[[#This Row],[الحساب]]=Tabledaily[الحســاب المديــــن]),0)),0)</f>
        <v>0</v>
      </c>
      <c r="L615" s="123" cm="1">
        <f t="array" ref="L615">IFERROR(INDEX(Tabledaily[المبلـــــــغ],MATCH(1,(TableDailyJournal[[#This Row],[رقم العملية]]=Tabledaily[رقم العملية])*(TableDailyJournal[[#This Row],[الحساب]]=Tabledaily[الحســاب الدئـــن]),0)),0)</f>
        <v>80000</v>
      </c>
      <c r="M615" s="119">
        <f>IFERROR(TableDailyJournal[[#This Row],[المبلغ مدين]]/TableDailyJournal[[#This Row],[سعــــــر
الصـــــرف]],0)</f>
        <v>0</v>
      </c>
      <c r="N615" s="119">
        <f>IFERROR(TableDailyJournal[[#This Row],[المبلغ دائن]]/TableDailyJournal[[#This Row],[سعــــــر
الصـــــرف]],0)</f>
        <v>197.53086419753086</v>
      </c>
      <c r="O615" s="121" t="str">
        <f>INDEX(Tabledaily[المستفيــــــــد],MATCH(TableDailyJournal[[#This Row],[رقم العملية]],Tabledaily[رقم العملية],0))</f>
        <v>الاستخبارات</v>
      </c>
      <c r="P615" s="121" t="str">
        <f>INDEX(Tabledaily[المــــرجـــــــــع],MATCH(TableDailyJournal[[#This Row],[رقم العملية]],Tabledaily[رقم العملية],0))</f>
        <v>كشف صرف</v>
      </c>
      <c r="Q615" s="121" t="str">
        <f>INDEX(Tabledaily[اســـــــم المــــرجــــع],MATCH(TableDailyJournal[[#This Row],[رقم العملية]],Tabledaily[رقم العملية],0))</f>
        <v>كشف صرف</v>
      </c>
      <c r="R615" s="121">
        <f>INDEX(Tabledaily[رقم المـــــرجـــع],MATCH(TableDailyJournal[[#This Row],[رقم العملية]],Tabledaily[رقم العملية],0))</f>
        <v>0</v>
      </c>
      <c r="S615" s="121" t="str">
        <f>INDEX(Tabledaily[مركـــــــزالتكلفــــــة],MATCH(TableDailyJournal[[#This Row],[رقم العملية]],Tabledaily[رقم العملية],0))</f>
        <v>الفرقة الثالثة</v>
      </c>
      <c r="T615" s="121">
        <f>IFERROR(INDEX(tablecost[رقم المركز],MATCH(TableDailyJournal[[#This Row],[مركـــــــزالتكلفــــــة]],tablecost[الاسم],0)),0)</f>
        <v>1</v>
      </c>
      <c r="U615" s="122">
        <f>IFERROR(DATE(TableDailyJournal[[#This Row],[السنــــة]],TableDailyJournal[[#This Row],[الشهــــر]],TableDailyJournal[[#This Row],[الـــــيوم]]),"01-01-2026")</f>
        <v>46192</v>
      </c>
      <c r="V615" s="126"/>
      <c r="W615" s="58"/>
      <c r="X615" s="58">
        <f>IFERROR(YEAR(TableDailyJournal[[#This Row],[التاريخ]]),"")</f>
        <v>2026</v>
      </c>
      <c r="Y615" s="58">
        <f>IFERROR(MONTH(TableDailyJournal[[#This Row],[التاريخ]]),"")</f>
        <v>6</v>
      </c>
      <c r="Z615" s="58">
        <f>IFERROR(DAY(TableDailyJournal[[#This Row],[التاريخ]]),"")</f>
        <v>19</v>
      </c>
      <c r="AA615"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615" s="121">
        <f>INDEX(Tabledaily[جهة الامر],MATCH(TableDailyJournal[[#This Row],[رقم العملية]],Tabledaily[رقم العملية],0))</f>
        <v>0</v>
      </c>
    </row>
    <row r="616" spans="2:28" ht="45.75" x14ac:dyDescent="0.55000000000000004">
      <c r="B616" s="58">
        <f t="shared" si="20"/>
        <v>612</v>
      </c>
      <c r="C616" s="59" t="s">
        <v>1103</v>
      </c>
      <c r="D616" s="60">
        <f>INDEX(Tabledaily[date],MATCH(TableDailyJournal[[#This Row],[رقم العملية]],Tabledaily[رقم العملية],0))</f>
        <v>46192</v>
      </c>
      <c r="E616" s="58" t="str">
        <f>INDEX(Tabledaily[نوع العمليــة],MATCH(TableDailyJournal[[#This Row],[رقم العملية]],Tabledaily[رقم العملية],0))</f>
        <v>قيد عهده</v>
      </c>
      <c r="F616" s="58">
        <f>IFERROR(INDEX(TableJudje[رقم الحساب],MATCH(TableDailyJournal[[#This Row],[الحساب]],TableJudje[اسم الحساب],0)),0)</f>
        <v>31010101</v>
      </c>
      <c r="G616" s="58" t="s">
        <v>111</v>
      </c>
      <c r="H616"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616" s="60" t="str">
        <f>INDEX(Tabledaily[العملـــة],MATCH(TableDailyJournal[[#This Row],[رقم العملية]],Tabledaily[رقم العملية],0))</f>
        <v>ريال يمني</v>
      </c>
      <c r="J616" s="59">
        <f>IFERROR(INDEX(Tabledaily[سعــــــر
الصـــــرف],MATCH(C616,Tabledaily[رقم العملية],0)),1)</f>
        <v>405</v>
      </c>
      <c r="K616" s="123" cm="1">
        <f t="array" ref="K616">IFERROR(INDEX(Tabledaily[المبلـــــــغ],MATCH(1,(TableDailyJournal[[#This Row],[رقم العملية]]=Tabledaily[رقم العملية])*(TableDailyJournal[[#This Row],[الحساب]]=Tabledaily[الحســاب المديــــن]),0)),0)</f>
        <v>45000</v>
      </c>
      <c r="L616" s="123" cm="1">
        <f t="array" ref="L616">IFERROR(INDEX(Tabledaily[المبلـــــــغ],MATCH(1,(TableDailyJournal[[#This Row],[رقم العملية]]=Tabledaily[رقم العملية])*(TableDailyJournal[[#This Row],[الحساب]]=Tabledaily[الحســاب الدئـــن]),0)),0)</f>
        <v>0</v>
      </c>
      <c r="M616" s="119">
        <f>IFERROR(TableDailyJournal[[#This Row],[المبلغ مدين]]/TableDailyJournal[[#This Row],[سعــــــر
الصـــــرف]],0)</f>
        <v>111.11111111111111</v>
      </c>
      <c r="N616" s="119">
        <f>IFERROR(TableDailyJournal[[#This Row],[المبلغ دائن]]/TableDailyJournal[[#This Row],[سعــــــر
الصـــــرف]],0)</f>
        <v>0</v>
      </c>
      <c r="O616" s="121" t="str">
        <f>INDEX(Tabledaily[المستفيــــــــد],MATCH(TableDailyJournal[[#This Row],[رقم العملية]],Tabledaily[رقم العملية],0))</f>
        <v>المدفعية</v>
      </c>
      <c r="P616" s="121" t="str">
        <f>INDEX(Tabledaily[المــــرجـــــــــع],MATCH(TableDailyJournal[[#This Row],[رقم العملية]],Tabledaily[رقم العملية],0))</f>
        <v>كشف صرف</v>
      </c>
      <c r="Q616" s="121" t="str">
        <f>INDEX(Tabledaily[اســـــــم المــــرجــــع],MATCH(TableDailyJournal[[#This Row],[رقم العملية]],Tabledaily[رقم العملية],0))</f>
        <v>كشف صرف</v>
      </c>
      <c r="R616" s="121">
        <f>INDEX(Tabledaily[رقم المـــــرجـــع],MATCH(TableDailyJournal[[#This Row],[رقم العملية]],Tabledaily[رقم العملية],0))</f>
        <v>0</v>
      </c>
      <c r="S616" s="121" t="str">
        <f>INDEX(Tabledaily[مركـــــــزالتكلفــــــة],MATCH(TableDailyJournal[[#This Row],[رقم العملية]],Tabledaily[رقم العملية],0))</f>
        <v>الفرقة الثالثة</v>
      </c>
      <c r="T616" s="121">
        <f>IFERROR(INDEX(tablecost[رقم المركز],MATCH(TableDailyJournal[[#This Row],[مركـــــــزالتكلفــــــة]],tablecost[الاسم],0)),0)</f>
        <v>1</v>
      </c>
      <c r="U616" s="122">
        <f>IFERROR(DATE(TableDailyJournal[[#This Row],[السنــــة]],TableDailyJournal[[#This Row],[الشهــــر]],TableDailyJournal[[#This Row],[الـــــيوم]]),"01-01-2026")</f>
        <v>46192</v>
      </c>
      <c r="V616" s="126"/>
      <c r="W616" s="58"/>
      <c r="X616" s="58">
        <f>IFERROR(YEAR(TableDailyJournal[[#This Row],[التاريخ]]),"")</f>
        <v>2026</v>
      </c>
      <c r="Y616" s="58">
        <f>IFERROR(MONTH(TableDailyJournal[[#This Row],[التاريخ]]),"")</f>
        <v>6</v>
      </c>
      <c r="Z616" s="58">
        <f>IFERROR(DAY(TableDailyJournal[[#This Row],[التاريخ]]),"")</f>
        <v>19</v>
      </c>
      <c r="AA616"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616" s="121">
        <f>INDEX(Tabledaily[جهة الامر],MATCH(TableDailyJournal[[#This Row],[رقم العملية]],Tabledaily[رقم العملية],0))</f>
        <v>0</v>
      </c>
    </row>
    <row r="617" spans="2:28" ht="45.75" x14ac:dyDescent="0.55000000000000004">
      <c r="B617" s="58">
        <f t="shared" si="20"/>
        <v>613</v>
      </c>
      <c r="C617" s="59" t="s">
        <v>1103</v>
      </c>
      <c r="D617" s="60">
        <f>INDEX(Tabledaily[date],MATCH(TableDailyJournal[[#This Row],[رقم العملية]],Tabledaily[رقم العملية],0))</f>
        <v>46192</v>
      </c>
      <c r="E617" s="58" t="str">
        <f>INDEX(Tabledaily[نوع العمليــة],MATCH(TableDailyJournal[[#This Row],[رقم العملية]],Tabledaily[رقم العملية],0))</f>
        <v>قيد عهده</v>
      </c>
      <c r="F617" s="58">
        <f>IFERROR(INDEX(TableJudje[رقم الحساب],MATCH(TableDailyJournal[[#This Row],[الحساب]],TableJudje[اسم الحساب],0)),0)</f>
        <v>11060205</v>
      </c>
      <c r="G617" s="58" t="s">
        <v>513</v>
      </c>
      <c r="H617"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617" s="60" t="str">
        <f>INDEX(Tabledaily[العملـــة],MATCH(TableDailyJournal[[#This Row],[رقم العملية]],Tabledaily[رقم العملية],0))</f>
        <v>ريال يمني</v>
      </c>
      <c r="J617" s="59">
        <f>IFERROR(INDEX(Tabledaily[سعــــــر
الصـــــرف],MATCH(C617,Tabledaily[رقم العملية],0)),1)</f>
        <v>405</v>
      </c>
      <c r="K617" s="123" cm="1">
        <f t="array" ref="K617">IFERROR(INDEX(Tabledaily[المبلـــــــغ],MATCH(1,(TableDailyJournal[[#This Row],[رقم العملية]]=Tabledaily[رقم العملية])*(TableDailyJournal[[#This Row],[الحساب]]=Tabledaily[الحســاب المديــــن]),0)),0)</f>
        <v>0</v>
      </c>
      <c r="L617" s="123" cm="1">
        <f t="array" ref="L617">IFERROR(INDEX(Tabledaily[المبلـــــــغ],MATCH(1,(TableDailyJournal[[#This Row],[رقم العملية]]=Tabledaily[رقم العملية])*(TableDailyJournal[[#This Row],[الحساب]]=Tabledaily[الحســاب الدئـــن]),0)),0)</f>
        <v>45000</v>
      </c>
      <c r="M617" s="119">
        <f>IFERROR(TableDailyJournal[[#This Row],[المبلغ مدين]]/TableDailyJournal[[#This Row],[سعــــــر
الصـــــرف]],0)</f>
        <v>0</v>
      </c>
      <c r="N617" s="119">
        <f>IFERROR(TableDailyJournal[[#This Row],[المبلغ دائن]]/TableDailyJournal[[#This Row],[سعــــــر
الصـــــرف]],0)</f>
        <v>111.11111111111111</v>
      </c>
      <c r="O617" s="121" t="str">
        <f>INDEX(Tabledaily[المستفيــــــــد],MATCH(TableDailyJournal[[#This Row],[رقم العملية]],Tabledaily[رقم العملية],0))</f>
        <v>المدفعية</v>
      </c>
      <c r="P617" s="121" t="str">
        <f>INDEX(Tabledaily[المــــرجـــــــــع],MATCH(TableDailyJournal[[#This Row],[رقم العملية]],Tabledaily[رقم العملية],0))</f>
        <v>كشف صرف</v>
      </c>
      <c r="Q617" s="121" t="str">
        <f>INDEX(Tabledaily[اســـــــم المــــرجــــع],MATCH(TableDailyJournal[[#This Row],[رقم العملية]],Tabledaily[رقم العملية],0))</f>
        <v>كشف صرف</v>
      </c>
      <c r="R617" s="121">
        <f>INDEX(Tabledaily[رقم المـــــرجـــع],MATCH(TableDailyJournal[[#This Row],[رقم العملية]],Tabledaily[رقم العملية],0))</f>
        <v>0</v>
      </c>
      <c r="S617" s="121" t="str">
        <f>INDEX(Tabledaily[مركـــــــزالتكلفــــــة],MATCH(TableDailyJournal[[#This Row],[رقم العملية]],Tabledaily[رقم العملية],0))</f>
        <v>الفرقة الثالثة</v>
      </c>
      <c r="T617" s="121">
        <f>IFERROR(INDEX(tablecost[رقم المركز],MATCH(TableDailyJournal[[#This Row],[مركـــــــزالتكلفــــــة]],tablecost[الاسم],0)),0)</f>
        <v>1</v>
      </c>
      <c r="U617" s="122">
        <f>IFERROR(DATE(TableDailyJournal[[#This Row],[السنــــة]],TableDailyJournal[[#This Row],[الشهــــر]],TableDailyJournal[[#This Row],[الـــــيوم]]),"01-01-2026")</f>
        <v>46192</v>
      </c>
      <c r="V617" s="126"/>
      <c r="W617" s="58"/>
      <c r="X617" s="58">
        <f>IFERROR(YEAR(TableDailyJournal[[#This Row],[التاريخ]]),"")</f>
        <v>2026</v>
      </c>
      <c r="Y617" s="58">
        <f>IFERROR(MONTH(TableDailyJournal[[#This Row],[التاريخ]]),"")</f>
        <v>6</v>
      </c>
      <c r="Z617" s="58">
        <f>IFERROR(DAY(TableDailyJournal[[#This Row],[التاريخ]]),"")</f>
        <v>19</v>
      </c>
      <c r="AA617"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617" s="121">
        <f>INDEX(Tabledaily[جهة الامر],MATCH(TableDailyJournal[[#This Row],[رقم العملية]],Tabledaily[رقم العملية],0))</f>
        <v>0</v>
      </c>
    </row>
    <row r="618" spans="2:28" ht="45.75" x14ac:dyDescent="0.55000000000000004">
      <c r="B618" s="58">
        <f t="shared" si="20"/>
        <v>614</v>
      </c>
      <c r="C618" s="59" t="s">
        <v>1104</v>
      </c>
      <c r="D618" s="60">
        <f>INDEX(Tabledaily[date],MATCH(TableDailyJournal[[#This Row],[رقم العملية]],Tabledaily[رقم العملية],0))</f>
        <v>46192</v>
      </c>
      <c r="E618" s="58" t="str">
        <f>INDEX(Tabledaily[نوع العمليــة],MATCH(TableDailyJournal[[#This Row],[رقم العملية]],Tabledaily[رقم العملية],0))</f>
        <v>قيد عهده</v>
      </c>
      <c r="F618" s="58">
        <f>IFERROR(INDEX(TableJudje[رقم الحساب],MATCH(TableDailyJournal[[#This Row],[الحساب]],TableJudje[اسم الحساب],0)),0)</f>
        <v>31010101</v>
      </c>
      <c r="G618" s="58" t="s">
        <v>111</v>
      </c>
      <c r="H618"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I618" s="60" t="str">
        <f>INDEX(Tabledaily[العملـــة],MATCH(TableDailyJournal[[#This Row],[رقم العملية]],Tabledaily[رقم العملية],0))</f>
        <v>ريال يمني</v>
      </c>
      <c r="J618" s="59">
        <f>IFERROR(INDEX(Tabledaily[سعــــــر
الصـــــرف],MATCH(C618,Tabledaily[رقم العملية],0)),1)</f>
        <v>405</v>
      </c>
      <c r="K618" s="123" cm="1">
        <f t="array" ref="K618">IFERROR(INDEX(Tabledaily[المبلـــــــغ],MATCH(1,(TableDailyJournal[[#This Row],[رقم العملية]]=Tabledaily[رقم العملية])*(TableDailyJournal[[#This Row],[الحساب]]=Tabledaily[الحســاب المديــــن]),0)),0)</f>
        <v>80000</v>
      </c>
      <c r="L618" s="123" cm="1">
        <f t="array" ref="L618">IFERROR(INDEX(Tabledaily[المبلـــــــغ],MATCH(1,(TableDailyJournal[[#This Row],[رقم العملية]]=Tabledaily[رقم العملية])*(TableDailyJournal[[#This Row],[الحساب]]=Tabledaily[الحســاب الدئـــن]),0)),0)</f>
        <v>0</v>
      </c>
      <c r="M618" s="119">
        <f>IFERROR(TableDailyJournal[[#This Row],[المبلغ مدين]]/TableDailyJournal[[#This Row],[سعــــــر
الصـــــرف]],0)</f>
        <v>197.53086419753086</v>
      </c>
      <c r="N618" s="119">
        <f>IFERROR(TableDailyJournal[[#This Row],[المبلغ دائن]]/TableDailyJournal[[#This Row],[سعــــــر
الصـــــرف]],0)</f>
        <v>0</v>
      </c>
      <c r="O618" s="121" t="str">
        <f>INDEX(Tabledaily[المستفيــــــــد],MATCH(TableDailyJournal[[#This Row],[رقم العملية]],Tabledaily[رقم العملية],0))</f>
        <v>اخرون</v>
      </c>
      <c r="P618" s="121" t="str">
        <f>INDEX(Tabledaily[المــــرجـــــــــع],MATCH(TableDailyJournal[[#This Row],[رقم العملية]],Tabledaily[رقم العملية],0))</f>
        <v>كشف صرف</v>
      </c>
      <c r="Q618" s="121" t="str">
        <f>INDEX(Tabledaily[اســـــــم المــــرجــــع],MATCH(TableDailyJournal[[#This Row],[رقم العملية]],Tabledaily[رقم العملية],0))</f>
        <v>كشف صرف</v>
      </c>
      <c r="R618" s="121">
        <f>INDEX(Tabledaily[رقم المـــــرجـــع],MATCH(TableDailyJournal[[#This Row],[رقم العملية]],Tabledaily[رقم العملية],0))</f>
        <v>0</v>
      </c>
      <c r="S618" s="121" t="str">
        <f>INDEX(Tabledaily[مركـــــــزالتكلفــــــة],MATCH(TableDailyJournal[[#This Row],[رقم العملية]],Tabledaily[رقم العملية],0))</f>
        <v>الفرقة الثالثة</v>
      </c>
      <c r="T618" s="121">
        <f>IFERROR(INDEX(tablecost[رقم المركز],MATCH(TableDailyJournal[[#This Row],[مركـــــــزالتكلفــــــة]],tablecost[الاسم],0)),0)</f>
        <v>1</v>
      </c>
      <c r="U618" s="122">
        <f>IFERROR(DATE(TableDailyJournal[[#This Row],[السنــــة]],TableDailyJournal[[#This Row],[الشهــــر]],TableDailyJournal[[#This Row],[الـــــيوم]]),"01-01-2026")</f>
        <v>46192</v>
      </c>
      <c r="V618" s="126"/>
      <c r="W618" s="58"/>
      <c r="X618" s="58">
        <f>IFERROR(YEAR(TableDailyJournal[[#This Row],[التاريخ]]),"")</f>
        <v>2026</v>
      </c>
      <c r="Y618" s="58">
        <f>IFERROR(MONTH(TableDailyJournal[[#This Row],[التاريخ]]),"")</f>
        <v>6</v>
      </c>
      <c r="Z618" s="58">
        <f>IFERROR(DAY(TableDailyJournal[[#This Row],[التاريخ]]),"")</f>
        <v>19</v>
      </c>
      <c r="AA618"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AB618" s="121">
        <f>INDEX(Tabledaily[جهة الامر],MATCH(TableDailyJournal[[#This Row],[رقم العملية]],Tabledaily[رقم العملية],0))</f>
        <v>0</v>
      </c>
    </row>
    <row r="619" spans="2:28" ht="45.75" x14ac:dyDescent="0.55000000000000004">
      <c r="B619" s="58">
        <f t="shared" si="20"/>
        <v>615</v>
      </c>
      <c r="C619" s="59" t="s">
        <v>1104</v>
      </c>
      <c r="D619" s="60">
        <f>INDEX(Tabledaily[date],MATCH(TableDailyJournal[[#This Row],[رقم العملية]],Tabledaily[رقم العملية],0))</f>
        <v>46192</v>
      </c>
      <c r="E619" s="58" t="str">
        <f>INDEX(Tabledaily[نوع العمليــة],MATCH(TableDailyJournal[[#This Row],[رقم العملية]],Tabledaily[رقم العملية],0))</f>
        <v>قيد عهده</v>
      </c>
      <c r="F619" s="58">
        <f>IFERROR(INDEX(TableJudje[رقم الحساب],MATCH(TableDailyJournal[[#This Row],[الحساب]],TableJudje[اسم الحساب],0)),0)</f>
        <v>11060205</v>
      </c>
      <c r="G619" s="58" t="s">
        <v>513</v>
      </c>
      <c r="H619"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I619" s="60" t="str">
        <f>INDEX(Tabledaily[العملـــة],MATCH(TableDailyJournal[[#This Row],[رقم العملية]],Tabledaily[رقم العملية],0))</f>
        <v>ريال يمني</v>
      </c>
      <c r="J619" s="59">
        <f>IFERROR(INDEX(Tabledaily[سعــــــر
الصـــــرف],MATCH(C619,Tabledaily[رقم العملية],0)),1)</f>
        <v>405</v>
      </c>
      <c r="K619" s="123" cm="1">
        <f t="array" ref="K619">IFERROR(INDEX(Tabledaily[المبلـــــــغ],MATCH(1,(TableDailyJournal[[#This Row],[رقم العملية]]=Tabledaily[رقم العملية])*(TableDailyJournal[[#This Row],[الحساب]]=Tabledaily[الحســاب المديــــن]),0)),0)</f>
        <v>0</v>
      </c>
      <c r="L619" s="123" cm="1">
        <f t="array" ref="L619">IFERROR(INDEX(Tabledaily[المبلـــــــغ],MATCH(1,(TableDailyJournal[[#This Row],[رقم العملية]]=Tabledaily[رقم العملية])*(TableDailyJournal[[#This Row],[الحساب]]=Tabledaily[الحســاب الدئـــن]),0)),0)</f>
        <v>80000</v>
      </c>
      <c r="M619" s="119">
        <f>IFERROR(TableDailyJournal[[#This Row],[المبلغ مدين]]/TableDailyJournal[[#This Row],[سعــــــر
الصـــــرف]],0)</f>
        <v>0</v>
      </c>
      <c r="N619" s="119">
        <f>IFERROR(TableDailyJournal[[#This Row],[المبلغ دائن]]/TableDailyJournal[[#This Row],[سعــــــر
الصـــــرف]],0)</f>
        <v>197.53086419753086</v>
      </c>
      <c r="O619" s="121" t="str">
        <f>INDEX(Tabledaily[المستفيــــــــد],MATCH(TableDailyJournal[[#This Row],[رقم العملية]],Tabledaily[رقم العملية],0))</f>
        <v>اخرون</v>
      </c>
      <c r="P619" s="121" t="str">
        <f>INDEX(Tabledaily[المــــرجـــــــــع],MATCH(TableDailyJournal[[#This Row],[رقم العملية]],Tabledaily[رقم العملية],0))</f>
        <v>كشف صرف</v>
      </c>
      <c r="Q619" s="121" t="str">
        <f>INDEX(Tabledaily[اســـــــم المــــرجــــع],MATCH(TableDailyJournal[[#This Row],[رقم العملية]],Tabledaily[رقم العملية],0))</f>
        <v>كشف صرف</v>
      </c>
      <c r="R619" s="121">
        <f>INDEX(Tabledaily[رقم المـــــرجـــع],MATCH(TableDailyJournal[[#This Row],[رقم العملية]],Tabledaily[رقم العملية],0))</f>
        <v>0</v>
      </c>
      <c r="S619" s="121" t="str">
        <f>INDEX(Tabledaily[مركـــــــزالتكلفــــــة],MATCH(TableDailyJournal[[#This Row],[رقم العملية]],Tabledaily[رقم العملية],0))</f>
        <v>الفرقة الثالثة</v>
      </c>
      <c r="T619" s="121">
        <f>IFERROR(INDEX(tablecost[رقم المركز],MATCH(TableDailyJournal[[#This Row],[مركـــــــزالتكلفــــــة]],tablecost[الاسم],0)),0)</f>
        <v>1</v>
      </c>
      <c r="U619" s="122">
        <f>IFERROR(DATE(TableDailyJournal[[#This Row],[السنــــة]],TableDailyJournal[[#This Row],[الشهــــر]],TableDailyJournal[[#This Row],[الـــــيوم]]),"01-01-2026")</f>
        <v>46192</v>
      </c>
      <c r="V619" s="126"/>
      <c r="W619" s="58"/>
      <c r="X619" s="58">
        <f>IFERROR(YEAR(TableDailyJournal[[#This Row],[التاريخ]]),"")</f>
        <v>2026</v>
      </c>
      <c r="Y619" s="58">
        <f>IFERROR(MONTH(TableDailyJournal[[#This Row],[التاريخ]]),"")</f>
        <v>6</v>
      </c>
      <c r="Z619" s="58">
        <f>IFERROR(DAY(TableDailyJournal[[#This Row],[التاريخ]]),"")</f>
        <v>19</v>
      </c>
      <c r="AA619"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AB619" s="121">
        <f>INDEX(Tabledaily[جهة الامر],MATCH(TableDailyJournal[[#This Row],[رقم العملية]],Tabledaily[رقم العملية],0))</f>
        <v>0</v>
      </c>
    </row>
    <row r="620" spans="2:28" ht="67.5" x14ac:dyDescent="0.55000000000000004">
      <c r="B620" s="58">
        <f t="shared" si="20"/>
        <v>616</v>
      </c>
      <c r="C620" s="59" t="s">
        <v>1105</v>
      </c>
      <c r="D620" s="60">
        <f>INDEX(Tabledaily[date],MATCH(TableDailyJournal[[#This Row],[رقم العملية]],Tabledaily[رقم العملية],0))</f>
        <v>46192</v>
      </c>
      <c r="E620" s="58" t="str">
        <f>INDEX(Tabledaily[نوع العمليــة],MATCH(TableDailyJournal[[#This Row],[رقم العملية]],Tabledaily[رقم العملية],0))</f>
        <v>قيد عهده</v>
      </c>
      <c r="F620" s="58">
        <f>IFERROR(INDEX(TableJudje[رقم الحساب],MATCH(TableDailyJournal[[#This Row],[الحساب]],TableJudje[اسم الحساب],0)),0)</f>
        <v>31010101</v>
      </c>
      <c r="G620" s="58" t="s">
        <v>111</v>
      </c>
      <c r="H620"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I620" s="60" t="str">
        <f>INDEX(Tabledaily[العملـــة],MATCH(TableDailyJournal[[#This Row],[رقم العملية]],Tabledaily[رقم العملية],0))</f>
        <v>ريال يمني</v>
      </c>
      <c r="J620" s="59">
        <f>IFERROR(INDEX(Tabledaily[سعــــــر
الصـــــرف],MATCH(C620,Tabledaily[رقم العملية],0)),1)</f>
        <v>405</v>
      </c>
      <c r="K620" s="123" cm="1">
        <f t="array" ref="K620">IFERROR(INDEX(Tabledaily[المبلـــــــغ],MATCH(1,(TableDailyJournal[[#This Row],[رقم العملية]]=Tabledaily[رقم العملية])*(TableDailyJournal[[#This Row],[الحساب]]=Tabledaily[الحســاب المديــــن]),0)),0)</f>
        <v>112000</v>
      </c>
      <c r="L620" s="123" cm="1">
        <f t="array" ref="L620">IFERROR(INDEX(Tabledaily[المبلـــــــغ],MATCH(1,(TableDailyJournal[[#This Row],[رقم العملية]]=Tabledaily[رقم العملية])*(TableDailyJournal[[#This Row],[الحساب]]=Tabledaily[الحســاب الدئـــن]),0)),0)</f>
        <v>0</v>
      </c>
      <c r="M620" s="119">
        <f>IFERROR(TableDailyJournal[[#This Row],[المبلغ مدين]]/TableDailyJournal[[#This Row],[سعــــــر
الصـــــرف]],0)</f>
        <v>276.54320987654319</v>
      </c>
      <c r="N620" s="119">
        <f>IFERROR(TableDailyJournal[[#This Row],[المبلغ دائن]]/TableDailyJournal[[#This Row],[سعــــــر
الصـــــرف]],0)</f>
        <v>0</v>
      </c>
      <c r="O620" s="121" t="str">
        <f>INDEX(Tabledaily[المستفيــــــــد],MATCH(TableDailyJournal[[#This Row],[رقم العملية]],Tabledaily[رقم العملية],0))</f>
        <v>المستشارين والمساعدين</v>
      </c>
      <c r="P620" s="121" t="str">
        <f>INDEX(Tabledaily[المــــرجـــــــــع],MATCH(TableDailyJournal[[#This Row],[رقم العملية]],Tabledaily[رقم العملية],0))</f>
        <v>كشف صرف</v>
      </c>
      <c r="Q620" s="121" t="str">
        <f>INDEX(Tabledaily[اســـــــم المــــرجــــع],MATCH(TableDailyJournal[[#This Row],[رقم العملية]],Tabledaily[رقم العملية],0))</f>
        <v>كشف صرف</v>
      </c>
      <c r="R620" s="121">
        <f>INDEX(Tabledaily[رقم المـــــرجـــع],MATCH(TableDailyJournal[[#This Row],[رقم العملية]],Tabledaily[رقم العملية],0))</f>
        <v>0</v>
      </c>
      <c r="S620" s="121" t="str">
        <f>INDEX(Tabledaily[مركـــــــزالتكلفــــــة],MATCH(TableDailyJournal[[#This Row],[رقم العملية]],Tabledaily[رقم العملية],0))</f>
        <v>الفرقة الثالثة</v>
      </c>
      <c r="T620" s="121">
        <f>IFERROR(INDEX(tablecost[رقم المركز],MATCH(TableDailyJournal[[#This Row],[مركـــــــزالتكلفــــــة]],tablecost[الاسم],0)),0)</f>
        <v>1</v>
      </c>
      <c r="U620" s="122">
        <f>IFERROR(DATE(TableDailyJournal[[#This Row],[السنــــة]],TableDailyJournal[[#This Row],[الشهــــر]],TableDailyJournal[[#This Row],[الـــــيوم]]),"01-01-2026")</f>
        <v>46192</v>
      </c>
      <c r="V620" s="126"/>
      <c r="W620" s="58"/>
      <c r="X620" s="58">
        <f>IFERROR(YEAR(TableDailyJournal[[#This Row],[التاريخ]]),"")</f>
        <v>2026</v>
      </c>
      <c r="Y620" s="58">
        <f>IFERROR(MONTH(TableDailyJournal[[#This Row],[التاريخ]]),"")</f>
        <v>6</v>
      </c>
      <c r="Z620" s="58">
        <f>IFERROR(DAY(TableDailyJournal[[#This Row],[التاريخ]]),"")</f>
        <v>19</v>
      </c>
      <c r="AA620"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B620" s="121">
        <f>INDEX(Tabledaily[جهة الامر],MATCH(TableDailyJournal[[#This Row],[رقم العملية]],Tabledaily[رقم العملية],0))</f>
        <v>0</v>
      </c>
    </row>
    <row r="621" spans="2:28" ht="67.5" x14ac:dyDescent="0.55000000000000004">
      <c r="B621" s="58">
        <f t="shared" si="20"/>
        <v>617</v>
      </c>
      <c r="C621" s="59" t="s">
        <v>1105</v>
      </c>
      <c r="D621" s="60">
        <f>INDEX(Tabledaily[date],MATCH(TableDailyJournal[[#This Row],[رقم العملية]],Tabledaily[رقم العملية],0))</f>
        <v>46192</v>
      </c>
      <c r="E621" s="58" t="str">
        <f>INDEX(Tabledaily[نوع العمليــة],MATCH(TableDailyJournal[[#This Row],[رقم العملية]],Tabledaily[رقم العملية],0))</f>
        <v>قيد عهده</v>
      </c>
      <c r="F621" s="58">
        <f>IFERROR(INDEX(TableJudje[رقم الحساب],MATCH(TableDailyJournal[[#This Row],[الحساب]],TableJudje[اسم الحساب],0)),0)</f>
        <v>11060205</v>
      </c>
      <c r="G621" s="58" t="s">
        <v>513</v>
      </c>
      <c r="H621" s="61"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I621" s="60" t="str">
        <f>INDEX(Tabledaily[العملـــة],MATCH(TableDailyJournal[[#This Row],[رقم العملية]],Tabledaily[رقم العملية],0))</f>
        <v>ريال يمني</v>
      </c>
      <c r="J621" s="59">
        <f>IFERROR(INDEX(Tabledaily[سعــــــر
الصـــــرف],MATCH(C621,Tabledaily[رقم العملية],0)),1)</f>
        <v>405</v>
      </c>
      <c r="K621" s="123" cm="1">
        <f t="array" ref="K621">IFERROR(INDEX(Tabledaily[المبلـــــــغ],MATCH(1,(TableDailyJournal[[#This Row],[رقم العملية]]=Tabledaily[رقم العملية])*(TableDailyJournal[[#This Row],[الحساب]]=Tabledaily[الحســاب المديــــن]),0)),0)</f>
        <v>0</v>
      </c>
      <c r="L621" s="123" cm="1">
        <f t="array" ref="L621">IFERROR(INDEX(Tabledaily[المبلـــــــغ],MATCH(1,(TableDailyJournal[[#This Row],[رقم العملية]]=Tabledaily[رقم العملية])*(TableDailyJournal[[#This Row],[الحساب]]=Tabledaily[الحســاب الدئـــن]),0)),0)</f>
        <v>112000</v>
      </c>
      <c r="M621" s="119">
        <f>IFERROR(TableDailyJournal[[#This Row],[المبلغ مدين]]/TableDailyJournal[[#This Row],[سعــــــر
الصـــــرف]],0)</f>
        <v>0</v>
      </c>
      <c r="N621" s="119">
        <f>IFERROR(TableDailyJournal[[#This Row],[المبلغ دائن]]/TableDailyJournal[[#This Row],[سعــــــر
الصـــــرف]],0)</f>
        <v>276.54320987654319</v>
      </c>
      <c r="O621" s="121" t="str">
        <f>INDEX(Tabledaily[المستفيــــــــد],MATCH(TableDailyJournal[[#This Row],[رقم العملية]],Tabledaily[رقم العملية],0))</f>
        <v>المستشارين والمساعدين</v>
      </c>
      <c r="P621" s="121" t="str">
        <f>INDEX(Tabledaily[المــــرجـــــــــع],MATCH(TableDailyJournal[[#This Row],[رقم العملية]],Tabledaily[رقم العملية],0))</f>
        <v>كشف صرف</v>
      </c>
      <c r="Q621" s="121" t="str">
        <f>INDEX(Tabledaily[اســـــــم المــــرجــــع],MATCH(TableDailyJournal[[#This Row],[رقم العملية]],Tabledaily[رقم العملية],0))</f>
        <v>كشف صرف</v>
      </c>
      <c r="R621" s="121">
        <f>INDEX(Tabledaily[رقم المـــــرجـــع],MATCH(TableDailyJournal[[#This Row],[رقم العملية]],Tabledaily[رقم العملية],0))</f>
        <v>0</v>
      </c>
      <c r="S621" s="121" t="str">
        <f>INDEX(Tabledaily[مركـــــــزالتكلفــــــة],MATCH(TableDailyJournal[[#This Row],[رقم العملية]],Tabledaily[رقم العملية],0))</f>
        <v>الفرقة الثالثة</v>
      </c>
      <c r="T621" s="121">
        <f>IFERROR(INDEX(tablecost[رقم المركز],MATCH(TableDailyJournal[[#This Row],[مركـــــــزالتكلفــــــة]],tablecost[الاسم],0)),0)</f>
        <v>1</v>
      </c>
      <c r="U621" s="122">
        <f>IFERROR(DATE(TableDailyJournal[[#This Row],[السنــــة]],TableDailyJournal[[#This Row],[الشهــــر]],TableDailyJournal[[#This Row],[الـــــيوم]]),"01-01-2026")</f>
        <v>46192</v>
      </c>
      <c r="V621" s="126"/>
      <c r="W621" s="58"/>
      <c r="X621" s="58">
        <f>IFERROR(YEAR(TableDailyJournal[[#This Row],[التاريخ]]),"")</f>
        <v>2026</v>
      </c>
      <c r="Y621" s="58">
        <f>IFERROR(MONTH(TableDailyJournal[[#This Row],[التاريخ]]),"")</f>
        <v>6</v>
      </c>
      <c r="Z621" s="58">
        <f>IFERROR(DAY(TableDailyJournal[[#This Row],[التاريخ]]),"")</f>
        <v>19</v>
      </c>
      <c r="AA621"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11 بامر</v>
      </c>
      <c r="AB621" s="121">
        <f>INDEX(Tabledaily[جهة الامر],MATCH(TableDailyJournal[[#This Row],[رقم العملية]],Tabledaily[رقم العملية],0))</f>
        <v>0</v>
      </c>
    </row>
    <row r="622" spans="2:28" ht="45.75" x14ac:dyDescent="0.55000000000000004">
      <c r="B622" s="58">
        <f t="shared" si="20"/>
        <v>618</v>
      </c>
      <c r="C622" s="59" t="s">
        <v>1106</v>
      </c>
      <c r="D622" s="60">
        <f>INDEX(Tabledaily[date],MATCH(TableDailyJournal[[#This Row],[رقم العملية]],Tabledaily[رقم العملية],0))</f>
        <v>46192</v>
      </c>
      <c r="E622" s="58" t="str">
        <f>INDEX(Tabledaily[نوع العمليــة],MATCH(TableDailyJournal[[#This Row],[رقم العملية]],Tabledaily[رقم العملية],0))</f>
        <v>قيد عهده</v>
      </c>
      <c r="F622" s="58">
        <f>IFERROR(INDEX(TableJudje[رقم الحساب],MATCH(TableDailyJournal[[#This Row],[الحساب]],TableJudje[اسم الحساب],0)),0)</f>
        <v>31010101</v>
      </c>
      <c r="G622" s="58" t="s">
        <v>111</v>
      </c>
      <c r="H622"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I622" s="60" t="str">
        <f>INDEX(Tabledaily[العملـــة],MATCH(TableDailyJournal[[#This Row],[رقم العملية]],Tabledaily[رقم العملية],0))</f>
        <v>ريال يمني</v>
      </c>
      <c r="J622" s="59">
        <f>IFERROR(INDEX(Tabledaily[سعــــــر
الصـــــرف],MATCH(C622,Tabledaily[رقم العملية],0)),1)</f>
        <v>405</v>
      </c>
      <c r="K622" s="123" cm="1">
        <f t="array" ref="K622">IFERROR(INDEX(Tabledaily[المبلـــــــغ],MATCH(1,(TableDailyJournal[[#This Row],[رقم العملية]]=Tabledaily[رقم العملية])*(TableDailyJournal[[#This Row],[الحساب]]=Tabledaily[الحســاب المديــــن]),0)),0)</f>
        <v>33000</v>
      </c>
      <c r="L622" s="123" cm="1">
        <f t="array" ref="L622">IFERROR(INDEX(Tabledaily[المبلـــــــغ],MATCH(1,(TableDailyJournal[[#This Row],[رقم العملية]]=Tabledaily[رقم العملية])*(TableDailyJournal[[#This Row],[الحساب]]=Tabledaily[الحســاب الدئـــن]),0)),0)</f>
        <v>0</v>
      </c>
      <c r="M622" s="119">
        <f>IFERROR(TableDailyJournal[[#This Row],[المبلغ مدين]]/TableDailyJournal[[#This Row],[سعــــــر
الصـــــرف]],0)</f>
        <v>81.481481481481481</v>
      </c>
      <c r="N622" s="119">
        <f>IFERROR(TableDailyJournal[[#This Row],[المبلغ دائن]]/TableDailyJournal[[#This Row],[سعــــــر
الصـــــرف]],0)</f>
        <v>0</v>
      </c>
      <c r="O622" s="121" t="str">
        <f>INDEX(Tabledaily[المستفيــــــــد],MATCH(TableDailyJournal[[#This Row],[رقم العملية]],Tabledaily[رقم العملية],0))</f>
        <v>الاشغال</v>
      </c>
      <c r="P622" s="121" t="str">
        <f>INDEX(Tabledaily[المــــرجـــــــــع],MATCH(TableDailyJournal[[#This Row],[رقم العملية]],Tabledaily[رقم العملية],0))</f>
        <v>كشف صرف</v>
      </c>
      <c r="Q622" s="121" t="str">
        <f>INDEX(Tabledaily[اســـــــم المــــرجــــع],MATCH(TableDailyJournal[[#This Row],[رقم العملية]],Tabledaily[رقم العملية],0))</f>
        <v>كشف صرف</v>
      </c>
      <c r="R622" s="121">
        <f>INDEX(Tabledaily[رقم المـــــرجـــع],MATCH(TableDailyJournal[[#This Row],[رقم العملية]],Tabledaily[رقم العملية],0))</f>
        <v>0</v>
      </c>
      <c r="S622" s="121" t="str">
        <f>INDEX(Tabledaily[مركـــــــزالتكلفــــــة],MATCH(TableDailyJournal[[#This Row],[رقم العملية]],Tabledaily[رقم العملية],0))</f>
        <v>الفرقة الثالثة</v>
      </c>
      <c r="T622" s="121">
        <f>IFERROR(INDEX(tablecost[رقم المركز],MATCH(TableDailyJournal[[#This Row],[مركـــــــزالتكلفــــــة]],tablecost[الاسم],0)),0)</f>
        <v>1</v>
      </c>
      <c r="U622" s="122">
        <f>IFERROR(DATE(TableDailyJournal[[#This Row],[السنــــة]],TableDailyJournal[[#This Row],[الشهــــر]],TableDailyJournal[[#This Row],[الـــــيوم]]),"01-01-2026")</f>
        <v>46192</v>
      </c>
      <c r="V622" s="126"/>
      <c r="W622" s="58"/>
      <c r="X622" s="58">
        <f>IFERROR(YEAR(TableDailyJournal[[#This Row],[التاريخ]]),"")</f>
        <v>2026</v>
      </c>
      <c r="Y622" s="58">
        <f>IFERROR(MONTH(TableDailyJournal[[#This Row],[التاريخ]]),"")</f>
        <v>6</v>
      </c>
      <c r="Z622" s="58">
        <f>IFERROR(DAY(TableDailyJournal[[#This Row],[التاريخ]]),"")</f>
        <v>19</v>
      </c>
      <c r="AA622"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AB622" s="121">
        <f>INDEX(Tabledaily[جهة الامر],MATCH(TableDailyJournal[[#This Row],[رقم العملية]],Tabledaily[رقم العملية],0))</f>
        <v>0</v>
      </c>
    </row>
    <row r="623" spans="2:28" ht="45.75" x14ac:dyDescent="0.55000000000000004">
      <c r="B623" s="58">
        <f t="shared" si="20"/>
        <v>619</v>
      </c>
      <c r="C623" s="59" t="s">
        <v>1106</v>
      </c>
      <c r="D623" s="60">
        <f>INDEX(Tabledaily[date],MATCH(TableDailyJournal[[#This Row],[رقم العملية]],Tabledaily[رقم العملية],0))</f>
        <v>46192</v>
      </c>
      <c r="E623" s="58" t="str">
        <f>INDEX(Tabledaily[نوع العمليــة],MATCH(TableDailyJournal[[#This Row],[رقم العملية]],Tabledaily[رقم العملية],0))</f>
        <v>قيد عهده</v>
      </c>
      <c r="F623" s="58">
        <f>IFERROR(INDEX(TableJudje[رقم الحساب],MATCH(TableDailyJournal[[#This Row],[الحساب]],TableJudje[اسم الحساب],0)),0)</f>
        <v>11060205</v>
      </c>
      <c r="G623" s="58" t="s">
        <v>513</v>
      </c>
      <c r="H623"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I623" s="60" t="str">
        <f>INDEX(Tabledaily[العملـــة],MATCH(TableDailyJournal[[#This Row],[رقم العملية]],Tabledaily[رقم العملية],0))</f>
        <v>ريال يمني</v>
      </c>
      <c r="J623" s="59">
        <f>IFERROR(INDEX(Tabledaily[سعــــــر
الصـــــرف],MATCH(C623,Tabledaily[رقم العملية],0)),1)</f>
        <v>405</v>
      </c>
      <c r="K623" s="123" cm="1">
        <f t="array" ref="K623">IFERROR(INDEX(Tabledaily[المبلـــــــغ],MATCH(1,(TableDailyJournal[[#This Row],[رقم العملية]]=Tabledaily[رقم العملية])*(TableDailyJournal[[#This Row],[الحساب]]=Tabledaily[الحســاب المديــــن]),0)),0)</f>
        <v>0</v>
      </c>
      <c r="L623" s="123" cm="1">
        <f t="array" ref="L623">IFERROR(INDEX(Tabledaily[المبلـــــــغ],MATCH(1,(TableDailyJournal[[#This Row],[رقم العملية]]=Tabledaily[رقم العملية])*(TableDailyJournal[[#This Row],[الحساب]]=Tabledaily[الحســاب الدئـــن]),0)),0)</f>
        <v>33000</v>
      </c>
      <c r="M623" s="119">
        <f>IFERROR(TableDailyJournal[[#This Row],[المبلغ مدين]]/TableDailyJournal[[#This Row],[سعــــــر
الصـــــرف]],0)</f>
        <v>0</v>
      </c>
      <c r="N623" s="119">
        <f>IFERROR(TableDailyJournal[[#This Row],[المبلغ دائن]]/TableDailyJournal[[#This Row],[سعــــــر
الصـــــرف]],0)</f>
        <v>81.481481481481481</v>
      </c>
      <c r="O623" s="121" t="str">
        <f>INDEX(Tabledaily[المستفيــــــــد],MATCH(TableDailyJournal[[#This Row],[رقم العملية]],Tabledaily[رقم العملية],0))</f>
        <v>الاشغال</v>
      </c>
      <c r="P623" s="121" t="str">
        <f>INDEX(Tabledaily[المــــرجـــــــــع],MATCH(TableDailyJournal[[#This Row],[رقم العملية]],Tabledaily[رقم العملية],0))</f>
        <v>كشف صرف</v>
      </c>
      <c r="Q623" s="121" t="str">
        <f>INDEX(Tabledaily[اســـــــم المــــرجــــع],MATCH(TableDailyJournal[[#This Row],[رقم العملية]],Tabledaily[رقم العملية],0))</f>
        <v>كشف صرف</v>
      </c>
      <c r="R623" s="121">
        <f>INDEX(Tabledaily[رقم المـــــرجـــع],MATCH(TableDailyJournal[[#This Row],[رقم العملية]],Tabledaily[رقم العملية],0))</f>
        <v>0</v>
      </c>
      <c r="S623" s="121" t="str">
        <f>INDEX(Tabledaily[مركـــــــزالتكلفــــــة],MATCH(TableDailyJournal[[#This Row],[رقم العملية]],Tabledaily[رقم العملية],0))</f>
        <v>الفرقة الثالثة</v>
      </c>
      <c r="T623" s="121">
        <f>IFERROR(INDEX(tablecost[رقم المركز],MATCH(TableDailyJournal[[#This Row],[مركـــــــزالتكلفــــــة]],tablecost[الاسم],0)),0)</f>
        <v>1</v>
      </c>
      <c r="U623" s="122">
        <f>IFERROR(DATE(TableDailyJournal[[#This Row],[السنــــة]],TableDailyJournal[[#This Row],[الشهــــر]],TableDailyJournal[[#This Row],[الـــــيوم]]),"01-01-2026")</f>
        <v>46192</v>
      </c>
      <c r="V623" s="126"/>
      <c r="W623" s="58"/>
      <c r="X623" s="58">
        <f>IFERROR(YEAR(TableDailyJournal[[#This Row],[التاريخ]]),"")</f>
        <v>2026</v>
      </c>
      <c r="Y623" s="58">
        <f>IFERROR(MONTH(TableDailyJournal[[#This Row],[التاريخ]]),"")</f>
        <v>6</v>
      </c>
      <c r="Z623" s="58">
        <f>IFERROR(DAY(TableDailyJournal[[#This Row],[التاريخ]]),"")</f>
        <v>19</v>
      </c>
      <c r="AA623"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AB623" s="121">
        <f>INDEX(Tabledaily[جهة الامر],MATCH(TableDailyJournal[[#This Row],[رقم العملية]],Tabledaily[رقم العملية],0))</f>
        <v>0</v>
      </c>
    </row>
    <row r="624" spans="2:28" ht="45.75" x14ac:dyDescent="0.55000000000000004">
      <c r="B624" s="58">
        <f t="shared" si="20"/>
        <v>620</v>
      </c>
      <c r="C624" s="59" t="s">
        <v>1108</v>
      </c>
      <c r="D624" s="60">
        <f>INDEX(Tabledaily[date],MATCH(TableDailyJournal[[#This Row],[رقم العملية]],Tabledaily[رقم العملية],0))</f>
        <v>46192</v>
      </c>
      <c r="E624" s="58" t="str">
        <f>INDEX(Tabledaily[نوع العمليــة],MATCH(TableDailyJournal[[#This Row],[رقم العملية]],Tabledaily[رقم العملية],0))</f>
        <v>قيد عهده</v>
      </c>
      <c r="F624" s="58">
        <f>IFERROR(INDEX(TableJudje[رقم الحساب],MATCH(TableDailyJournal[[#This Row],[الحساب]],TableJudje[اسم الحساب],0)),0)</f>
        <v>31010101</v>
      </c>
      <c r="G624" s="58" t="s">
        <v>111</v>
      </c>
      <c r="H624"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624" s="60" t="str">
        <f>INDEX(Tabledaily[العملـــة],MATCH(TableDailyJournal[[#This Row],[رقم العملية]],Tabledaily[رقم العملية],0))</f>
        <v>ريال يمني</v>
      </c>
      <c r="J624" s="59">
        <f>IFERROR(INDEX(Tabledaily[سعــــــر
الصـــــرف],MATCH(C624,Tabledaily[رقم العملية],0)),1)</f>
        <v>405</v>
      </c>
      <c r="K624" s="123" cm="1">
        <f t="array" ref="K624">IFERROR(INDEX(Tabledaily[المبلـــــــغ],MATCH(1,(TableDailyJournal[[#This Row],[رقم العملية]]=Tabledaily[رقم العملية])*(TableDailyJournal[[#This Row],[الحساب]]=Tabledaily[الحســاب المديــــن]),0)),0)</f>
        <v>25000</v>
      </c>
      <c r="L624" s="123" cm="1">
        <f t="array" ref="L624">IFERROR(INDEX(Tabledaily[المبلـــــــغ],MATCH(1,(TableDailyJournal[[#This Row],[رقم العملية]]=Tabledaily[رقم العملية])*(TableDailyJournal[[#This Row],[الحساب]]=Tabledaily[الحســاب الدئـــن]),0)),0)</f>
        <v>0</v>
      </c>
      <c r="M624" s="119">
        <f>IFERROR(TableDailyJournal[[#This Row],[المبلغ مدين]]/TableDailyJournal[[#This Row],[سعــــــر
الصـــــرف]],0)</f>
        <v>61.728395061728392</v>
      </c>
      <c r="N624" s="119">
        <f>IFERROR(TableDailyJournal[[#This Row],[المبلغ دائن]]/TableDailyJournal[[#This Row],[سعــــــر
الصـــــرف]],0)</f>
        <v>0</v>
      </c>
      <c r="O624" s="121" t="str">
        <f>INDEX(Tabledaily[المستفيــــــــد],MATCH(TableDailyJournal[[#This Row],[رقم العملية]],Tabledaily[رقم العملية],0))</f>
        <v>مرافقي الاركان</v>
      </c>
      <c r="P624" s="121" t="str">
        <f>INDEX(Tabledaily[المــــرجـــــــــع],MATCH(TableDailyJournal[[#This Row],[رقم العملية]],Tabledaily[رقم العملية],0))</f>
        <v>كشف صرف</v>
      </c>
      <c r="Q624" s="121" t="str">
        <f>INDEX(Tabledaily[اســـــــم المــــرجــــع],MATCH(TableDailyJournal[[#This Row],[رقم العملية]],Tabledaily[رقم العملية],0))</f>
        <v>كشف صرف</v>
      </c>
      <c r="R624" s="121">
        <f>INDEX(Tabledaily[رقم المـــــرجـــع],MATCH(TableDailyJournal[[#This Row],[رقم العملية]],Tabledaily[رقم العملية],0))</f>
        <v>0</v>
      </c>
      <c r="S624" s="121" t="str">
        <f>INDEX(Tabledaily[مركـــــــزالتكلفــــــة],MATCH(TableDailyJournal[[#This Row],[رقم العملية]],Tabledaily[رقم العملية],0))</f>
        <v>الفرقة الثالثة</v>
      </c>
      <c r="T624" s="121">
        <f>IFERROR(INDEX(tablecost[رقم المركز],MATCH(TableDailyJournal[[#This Row],[مركـــــــزالتكلفــــــة]],tablecost[الاسم],0)),0)</f>
        <v>1</v>
      </c>
      <c r="U624" s="122">
        <f>IFERROR(DATE(TableDailyJournal[[#This Row],[السنــــة]],TableDailyJournal[[#This Row],[الشهــــر]],TableDailyJournal[[#This Row],[الـــــيوم]]),"01-01-2026")</f>
        <v>46192</v>
      </c>
      <c r="V624" s="126"/>
      <c r="W624" s="58"/>
      <c r="X624" s="58">
        <f>IFERROR(YEAR(TableDailyJournal[[#This Row],[التاريخ]]),"")</f>
        <v>2026</v>
      </c>
      <c r="Y624" s="58">
        <f>IFERROR(MONTH(TableDailyJournal[[#This Row],[التاريخ]]),"")</f>
        <v>6</v>
      </c>
      <c r="Z624" s="58">
        <f>IFERROR(DAY(TableDailyJournal[[#This Row],[التاريخ]]),"")</f>
        <v>19</v>
      </c>
      <c r="AA624"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624" s="121">
        <f>INDEX(Tabledaily[جهة الامر],MATCH(TableDailyJournal[[#This Row],[رقم العملية]],Tabledaily[رقم العملية],0))</f>
        <v>0</v>
      </c>
    </row>
    <row r="625" spans="2:28" ht="45.75" x14ac:dyDescent="0.55000000000000004">
      <c r="B625" s="58">
        <f t="shared" si="20"/>
        <v>621</v>
      </c>
      <c r="C625" s="59" t="s">
        <v>1108</v>
      </c>
      <c r="D625" s="60">
        <f>INDEX(Tabledaily[date],MATCH(TableDailyJournal[[#This Row],[رقم العملية]],Tabledaily[رقم العملية],0))</f>
        <v>46192</v>
      </c>
      <c r="E625" s="58" t="str">
        <f>INDEX(Tabledaily[نوع العمليــة],MATCH(TableDailyJournal[[#This Row],[رقم العملية]],Tabledaily[رقم العملية],0))</f>
        <v>قيد عهده</v>
      </c>
      <c r="F625" s="58">
        <f>IFERROR(INDEX(TableJudje[رقم الحساب],MATCH(TableDailyJournal[[#This Row],[الحساب]],TableJudje[اسم الحساب],0)),0)</f>
        <v>11060205</v>
      </c>
      <c r="G625" s="58" t="s">
        <v>513</v>
      </c>
      <c r="H625"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625" s="60" t="str">
        <f>INDEX(Tabledaily[العملـــة],MATCH(TableDailyJournal[[#This Row],[رقم العملية]],Tabledaily[رقم العملية],0))</f>
        <v>ريال يمني</v>
      </c>
      <c r="J625" s="59">
        <f>IFERROR(INDEX(Tabledaily[سعــــــر
الصـــــرف],MATCH(C625,Tabledaily[رقم العملية],0)),1)</f>
        <v>405</v>
      </c>
      <c r="K625" s="123" cm="1">
        <f t="array" ref="K625">IFERROR(INDEX(Tabledaily[المبلـــــــغ],MATCH(1,(TableDailyJournal[[#This Row],[رقم العملية]]=Tabledaily[رقم العملية])*(TableDailyJournal[[#This Row],[الحساب]]=Tabledaily[الحســاب المديــــن]),0)),0)</f>
        <v>0</v>
      </c>
      <c r="L625" s="123" cm="1">
        <f t="array" ref="L625">IFERROR(INDEX(Tabledaily[المبلـــــــغ],MATCH(1,(TableDailyJournal[[#This Row],[رقم العملية]]=Tabledaily[رقم العملية])*(TableDailyJournal[[#This Row],[الحساب]]=Tabledaily[الحســاب الدئـــن]),0)),0)</f>
        <v>25000</v>
      </c>
      <c r="M625" s="119">
        <f>IFERROR(TableDailyJournal[[#This Row],[المبلغ مدين]]/TableDailyJournal[[#This Row],[سعــــــر
الصـــــرف]],0)</f>
        <v>0</v>
      </c>
      <c r="N625" s="119">
        <f>IFERROR(TableDailyJournal[[#This Row],[المبلغ دائن]]/TableDailyJournal[[#This Row],[سعــــــر
الصـــــرف]],0)</f>
        <v>61.728395061728392</v>
      </c>
      <c r="O625" s="121" t="str">
        <f>INDEX(Tabledaily[المستفيــــــــد],MATCH(TableDailyJournal[[#This Row],[رقم العملية]],Tabledaily[رقم العملية],0))</f>
        <v>مرافقي الاركان</v>
      </c>
      <c r="P625" s="121" t="str">
        <f>INDEX(Tabledaily[المــــرجـــــــــع],MATCH(TableDailyJournal[[#This Row],[رقم العملية]],Tabledaily[رقم العملية],0))</f>
        <v>كشف صرف</v>
      </c>
      <c r="Q625" s="121" t="str">
        <f>INDEX(Tabledaily[اســـــــم المــــرجــــع],MATCH(TableDailyJournal[[#This Row],[رقم العملية]],Tabledaily[رقم العملية],0))</f>
        <v>كشف صرف</v>
      </c>
      <c r="R625" s="121">
        <f>INDEX(Tabledaily[رقم المـــــرجـــع],MATCH(TableDailyJournal[[#This Row],[رقم العملية]],Tabledaily[رقم العملية],0))</f>
        <v>0</v>
      </c>
      <c r="S625" s="121" t="str">
        <f>INDEX(Tabledaily[مركـــــــزالتكلفــــــة],MATCH(TableDailyJournal[[#This Row],[رقم العملية]],Tabledaily[رقم العملية],0))</f>
        <v>الفرقة الثالثة</v>
      </c>
      <c r="T625" s="121">
        <f>IFERROR(INDEX(tablecost[رقم المركز],MATCH(TableDailyJournal[[#This Row],[مركـــــــزالتكلفــــــة]],tablecost[الاسم],0)),0)</f>
        <v>1</v>
      </c>
      <c r="U625" s="122">
        <f>IFERROR(DATE(TableDailyJournal[[#This Row],[السنــــة]],TableDailyJournal[[#This Row],[الشهــــر]],TableDailyJournal[[#This Row],[الـــــيوم]]),"01-01-2026")</f>
        <v>46192</v>
      </c>
      <c r="V625" s="126"/>
      <c r="W625" s="58"/>
      <c r="X625" s="58">
        <f>IFERROR(YEAR(TableDailyJournal[[#This Row],[التاريخ]]),"")</f>
        <v>2026</v>
      </c>
      <c r="Y625" s="58">
        <f>IFERROR(MONTH(TableDailyJournal[[#This Row],[التاريخ]]),"")</f>
        <v>6</v>
      </c>
      <c r="Z625" s="58">
        <f>IFERROR(DAY(TableDailyJournal[[#This Row],[التاريخ]]),"")</f>
        <v>19</v>
      </c>
      <c r="AA625"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625" s="121">
        <f>INDEX(Tabledaily[جهة الامر],MATCH(TableDailyJournal[[#This Row],[رقم العملية]],Tabledaily[رقم العملية],0))</f>
        <v>0</v>
      </c>
    </row>
    <row r="626" spans="2:28" ht="45.75" x14ac:dyDescent="0.55000000000000004">
      <c r="B626" s="58">
        <f t="shared" si="20"/>
        <v>622</v>
      </c>
      <c r="C626" s="59" t="s">
        <v>1109</v>
      </c>
      <c r="D626" s="60">
        <f>INDEX(Tabledaily[date],MATCH(TableDailyJournal[[#This Row],[رقم العملية]],Tabledaily[رقم العملية],0))</f>
        <v>46192</v>
      </c>
      <c r="E626" s="58" t="str">
        <f>INDEX(Tabledaily[نوع العمليــة],MATCH(TableDailyJournal[[#This Row],[رقم العملية]],Tabledaily[رقم العملية],0))</f>
        <v>قيد عهده</v>
      </c>
      <c r="F626" s="58">
        <f>IFERROR(INDEX(TableJudje[رقم الحساب],MATCH(TableDailyJournal[[#This Row],[الحساب]],TableJudje[اسم الحساب],0)),0)</f>
        <v>31010101</v>
      </c>
      <c r="G626" s="58" t="s">
        <v>111</v>
      </c>
      <c r="H626" s="61"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626" s="60" t="str">
        <f>INDEX(Tabledaily[العملـــة],MATCH(TableDailyJournal[[#This Row],[رقم العملية]],Tabledaily[رقم العملية],0))</f>
        <v>ريال يمني</v>
      </c>
      <c r="J626" s="59">
        <f>IFERROR(INDEX(Tabledaily[سعــــــر
الصـــــرف],MATCH(C626,Tabledaily[رقم العملية],0)),1)</f>
        <v>405</v>
      </c>
      <c r="K626" s="123" cm="1">
        <f t="array" ref="K626">IFERROR(INDEX(Tabledaily[المبلـــــــغ],MATCH(1,(TableDailyJournal[[#This Row],[رقم العملية]]=Tabledaily[رقم العملية])*(TableDailyJournal[[#This Row],[الحساب]]=Tabledaily[الحســاب المديــــن]),0)),0)</f>
        <v>18000</v>
      </c>
      <c r="L626" s="123" cm="1">
        <f t="array" ref="L626">IFERROR(INDEX(Tabledaily[المبلـــــــغ],MATCH(1,(TableDailyJournal[[#This Row],[رقم العملية]]=Tabledaily[رقم العملية])*(TableDailyJournal[[#This Row],[الحساب]]=Tabledaily[الحســاب الدئـــن]),0)),0)</f>
        <v>0</v>
      </c>
      <c r="M626" s="119">
        <f>IFERROR(TableDailyJournal[[#This Row],[المبلغ مدين]]/TableDailyJournal[[#This Row],[سعــــــر
الصـــــرف]],0)</f>
        <v>44.444444444444443</v>
      </c>
      <c r="N626" s="119">
        <f>IFERROR(TableDailyJournal[[#This Row],[المبلغ دائن]]/TableDailyJournal[[#This Row],[سعــــــر
الصـــــرف]],0)</f>
        <v>0</v>
      </c>
      <c r="O626" s="121" t="str">
        <f>INDEX(Tabledaily[المستفيــــــــد],MATCH(TableDailyJournal[[#This Row],[رقم العملية]],Tabledaily[رقم العملية],0))</f>
        <v>طقم اللواء السابع</v>
      </c>
      <c r="P626" s="121" t="str">
        <f>INDEX(Tabledaily[المــــرجـــــــــع],MATCH(TableDailyJournal[[#This Row],[رقم العملية]],Tabledaily[رقم العملية],0))</f>
        <v>كشف صرف</v>
      </c>
      <c r="Q626" s="121" t="str">
        <f>INDEX(Tabledaily[اســـــــم المــــرجــــع],MATCH(TableDailyJournal[[#This Row],[رقم العملية]],Tabledaily[رقم العملية],0))</f>
        <v>كشف صرف</v>
      </c>
      <c r="R626" s="121">
        <f>INDEX(Tabledaily[رقم المـــــرجـــع],MATCH(TableDailyJournal[[#This Row],[رقم العملية]],Tabledaily[رقم العملية],0))</f>
        <v>0</v>
      </c>
      <c r="S626" s="121" t="str">
        <f>INDEX(Tabledaily[مركـــــــزالتكلفــــــة],MATCH(TableDailyJournal[[#This Row],[رقم العملية]],Tabledaily[رقم العملية],0))</f>
        <v>الفرقة الثالثة</v>
      </c>
      <c r="T626" s="121">
        <f>IFERROR(INDEX(tablecost[رقم المركز],MATCH(TableDailyJournal[[#This Row],[مركـــــــزالتكلفــــــة]],tablecost[الاسم],0)),0)</f>
        <v>1</v>
      </c>
      <c r="U626" s="122">
        <f>IFERROR(DATE(TableDailyJournal[[#This Row],[السنــــة]],TableDailyJournal[[#This Row],[الشهــــر]],TableDailyJournal[[#This Row],[الـــــيوم]]),"01-01-2026")</f>
        <v>46192</v>
      </c>
      <c r="V626" s="126"/>
      <c r="W626" s="58"/>
      <c r="X626" s="58">
        <f>IFERROR(YEAR(TableDailyJournal[[#This Row],[التاريخ]]),"")</f>
        <v>2026</v>
      </c>
      <c r="Y626" s="58">
        <f>IFERROR(MONTH(TableDailyJournal[[#This Row],[التاريخ]]),"")</f>
        <v>6</v>
      </c>
      <c r="Z626" s="58">
        <f>IFERROR(DAY(TableDailyJournal[[#This Row],[التاريخ]]),"")</f>
        <v>19</v>
      </c>
      <c r="AA626"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626" s="121">
        <f>INDEX(Tabledaily[جهة الامر],MATCH(TableDailyJournal[[#This Row],[رقم العملية]],Tabledaily[رقم العملية],0))</f>
        <v>0</v>
      </c>
    </row>
    <row r="627" spans="2:28" ht="45.75" x14ac:dyDescent="0.55000000000000004">
      <c r="B627" s="58">
        <f t="shared" si="20"/>
        <v>623</v>
      </c>
      <c r="C627" s="59" t="s">
        <v>1109</v>
      </c>
      <c r="D627" s="60">
        <f>INDEX(Tabledaily[date],MATCH(TableDailyJournal[[#This Row],[رقم العملية]],Tabledaily[رقم العملية],0))</f>
        <v>46192</v>
      </c>
      <c r="E627" s="58" t="str">
        <f>INDEX(Tabledaily[نوع العمليــة],MATCH(TableDailyJournal[[#This Row],[رقم العملية]],Tabledaily[رقم العملية],0))</f>
        <v>قيد عهده</v>
      </c>
      <c r="F627" s="58">
        <f>IFERROR(INDEX(TableJudje[رقم الحساب],MATCH(TableDailyJournal[[#This Row],[الحساب]],TableJudje[اسم الحساب],0)),0)</f>
        <v>11060205</v>
      </c>
      <c r="G627" s="58" t="s">
        <v>513</v>
      </c>
      <c r="H627" s="61"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627" s="60" t="str">
        <f>INDEX(Tabledaily[العملـــة],MATCH(TableDailyJournal[[#This Row],[رقم العملية]],Tabledaily[رقم العملية],0))</f>
        <v>ريال يمني</v>
      </c>
      <c r="J627" s="59">
        <f>IFERROR(INDEX(Tabledaily[سعــــــر
الصـــــرف],MATCH(C627,Tabledaily[رقم العملية],0)),1)</f>
        <v>405</v>
      </c>
      <c r="K627" s="123" cm="1">
        <f t="array" ref="K627">IFERROR(INDEX(Tabledaily[المبلـــــــغ],MATCH(1,(TableDailyJournal[[#This Row],[رقم العملية]]=Tabledaily[رقم العملية])*(TableDailyJournal[[#This Row],[الحساب]]=Tabledaily[الحســاب المديــــن]),0)),0)</f>
        <v>0</v>
      </c>
      <c r="L627" s="123" cm="1">
        <f t="array" ref="L627">IFERROR(INDEX(Tabledaily[المبلـــــــغ],MATCH(1,(TableDailyJournal[[#This Row],[رقم العملية]]=Tabledaily[رقم العملية])*(TableDailyJournal[[#This Row],[الحساب]]=Tabledaily[الحســاب الدئـــن]),0)),0)</f>
        <v>18000</v>
      </c>
      <c r="M627" s="119">
        <f>IFERROR(TableDailyJournal[[#This Row],[المبلغ مدين]]/TableDailyJournal[[#This Row],[سعــــــر
الصـــــرف]],0)</f>
        <v>0</v>
      </c>
      <c r="N627" s="119">
        <f>IFERROR(TableDailyJournal[[#This Row],[المبلغ دائن]]/TableDailyJournal[[#This Row],[سعــــــر
الصـــــرف]],0)</f>
        <v>44.444444444444443</v>
      </c>
      <c r="O627" s="121" t="str">
        <f>INDEX(Tabledaily[المستفيــــــــد],MATCH(TableDailyJournal[[#This Row],[رقم العملية]],Tabledaily[رقم العملية],0))</f>
        <v>طقم اللواء السابع</v>
      </c>
      <c r="P627" s="121" t="str">
        <f>INDEX(Tabledaily[المــــرجـــــــــع],MATCH(TableDailyJournal[[#This Row],[رقم العملية]],Tabledaily[رقم العملية],0))</f>
        <v>كشف صرف</v>
      </c>
      <c r="Q627" s="121" t="str">
        <f>INDEX(Tabledaily[اســـــــم المــــرجــــع],MATCH(TableDailyJournal[[#This Row],[رقم العملية]],Tabledaily[رقم العملية],0))</f>
        <v>كشف صرف</v>
      </c>
      <c r="R627" s="121">
        <f>INDEX(Tabledaily[رقم المـــــرجـــع],MATCH(TableDailyJournal[[#This Row],[رقم العملية]],Tabledaily[رقم العملية],0))</f>
        <v>0</v>
      </c>
      <c r="S627" s="121" t="str">
        <f>INDEX(Tabledaily[مركـــــــزالتكلفــــــة],MATCH(TableDailyJournal[[#This Row],[رقم العملية]],Tabledaily[رقم العملية],0))</f>
        <v>الفرقة الثالثة</v>
      </c>
      <c r="T627" s="121">
        <f>IFERROR(INDEX(tablecost[رقم المركز],MATCH(TableDailyJournal[[#This Row],[مركـــــــزالتكلفــــــة]],tablecost[الاسم],0)),0)</f>
        <v>1</v>
      </c>
      <c r="U627" s="122">
        <f>IFERROR(DATE(TableDailyJournal[[#This Row],[السنــــة]],TableDailyJournal[[#This Row],[الشهــــر]],TableDailyJournal[[#This Row],[الـــــيوم]]),"01-01-2026")</f>
        <v>46192</v>
      </c>
      <c r="V627" s="126"/>
      <c r="W627" s="58"/>
      <c r="X627" s="58">
        <f>IFERROR(YEAR(TableDailyJournal[[#This Row],[التاريخ]]),"")</f>
        <v>2026</v>
      </c>
      <c r="Y627" s="58">
        <f>IFERROR(MONTH(TableDailyJournal[[#This Row],[التاريخ]]),"")</f>
        <v>6</v>
      </c>
      <c r="Z627" s="58">
        <f>IFERROR(DAY(TableDailyJournal[[#This Row],[التاريخ]]),"")</f>
        <v>19</v>
      </c>
      <c r="AA627"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627" s="121">
        <f>INDEX(Tabledaily[جهة الامر],MATCH(TableDailyJournal[[#This Row],[رقم العملية]],Tabledaily[رقم العملية],0))</f>
        <v>0</v>
      </c>
    </row>
    <row r="628" spans="2:28" ht="45.75" x14ac:dyDescent="0.55000000000000004">
      <c r="B628" s="58">
        <f t="shared" si="20"/>
        <v>624</v>
      </c>
      <c r="C628" s="59" t="s">
        <v>1110</v>
      </c>
      <c r="D628" s="60">
        <f>INDEX(Tabledaily[date],MATCH(TableDailyJournal[[#This Row],[رقم العملية]],Tabledaily[رقم العملية],0))</f>
        <v>46192</v>
      </c>
      <c r="E628" s="58" t="str">
        <f>INDEX(Tabledaily[نوع العمليــة],MATCH(TableDailyJournal[[#This Row],[رقم العملية]],Tabledaily[رقم العملية],0))</f>
        <v>قيد عهده</v>
      </c>
      <c r="F628" s="58">
        <f>IFERROR(INDEX(TableJudje[رقم الحساب],MATCH(TableDailyJournal[[#This Row],[الحساب]],TableJudje[اسم الحساب],0)),0)</f>
        <v>31010101</v>
      </c>
      <c r="G628" s="58" t="s">
        <v>111</v>
      </c>
      <c r="H628"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I628" s="60" t="str">
        <f>INDEX(Tabledaily[العملـــة],MATCH(TableDailyJournal[[#This Row],[رقم العملية]],Tabledaily[رقم العملية],0))</f>
        <v>ريال يمني</v>
      </c>
      <c r="J628" s="59">
        <f>IFERROR(INDEX(Tabledaily[سعــــــر
الصـــــرف],MATCH(C628,Tabledaily[رقم العملية],0)),1)</f>
        <v>405</v>
      </c>
      <c r="K628" s="123" cm="1">
        <f t="array" ref="K628">IFERROR(INDEX(Tabledaily[المبلـــــــغ],MATCH(1,(TableDailyJournal[[#This Row],[رقم العملية]]=Tabledaily[رقم العملية])*(TableDailyJournal[[#This Row],[الحساب]]=Tabledaily[الحســاب المديــــن]),0)),0)</f>
        <v>100000</v>
      </c>
      <c r="L628" s="123" cm="1">
        <f t="array" ref="L628">IFERROR(INDEX(Tabledaily[المبلـــــــغ],MATCH(1,(TableDailyJournal[[#This Row],[رقم العملية]]=Tabledaily[رقم العملية])*(TableDailyJournal[[#This Row],[الحساب]]=Tabledaily[الحســاب الدئـــن]),0)),0)</f>
        <v>0</v>
      </c>
      <c r="M628" s="119">
        <f>IFERROR(TableDailyJournal[[#This Row],[المبلغ مدين]]/TableDailyJournal[[#This Row],[سعــــــر
الصـــــرف]],0)</f>
        <v>246.91358024691357</v>
      </c>
      <c r="N628" s="119">
        <f>IFERROR(TableDailyJournal[[#This Row],[المبلغ دائن]]/TableDailyJournal[[#This Row],[سعــــــر
الصـــــرف]],0)</f>
        <v>0</v>
      </c>
      <c r="O628" s="121" t="str">
        <f>INDEX(Tabledaily[المستفيــــــــد],MATCH(TableDailyJournal[[#This Row],[رقم العملية]],Tabledaily[رقم العملية],0))</f>
        <v>الضباط السابقين</v>
      </c>
      <c r="P628" s="121" t="str">
        <f>INDEX(Tabledaily[المــــرجـــــــــع],MATCH(TableDailyJournal[[#This Row],[رقم العملية]],Tabledaily[رقم العملية],0))</f>
        <v>كشف صرف</v>
      </c>
      <c r="Q628" s="121" t="str">
        <f>INDEX(Tabledaily[اســـــــم المــــرجــــع],MATCH(TableDailyJournal[[#This Row],[رقم العملية]],Tabledaily[رقم العملية],0))</f>
        <v>كشف صرف</v>
      </c>
      <c r="R628" s="121">
        <f>INDEX(Tabledaily[رقم المـــــرجـــع],MATCH(TableDailyJournal[[#This Row],[رقم العملية]],Tabledaily[رقم العملية],0))</f>
        <v>0</v>
      </c>
      <c r="S628" s="121" t="str">
        <f>INDEX(Tabledaily[مركـــــــزالتكلفــــــة],MATCH(TableDailyJournal[[#This Row],[رقم العملية]],Tabledaily[رقم العملية],0))</f>
        <v>الفرقة الثالثة</v>
      </c>
      <c r="T628" s="121">
        <f>IFERROR(INDEX(tablecost[رقم المركز],MATCH(TableDailyJournal[[#This Row],[مركـــــــزالتكلفــــــة]],tablecost[الاسم],0)),0)</f>
        <v>1</v>
      </c>
      <c r="U628" s="122">
        <f>IFERROR(DATE(TableDailyJournal[[#This Row],[السنــــة]],TableDailyJournal[[#This Row],[الشهــــر]],TableDailyJournal[[#This Row],[الـــــيوم]]),"01-01-2026")</f>
        <v>46192</v>
      </c>
      <c r="V628" s="126"/>
      <c r="W628" s="58"/>
      <c r="X628" s="58">
        <f>IFERROR(YEAR(TableDailyJournal[[#This Row],[التاريخ]]),"")</f>
        <v>2026</v>
      </c>
      <c r="Y628" s="58">
        <f>IFERROR(MONTH(TableDailyJournal[[#This Row],[التاريخ]]),"")</f>
        <v>6</v>
      </c>
      <c r="Z628" s="58">
        <f>IFERROR(DAY(TableDailyJournal[[#This Row],[التاريخ]]),"")</f>
        <v>19</v>
      </c>
      <c r="AA628"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AB628" s="121">
        <f>INDEX(Tabledaily[جهة الامر],MATCH(TableDailyJournal[[#This Row],[رقم العملية]],Tabledaily[رقم العملية],0))</f>
        <v>0</v>
      </c>
    </row>
    <row r="629" spans="2:28" ht="45.75" x14ac:dyDescent="0.55000000000000004">
      <c r="B629" s="58">
        <f t="shared" si="20"/>
        <v>625</v>
      </c>
      <c r="C629" s="59" t="s">
        <v>1110</v>
      </c>
      <c r="D629" s="60">
        <f>INDEX(Tabledaily[date],MATCH(TableDailyJournal[[#This Row],[رقم العملية]],Tabledaily[رقم العملية],0))</f>
        <v>46192</v>
      </c>
      <c r="E629" s="58" t="str">
        <f>INDEX(Tabledaily[نوع العمليــة],MATCH(TableDailyJournal[[#This Row],[رقم العملية]],Tabledaily[رقم العملية],0))</f>
        <v>قيد عهده</v>
      </c>
      <c r="F629" s="58">
        <f>IFERROR(INDEX(TableJudje[رقم الحساب],MATCH(TableDailyJournal[[#This Row],[الحساب]],TableJudje[اسم الحساب],0)),0)</f>
        <v>11060205</v>
      </c>
      <c r="G629" s="58" t="s">
        <v>513</v>
      </c>
      <c r="H629"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I629" s="60" t="str">
        <f>INDEX(Tabledaily[العملـــة],MATCH(TableDailyJournal[[#This Row],[رقم العملية]],Tabledaily[رقم العملية],0))</f>
        <v>ريال يمني</v>
      </c>
      <c r="J629" s="59">
        <f>IFERROR(INDEX(Tabledaily[سعــــــر
الصـــــرف],MATCH(C629,Tabledaily[رقم العملية],0)),1)</f>
        <v>405</v>
      </c>
      <c r="K629" s="123" cm="1">
        <f t="array" ref="K629">IFERROR(INDEX(Tabledaily[المبلـــــــغ],MATCH(1,(TableDailyJournal[[#This Row],[رقم العملية]]=Tabledaily[رقم العملية])*(TableDailyJournal[[#This Row],[الحساب]]=Tabledaily[الحســاب المديــــن]),0)),0)</f>
        <v>0</v>
      </c>
      <c r="L629" s="123" cm="1">
        <f t="array" ref="L629">IFERROR(INDEX(Tabledaily[المبلـــــــغ],MATCH(1,(TableDailyJournal[[#This Row],[رقم العملية]]=Tabledaily[رقم العملية])*(TableDailyJournal[[#This Row],[الحساب]]=Tabledaily[الحســاب الدئـــن]),0)),0)</f>
        <v>100000</v>
      </c>
      <c r="M629" s="119">
        <f>IFERROR(TableDailyJournal[[#This Row],[المبلغ مدين]]/TableDailyJournal[[#This Row],[سعــــــر
الصـــــرف]],0)</f>
        <v>0</v>
      </c>
      <c r="N629" s="119">
        <f>IFERROR(TableDailyJournal[[#This Row],[المبلغ دائن]]/TableDailyJournal[[#This Row],[سعــــــر
الصـــــرف]],0)</f>
        <v>246.91358024691357</v>
      </c>
      <c r="O629" s="121" t="str">
        <f>INDEX(Tabledaily[المستفيــــــــد],MATCH(TableDailyJournal[[#This Row],[رقم العملية]],Tabledaily[رقم العملية],0))</f>
        <v>الضباط السابقين</v>
      </c>
      <c r="P629" s="121" t="str">
        <f>INDEX(Tabledaily[المــــرجـــــــــع],MATCH(TableDailyJournal[[#This Row],[رقم العملية]],Tabledaily[رقم العملية],0))</f>
        <v>كشف صرف</v>
      </c>
      <c r="Q629" s="121" t="str">
        <f>INDEX(Tabledaily[اســـــــم المــــرجــــع],MATCH(TableDailyJournal[[#This Row],[رقم العملية]],Tabledaily[رقم العملية],0))</f>
        <v>كشف صرف</v>
      </c>
      <c r="R629" s="121">
        <f>INDEX(Tabledaily[رقم المـــــرجـــع],MATCH(TableDailyJournal[[#This Row],[رقم العملية]],Tabledaily[رقم العملية],0))</f>
        <v>0</v>
      </c>
      <c r="S629" s="121" t="str">
        <f>INDEX(Tabledaily[مركـــــــزالتكلفــــــة],MATCH(TableDailyJournal[[#This Row],[رقم العملية]],Tabledaily[رقم العملية],0))</f>
        <v>الفرقة الثالثة</v>
      </c>
      <c r="T629" s="121">
        <f>IFERROR(INDEX(tablecost[رقم المركز],MATCH(TableDailyJournal[[#This Row],[مركـــــــزالتكلفــــــة]],tablecost[الاسم],0)),0)</f>
        <v>1</v>
      </c>
      <c r="U629" s="122">
        <f>IFERROR(DATE(TableDailyJournal[[#This Row],[السنــــة]],TableDailyJournal[[#This Row],[الشهــــر]],TableDailyJournal[[#This Row],[الـــــيوم]]),"01-01-2026")</f>
        <v>46192</v>
      </c>
      <c r="V629" s="126"/>
      <c r="W629" s="58"/>
      <c r="X629" s="58">
        <f>IFERROR(YEAR(TableDailyJournal[[#This Row],[التاريخ]]),"")</f>
        <v>2026</v>
      </c>
      <c r="Y629" s="58">
        <f>IFERROR(MONTH(TableDailyJournal[[#This Row],[التاريخ]]),"")</f>
        <v>6</v>
      </c>
      <c r="Z629" s="58">
        <f>IFERROR(DAY(TableDailyJournal[[#This Row],[التاريخ]]),"")</f>
        <v>19</v>
      </c>
      <c r="AA629"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AB629" s="121">
        <f>INDEX(Tabledaily[جهة الامر],MATCH(TableDailyJournal[[#This Row],[رقم العملية]],Tabledaily[رقم العملية],0))</f>
        <v>0</v>
      </c>
    </row>
    <row r="630" spans="2:28" ht="45.75" x14ac:dyDescent="0.55000000000000004">
      <c r="B630" s="58">
        <f t="shared" si="20"/>
        <v>626</v>
      </c>
      <c r="C630" s="59" t="s">
        <v>1112</v>
      </c>
      <c r="D630" s="60">
        <f>INDEX(Tabledaily[date],MATCH(TableDailyJournal[[#This Row],[رقم العملية]],Tabledaily[رقم العملية],0))</f>
        <v>46192</v>
      </c>
      <c r="E630" s="58" t="str">
        <f>INDEX(Tabledaily[نوع العمليــة],MATCH(TableDailyJournal[[#This Row],[رقم العملية]],Tabledaily[رقم العملية],0))</f>
        <v>قيد عهده</v>
      </c>
      <c r="F630" s="58">
        <f>IFERROR(INDEX(TableJudje[رقم الحساب],MATCH(TableDailyJournal[[#This Row],[الحساب]],TableJudje[اسم الحساب],0)),0)</f>
        <v>11060209</v>
      </c>
      <c r="G630" s="58" t="s">
        <v>824</v>
      </c>
      <c r="H630" s="61" t="str">
        <f>INDEX(Tabledaily[المرجع البياني],MATCH(TableDailyJournal[[#This Row],[رقم العملية]],Tabledaily[رقم العملية],0))</f>
        <v>قيـد مقابـل:- (عهدة جمال مسدوس - جمال مسدوس - الفرقة الثالثة)  - استلام نقدي رقم 100-110  سند استلام - عهدة المشروع التدريبي بامرالمستشار المالي</v>
      </c>
      <c r="I630" s="60" t="str">
        <f>INDEX(Tabledaily[العملـــة],MATCH(TableDailyJournal[[#This Row],[رقم العملية]],Tabledaily[رقم العملية],0))</f>
        <v>ريال يمني</v>
      </c>
      <c r="J630" s="59">
        <f>IFERROR(INDEX(Tabledaily[سعــــــر
الصـــــرف],MATCH(C630,Tabledaily[رقم العملية],0)),1)</f>
        <v>405</v>
      </c>
      <c r="K630" s="123" cm="1">
        <f t="array" ref="K630">IFERROR(INDEX(Tabledaily[المبلـــــــغ],MATCH(1,(TableDailyJournal[[#This Row],[رقم العملية]]=Tabledaily[رقم العملية])*(TableDailyJournal[[#This Row],[الحساب]]=Tabledaily[الحســاب المديــــن]),0)),0)</f>
        <v>800000</v>
      </c>
      <c r="L630" s="123" cm="1">
        <f t="array" ref="L630">IFERROR(INDEX(Tabledaily[المبلـــــــغ],MATCH(1,(TableDailyJournal[[#This Row],[رقم العملية]]=Tabledaily[رقم العملية])*(TableDailyJournal[[#This Row],[الحساب]]=Tabledaily[الحســاب الدئـــن]),0)),0)</f>
        <v>0</v>
      </c>
      <c r="M630" s="119">
        <f>IFERROR(TableDailyJournal[[#This Row],[المبلغ مدين]]/TableDailyJournal[[#This Row],[سعــــــر
الصـــــرف]],0)</f>
        <v>1975.3086419753085</v>
      </c>
      <c r="N630" s="119">
        <f>IFERROR(TableDailyJournal[[#This Row],[المبلغ دائن]]/TableDailyJournal[[#This Row],[سعــــــر
الصـــــرف]],0)</f>
        <v>0</v>
      </c>
      <c r="O630" s="121" t="str">
        <f>INDEX(Tabledaily[المستفيــــــــد],MATCH(TableDailyJournal[[#This Row],[رقم العملية]],Tabledaily[رقم العملية],0))</f>
        <v>جمال مسدوس</v>
      </c>
      <c r="P630" s="121" t="str">
        <f>INDEX(Tabledaily[المــــرجـــــــــع],MATCH(TableDailyJournal[[#This Row],[رقم العملية]],Tabledaily[رقم العملية],0))</f>
        <v>استلام نقدي</v>
      </c>
      <c r="Q630" s="121" t="str">
        <f>INDEX(Tabledaily[اســـــــم المــــرجــــع],MATCH(TableDailyJournal[[#This Row],[رقم العملية]],Tabledaily[رقم العملية],0))</f>
        <v>سند استلام</v>
      </c>
      <c r="R630" s="121" t="str">
        <f>INDEX(Tabledaily[رقم المـــــرجـــع],MATCH(TableDailyJournal[[#This Row],[رقم العملية]],Tabledaily[رقم العملية],0))</f>
        <v>100-110</v>
      </c>
      <c r="S630" s="121" t="str">
        <f>INDEX(Tabledaily[مركـــــــزالتكلفــــــة],MATCH(TableDailyJournal[[#This Row],[رقم العملية]],Tabledaily[رقم العملية],0))</f>
        <v>الفرقة الثالثة</v>
      </c>
      <c r="T630" s="121">
        <f>IFERROR(INDEX(tablecost[رقم المركز],MATCH(TableDailyJournal[[#This Row],[مركـــــــزالتكلفــــــة]],tablecost[الاسم],0)),0)</f>
        <v>1</v>
      </c>
      <c r="U630" s="122">
        <f>IFERROR(DATE(TableDailyJournal[[#This Row],[السنــــة]],TableDailyJournal[[#This Row],[الشهــــر]],TableDailyJournal[[#This Row],[الـــــيوم]]),"01-01-2026")</f>
        <v>46192</v>
      </c>
      <c r="V630" s="126"/>
      <c r="W630" s="58"/>
      <c r="X630" s="58">
        <f>IFERROR(YEAR(TableDailyJournal[[#This Row],[التاريخ]]),"")</f>
        <v>2026</v>
      </c>
      <c r="Y630" s="58">
        <f>IFERROR(MONTH(TableDailyJournal[[#This Row],[التاريخ]]),"")</f>
        <v>6</v>
      </c>
      <c r="Z630" s="58">
        <f>IFERROR(DAY(TableDailyJournal[[#This Row],[التاريخ]]),"")</f>
        <v>19</v>
      </c>
      <c r="AA630" s="126" t="str">
        <f>INDEX(Tabledaily[المرجع البياني],MATCH(TableDailyJournal[[#This Row],[رقم العملية]],Tabledaily[رقم العملية],0))</f>
        <v>قيـد مقابـل:- (عهدة جمال مسدوس - جمال مسدوس - الفرقة الثالثة)  - استلام نقدي رقم 100-110  سند استلام - عهدة المشروع التدريبي بامرالمستشار المالي</v>
      </c>
      <c r="AB630" s="121" t="str">
        <f>INDEX(Tabledaily[جهة الامر],MATCH(TableDailyJournal[[#This Row],[رقم العملية]],Tabledaily[رقم العملية],0))</f>
        <v>المستشار المالي</v>
      </c>
    </row>
    <row r="631" spans="2:28" ht="45.75" x14ac:dyDescent="0.55000000000000004">
      <c r="B631" s="58">
        <f t="shared" si="20"/>
        <v>627</v>
      </c>
      <c r="C631" s="59" t="s">
        <v>1112</v>
      </c>
      <c r="D631" s="60">
        <f>INDEX(Tabledaily[date],MATCH(TableDailyJournal[[#This Row],[رقم العملية]],Tabledaily[رقم العملية],0))</f>
        <v>46192</v>
      </c>
      <c r="E631" s="58" t="str">
        <f>INDEX(Tabledaily[نوع العمليــة],MATCH(TableDailyJournal[[#This Row],[رقم العملية]],Tabledaily[رقم العملية],0))</f>
        <v>قيد عهده</v>
      </c>
      <c r="F631" s="58">
        <f>IFERROR(INDEX(TableJudje[رقم الحساب],MATCH(TableDailyJournal[[#This Row],[الحساب]],TableJudje[اسم الحساب],0)),0)</f>
        <v>11060205</v>
      </c>
      <c r="G631" s="58" t="s">
        <v>513</v>
      </c>
      <c r="H631" s="61" t="str">
        <f>INDEX(Tabledaily[المرجع البياني],MATCH(TableDailyJournal[[#This Row],[رقم العملية]],Tabledaily[رقم العملية],0))</f>
        <v>قيـد مقابـل:- (عهدة جمال مسدوس - جمال مسدوس - الفرقة الثالثة)  - استلام نقدي رقم 100-110  سند استلام - عهدة المشروع التدريبي بامرالمستشار المالي</v>
      </c>
      <c r="I631" s="60" t="str">
        <f>INDEX(Tabledaily[العملـــة],MATCH(TableDailyJournal[[#This Row],[رقم العملية]],Tabledaily[رقم العملية],0))</f>
        <v>ريال يمني</v>
      </c>
      <c r="J631" s="59">
        <f>IFERROR(INDEX(Tabledaily[سعــــــر
الصـــــرف],MATCH(C631,Tabledaily[رقم العملية],0)),1)</f>
        <v>405</v>
      </c>
      <c r="K631" s="123" cm="1">
        <f t="array" ref="K631">IFERROR(INDEX(Tabledaily[المبلـــــــغ],MATCH(1,(TableDailyJournal[[#This Row],[رقم العملية]]=Tabledaily[رقم العملية])*(TableDailyJournal[[#This Row],[الحساب]]=Tabledaily[الحســاب المديــــن]),0)),0)</f>
        <v>0</v>
      </c>
      <c r="L631" s="123" cm="1">
        <f t="array" ref="L631">IFERROR(INDEX(Tabledaily[المبلـــــــغ],MATCH(1,(TableDailyJournal[[#This Row],[رقم العملية]]=Tabledaily[رقم العملية])*(TableDailyJournal[[#This Row],[الحساب]]=Tabledaily[الحســاب الدئـــن]),0)),0)</f>
        <v>800000</v>
      </c>
      <c r="M631" s="119">
        <f>IFERROR(TableDailyJournal[[#This Row],[المبلغ مدين]]/TableDailyJournal[[#This Row],[سعــــــر
الصـــــرف]],0)</f>
        <v>0</v>
      </c>
      <c r="N631" s="119">
        <f>IFERROR(TableDailyJournal[[#This Row],[المبلغ دائن]]/TableDailyJournal[[#This Row],[سعــــــر
الصـــــرف]],0)</f>
        <v>1975.3086419753085</v>
      </c>
      <c r="O631" s="121" t="str">
        <f>INDEX(Tabledaily[المستفيــــــــد],MATCH(TableDailyJournal[[#This Row],[رقم العملية]],Tabledaily[رقم العملية],0))</f>
        <v>جمال مسدوس</v>
      </c>
      <c r="P631" s="121" t="str">
        <f>INDEX(Tabledaily[المــــرجـــــــــع],MATCH(TableDailyJournal[[#This Row],[رقم العملية]],Tabledaily[رقم العملية],0))</f>
        <v>استلام نقدي</v>
      </c>
      <c r="Q631" s="121" t="str">
        <f>INDEX(Tabledaily[اســـــــم المــــرجــــع],MATCH(TableDailyJournal[[#This Row],[رقم العملية]],Tabledaily[رقم العملية],0))</f>
        <v>سند استلام</v>
      </c>
      <c r="R631" s="121" t="str">
        <f>INDEX(Tabledaily[رقم المـــــرجـــع],MATCH(TableDailyJournal[[#This Row],[رقم العملية]],Tabledaily[رقم العملية],0))</f>
        <v>100-110</v>
      </c>
      <c r="S631" s="121" t="str">
        <f>INDEX(Tabledaily[مركـــــــزالتكلفــــــة],MATCH(TableDailyJournal[[#This Row],[رقم العملية]],Tabledaily[رقم العملية],0))</f>
        <v>الفرقة الثالثة</v>
      </c>
      <c r="T631" s="121">
        <f>IFERROR(INDEX(tablecost[رقم المركز],MATCH(TableDailyJournal[[#This Row],[مركـــــــزالتكلفــــــة]],tablecost[الاسم],0)),0)</f>
        <v>1</v>
      </c>
      <c r="U631" s="122">
        <f>IFERROR(DATE(TableDailyJournal[[#This Row],[السنــــة]],TableDailyJournal[[#This Row],[الشهــــر]],TableDailyJournal[[#This Row],[الـــــيوم]]),"01-01-2026")</f>
        <v>46192</v>
      </c>
      <c r="V631" s="126"/>
      <c r="W631" s="58"/>
      <c r="X631" s="58">
        <f>IFERROR(YEAR(TableDailyJournal[[#This Row],[التاريخ]]),"")</f>
        <v>2026</v>
      </c>
      <c r="Y631" s="58">
        <f>IFERROR(MONTH(TableDailyJournal[[#This Row],[التاريخ]]),"")</f>
        <v>6</v>
      </c>
      <c r="Z631" s="58">
        <f>IFERROR(DAY(TableDailyJournal[[#This Row],[التاريخ]]),"")</f>
        <v>19</v>
      </c>
      <c r="AA631" s="126" t="str">
        <f>INDEX(Tabledaily[المرجع البياني],MATCH(TableDailyJournal[[#This Row],[رقم العملية]],Tabledaily[رقم العملية],0))</f>
        <v>قيـد مقابـل:- (عهدة جمال مسدوس - جمال مسدوس - الفرقة الثالثة)  - استلام نقدي رقم 100-110  سند استلام - عهدة المشروع التدريبي بامرالمستشار المالي</v>
      </c>
      <c r="AB631" s="121" t="str">
        <f>INDEX(Tabledaily[جهة الامر],MATCH(TableDailyJournal[[#This Row],[رقم العملية]],Tabledaily[رقم العملية],0))</f>
        <v>المستشار المالي</v>
      </c>
    </row>
    <row r="632" spans="2:28" ht="45.75" x14ac:dyDescent="0.55000000000000004">
      <c r="B632" s="58">
        <f t="shared" si="20"/>
        <v>628</v>
      </c>
      <c r="C632" s="59" t="s">
        <v>1115</v>
      </c>
      <c r="D632" s="60">
        <f>INDEX(Tabledaily[date],MATCH(TableDailyJournal[[#This Row],[رقم العملية]],Tabledaily[رقم العملية],0))</f>
        <v>46192</v>
      </c>
      <c r="E632" s="58" t="str">
        <f>INDEX(Tabledaily[نوع العمليــة],MATCH(TableDailyJournal[[#This Row],[رقم العملية]],Tabledaily[رقم العملية],0))</f>
        <v>قيد عهده</v>
      </c>
      <c r="F632" s="58">
        <f>IFERROR(INDEX(TableJudje[رقم الحساب],MATCH(TableDailyJournal[[#This Row],[الحساب]],TableJudje[اسم الحساب],0)),0)</f>
        <v>31010109</v>
      </c>
      <c r="G632" s="58" t="s">
        <v>484</v>
      </c>
      <c r="H632" s="61" t="str">
        <f>INDEX(Tabledaily[المرجع البياني],MATCH(TableDailyJournal[[#This Row],[رقم العملية]],Tabledaily[رقم العملية],0))</f>
        <v>قيـد مقابـل:- (مصاريف نثريات أخرى - الركن المالي - الفرقة الثالثة)  - استلام نقدي رقم   سند استلام - نثريات عمل الركن المالي مع المحاسبين بامرالأركان جمال مسدوس</v>
      </c>
      <c r="I632" s="60" t="str">
        <f>INDEX(Tabledaily[العملـــة],MATCH(TableDailyJournal[[#This Row],[رقم العملية]],Tabledaily[رقم العملية],0))</f>
        <v>ريال يمني</v>
      </c>
      <c r="J632" s="59">
        <f>IFERROR(INDEX(Tabledaily[سعــــــر
الصـــــرف],MATCH(C632,Tabledaily[رقم العملية],0)),1)</f>
        <v>405</v>
      </c>
      <c r="K632" s="123" cm="1">
        <f t="array" ref="K632">IFERROR(INDEX(Tabledaily[المبلـــــــغ],MATCH(1,(TableDailyJournal[[#This Row],[رقم العملية]]=Tabledaily[رقم العملية])*(TableDailyJournal[[#This Row],[الحساب]]=Tabledaily[الحســاب المديــــن]),0)),0)</f>
        <v>50000</v>
      </c>
      <c r="L632" s="123" cm="1">
        <f t="array" ref="L632">IFERROR(INDEX(Tabledaily[المبلـــــــغ],MATCH(1,(TableDailyJournal[[#This Row],[رقم العملية]]=Tabledaily[رقم العملية])*(TableDailyJournal[[#This Row],[الحساب]]=Tabledaily[الحســاب الدئـــن]),0)),0)</f>
        <v>0</v>
      </c>
      <c r="M632" s="119">
        <f>IFERROR(TableDailyJournal[[#This Row],[المبلغ مدين]]/TableDailyJournal[[#This Row],[سعــــــر
الصـــــرف]],0)</f>
        <v>123.45679012345678</v>
      </c>
      <c r="N632" s="119">
        <f>IFERROR(TableDailyJournal[[#This Row],[المبلغ دائن]]/TableDailyJournal[[#This Row],[سعــــــر
الصـــــرف]],0)</f>
        <v>0</v>
      </c>
      <c r="O632" s="121" t="str">
        <f>INDEX(Tabledaily[المستفيــــــــد],MATCH(TableDailyJournal[[#This Row],[رقم العملية]],Tabledaily[رقم العملية],0))</f>
        <v>الركن المالي</v>
      </c>
      <c r="P632" s="121" t="str">
        <f>INDEX(Tabledaily[المــــرجـــــــــع],MATCH(TableDailyJournal[[#This Row],[رقم العملية]],Tabledaily[رقم العملية],0))</f>
        <v>استلام نقدي</v>
      </c>
      <c r="Q632" s="121" t="str">
        <f>INDEX(Tabledaily[اســـــــم المــــرجــــع],MATCH(TableDailyJournal[[#This Row],[رقم العملية]],Tabledaily[رقم العملية],0))</f>
        <v>سند استلام</v>
      </c>
      <c r="R632" s="121">
        <f>INDEX(Tabledaily[رقم المـــــرجـــع],MATCH(TableDailyJournal[[#This Row],[رقم العملية]],Tabledaily[رقم العملية],0))</f>
        <v>0</v>
      </c>
      <c r="S632" s="121" t="str">
        <f>INDEX(Tabledaily[مركـــــــزالتكلفــــــة],MATCH(TableDailyJournal[[#This Row],[رقم العملية]],Tabledaily[رقم العملية],0))</f>
        <v>الفرقة الثالثة</v>
      </c>
      <c r="T632" s="121">
        <f>IFERROR(INDEX(tablecost[رقم المركز],MATCH(TableDailyJournal[[#This Row],[مركـــــــزالتكلفــــــة]],tablecost[الاسم],0)),0)</f>
        <v>1</v>
      </c>
      <c r="U632" s="122">
        <f>IFERROR(DATE(TableDailyJournal[[#This Row],[السنــــة]],TableDailyJournal[[#This Row],[الشهــــر]],TableDailyJournal[[#This Row],[الـــــيوم]]),"01-01-2026")</f>
        <v>46192</v>
      </c>
      <c r="V632" s="126"/>
      <c r="W632" s="58"/>
      <c r="X632" s="58">
        <f>IFERROR(YEAR(TableDailyJournal[[#This Row],[التاريخ]]),"")</f>
        <v>2026</v>
      </c>
      <c r="Y632" s="58">
        <f>IFERROR(MONTH(TableDailyJournal[[#This Row],[التاريخ]]),"")</f>
        <v>6</v>
      </c>
      <c r="Z632" s="58">
        <f>IFERROR(DAY(TableDailyJournal[[#This Row],[التاريخ]]),"")</f>
        <v>19</v>
      </c>
      <c r="AA632" s="126" t="str">
        <f>INDEX(Tabledaily[المرجع البياني],MATCH(TableDailyJournal[[#This Row],[رقم العملية]],Tabledaily[رقم العملية],0))</f>
        <v>قيـد مقابـل:- (مصاريف نثريات أخرى - الركن المالي - الفرقة الثالثة)  - استلام نقدي رقم   سند استلام - نثريات عمل الركن المالي مع المحاسبين بامرالأركان جمال مسدوس</v>
      </c>
      <c r="AB632" s="121" t="str">
        <f>INDEX(Tabledaily[جهة الامر],MATCH(TableDailyJournal[[#This Row],[رقم العملية]],Tabledaily[رقم العملية],0))</f>
        <v>الأركان جمال مسدوس</v>
      </c>
    </row>
    <row r="633" spans="2:28" ht="45.75" x14ac:dyDescent="0.55000000000000004">
      <c r="B633" s="58">
        <f t="shared" si="20"/>
        <v>629</v>
      </c>
      <c r="C633" s="59" t="s">
        <v>1115</v>
      </c>
      <c r="D633" s="60">
        <f>INDEX(Tabledaily[date],MATCH(TableDailyJournal[[#This Row],[رقم العملية]],Tabledaily[رقم العملية],0))</f>
        <v>46192</v>
      </c>
      <c r="E633" s="58" t="str">
        <f>INDEX(Tabledaily[نوع العمليــة],MATCH(TableDailyJournal[[#This Row],[رقم العملية]],Tabledaily[رقم العملية],0))</f>
        <v>قيد عهده</v>
      </c>
      <c r="F633" s="58">
        <f>IFERROR(INDEX(TableJudje[رقم الحساب],MATCH(TableDailyJournal[[#This Row],[الحساب]],TableJudje[اسم الحساب],0)),0)</f>
        <v>11060205</v>
      </c>
      <c r="G633" s="58" t="s">
        <v>513</v>
      </c>
      <c r="H633" s="61" t="str">
        <f>INDEX(Tabledaily[المرجع البياني],MATCH(TableDailyJournal[[#This Row],[رقم العملية]],Tabledaily[رقم العملية],0))</f>
        <v>قيـد مقابـل:- (مصاريف نثريات أخرى - الركن المالي - الفرقة الثالثة)  - استلام نقدي رقم   سند استلام - نثريات عمل الركن المالي مع المحاسبين بامرالأركان جمال مسدوس</v>
      </c>
      <c r="I633" s="60" t="str">
        <f>INDEX(Tabledaily[العملـــة],MATCH(TableDailyJournal[[#This Row],[رقم العملية]],Tabledaily[رقم العملية],0))</f>
        <v>ريال يمني</v>
      </c>
      <c r="J633" s="59">
        <f>IFERROR(INDEX(Tabledaily[سعــــــر
الصـــــرف],MATCH(C633,Tabledaily[رقم العملية],0)),1)</f>
        <v>405</v>
      </c>
      <c r="K633" s="123" cm="1">
        <f t="array" ref="K633">IFERROR(INDEX(Tabledaily[المبلـــــــغ],MATCH(1,(TableDailyJournal[[#This Row],[رقم العملية]]=Tabledaily[رقم العملية])*(TableDailyJournal[[#This Row],[الحساب]]=Tabledaily[الحســاب المديــــن]),0)),0)</f>
        <v>0</v>
      </c>
      <c r="L633" s="123" cm="1">
        <f t="array" ref="L633">IFERROR(INDEX(Tabledaily[المبلـــــــغ],MATCH(1,(TableDailyJournal[[#This Row],[رقم العملية]]=Tabledaily[رقم العملية])*(TableDailyJournal[[#This Row],[الحساب]]=Tabledaily[الحســاب الدئـــن]),0)),0)</f>
        <v>50000</v>
      </c>
      <c r="M633" s="119">
        <f>IFERROR(TableDailyJournal[[#This Row],[المبلغ مدين]]/TableDailyJournal[[#This Row],[سعــــــر
الصـــــرف]],0)</f>
        <v>0</v>
      </c>
      <c r="N633" s="119">
        <f>IFERROR(TableDailyJournal[[#This Row],[المبلغ دائن]]/TableDailyJournal[[#This Row],[سعــــــر
الصـــــرف]],0)</f>
        <v>123.45679012345678</v>
      </c>
      <c r="O633" s="121" t="str">
        <f>INDEX(Tabledaily[المستفيــــــــد],MATCH(TableDailyJournal[[#This Row],[رقم العملية]],Tabledaily[رقم العملية],0))</f>
        <v>الركن المالي</v>
      </c>
      <c r="P633" s="121" t="str">
        <f>INDEX(Tabledaily[المــــرجـــــــــع],MATCH(TableDailyJournal[[#This Row],[رقم العملية]],Tabledaily[رقم العملية],0))</f>
        <v>استلام نقدي</v>
      </c>
      <c r="Q633" s="121" t="str">
        <f>INDEX(Tabledaily[اســـــــم المــــرجــــع],MATCH(TableDailyJournal[[#This Row],[رقم العملية]],Tabledaily[رقم العملية],0))</f>
        <v>سند استلام</v>
      </c>
      <c r="R633" s="121">
        <f>INDEX(Tabledaily[رقم المـــــرجـــع],MATCH(TableDailyJournal[[#This Row],[رقم العملية]],Tabledaily[رقم العملية],0))</f>
        <v>0</v>
      </c>
      <c r="S633" s="121" t="str">
        <f>INDEX(Tabledaily[مركـــــــزالتكلفــــــة],MATCH(TableDailyJournal[[#This Row],[رقم العملية]],Tabledaily[رقم العملية],0))</f>
        <v>الفرقة الثالثة</v>
      </c>
      <c r="T633" s="121">
        <f>IFERROR(INDEX(tablecost[رقم المركز],MATCH(TableDailyJournal[[#This Row],[مركـــــــزالتكلفــــــة]],tablecost[الاسم],0)),0)</f>
        <v>1</v>
      </c>
      <c r="U633" s="122">
        <f>IFERROR(DATE(TableDailyJournal[[#This Row],[السنــــة]],TableDailyJournal[[#This Row],[الشهــــر]],TableDailyJournal[[#This Row],[الـــــيوم]]),"01-01-2026")</f>
        <v>46192</v>
      </c>
      <c r="V633" s="126"/>
      <c r="W633" s="58"/>
      <c r="X633" s="58">
        <f>IFERROR(YEAR(TableDailyJournal[[#This Row],[التاريخ]]),"")</f>
        <v>2026</v>
      </c>
      <c r="Y633" s="58">
        <f>IFERROR(MONTH(TableDailyJournal[[#This Row],[التاريخ]]),"")</f>
        <v>6</v>
      </c>
      <c r="Z633" s="58">
        <f>IFERROR(DAY(TableDailyJournal[[#This Row],[التاريخ]]),"")</f>
        <v>19</v>
      </c>
      <c r="AA633" s="126" t="str">
        <f>INDEX(Tabledaily[المرجع البياني],MATCH(TableDailyJournal[[#This Row],[رقم العملية]],Tabledaily[رقم العملية],0))</f>
        <v>قيـد مقابـل:- (مصاريف نثريات أخرى - الركن المالي - الفرقة الثالثة)  - استلام نقدي رقم   سند استلام - نثريات عمل الركن المالي مع المحاسبين بامرالأركان جمال مسدوس</v>
      </c>
      <c r="AB633" s="121" t="str">
        <f>INDEX(Tabledaily[جهة الامر],MATCH(TableDailyJournal[[#This Row],[رقم العملية]],Tabledaily[رقم العملية],0))</f>
        <v>الأركان جمال مسدوس</v>
      </c>
    </row>
    <row r="634" spans="2:28" ht="45.75" x14ac:dyDescent="0.55000000000000004">
      <c r="B634" s="58">
        <f t="shared" si="20"/>
        <v>630</v>
      </c>
      <c r="C634" s="59" t="s">
        <v>1117</v>
      </c>
      <c r="D634" s="60">
        <f>INDEX(Tabledaily[date],MATCH(TableDailyJournal[[#This Row],[رقم العملية]],Tabledaily[رقم العملية],0))</f>
        <v>46192</v>
      </c>
      <c r="E634" s="58" t="str">
        <f>INDEX(Tabledaily[نوع العمليــة],MATCH(TableDailyJournal[[#This Row],[رقم العملية]],Tabledaily[رقم العملية],0))</f>
        <v>قيد عهده</v>
      </c>
      <c r="F634" s="58">
        <f>IFERROR(INDEX(TableJudje[رقم الحساب],MATCH(TableDailyJournal[[#This Row],[الحساب]],TableJudje[اسم الحساب],0)),0)</f>
        <v>31010101</v>
      </c>
      <c r="G634" s="58" t="s">
        <v>111</v>
      </c>
      <c r="H634" s="61"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v>
      </c>
      <c r="I634" s="60" t="str">
        <f>INDEX(Tabledaily[العملـــة],MATCH(TableDailyJournal[[#This Row],[رقم العملية]],Tabledaily[رقم العملية],0))</f>
        <v>ريال يمني</v>
      </c>
      <c r="J634" s="59">
        <f>IFERROR(INDEX(Tabledaily[سعــــــر
الصـــــرف],MATCH(C634,Tabledaily[رقم العملية],0)),1)</f>
        <v>405</v>
      </c>
      <c r="K634" s="123" cm="1">
        <f t="array" ref="K634">IFERROR(INDEX(Tabledaily[المبلـــــــغ],MATCH(1,(TableDailyJournal[[#This Row],[رقم العملية]]=Tabledaily[رقم العملية])*(TableDailyJournal[[#This Row],[الحساب]]=Tabledaily[الحســاب المديــــن]),0)),0)</f>
        <v>20000</v>
      </c>
      <c r="L634" s="123" cm="1">
        <f t="array" ref="L634">IFERROR(INDEX(Tabledaily[المبلـــــــغ],MATCH(1,(TableDailyJournal[[#This Row],[رقم العملية]]=Tabledaily[رقم العملية])*(TableDailyJournal[[#This Row],[الحساب]]=Tabledaily[الحســاب الدئـــن]),0)),0)</f>
        <v>0</v>
      </c>
      <c r="M634" s="119">
        <f>IFERROR(TableDailyJournal[[#This Row],[المبلغ مدين]]/TableDailyJournal[[#This Row],[سعــــــر
الصـــــرف]],0)</f>
        <v>49.382716049382715</v>
      </c>
      <c r="N634" s="119">
        <f>IFERROR(TableDailyJournal[[#This Row],[المبلغ دائن]]/TableDailyJournal[[#This Row],[سعــــــر
الصـــــرف]],0)</f>
        <v>0</v>
      </c>
      <c r="O634" s="121" t="str">
        <f>INDEX(Tabledaily[المستفيــــــــد],MATCH(TableDailyJournal[[#This Row],[رقم العملية]],Tabledaily[رقم العملية],0))</f>
        <v>اركان اللواء السادس</v>
      </c>
      <c r="P634" s="121" t="str">
        <f>INDEX(Tabledaily[المــــرجـــــــــع],MATCH(TableDailyJournal[[#This Row],[رقم العملية]],Tabledaily[رقم العملية],0))</f>
        <v>استلام نقدي</v>
      </c>
      <c r="Q634" s="121" t="str">
        <f>INDEX(Tabledaily[اســـــــم المــــرجــــع],MATCH(TableDailyJournal[[#This Row],[رقم العملية]],Tabledaily[رقم العملية],0))</f>
        <v>سند استلام</v>
      </c>
      <c r="R634" s="121" t="str">
        <f>INDEX(Tabledaily[رقم المـــــرجـــع],MATCH(TableDailyJournal[[#This Row],[رقم العملية]],Tabledaily[رقم العملية],0))</f>
        <v>100-40</v>
      </c>
      <c r="S634" s="121" t="str">
        <f>INDEX(Tabledaily[مركـــــــزالتكلفــــــة],MATCH(TableDailyJournal[[#This Row],[رقم العملية]],Tabledaily[رقم العملية],0))</f>
        <v>اللواء السادس</v>
      </c>
      <c r="T634" s="121">
        <f>IFERROR(INDEX(tablecost[رقم المركز],MATCH(TableDailyJournal[[#This Row],[مركـــــــزالتكلفــــــة]],tablecost[الاسم],0)),0)</f>
        <v>7</v>
      </c>
      <c r="U634" s="122">
        <f>IFERROR(DATE(TableDailyJournal[[#This Row],[السنــــة]],TableDailyJournal[[#This Row],[الشهــــر]],TableDailyJournal[[#This Row],[الـــــيوم]]),"01-01-2026")</f>
        <v>46192</v>
      </c>
      <c r="V634" s="126"/>
      <c r="W634" s="58"/>
      <c r="X634" s="58">
        <f>IFERROR(YEAR(TableDailyJournal[[#This Row],[التاريخ]]),"")</f>
        <v>2026</v>
      </c>
      <c r="Y634" s="58">
        <f>IFERROR(MONTH(TableDailyJournal[[#This Row],[التاريخ]]),"")</f>
        <v>6</v>
      </c>
      <c r="Z634" s="58">
        <f>IFERROR(DAY(TableDailyJournal[[#This Row],[التاريخ]]),"")</f>
        <v>19</v>
      </c>
      <c r="AA634" s="126"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v>
      </c>
      <c r="AB634" s="121" t="str">
        <f>INDEX(Tabledaily[جهة الامر],MATCH(TableDailyJournal[[#This Row],[رقم العملية]],Tabledaily[رقم العملية],0))</f>
        <v>المستشار المالي</v>
      </c>
    </row>
    <row r="635" spans="2:28" ht="45.75" x14ac:dyDescent="0.55000000000000004">
      <c r="B635" s="58">
        <f t="shared" si="20"/>
        <v>631</v>
      </c>
      <c r="C635" s="59" t="s">
        <v>1117</v>
      </c>
      <c r="D635" s="60">
        <f>INDEX(Tabledaily[date],MATCH(TableDailyJournal[[#This Row],[رقم العملية]],Tabledaily[رقم العملية],0))</f>
        <v>46192</v>
      </c>
      <c r="E635" s="58" t="str">
        <f>INDEX(Tabledaily[نوع العمليــة],MATCH(TableDailyJournal[[#This Row],[رقم العملية]],Tabledaily[رقم العملية],0))</f>
        <v>قيد عهده</v>
      </c>
      <c r="F635" s="58">
        <f>IFERROR(INDEX(TableJudje[رقم الحساب],MATCH(TableDailyJournal[[#This Row],[الحساب]],TableJudje[اسم الحساب],0)),0)</f>
        <v>11060205</v>
      </c>
      <c r="G635" s="58" t="s">
        <v>513</v>
      </c>
      <c r="H635" s="61"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v>
      </c>
      <c r="I635" s="60" t="str">
        <f>INDEX(Tabledaily[العملـــة],MATCH(TableDailyJournal[[#This Row],[رقم العملية]],Tabledaily[رقم العملية],0))</f>
        <v>ريال يمني</v>
      </c>
      <c r="J635" s="59">
        <f>IFERROR(INDEX(Tabledaily[سعــــــر
الصـــــرف],MATCH(C635,Tabledaily[رقم العملية],0)),1)</f>
        <v>405</v>
      </c>
      <c r="K635" s="123" cm="1">
        <f t="array" ref="K635">IFERROR(INDEX(Tabledaily[المبلـــــــغ],MATCH(1,(TableDailyJournal[[#This Row],[رقم العملية]]=Tabledaily[رقم العملية])*(TableDailyJournal[[#This Row],[الحساب]]=Tabledaily[الحســاب المديــــن]),0)),0)</f>
        <v>0</v>
      </c>
      <c r="L635" s="123" cm="1">
        <f t="array" ref="L635">IFERROR(INDEX(Tabledaily[المبلـــــــغ],MATCH(1,(TableDailyJournal[[#This Row],[رقم العملية]]=Tabledaily[رقم العملية])*(TableDailyJournal[[#This Row],[الحساب]]=Tabledaily[الحســاب الدئـــن]),0)),0)</f>
        <v>20000</v>
      </c>
      <c r="M635" s="119">
        <f>IFERROR(TableDailyJournal[[#This Row],[المبلغ مدين]]/TableDailyJournal[[#This Row],[سعــــــر
الصـــــرف]],0)</f>
        <v>0</v>
      </c>
      <c r="N635" s="119">
        <f>IFERROR(TableDailyJournal[[#This Row],[المبلغ دائن]]/TableDailyJournal[[#This Row],[سعــــــر
الصـــــرف]],0)</f>
        <v>49.382716049382715</v>
      </c>
      <c r="O635" s="121" t="str">
        <f>INDEX(Tabledaily[المستفيــــــــد],MATCH(TableDailyJournal[[#This Row],[رقم العملية]],Tabledaily[رقم العملية],0))</f>
        <v>اركان اللواء السادس</v>
      </c>
      <c r="P635" s="121" t="str">
        <f>INDEX(Tabledaily[المــــرجـــــــــع],MATCH(TableDailyJournal[[#This Row],[رقم العملية]],Tabledaily[رقم العملية],0))</f>
        <v>استلام نقدي</v>
      </c>
      <c r="Q635" s="121" t="str">
        <f>INDEX(Tabledaily[اســـــــم المــــرجــــع],MATCH(TableDailyJournal[[#This Row],[رقم العملية]],Tabledaily[رقم العملية],0))</f>
        <v>سند استلام</v>
      </c>
      <c r="R635" s="121" t="str">
        <f>INDEX(Tabledaily[رقم المـــــرجـــع],MATCH(TableDailyJournal[[#This Row],[رقم العملية]],Tabledaily[رقم العملية],0))</f>
        <v>100-40</v>
      </c>
      <c r="S635" s="121" t="str">
        <f>INDEX(Tabledaily[مركـــــــزالتكلفــــــة],MATCH(TableDailyJournal[[#This Row],[رقم العملية]],Tabledaily[رقم العملية],0))</f>
        <v>اللواء السادس</v>
      </c>
      <c r="T635" s="121">
        <f>IFERROR(INDEX(tablecost[رقم المركز],MATCH(TableDailyJournal[[#This Row],[مركـــــــزالتكلفــــــة]],tablecost[الاسم],0)),0)</f>
        <v>7</v>
      </c>
      <c r="U635" s="122">
        <f>IFERROR(DATE(TableDailyJournal[[#This Row],[السنــــة]],TableDailyJournal[[#This Row],[الشهــــر]],TableDailyJournal[[#This Row],[الـــــيوم]]),"01-01-2026")</f>
        <v>46192</v>
      </c>
      <c r="V635" s="126"/>
      <c r="W635" s="58"/>
      <c r="X635" s="58">
        <f>IFERROR(YEAR(TableDailyJournal[[#This Row],[التاريخ]]),"")</f>
        <v>2026</v>
      </c>
      <c r="Y635" s="58">
        <f>IFERROR(MONTH(TableDailyJournal[[#This Row],[التاريخ]]),"")</f>
        <v>6</v>
      </c>
      <c r="Z635" s="58">
        <f>IFERROR(DAY(TableDailyJournal[[#This Row],[التاريخ]]),"")</f>
        <v>19</v>
      </c>
      <c r="AA635" s="126" t="str">
        <f>INDEX(Tabledaily[المرجع البياني],MATCH(TableDailyJournal[[#This Row],[رقم العملية]],Tabledaily[رقم العملية],0))</f>
        <v>قيـد مقابـل:- (مصاريف  صرفة يومية للافراد  - اركان اللواء السادس - اللواء السادس)  - استلام نقدي رقم 100-40  سند استلام - صرف نثريات اركان اللواء السادس بامرالمستشار المالي</v>
      </c>
      <c r="AB635" s="121" t="str">
        <f>INDEX(Tabledaily[جهة الامر],MATCH(TableDailyJournal[[#This Row],[رقم العملية]],Tabledaily[رقم العملية],0))</f>
        <v>المستشار المالي</v>
      </c>
    </row>
    <row r="636" spans="2:28" ht="45.75" x14ac:dyDescent="0.55000000000000004">
      <c r="B636" s="58">
        <f t="shared" si="20"/>
        <v>632</v>
      </c>
      <c r="C636" s="59" t="s">
        <v>1119</v>
      </c>
      <c r="D636" s="60">
        <f>INDEX(Tabledaily[date],MATCH(TableDailyJournal[[#This Row],[رقم العملية]],Tabledaily[رقم العملية],0))</f>
        <v>46192</v>
      </c>
      <c r="E636" s="58" t="str">
        <f>INDEX(Tabledaily[نوع العمليــة],MATCH(TableDailyJournal[[#This Row],[رقم العملية]],Tabledaily[رقم العملية],0))</f>
        <v>قيد عهده</v>
      </c>
      <c r="F636" s="58">
        <f>IFERROR(INDEX(TableJudje[رقم الحساب],MATCH(TableDailyJournal[[#This Row],[الحساب]],TableJudje[اسم الحساب],0)),0)</f>
        <v>31010109</v>
      </c>
      <c r="G636" s="58" t="s">
        <v>484</v>
      </c>
      <c r="H636" s="61" t="str">
        <f>INDEX(Tabledaily[المرجع البياني],MATCH(TableDailyJournal[[#This Row],[رقم العملية]],Tabledaily[رقم العملية],0))</f>
        <v>قيـد مقابـل:- (مصاريف نثريات أخرى - عمال - الفرقة الثالثة)  - استلام نقدي رقم 100-43  سند استلام - صرف اجور 5 عمال انزال المهام الى مستودعات الامداد  بامر</v>
      </c>
      <c r="I636" s="60" t="str">
        <f>INDEX(Tabledaily[العملـــة],MATCH(TableDailyJournal[[#This Row],[رقم العملية]],Tabledaily[رقم العملية],0))</f>
        <v>ريال يمني</v>
      </c>
      <c r="J636" s="59">
        <f>IFERROR(INDEX(Tabledaily[سعــــــر
الصـــــرف],MATCH(C636,Tabledaily[رقم العملية],0)),1)</f>
        <v>405</v>
      </c>
      <c r="K636" s="123" cm="1">
        <f t="array" ref="K636">IFERROR(INDEX(Tabledaily[المبلـــــــغ],MATCH(1,(TableDailyJournal[[#This Row],[رقم العملية]]=Tabledaily[رقم العملية])*(TableDailyJournal[[#This Row],[الحساب]]=Tabledaily[الحســاب المديــــن]),0)),0)</f>
        <v>25000</v>
      </c>
      <c r="L636" s="123" cm="1">
        <f t="array" ref="L636">IFERROR(INDEX(Tabledaily[المبلـــــــغ],MATCH(1,(TableDailyJournal[[#This Row],[رقم العملية]]=Tabledaily[رقم العملية])*(TableDailyJournal[[#This Row],[الحساب]]=Tabledaily[الحســاب الدئـــن]),0)),0)</f>
        <v>0</v>
      </c>
      <c r="M636" s="119">
        <f>IFERROR(TableDailyJournal[[#This Row],[المبلغ مدين]]/TableDailyJournal[[#This Row],[سعــــــر
الصـــــرف]],0)</f>
        <v>61.728395061728392</v>
      </c>
      <c r="N636" s="119">
        <f>IFERROR(TableDailyJournal[[#This Row],[المبلغ دائن]]/TableDailyJournal[[#This Row],[سعــــــر
الصـــــرف]],0)</f>
        <v>0</v>
      </c>
      <c r="O636" s="121" t="str">
        <f>INDEX(Tabledaily[المستفيــــــــد],MATCH(TableDailyJournal[[#This Row],[رقم العملية]],Tabledaily[رقم العملية],0))</f>
        <v>عمال</v>
      </c>
      <c r="P636" s="121" t="str">
        <f>INDEX(Tabledaily[المــــرجـــــــــع],MATCH(TableDailyJournal[[#This Row],[رقم العملية]],Tabledaily[رقم العملية],0))</f>
        <v>استلام نقدي</v>
      </c>
      <c r="Q636" s="121" t="str">
        <f>INDEX(Tabledaily[اســـــــم المــــرجــــع],MATCH(TableDailyJournal[[#This Row],[رقم العملية]],Tabledaily[رقم العملية],0))</f>
        <v>سند استلام</v>
      </c>
      <c r="R636" s="121" t="str">
        <f>INDEX(Tabledaily[رقم المـــــرجـــع],MATCH(TableDailyJournal[[#This Row],[رقم العملية]],Tabledaily[رقم العملية],0))</f>
        <v>100-43</v>
      </c>
      <c r="S636" s="121" t="str">
        <f>INDEX(Tabledaily[مركـــــــزالتكلفــــــة],MATCH(TableDailyJournal[[#This Row],[رقم العملية]],Tabledaily[رقم العملية],0))</f>
        <v>الفرقة الثالثة</v>
      </c>
      <c r="T636" s="121">
        <f>IFERROR(INDEX(tablecost[رقم المركز],MATCH(TableDailyJournal[[#This Row],[مركـــــــزالتكلفــــــة]],tablecost[الاسم],0)),0)</f>
        <v>1</v>
      </c>
      <c r="U636" s="122">
        <f>IFERROR(DATE(TableDailyJournal[[#This Row],[السنــــة]],TableDailyJournal[[#This Row],[الشهــــر]],TableDailyJournal[[#This Row],[الـــــيوم]]),"01-01-2026")</f>
        <v>46192</v>
      </c>
      <c r="V636" s="126"/>
      <c r="W636" s="58"/>
      <c r="X636" s="58">
        <f>IFERROR(YEAR(TableDailyJournal[[#This Row],[التاريخ]]),"")</f>
        <v>2026</v>
      </c>
      <c r="Y636" s="58">
        <f>IFERROR(MONTH(TableDailyJournal[[#This Row],[التاريخ]]),"")</f>
        <v>6</v>
      </c>
      <c r="Z636" s="58">
        <f>IFERROR(DAY(TableDailyJournal[[#This Row],[التاريخ]]),"")</f>
        <v>19</v>
      </c>
      <c r="AA636" s="126" t="str">
        <f>INDEX(Tabledaily[المرجع البياني],MATCH(TableDailyJournal[[#This Row],[رقم العملية]],Tabledaily[رقم العملية],0))</f>
        <v>قيـد مقابـل:- (مصاريف نثريات أخرى - عمال - الفرقة الثالثة)  - استلام نقدي رقم 100-43  سند استلام - صرف اجور 5 عمال انزال المهام الى مستودعات الامداد  بامر</v>
      </c>
      <c r="AB636" s="121">
        <f>INDEX(Tabledaily[جهة الامر],MATCH(TableDailyJournal[[#This Row],[رقم العملية]],Tabledaily[رقم العملية],0))</f>
        <v>0</v>
      </c>
    </row>
    <row r="637" spans="2:28" ht="45.75" x14ac:dyDescent="0.55000000000000004">
      <c r="B637" s="58">
        <f t="shared" si="20"/>
        <v>633</v>
      </c>
      <c r="C637" s="59" t="s">
        <v>1119</v>
      </c>
      <c r="D637" s="60">
        <f>INDEX(Tabledaily[date],MATCH(TableDailyJournal[[#This Row],[رقم العملية]],Tabledaily[رقم العملية],0))</f>
        <v>46192</v>
      </c>
      <c r="E637" s="58" t="str">
        <f>INDEX(Tabledaily[نوع العمليــة],MATCH(TableDailyJournal[[#This Row],[رقم العملية]],Tabledaily[رقم العملية],0))</f>
        <v>قيد عهده</v>
      </c>
      <c r="F637" s="58">
        <f>IFERROR(INDEX(TableJudje[رقم الحساب],MATCH(TableDailyJournal[[#This Row],[الحساب]],TableJudje[اسم الحساب],0)),0)</f>
        <v>11060205</v>
      </c>
      <c r="G637" s="58" t="s">
        <v>513</v>
      </c>
      <c r="H637" s="61" t="str">
        <f>INDEX(Tabledaily[المرجع البياني],MATCH(TableDailyJournal[[#This Row],[رقم العملية]],Tabledaily[رقم العملية],0))</f>
        <v>قيـد مقابـل:- (مصاريف نثريات أخرى - عمال - الفرقة الثالثة)  - استلام نقدي رقم 100-43  سند استلام - صرف اجور 5 عمال انزال المهام الى مستودعات الامداد  بامر</v>
      </c>
      <c r="I637" s="60" t="str">
        <f>INDEX(Tabledaily[العملـــة],MATCH(TableDailyJournal[[#This Row],[رقم العملية]],Tabledaily[رقم العملية],0))</f>
        <v>ريال يمني</v>
      </c>
      <c r="J637" s="59">
        <f>IFERROR(INDEX(Tabledaily[سعــــــر
الصـــــرف],MATCH(C637,Tabledaily[رقم العملية],0)),1)</f>
        <v>405</v>
      </c>
      <c r="K637" s="123" cm="1">
        <f t="array" ref="K637">IFERROR(INDEX(Tabledaily[المبلـــــــغ],MATCH(1,(TableDailyJournal[[#This Row],[رقم العملية]]=Tabledaily[رقم العملية])*(TableDailyJournal[[#This Row],[الحساب]]=Tabledaily[الحســاب المديــــن]),0)),0)</f>
        <v>0</v>
      </c>
      <c r="L637" s="123" cm="1">
        <f t="array" ref="L637">IFERROR(INDEX(Tabledaily[المبلـــــــغ],MATCH(1,(TableDailyJournal[[#This Row],[رقم العملية]]=Tabledaily[رقم العملية])*(TableDailyJournal[[#This Row],[الحساب]]=Tabledaily[الحســاب الدئـــن]),0)),0)</f>
        <v>25000</v>
      </c>
      <c r="M637" s="119">
        <f>IFERROR(TableDailyJournal[[#This Row],[المبلغ مدين]]/TableDailyJournal[[#This Row],[سعــــــر
الصـــــرف]],0)</f>
        <v>0</v>
      </c>
      <c r="N637" s="119">
        <f>IFERROR(TableDailyJournal[[#This Row],[المبلغ دائن]]/TableDailyJournal[[#This Row],[سعــــــر
الصـــــرف]],0)</f>
        <v>61.728395061728392</v>
      </c>
      <c r="O637" s="121" t="str">
        <f>INDEX(Tabledaily[المستفيــــــــد],MATCH(TableDailyJournal[[#This Row],[رقم العملية]],Tabledaily[رقم العملية],0))</f>
        <v>عمال</v>
      </c>
      <c r="P637" s="121" t="str">
        <f>INDEX(Tabledaily[المــــرجـــــــــع],MATCH(TableDailyJournal[[#This Row],[رقم العملية]],Tabledaily[رقم العملية],0))</f>
        <v>استلام نقدي</v>
      </c>
      <c r="Q637" s="121" t="str">
        <f>INDEX(Tabledaily[اســـــــم المــــرجــــع],MATCH(TableDailyJournal[[#This Row],[رقم العملية]],Tabledaily[رقم العملية],0))</f>
        <v>سند استلام</v>
      </c>
      <c r="R637" s="121" t="str">
        <f>INDEX(Tabledaily[رقم المـــــرجـــع],MATCH(TableDailyJournal[[#This Row],[رقم العملية]],Tabledaily[رقم العملية],0))</f>
        <v>100-43</v>
      </c>
      <c r="S637" s="121" t="str">
        <f>INDEX(Tabledaily[مركـــــــزالتكلفــــــة],MATCH(TableDailyJournal[[#This Row],[رقم العملية]],Tabledaily[رقم العملية],0))</f>
        <v>الفرقة الثالثة</v>
      </c>
      <c r="T637" s="121">
        <f>IFERROR(INDEX(tablecost[رقم المركز],MATCH(TableDailyJournal[[#This Row],[مركـــــــزالتكلفــــــة]],tablecost[الاسم],0)),0)</f>
        <v>1</v>
      </c>
      <c r="U637" s="122">
        <f>IFERROR(DATE(TableDailyJournal[[#This Row],[السنــــة]],TableDailyJournal[[#This Row],[الشهــــر]],TableDailyJournal[[#This Row],[الـــــيوم]]),"01-01-2026")</f>
        <v>46192</v>
      </c>
      <c r="V637" s="126"/>
      <c r="W637" s="58"/>
      <c r="X637" s="58">
        <f>IFERROR(YEAR(TableDailyJournal[[#This Row],[التاريخ]]),"")</f>
        <v>2026</v>
      </c>
      <c r="Y637" s="58">
        <f>IFERROR(MONTH(TableDailyJournal[[#This Row],[التاريخ]]),"")</f>
        <v>6</v>
      </c>
      <c r="Z637" s="58">
        <f>IFERROR(DAY(TableDailyJournal[[#This Row],[التاريخ]]),"")</f>
        <v>19</v>
      </c>
      <c r="AA637" s="126" t="str">
        <f>INDEX(Tabledaily[المرجع البياني],MATCH(TableDailyJournal[[#This Row],[رقم العملية]],Tabledaily[رقم العملية],0))</f>
        <v>قيـد مقابـل:- (مصاريف نثريات أخرى - عمال - الفرقة الثالثة)  - استلام نقدي رقم 100-43  سند استلام - صرف اجور 5 عمال انزال المهام الى مستودعات الامداد  بامر</v>
      </c>
      <c r="AB637" s="121">
        <f>INDEX(Tabledaily[جهة الامر],MATCH(TableDailyJournal[[#This Row],[رقم العملية]],Tabledaily[رقم العملية],0))</f>
        <v>0</v>
      </c>
    </row>
    <row r="638" spans="2:28" ht="67.5" x14ac:dyDescent="0.55000000000000004">
      <c r="B638" s="58">
        <f t="shared" si="20"/>
        <v>634</v>
      </c>
      <c r="C638" s="59" t="s">
        <v>1122</v>
      </c>
      <c r="D638" s="60">
        <f>INDEX(Tabledaily[date],MATCH(TableDailyJournal[[#This Row],[رقم العملية]],Tabledaily[رقم العملية],0))</f>
        <v>46192</v>
      </c>
      <c r="E638" s="58" t="str">
        <f>INDEX(Tabledaily[نوع العمليــة],MATCH(TableDailyJournal[[#This Row],[رقم العملية]],Tabledaily[رقم العملية],0))</f>
        <v>قيد عهده</v>
      </c>
      <c r="F638" s="58">
        <f>IFERROR(INDEX(TableJudje[رقم الحساب],MATCH(TableDailyJournal[[#This Row],[الحساب]],TableJudje[اسم الحساب],0)),0)</f>
        <v>31010109</v>
      </c>
      <c r="G638" s="58" t="s">
        <v>484</v>
      </c>
      <c r="H638" s="61" t="str">
        <f>INDEX(Tabledaily[المرجع البياني],MATCH(TableDailyJournal[[#This Row],[رقم العملية]],Tabledaily[رقم العملية],0))</f>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v>
      </c>
      <c r="I638" s="60" t="str">
        <f>INDEX(Tabledaily[العملـــة],MATCH(TableDailyJournal[[#This Row],[رقم العملية]],Tabledaily[رقم العملية],0))</f>
        <v>ريال سعودي</v>
      </c>
      <c r="J638" s="59">
        <f>IFERROR(INDEX(Tabledaily[سعــــــر
الصـــــرف],MATCH(C638,Tabledaily[رقم العملية],0)),1)</f>
        <v>1</v>
      </c>
      <c r="K638" s="123" cm="1">
        <f t="array" ref="K638">IFERROR(INDEX(Tabledaily[المبلـــــــغ],MATCH(1,(TableDailyJournal[[#This Row],[رقم العملية]]=Tabledaily[رقم العملية])*(TableDailyJournal[[#This Row],[الحساب]]=Tabledaily[الحســاب المديــــن]),0)),0)</f>
        <v>500</v>
      </c>
      <c r="L638" s="123" cm="1">
        <f t="array" ref="L638">IFERROR(INDEX(Tabledaily[المبلـــــــغ],MATCH(1,(TableDailyJournal[[#This Row],[رقم العملية]]=Tabledaily[رقم العملية])*(TableDailyJournal[[#This Row],[الحساب]]=Tabledaily[الحســاب الدئـــن]),0)),0)</f>
        <v>0</v>
      </c>
      <c r="M638" s="119">
        <f>IFERROR(TableDailyJournal[[#This Row],[المبلغ مدين]]/TableDailyJournal[[#This Row],[سعــــــر
الصـــــرف]],0)</f>
        <v>500</v>
      </c>
      <c r="N638" s="119">
        <f>IFERROR(TableDailyJournal[[#This Row],[المبلغ دائن]]/TableDailyJournal[[#This Row],[سعــــــر
الصـــــرف]],0)</f>
        <v>0</v>
      </c>
      <c r="O638" s="121" t="str">
        <f>INDEX(Tabledaily[المستفيــــــــد],MATCH(TableDailyJournal[[#This Row],[رقم العملية]],Tabledaily[رقم العملية],0))</f>
        <v>اطقم اللواء السابع مهمة معسكر العفاريت</v>
      </c>
      <c r="P638" s="121" t="str">
        <f>INDEX(Tabledaily[المــــرجـــــــــع],MATCH(TableDailyJournal[[#This Row],[رقم العملية]],Tabledaily[رقم العملية],0))</f>
        <v>استلام نقدي</v>
      </c>
      <c r="Q638" s="121" t="str">
        <f>INDEX(Tabledaily[اســـــــم المــــرجــــع],MATCH(TableDailyJournal[[#This Row],[رقم العملية]],Tabledaily[رقم العملية],0))</f>
        <v>سند استلام</v>
      </c>
      <c r="R638" s="121" t="str">
        <f>INDEX(Tabledaily[رقم المـــــرجـــع],MATCH(TableDailyJournal[[#This Row],[رقم العملية]],Tabledaily[رقم العملية],0))</f>
        <v>100-45</v>
      </c>
      <c r="S638" s="121" t="str">
        <f>INDEX(Tabledaily[مركـــــــزالتكلفــــــة],MATCH(TableDailyJournal[[#This Row],[رقم العملية]],Tabledaily[رقم العملية],0))</f>
        <v>الفرقة الثالثة</v>
      </c>
      <c r="T638" s="121">
        <f>IFERROR(INDEX(tablecost[رقم المركز],MATCH(TableDailyJournal[[#This Row],[مركـــــــزالتكلفــــــة]],tablecost[الاسم],0)),0)</f>
        <v>1</v>
      </c>
      <c r="U638" s="122">
        <f>IFERROR(DATE(TableDailyJournal[[#This Row],[السنــــة]],TableDailyJournal[[#This Row],[الشهــــر]],TableDailyJournal[[#This Row],[الـــــيوم]]),"01-01-2026")</f>
        <v>46192</v>
      </c>
      <c r="V638" s="126"/>
      <c r="W638" s="58"/>
      <c r="X638" s="58">
        <f>IFERROR(YEAR(TableDailyJournal[[#This Row],[التاريخ]]),"")</f>
        <v>2026</v>
      </c>
      <c r="Y638" s="58">
        <f>IFERROR(MONTH(TableDailyJournal[[#This Row],[التاريخ]]),"")</f>
        <v>6</v>
      </c>
      <c r="Z638" s="58">
        <f>IFERROR(DAY(TableDailyJournal[[#This Row],[التاريخ]]),"")</f>
        <v>19</v>
      </c>
      <c r="AA638" s="126" t="str">
        <f>INDEX(Tabledaily[المرجع البياني],MATCH(TableDailyJournal[[#This Row],[رقم العملية]],Tabledaily[رقم العملية],0))</f>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v>
      </c>
      <c r="AB638" s="121" t="str">
        <f>INDEX(Tabledaily[جهة الامر],MATCH(TableDailyJournal[[#This Row],[رقم العملية]],Tabledaily[رقم العملية],0))</f>
        <v>القائد</v>
      </c>
    </row>
    <row r="639" spans="2:28" ht="67.5" x14ac:dyDescent="0.55000000000000004">
      <c r="B639" s="58">
        <f t="shared" si="20"/>
        <v>635</v>
      </c>
      <c r="C639" s="59" t="s">
        <v>1122</v>
      </c>
      <c r="D639" s="60">
        <f>INDEX(Tabledaily[date],MATCH(TableDailyJournal[[#This Row],[رقم العملية]],Tabledaily[رقم العملية],0))</f>
        <v>46192</v>
      </c>
      <c r="E639" s="58" t="str">
        <f>INDEX(Tabledaily[نوع العمليــة],MATCH(TableDailyJournal[[#This Row],[رقم العملية]],Tabledaily[رقم العملية],0))</f>
        <v>قيد عهده</v>
      </c>
      <c r="F639" s="58">
        <f>IFERROR(INDEX(TableJudje[رقم الحساب],MATCH(TableDailyJournal[[#This Row],[الحساب]],TableJudje[اسم الحساب],0)),0)</f>
        <v>11060205</v>
      </c>
      <c r="G639" s="58" t="s">
        <v>513</v>
      </c>
      <c r="H639" s="61" t="str">
        <f>INDEX(Tabledaily[المرجع البياني],MATCH(TableDailyJournal[[#This Row],[رقم العملية]],Tabledaily[رقم العملية],0))</f>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v>
      </c>
      <c r="I639" s="60" t="str">
        <f>INDEX(Tabledaily[العملـــة],MATCH(TableDailyJournal[[#This Row],[رقم العملية]],Tabledaily[رقم العملية],0))</f>
        <v>ريال سعودي</v>
      </c>
      <c r="J639" s="59">
        <f>IFERROR(INDEX(Tabledaily[سعــــــر
الصـــــرف],MATCH(C639,Tabledaily[رقم العملية],0)),1)</f>
        <v>1</v>
      </c>
      <c r="K639" s="123" cm="1">
        <f t="array" ref="K639">IFERROR(INDEX(Tabledaily[المبلـــــــغ],MATCH(1,(TableDailyJournal[[#This Row],[رقم العملية]]=Tabledaily[رقم العملية])*(TableDailyJournal[[#This Row],[الحساب]]=Tabledaily[الحســاب المديــــن]),0)),0)</f>
        <v>0</v>
      </c>
      <c r="L639" s="123" cm="1">
        <f t="array" ref="L639">IFERROR(INDEX(Tabledaily[المبلـــــــغ],MATCH(1,(TableDailyJournal[[#This Row],[رقم العملية]]=Tabledaily[رقم العملية])*(TableDailyJournal[[#This Row],[الحساب]]=Tabledaily[الحســاب الدئـــن]),0)),0)</f>
        <v>500</v>
      </c>
      <c r="M639" s="119">
        <f>IFERROR(TableDailyJournal[[#This Row],[المبلغ مدين]]/TableDailyJournal[[#This Row],[سعــــــر
الصـــــرف]],0)</f>
        <v>0</v>
      </c>
      <c r="N639" s="119">
        <f>IFERROR(TableDailyJournal[[#This Row],[المبلغ دائن]]/TableDailyJournal[[#This Row],[سعــــــر
الصـــــرف]],0)</f>
        <v>500</v>
      </c>
      <c r="O639" s="121" t="str">
        <f>INDEX(Tabledaily[المستفيــــــــد],MATCH(TableDailyJournal[[#This Row],[رقم العملية]],Tabledaily[رقم العملية],0))</f>
        <v>اطقم اللواء السابع مهمة معسكر العفاريت</v>
      </c>
      <c r="P639" s="121" t="str">
        <f>INDEX(Tabledaily[المــــرجـــــــــع],MATCH(TableDailyJournal[[#This Row],[رقم العملية]],Tabledaily[رقم العملية],0))</f>
        <v>استلام نقدي</v>
      </c>
      <c r="Q639" s="121" t="str">
        <f>INDEX(Tabledaily[اســـــــم المــــرجــــع],MATCH(TableDailyJournal[[#This Row],[رقم العملية]],Tabledaily[رقم العملية],0))</f>
        <v>سند استلام</v>
      </c>
      <c r="R639" s="121" t="str">
        <f>INDEX(Tabledaily[رقم المـــــرجـــع],MATCH(TableDailyJournal[[#This Row],[رقم العملية]],Tabledaily[رقم العملية],0))</f>
        <v>100-45</v>
      </c>
      <c r="S639" s="121" t="str">
        <f>INDEX(Tabledaily[مركـــــــزالتكلفــــــة],MATCH(TableDailyJournal[[#This Row],[رقم العملية]],Tabledaily[رقم العملية],0))</f>
        <v>الفرقة الثالثة</v>
      </c>
      <c r="T639" s="121">
        <f>IFERROR(INDEX(tablecost[رقم المركز],MATCH(TableDailyJournal[[#This Row],[مركـــــــزالتكلفــــــة]],tablecost[الاسم],0)),0)</f>
        <v>1</v>
      </c>
      <c r="U639" s="122">
        <f>IFERROR(DATE(TableDailyJournal[[#This Row],[السنــــة]],TableDailyJournal[[#This Row],[الشهــــر]],TableDailyJournal[[#This Row],[الـــــيوم]]),"01-01-2026")</f>
        <v>46192</v>
      </c>
      <c r="V639" s="126"/>
      <c r="W639" s="58"/>
      <c r="X639" s="58">
        <f>IFERROR(YEAR(TableDailyJournal[[#This Row],[التاريخ]]),"")</f>
        <v>2026</v>
      </c>
      <c r="Y639" s="58">
        <f>IFERROR(MONTH(TableDailyJournal[[#This Row],[التاريخ]]),"")</f>
        <v>6</v>
      </c>
      <c r="Z639" s="58">
        <f>IFERROR(DAY(TableDailyJournal[[#This Row],[التاريخ]]),"")</f>
        <v>19</v>
      </c>
      <c r="AA639" s="126" t="str">
        <f>INDEX(Tabledaily[المرجع البياني],MATCH(TableDailyJournal[[#This Row],[رقم العملية]],Tabledaily[رقم العملية],0))</f>
        <v>قيـد مقابـل:- (مصاريف نثريات أخرى - اطقم اللواء السابع مهمة معسكر العفاريت - الفرقة الثالثة)  - استلام نقدي رقم 100-45  سند استلام - مصاريف لافراد اللواء السابع المكلفين مهمة في معسكر العفاريت عدد 28 فرد بامرالقائد</v>
      </c>
      <c r="AB639" s="121" t="str">
        <f>INDEX(Tabledaily[جهة الامر],MATCH(TableDailyJournal[[#This Row],[رقم العملية]],Tabledaily[رقم العملية],0))</f>
        <v>القائد</v>
      </c>
    </row>
    <row r="640" spans="2:28" ht="67.5" x14ac:dyDescent="0.55000000000000004">
      <c r="B640" s="58">
        <f t="shared" si="20"/>
        <v>636</v>
      </c>
      <c r="C640" s="59" t="s">
        <v>1126</v>
      </c>
      <c r="D640" s="60">
        <f>INDEX(Tabledaily[date],MATCH(TableDailyJournal[[#This Row],[رقم العملية]],Tabledaily[رقم العملية],0))</f>
        <v>46192</v>
      </c>
      <c r="E640" s="58" t="str">
        <f>INDEX(Tabledaily[نوع العمليــة],MATCH(TableDailyJournal[[#This Row],[رقم العملية]],Tabledaily[رقم العملية],0))</f>
        <v>قيد عهده</v>
      </c>
      <c r="F640" s="58">
        <f>IFERROR(INDEX(TableJudje[رقم الحساب],MATCH(TableDailyJournal[[#This Row],[الحساب]],TableJudje[اسم الحساب],0)),0)</f>
        <v>31010114</v>
      </c>
      <c r="G640" s="58" t="s">
        <v>121</v>
      </c>
      <c r="H640" s="61" t="str">
        <f>INDEX(Tabledaily[المرجع البياني],MATCH(TableDailyJournal[[#This Row],[رقم العملية]],Tabledaily[رقم العملية],0))</f>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v>
      </c>
      <c r="I640" s="60" t="str">
        <f>INDEX(Tabledaily[العملـــة],MATCH(TableDailyJournal[[#This Row],[رقم العملية]],Tabledaily[رقم العملية],0))</f>
        <v>ريال سعودي</v>
      </c>
      <c r="J640" s="59">
        <f>IFERROR(INDEX(Tabledaily[سعــــــر
الصـــــرف],MATCH(C640,Tabledaily[رقم العملية],0)),1)</f>
        <v>1</v>
      </c>
      <c r="K640" s="123" cm="1">
        <f t="array" ref="K640">IFERROR(INDEX(Tabledaily[المبلـــــــغ],MATCH(1,(TableDailyJournal[[#This Row],[رقم العملية]]=Tabledaily[رقم العملية])*(TableDailyJournal[[#This Row],[الحساب]]=Tabledaily[الحســاب المديــــن]),0)),0)</f>
        <v>500</v>
      </c>
      <c r="L640" s="123" cm="1">
        <f t="array" ref="L640">IFERROR(INDEX(Tabledaily[المبلـــــــغ],MATCH(1,(TableDailyJournal[[#This Row],[رقم العملية]]=Tabledaily[رقم العملية])*(TableDailyJournal[[#This Row],[الحساب]]=Tabledaily[الحســاب الدئـــن]),0)),0)</f>
        <v>0</v>
      </c>
      <c r="M640" s="119">
        <f>IFERROR(TableDailyJournal[[#This Row],[المبلغ مدين]]/TableDailyJournal[[#This Row],[سعــــــر
الصـــــرف]],0)</f>
        <v>500</v>
      </c>
      <c r="N640" s="119">
        <f>IFERROR(TableDailyJournal[[#This Row],[المبلغ دائن]]/TableDailyJournal[[#This Row],[سعــــــر
الصـــــرف]],0)</f>
        <v>0</v>
      </c>
      <c r="O640" s="121" t="str">
        <f>INDEX(Tabledaily[المستفيــــــــد],MATCH(TableDailyJournal[[#This Row],[رقم العملية]],Tabledaily[رقم العملية],0))</f>
        <v>مدير دائرة الاتصالات</v>
      </c>
      <c r="P640" s="121" t="str">
        <f>INDEX(Tabledaily[المــــرجـــــــــع],MATCH(TableDailyJournal[[#This Row],[رقم العملية]],Tabledaily[رقم العملية],0))</f>
        <v>استلام نقدي</v>
      </c>
      <c r="Q640" s="121" t="str">
        <f>INDEX(Tabledaily[اســـــــم المــــرجــــع],MATCH(TableDailyJournal[[#This Row],[رقم العملية]],Tabledaily[رقم العملية],0))</f>
        <v>سند استلام</v>
      </c>
      <c r="R640" s="121" t="str">
        <f>INDEX(Tabledaily[رقم المـــــرجـــع],MATCH(TableDailyJournal[[#This Row],[رقم العملية]],Tabledaily[رقم العملية],0))</f>
        <v>100-119</v>
      </c>
      <c r="S640" s="121" t="str">
        <f>INDEX(Tabledaily[مركـــــــزالتكلفــــــة],MATCH(TableDailyJournal[[#This Row],[رقم العملية]],Tabledaily[رقم العملية],0))</f>
        <v>الفرقة الثالثة</v>
      </c>
      <c r="T640" s="121">
        <f>IFERROR(INDEX(tablecost[رقم المركز],MATCH(TableDailyJournal[[#This Row],[مركـــــــزالتكلفــــــة]],tablecost[الاسم],0)),0)</f>
        <v>1</v>
      </c>
      <c r="U640" s="122">
        <f>IFERROR(DATE(TableDailyJournal[[#This Row],[السنــــة]],TableDailyJournal[[#This Row],[الشهــــر]],TableDailyJournal[[#This Row],[الـــــيوم]]),"01-01-2026")</f>
        <v>46192</v>
      </c>
      <c r="V640" s="126"/>
      <c r="W640" s="58"/>
      <c r="X640" s="58">
        <f>IFERROR(YEAR(TableDailyJournal[[#This Row],[التاريخ]]),"")</f>
        <v>2026</v>
      </c>
      <c r="Y640" s="58">
        <f>IFERROR(MONTH(TableDailyJournal[[#This Row],[التاريخ]]),"")</f>
        <v>6</v>
      </c>
      <c r="Z640" s="58">
        <f>IFERROR(DAY(TableDailyJournal[[#This Row],[التاريخ]]),"")</f>
        <v>19</v>
      </c>
      <c r="AA640" s="126" t="str">
        <f>INDEX(Tabledaily[المرجع البياني],MATCH(TableDailyJournal[[#This Row],[رقم العملية]],Tabledaily[رقم العملية],0))</f>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v>
      </c>
      <c r="AB640" s="121" t="str">
        <f>INDEX(Tabledaily[جهة الامر],MATCH(TableDailyJournal[[#This Row],[رقم العملية]],Tabledaily[رقم العملية],0))</f>
        <v>المستشار المالي</v>
      </c>
    </row>
    <row r="641" spans="2:28" ht="67.5" x14ac:dyDescent="0.55000000000000004">
      <c r="B641" s="58">
        <f t="shared" si="20"/>
        <v>637</v>
      </c>
      <c r="C641" s="59" t="s">
        <v>1126</v>
      </c>
      <c r="D641" s="60">
        <f>INDEX(Tabledaily[date],MATCH(TableDailyJournal[[#This Row],[رقم العملية]],Tabledaily[رقم العملية],0))</f>
        <v>46192</v>
      </c>
      <c r="E641" s="58" t="str">
        <f>INDEX(Tabledaily[نوع العمليــة],MATCH(TableDailyJournal[[#This Row],[رقم العملية]],Tabledaily[رقم العملية],0))</f>
        <v>قيد عهده</v>
      </c>
      <c r="F641" s="58">
        <f>IFERROR(INDEX(TableJudje[رقم الحساب],MATCH(TableDailyJournal[[#This Row],[الحساب]],TableJudje[اسم الحساب],0)),0)</f>
        <v>11060205</v>
      </c>
      <c r="G641" s="58" t="s">
        <v>513</v>
      </c>
      <c r="H641" s="61" t="str">
        <f>INDEX(Tabledaily[المرجع البياني],MATCH(TableDailyJournal[[#This Row],[رقم العملية]],Tabledaily[رقم العملية],0))</f>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v>
      </c>
      <c r="I641" s="60" t="str">
        <f>INDEX(Tabledaily[العملـــة],MATCH(TableDailyJournal[[#This Row],[رقم العملية]],Tabledaily[رقم العملية],0))</f>
        <v>ريال سعودي</v>
      </c>
      <c r="J641" s="59">
        <f>IFERROR(INDEX(Tabledaily[سعــــــر
الصـــــرف],MATCH(C641,Tabledaily[رقم العملية],0)),1)</f>
        <v>1</v>
      </c>
      <c r="K641" s="123" cm="1">
        <f t="array" ref="K641">IFERROR(INDEX(Tabledaily[المبلـــــــغ],MATCH(1,(TableDailyJournal[[#This Row],[رقم العملية]]=Tabledaily[رقم العملية])*(TableDailyJournal[[#This Row],[الحساب]]=Tabledaily[الحســاب المديــــن]),0)),0)</f>
        <v>0</v>
      </c>
      <c r="L641" s="123" cm="1">
        <f t="array" ref="L641">IFERROR(INDEX(Tabledaily[المبلـــــــغ],MATCH(1,(TableDailyJournal[[#This Row],[رقم العملية]]=Tabledaily[رقم العملية])*(TableDailyJournal[[#This Row],[الحساب]]=Tabledaily[الحســاب الدئـــن]),0)),0)</f>
        <v>500</v>
      </c>
      <c r="M641" s="119">
        <f>IFERROR(TableDailyJournal[[#This Row],[المبلغ مدين]]/TableDailyJournal[[#This Row],[سعــــــر
الصـــــرف]],0)</f>
        <v>0</v>
      </c>
      <c r="N641" s="119">
        <f>IFERROR(TableDailyJournal[[#This Row],[المبلغ دائن]]/TableDailyJournal[[#This Row],[سعــــــر
الصـــــرف]],0)</f>
        <v>500</v>
      </c>
      <c r="O641" s="121" t="str">
        <f>INDEX(Tabledaily[المستفيــــــــد],MATCH(TableDailyJournal[[#This Row],[رقم العملية]],Tabledaily[رقم العملية],0))</f>
        <v>مدير دائرة الاتصالات</v>
      </c>
      <c r="P641" s="121" t="str">
        <f>INDEX(Tabledaily[المــــرجـــــــــع],MATCH(TableDailyJournal[[#This Row],[رقم العملية]],Tabledaily[رقم العملية],0))</f>
        <v>استلام نقدي</v>
      </c>
      <c r="Q641" s="121" t="str">
        <f>INDEX(Tabledaily[اســـــــم المــــرجــــع],MATCH(TableDailyJournal[[#This Row],[رقم العملية]],Tabledaily[رقم العملية],0))</f>
        <v>سند استلام</v>
      </c>
      <c r="R641" s="121" t="str">
        <f>INDEX(Tabledaily[رقم المـــــرجـــع],MATCH(TableDailyJournal[[#This Row],[رقم العملية]],Tabledaily[رقم العملية],0))</f>
        <v>100-119</v>
      </c>
      <c r="S641" s="121" t="str">
        <f>INDEX(Tabledaily[مركـــــــزالتكلفــــــة],MATCH(TableDailyJournal[[#This Row],[رقم العملية]],Tabledaily[رقم العملية],0))</f>
        <v>الفرقة الثالثة</v>
      </c>
      <c r="T641" s="121">
        <f>IFERROR(INDEX(tablecost[رقم المركز],MATCH(TableDailyJournal[[#This Row],[مركـــــــزالتكلفــــــة]],tablecost[الاسم],0)),0)</f>
        <v>1</v>
      </c>
      <c r="U641" s="122">
        <f>IFERROR(DATE(TableDailyJournal[[#This Row],[السنــــة]],TableDailyJournal[[#This Row],[الشهــــر]],TableDailyJournal[[#This Row],[الـــــيوم]]),"01-01-2026")</f>
        <v>46192</v>
      </c>
      <c r="V641" s="126"/>
      <c r="W641" s="58"/>
      <c r="X641" s="58">
        <f>IFERROR(YEAR(TableDailyJournal[[#This Row],[التاريخ]]),"")</f>
        <v>2026</v>
      </c>
      <c r="Y641" s="58">
        <f>IFERROR(MONTH(TableDailyJournal[[#This Row],[التاريخ]]),"")</f>
        <v>6</v>
      </c>
      <c r="Z641" s="58">
        <f>IFERROR(DAY(TableDailyJournal[[#This Row],[التاريخ]]),"")</f>
        <v>19</v>
      </c>
      <c r="AA641" s="126" t="str">
        <f>INDEX(Tabledaily[المرجع البياني],MATCH(TableDailyJournal[[#This Row],[رقم العملية]],Tabledaily[رقم العملية],0))</f>
        <v>قيـد مقابـل:- (مصاريف حوافز ومكافئات  - مدير دائرة الاتصالات - الفرقة الثالثة)  - استلام نقدي رقم 100-119  سند استلام - مصاريف حافز للاخ محمد اليوسفي توجيه المستشار المالي عبدالله باعمر بامرالمستشار المالي</v>
      </c>
      <c r="AB641" s="121" t="str">
        <f>INDEX(Tabledaily[جهة الامر],MATCH(TableDailyJournal[[#This Row],[رقم العملية]],Tabledaily[رقم العملية],0))</f>
        <v>المستشار المالي</v>
      </c>
    </row>
    <row r="642" spans="2:28" ht="67.5" x14ac:dyDescent="0.55000000000000004">
      <c r="B642" s="58">
        <f t="shared" si="20"/>
        <v>638</v>
      </c>
      <c r="C642" s="59" t="s">
        <v>1130</v>
      </c>
      <c r="D642" s="60">
        <f>INDEX(Tabledaily[date],MATCH(TableDailyJournal[[#This Row],[رقم العملية]],Tabledaily[رقم العملية],0))</f>
        <v>46192</v>
      </c>
      <c r="E642" s="58" t="str">
        <f>INDEX(Tabledaily[نوع العمليــة],MATCH(TableDailyJournal[[#This Row],[رقم العملية]],Tabledaily[رقم العملية],0))</f>
        <v>قيد عهده</v>
      </c>
      <c r="F642" s="58">
        <f>IFERROR(INDEX(TableJudje[رقم الحساب],MATCH(TableDailyJournal[[#This Row],[الحساب]],TableJudje[اسم الحساب],0)),0)</f>
        <v>31010109</v>
      </c>
      <c r="G642" s="58" t="s">
        <v>484</v>
      </c>
      <c r="H642" s="61" t="str">
        <f>INDEX(Tabledaily[المرجع البياني],MATCH(TableDailyJournal[[#This Row],[رقم العملية]],Tabledaily[رقم العملية],0))</f>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v>
      </c>
      <c r="I642" s="60" t="str">
        <f>INDEX(Tabledaily[العملـــة],MATCH(TableDailyJournal[[#This Row],[رقم العملية]],Tabledaily[رقم العملية],0))</f>
        <v>ريال سعودي</v>
      </c>
      <c r="J642" s="59">
        <f>IFERROR(INDEX(Tabledaily[سعــــــر
الصـــــرف],MATCH(C642,Tabledaily[رقم العملية],0)),1)</f>
        <v>1</v>
      </c>
      <c r="K642" s="123" cm="1">
        <f t="array" ref="K642">IFERROR(INDEX(Tabledaily[المبلـــــــغ],MATCH(1,(TableDailyJournal[[#This Row],[رقم العملية]]=Tabledaily[رقم العملية])*(TableDailyJournal[[#This Row],[الحساب]]=Tabledaily[الحســاب المديــــن]),0)),0)</f>
        <v>500</v>
      </c>
      <c r="L642" s="123" cm="1">
        <f t="array" ref="L642">IFERROR(INDEX(Tabledaily[المبلـــــــغ],MATCH(1,(TableDailyJournal[[#This Row],[رقم العملية]]=Tabledaily[رقم العملية])*(TableDailyJournal[[#This Row],[الحساب]]=Tabledaily[الحســاب الدئـــن]),0)),0)</f>
        <v>0</v>
      </c>
      <c r="M642" s="119">
        <f>IFERROR(TableDailyJournal[[#This Row],[المبلغ مدين]]/TableDailyJournal[[#This Row],[سعــــــر
الصـــــرف]],0)</f>
        <v>500</v>
      </c>
      <c r="N642" s="119">
        <f>IFERROR(TableDailyJournal[[#This Row],[المبلغ دائن]]/TableDailyJournal[[#This Row],[سعــــــر
الصـــــرف]],0)</f>
        <v>0</v>
      </c>
      <c r="O642" s="121" t="str">
        <f>INDEX(Tabledaily[المستفيــــــــد],MATCH(TableDailyJournal[[#This Row],[رقم العملية]],Tabledaily[رقم العملية],0))</f>
        <v>عدنان سرحان احمد عبدالله</v>
      </c>
      <c r="P642" s="121" t="str">
        <f>INDEX(Tabledaily[المــــرجـــــــــع],MATCH(TableDailyJournal[[#This Row],[رقم العملية]],Tabledaily[رقم العملية],0))</f>
        <v>استلام نقدي</v>
      </c>
      <c r="Q642" s="121" t="str">
        <f>INDEX(Tabledaily[اســـــــم المــــرجــــع],MATCH(TableDailyJournal[[#This Row],[رقم العملية]],Tabledaily[رقم العملية],0))</f>
        <v>سند استلام</v>
      </c>
      <c r="R642" s="121" t="str">
        <f>INDEX(Tabledaily[رقم المـــــرجـــع],MATCH(TableDailyJournal[[#This Row],[رقم العملية]],Tabledaily[رقم العملية],0))</f>
        <v>100-101</v>
      </c>
      <c r="S642" s="121" t="str">
        <f>INDEX(Tabledaily[مركـــــــزالتكلفــــــة],MATCH(TableDailyJournal[[#This Row],[رقم العملية]],Tabledaily[رقم العملية],0))</f>
        <v>الفرقة الثالثة</v>
      </c>
      <c r="T642" s="121">
        <f>IFERROR(INDEX(tablecost[رقم المركز],MATCH(TableDailyJournal[[#This Row],[مركـــــــزالتكلفــــــة]],tablecost[الاسم],0)),0)</f>
        <v>1</v>
      </c>
      <c r="U642" s="122">
        <f>IFERROR(DATE(TableDailyJournal[[#This Row],[السنــــة]],TableDailyJournal[[#This Row],[الشهــــر]],TableDailyJournal[[#This Row],[الـــــيوم]]),"01-01-2026")</f>
        <v>46192</v>
      </c>
      <c r="V642" s="126"/>
      <c r="W642" s="58"/>
      <c r="X642" s="58">
        <f>IFERROR(YEAR(TableDailyJournal[[#This Row],[التاريخ]]),"")</f>
        <v>2026</v>
      </c>
      <c r="Y642" s="58">
        <f>IFERROR(MONTH(TableDailyJournal[[#This Row],[التاريخ]]),"")</f>
        <v>6</v>
      </c>
      <c r="Z642" s="58">
        <f>IFERROR(DAY(TableDailyJournal[[#This Row],[التاريخ]]),"")</f>
        <v>19</v>
      </c>
      <c r="AA642" s="126" t="str">
        <f>INDEX(Tabledaily[المرجع البياني],MATCH(TableDailyJournal[[#This Row],[رقم العملية]],Tabledaily[رقم العملية],0))</f>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v>
      </c>
      <c r="AB642" s="121" t="str">
        <f>INDEX(Tabledaily[جهة الامر],MATCH(TableDailyJournal[[#This Row],[رقم العملية]],Tabledaily[رقم العملية],0))</f>
        <v>المستشار المالي</v>
      </c>
    </row>
    <row r="643" spans="2:28" ht="67.5" x14ac:dyDescent="0.55000000000000004">
      <c r="B643" s="58">
        <f t="shared" si="20"/>
        <v>639</v>
      </c>
      <c r="C643" s="59" t="s">
        <v>1130</v>
      </c>
      <c r="D643" s="60">
        <f>INDEX(Tabledaily[date],MATCH(TableDailyJournal[[#This Row],[رقم العملية]],Tabledaily[رقم العملية],0))</f>
        <v>46192</v>
      </c>
      <c r="E643" s="58" t="str">
        <f>INDEX(Tabledaily[نوع العمليــة],MATCH(TableDailyJournal[[#This Row],[رقم العملية]],Tabledaily[رقم العملية],0))</f>
        <v>قيد عهده</v>
      </c>
      <c r="F643" s="58">
        <f>IFERROR(INDEX(TableJudje[رقم الحساب],MATCH(TableDailyJournal[[#This Row],[الحساب]],TableJudje[اسم الحساب],0)),0)</f>
        <v>11060205</v>
      </c>
      <c r="G643" s="58" t="s">
        <v>513</v>
      </c>
      <c r="H643" s="61" t="str">
        <f>INDEX(Tabledaily[المرجع البياني],MATCH(TableDailyJournal[[#This Row],[رقم العملية]],Tabledaily[رقم العملية],0))</f>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v>
      </c>
      <c r="I643" s="60" t="str">
        <f>INDEX(Tabledaily[العملـــة],MATCH(TableDailyJournal[[#This Row],[رقم العملية]],Tabledaily[رقم العملية],0))</f>
        <v>ريال سعودي</v>
      </c>
      <c r="J643" s="59">
        <f>IFERROR(INDEX(Tabledaily[سعــــــر
الصـــــرف],MATCH(C643,Tabledaily[رقم العملية],0)),1)</f>
        <v>1</v>
      </c>
      <c r="K643" s="123" cm="1">
        <f t="array" ref="K643">IFERROR(INDEX(Tabledaily[المبلـــــــغ],MATCH(1,(TableDailyJournal[[#This Row],[رقم العملية]]=Tabledaily[رقم العملية])*(TableDailyJournal[[#This Row],[الحساب]]=Tabledaily[الحســاب المديــــن]),0)),0)</f>
        <v>0</v>
      </c>
      <c r="L643" s="123" cm="1">
        <f t="array" ref="L643">IFERROR(INDEX(Tabledaily[المبلـــــــغ],MATCH(1,(TableDailyJournal[[#This Row],[رقم العملية]]=Tabledaily[رقم العملية])*(TableDailyJournal[[#This Row],[الحساب]]=Tabledaily[الحســاب الدئـــن]),0)),0)</f>
        <v>500</v>
      </c>
      <c r="M643" s="119">
        <f>IFERROR(TableDailyJournal[[#This Row],[المبلغ مدين]]/TableDailyJournal[[#This Row],[سعــــــر
الصـــــرف]],0)</f>
        <v>0</v>
      </c>
      <c r="N643" s="119">
        <f>IFERROR(TableDailyJournal[[#This Row],[المبلغ دائن]]/TableDailyJournal[[#This Row],[سعــــــر
الصـــــرف]],0)</f>
        <v>500</v>
      </c>
      <c r="O643" s="121" t="str">
        <f>INDEX(Tabledaily[المستفيــــــــد],MATCH(TableDailyJournal[[#This Row],[رقم العملية]],Tabledaily[رقم العملية],0))</f>
        <v>عدنان سرحان احمد عبدالله</v>
      </c>
      <c r="P643" s="121" t="str">
        <f>INDEX(Tabledaily[المــــرجـــــــــع],MATCH(TableDailyJournal[[#This Row],[رقم العملية]],Tabledaily[رقم العملية],0))</f>
        <v>استلام نقدي</v>
      </c>
      <c r="Q643" s="121" t="str">
        <f>INDEX(Tabledaily[اســـــــم المــــرجــــع],MATCH(TableDailyJournal[[#This Row],[رقم العملية]],Tabledaily[رقم العملية],0))</f>
        <v>سند استلام</v>
      </c>
      <c r="R643" s="121" t="str">
        <f>INDEX(Tabledaily[رقم المـــــرجـــع],MATCH(TableDailyJournal[[#This Row],[رقم العملية]],Tabledaily[رقم العملية],0))</f>
        <v>100-101</v>
      </c>
      <c r="S643" s="121" t="str">
        <f>INDEX(Tabledaily[مركـــــــزالتكلفــــــة],MATCH(TableDailyJournal[[#This Row],[رقم العملية]],Tabledaily[رقم العملية],0))</f>
        <v>الفرقة الثالثة</v>
      </c>
      <c r="T643" s="121">
        <f>IFERROR(INDEX(tablecost[رقم المركز],MATCH(TableDailyJournal[[#This Row],[مركـــــــزالتكلفــــــة]],tablecost[الاسم],0)),0)</f>
        <v>1</v>
      </c>
      <c r="U643" s="122">
        <f>IFERROR(DATE(TableDailyJournal[[#This Row],[السنــــة]],TableDailyJournal[[#This Row],[الشهــــر]],TableDailyJournal[[#This Row],[الـــــيوم]]),"01-01-2026")</f>
        <v>46192</v>
      </c>
      <c r="V643" s="126"/>
      <c r="W643" s="58"/>
      <c r="X643" s="58">
        <f>IFERROR(YEAR(TableDailyJournal[[#This Row],[التاريخ]]),"")</f>
        <v>2026</v>
      </c>
      <c r="Y643" s="58">
        <f>IFERROR(MONTH(TableDailyJournal[[#This Row],[التاريخ]]),"")</f>
        <v>6</v>
      </c>
      <c r="Z643" s="58">
        <f>IFERROR(DAY(TableDailyJournal[[#This Row],[التاريخ]]),"")</f>
        <v>19</v>
      </c>
      <c r="AA643" s="126" t="str">
        <f>INDEX(Tabledaily[المرجع البياني],MATCH(TableDailyJournal[[#This Row],[رقم العملية]],Tabledaily[رقم العملية],0))</f>
        <v>قيـد مقابـل:- (مصاريف نثريات أخرى - عدنان سرحان احمد عبدالله - الفرقة الثالثة)  - استلام نقدي رقم 100-101  سند استلام - سلفة من الراتب حسب توجيهات المستشار المالي بامرالمستشار المالي</v>
      </c>
      <c r="AB643" s="121" t="str">
        <f>INDEX(Tabledaily[جهة الامر],MATCH(TableDailyJournal[[#This Row],[رقم العملية]],Tabledaily[رقم العملية],0))</f>
        <v>المستشار المالي</v>
      </c>
    </row>
    <row r="644" spans="2:28" ht="45.75" x14ac:dyDescent="0.55000000000000004">
      <c r="B644" s="58">
        <f t="shared" si="20"/>
        <v>640</v>
      </c>
      <c r="C644" s="59" t="s">
        <v>1134</v>
      </c>
      <c r="D644" s="60">
        <f>INDEX(Tabledaily[date],MATCH(TableDailyJournal[[#This Row],[رقم العملية]],Tabledaily[رقم العملية],0))</f>
        <v>46193</v>
      </c>
      <c r="E644" s="58" t="str">
        <f>INDEX(Tabledaily[نوع العمليــة],MATCH(TableDailyJournal[[#This Row],[رقم العملية]],Tabledaily[رقم العملية],0))</f>
        <v>قيد عهده</v>
      </c>
      <c r="F644" s="58">
        <f>IFERROR(INDEX(TableJudje[رقم الحساب],MATCH(TableDailyJournal[[#This Row],[الحساب]],TableJudje[اسم الحساب],0)),0)</f>
        <v>31010101</v>
      </c>
      <c r="G644" s="58" t="s">
        <v>111</v>
      </c>
      <c r="H644"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لعدد10 بامر</v>
      </c>
      <c r="I644" s="60" t="str">
        <f>INDEX(Tabledaily[العملـــة],MATCH(TableDailyJournal[[#This Row],[رقم العملية]],Tabledaily[رقم العملية],0))</f>
        <v>ريال يمني</v>
      </c>
      <c r="J644" s="59">
        <f>IFERROR(INDEX(Tabledaily[سعــــــر
الصـــــرف],MATCH(C644,Tabledaily[رقم العملية],0)),1)</f>
        <v>405</v>
      </c>
      <c r="K644" s="123" cm="1">
        <f t="array" ref="K644">IFERROR(INDEX(Tabledaily[المبلـــــــغ],MATCH(1,(TableDailyJournal[[#This Row],[رقم العملية]]=Tabledaily[رقم العملية])*(TableDailyJournal[[#This Row],[الحساب]]=Tabledaily[الحســاب المديــــن]),0)),0)</f>
        <v>52000</v>
      </c>
      <c r="L644" s="123" cm="1">
        <f t="array" ref="L644">IFERROR(INDEX(Tabledaily[المبلـــــــغ],MATCH(1,(TableDailyJournal[[#This Row],[رقم العملية]]=Tabledaily[رقم العملية])*(TableDailyJournal[[#This Row],[الحساب]]=Tabledaily[الحســاب الدئـــن]),0)),0)</f>
        <v>0</v>
      </c>
      <c r="M644" s="119">
        <f>IFERROR(TableDailyJournal[[#This Row],[المبلغ مدين]]/TableDailyJournal[[#This Row],[سعــــــر
الصـــــرف]],0)</f>
        <v>128.39506172839506</v>
      </c>
      <c r="N644" s="119">
        <f>IFERROR(TableDailyJournal[[#This Row],[المبلغ دائن]]/TableDailyJournal[[#This Row],[سعــــــر
الصـــــرف]],0)</f>
        <v>0</v>
      </c>
      <c r="O644" s="121" t="str">
        <f>INDEX(Tabledaily[المستفيــــــــد],MATCH(TableDailyJournal[[#This Row],[رقم العملية]],Tabledaily[رقم العملية],0))</f>
        <v>السيطرة والاتصالات</v>
      </c>
      <c r="P644" s="121" t="str">
        <f>INDEX(Tabledaily[المــــرجـــــــــع],MATCH(TableDailyJournal[[#This Row],[رقم العملية]],Tabledaily[رقم العملية],0))</f>
        <v>كشف صرف</v>
      </c>
      <c r="Q644" s="121" t="str">
        <f>INDEX(Tabledaily[اســـــــم المــــرجــــع],MATCH(TableDailyJournal[[#This Row],[رقم العملية]],Tabledaily[رقم العملية],0))</f>
        <v>كشف صرف</v>
      </c>
      <c r="R644" s="121">
        <f>INDEX(Tabledaily[رقم المـــــرجـــع],MATCH(TableDailyJournal[[#This Row],[رقم العملية]],Tabledaily[رقم العملية],0))</f>
        <v>0</v>
      </c>
      <c r="S644" s="121" t="str">
        <f>INDEX(Tabledaily[مركـــــــزالتكلفــــــة],MATCH(TableDailyJournal[[#This Row],[رقم العملية]],Tabledaily[رقم العملية],0))</f>
        <v>الفرقة الثالثة</v>
      </c>
      <c r="T644" s="121">
        <f>IFERROR(INDEX(tablecost[رقم المركز],MATCH(TableDailyJournal[[#This Row],[مركـــــــزالتكلفــــــة]],tablecost[الاسم],0)),0)</f>
        <v>1</v>
      </c>
      <c r="U644" s="122">
        <f>IFERROR(DATE(TableDailyJournal[[#This Row],[السنــــة]],TableDailyJournal[[#This Row],[الشهــــر]],TableDailyJournal[[#This Row],[الـــــيوم]]),"01-01-2026")</f>
        <v>46193</v>
      </c>
      <c r="V644" s="126"/>
      <c r="W644" s="58"/>
      <c r="X644" s="58">
        <f>IFERROR(YEAR(TableDailyJournal[[#This Row],[التاريخ]]),"")</f>
        <v>2026</v>
      </c>
      <c r="Y644" s="58">
        <f>IFERROR(MONTH(TableDailyJournal[[#This Row],[التاريخ]]),"")</f>
        <v>6</v>
      </c>
      <c r="Z644" s="58">
        <f>IFERROR(DAY(TableDailyJournal[[#This Row],[التاريخ]]),"")</f>
        <v>20</v>
      </c>
      <c r="AA644"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لعدد10 بامر</v>
      </c>
      <c r="AB644" s="121">
        <f>INDEX(Tabledaily[جهة الامر],MATCH(TableDailyJournal[[#This Row],[رقم العملية]],Tabledaily[رقم العملية],0))</f>
        <v>0</v>
      </c>
    </row>
    <row r="645" spans="2:28" ht="45.75" x14ac:dyDescent="0.55000000000000004">
      <c r="B645" s="58">
        <f t="shared" si="20"/>
        <v>641</v>
      </c>
      <c r="C645" s="59" t="s">
        <v>1134</v>
      </c>
      <c r="D645" s="60">
        <f>INDEX(Tabledaily[date],MATCH(TableDailyJournal[[#This Row],[رقم العملية]],Tabledaily[رقم العملية],0))</f>
        <v>46193</v>
      </c>
      <c r="E645" s="58" t="str">
        <f>INDEX(Tabledaily[نوع العمليــة],MATCH(TableDailyJournal[[#This Row],[رقم العملية]],Tabledaily[رقم العملية],0))</f>
        <v>قيد عهده</v>
      </c>
      <c r="F645" s="58">
        <f>IFERROR(INDEX(TableJudje[رقم الحساب],MATCH(TableDailyJournal[[#This Row],[الحساب]],TableJudje[اسم الحساب],0)),0)</f>
        <v>11060205</v>
      </c>
      <c r="G645" s="58" t="s">
        <v>513</v>
      </c>
      <c r="H645" s="61"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لعدد10 بامر</v>
      </c>
      <c r="I645" s="60" t="str">
        <f>INDEX(Tabledaily[العملـــة],MATCH(TableDailyJournal[[#This Row],[رقم العملية]],Tabledaily[رقم العملية],0))</f>
        <v>ريال يمني</v>
      </c>
      <c r="J645" s="59">
        <f>IFERROR(INDEX(Tabledaily[سعــــــر
الصـــــرف],MATCH(C645,Tabledaily[رقم العملية],0)),1)</f>
        <v>405</v>
      </c>
      <c r="K645" s="123" cm="1">
        <f t="array" ref="K645">IFERROR(INDEX(Tabledaily[المبلـــــــغ],MATCH(1,(TableDailyJournal[[#This Row],[رقم العملية]]=Tabledaily[رقم العملية])*(TableDailyJournal[[#This Row],[الحساب]]=Tabledaily[الحســاب المديــــن]),0)),0)</f>
        <v>0</v>
      </c>
      <c r="L645" s="123" cm="1">
        <f t="array" ref="L645">IFERROR(INDEX(Tabledaily[المبلـــــــغ],MATCH(1,(TableDailyJournal[[#This Row],[رقم العملية]]=Tabledaily[رقم العملية])*(TableDailyJournal[[#This Row],[الحساب]]=Tabledaily[الحســاب الدئـــن]),0)),0)</f>
        <v>52000</v>
      </c>
      <c r="M645" s="119">
        <f>IFERROR(TableDailyJournal[[#This Row],[المبلغ مدين]]/TableDailyJournal[[#This Row],[سعــــــر
الصـــــرف]],0)</f>
        <v>0</v>
      </c>
      <c r="N645" s="119">
        <f>IFERROR(TableDailyJournal[[#This Row],[المبلغ دائن]]/TableDailyJournal[[#This Row],[سعــــــر
الصـــــرف]],0)</f>
        <v>128.39506172839506</v>
      </c>
      <c r="O645" s="121" t="str">
        <f>INDEX(Tabledaily[المستفيــــــــد],MATCH(TableDailyJournal[[#This Row],[رقم العملية]],Tabledaily[رقم العملية],0))</f>
        <v>السيطرة والاتصالات</v>
      </c>
      <c r="P645" s="121" t="str">
        <f>INDEX(Tabledaily[المــــرجـــــــــع],MATCH(TableDailyJournal[[#This Row],[رقم العملية]],Tabledaily[رقم العملية],0))</f>
        <v>كشف صرف</v>
      </c>
      <c r="Q645" s="121" t="str">
        <f>INDEX(Tabledaily[اســـــــم المــــرجــــع],MATCH(TableDailyJournal[[#This Row],[رقم العملية]],Tabledaily[رقم العملية],0))</f>
        <v>كشف صرف</v>
      </c>
      <c r="R645" s="121">
        <f>INDEX(Tabledaily[رقم المـــــرجـــع],MATCH(TableDailyJournal[[#This Row],[رقم العملية]],Tabledaily[رقم العملية],0))</f>
        <v>0</v>
      </c>
      <c r="S645" s="121" t="str">
        <f>INDEX(Tabledaily[مركـــــــزالتكلفــــــة],MATCH(TableDailyJournal[[#This Row],[رقم العملية]],Tabledaily[رقم العملية],0))</f>
        <v>الفرقة الثالثة</v>
      </c>
      <c r="T645" s="121">
        <f>IFERROR(INDEX(tablecost[رقم المركز],MATCH(TableDailyJournal[[#This Row],[مركـــــــزالتكلفــــــة]],tablecost[الاسم],0)),0)</f>
        <v>1</v>
      </c>
      <c r="U645" s="122">
        <f>IFERROR(DATE(TableDailyJournal[[#This Row],[السنــــة]],TableDailyJournal[[#This Row],[الشهــــر]],TableDailyJournal[[#This Row],[الـــــيوم]]),"01-01-2026")</f>
        <v>46193</v>
      </c>
      <c r="V645" s="126"/>
      <c r="W645" s="58"/>
      <c r="X645" s="58">
        <f>IFERROR(YEAR(TableDailyJournal[[#This Row],[التاريخ]]),"")</f>
        <v>2026</v>
      </c>
      <c r="Y645" s="58">
        <f>IFERROR(MONTH(TableDailyJournal[[#This Row],[التاريخ]]),"")</f>
        <v>6</v>
      </c>
      <c r="Z645" s="58">
        <f>IFERROR(DAY(TableDailyJournal[[#This Row],[التاريخ]]),"")</f>
        <v>20</v>
      </c>
      <c r="AA645"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لعدد10 بامر</v>
      </c>
      <c r="AB645" s="121">
        <f>INDEX(Tabledaily[جهة الامر],MATCH(TableDailyJournal[[#This Row],[رقم العملية]],Tabledaily[رقم العملية],0))</f>
        <v>0</v>
      </c>
    </row>
    <row r="646" spans="2:28" ht="45.75" x14ac:dyDescent="0.55000000000000004">
      <c r="B646" s="58">
        <f t="shared" ref="B646:B677" si="21">ROW()-4</f>
        <v>642</v>
      </c>
      <c r="C646" s="59" t="s">
        <v>1137</v>
      </c>
      <c r="D646" s="60">
        <f>INDEX(Tabledaily[date],MATCH(TableDailyJournal[[#This Row],[رقم العملية]],Tabledaily[رقم العملية],0))</f>
        <v>46193</v>
      </c>
      <c r="E646" s="58" t="str">
        <f>INDEX(Tabledaily[نوع العمليــة],MATCH(TableDailyJournal[[#This Row],[رقم العملية]],Tabledaily[رقم العملية],0))</f>
        <v>قيد عهده</v>
      </c>
      <c r="F646" s="58">
        <f>IFERROR(INDEX(TableJudje[رقم الحساب],MATCH(TableDailyJournal[[#This Row],[الحساب]],TableJudje[اسم الحساب],0)),0)</f>
        <v>31010101</v>
      </c>
      <c r="G646" s="58" t="s">
        <v>111</v>
      </c>
      <c r="H646"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646" s="60" t="str">
        <f>INDEX(Tabledaily[العملـــة],MATCH(TableDailyJournal[[#This Row],[رقم العملية]],Tabledaily[رقم العملية],0))</f>
        <v>ريال يمني</v>
      </c>
      <c r="J646" s="59">
        <f>IFERROR(INDEX(Tabledaily[سعــــــر
الصـــــرف],MATCH(C646,Tabledaily[رقم العملية],0)),1)</f>
        <v>405</v>
      </c>
      <c r="K646" s="123" cm="1">
        <f t="array" ref="K646">IFERROR(INDEX(Tabledaily[المبلـــــــغ],MATCH(1,(TableDailyJournal[[#This Row],[رقم العملية]]=Tabledaily[رقم العملية])*(TableDailyJournal[[#This Row],[الحساب]]=Tabledaily[الحســاب المديــــن]),0)),0)</f>
        <v>70000</v>
      </c>
      <c r="L646" s="123" cm="1">
        <f t="array" ref="L646">IFERROR(INDEX(Tabledaily[المبلـــــــغ],MATCH(1,(TableDailyJournal[[#This Row],[رقم العملية]]=Tabledaily[رقم العملية])*(TableDailyJournal[[#This Row],[الحساب]]=Tabledaily[الحســاب الدئـــن]),0)),0)</f>
        <v>0</v>
      </c>
      <c r="M646" s="119">
        <f>IFERROR(TableDailyJournal[[#This Row],[المبلغ مدين]]/TableDailyJournal[[#This Row],[سعــــــر
الصـــــرف]],0)</f>
        <v>172.83950617283949</v>
      </c>
      <c r="N646" s="119">
        <f>IFERROR(TableDailyJournal[[#This Row],[المبلغ دائن]]/TableDailyJournal[[#This Row],[سعــــــر
الصـــــرف]],0)</f>
        <v>0</v>
      </c>
      <c r="O646" s="121" t="str">
        <f>INDEX(Tabledaily[المستفيــــــــد],MATCH(TableDailyJournal[[#This Row],[رقم العملية]],Tabledaily[رقم العملية],0))</f>
        <v>الامداد</v>
      </c>
      <c r="P646" s="121" t="str">
        <f>INDEX(Tabledaily[المــــرجـــــــــع],MATCH(TableDailyJournal[[#This Row],[رقم العملية]],Tabledaily[رقم العملية],0))</f>
        <v>كشف صرف</v>
      </c>
      <c r="Q646" s="121" t="str">
        <f>INDEX(Tabledaily[اســـــــم المــــرجــــع],MATCH(TableDailyJournal[[#This Row],[رقم العملية]],Tabledaily[رقم العملية],0))</f>
        <v>كشف صرف</v>
      </c>
      <c r="R646" s="121">
        <f>INDEX(Tabledaily[رقم المـــــرجـــع],MATCH(TableDailyJournal[[#This Row],[رقم العملية]],Tabledaily[رقم العملية],0))</f>
        <v>0</v>
      </c>
      <c r="S646" s="121" t="str">
        <f>INDEX(Tabledaily[مركـــــــزالتكلفــــــة],MATCH(TableDailyJournal[[#This Row],[رقم العملية]],Tabledaily[رقم العملية],0))</f>
        <v>الفرقة الثالثة</v>
      </c>
      <c r="T646" s="121">
        <f>IFERROR(INDEX(tablecost[رقم المركز],MATCH(TableDailyJournal[[#This Row],[مركـــــــزالتكلفــــــة]],tablecost[الاسم],0)),0)</f>
        <v>1</v>
      </c>
      <c r="U646" s="122">
        <f>IFERROR(DATE(TableDailyJournal[[#This Row],[السنــــة]],TableDailyJournal[[#This Row],[الشهــــر]],TableDailyJournal[[#This Row],[الـــــيوم]]),"01-01-2026")</f>
        <v>46193</v>
      </c>
      <c r="V646" s="126"/>
      <c r="W646" s="58"/>
      <c r="X646" s="58">
        <f>IFERROR(YEAR(TableDailyJournal[[#This Row],[التاريخ]]),"")</f>
        <v>2026</v>
      </c>
      <c r="Y646" s="58">
        <f>IFERROR(MONTH(TableDailyJournal[[#This Row],[التاريخ]]),"")</f>
        <v>6</v>
      </c>
      <c r="Z646" s="58">
        <f>IFERROR(DAY(TableDailyJournal[[#This Row],[التاريخ]]),"")</f>
        <v>20</v>
      </c>
      <c r="AA646"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646" s="121">
        <f>INDEX(Tabledaily[جهة الامر],MATCH(TableDailyJournal[[#This Row],[رقم العملية]],Tabledaily[رقم العملية],0))</f>
        <v>0</v>
      </c>
    </row>
    <row r="647" spans="2:28" ht="45.75" x14ac:dyDescent="0.55000000000000004">
      <c r="B647" s="58">
        <f t="shared" si="21"/>
        <v>643</v>
      </c>
      <c r="C647" s="59" t="s">
        <v>1137</v>
      </c>
      <c r="D647" s="60">
        <f>INDEX(Tabledaily[date],MATCH(TableDailyJournal[[#This Row],[رقم العملية]],Tabledaily[رقم العملية],0))</f>
        <v>46193</v>
      </c>
      <c r="E647" s="58" t="str">
        <f>INDEX(Tabledaily[نوع العمليــة],MATCH(TableDailyJournal[[#This Row],[رقم العملية]],Tabledaily[رقم العملية],0))</f>
        <v>قيد عهده</v>
      </c>
      <c r="F647" s="58">
        <f>IFERROR(INDEX(TableJudje[رقم الحساب],MATCH(TableDailyJournal[[#This Row],[الحساب]],TableJudje[اسم الحساب],0)),0)</f>
        <v>11060205</v>
      </c>
      <c r="G647" s="58" t="s">
        <v>513</v>
      </c>
      <c r="H647" s="61"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I647" s="60" t="str">
        <f>INDEX(Tabledaily[العملـــة],MATCH(TableDailyJournal[[#This Row],[رقم العملية]],Tabledaily[رقم العملية],0))</f>
        <v>ريال يمني</v>
      </c>
      <c r="J647" s="59">
        <f>IFERROR(INDEX(Tabledaily[سعــــــر
الصـــــرف],MATCH(C647,Tabledaily[رقم العملية],0)),1)</f>
        <v>405</v>
      </c>
      <c r="K647" s="123" cm="1">
        <f t="array" ref="K647">IFERROR(INDEX(Tabledaily[المبلـــــــغ],MATCH(1,(TableDailyJournal[[#This Row],[رقم العملية]]=Tabledaily[رقم العملية])*(TableDailyJournal[[#This Row],[الحساب]]=Tabledaily[الحســاب المديــــن]),0)),0)</f>
        <v>0</v>
      </c>
      <c r="L647" s="123" cm="1">
        <f t="array" ref="L647">IFERROR(INDEX(Tabledaily[المبلـــــــغ],MATCH(1,(TableDailyJournal[[#This Row],[رقم العملية]]=Tabledaily[رقم العملية])*(TableDailyJournal[[#This Row],[الحساب]]=Tabledaily[الحســاب الدئـــن]),0)),0)</f>
        <v>70000</v>
      </c>
      <c r="M647" s="119">
        <f>IFERROR(TableDailyJournal[[#This Row],[المبلغ مدين]]/TableDailyJournal[[#This Row],[سعــــــر
الصـــــرف]],0)</f>
        <v>0</v>
      </c>
      <c r="N647" s="119">
        <f>IFERROR(TableDailyJournal[[#This Row],[المبلغ دائن]]/TableDailyJournal[[#This Row],[سعــــــر
الصـــــرف]],0)</f>
        <v>172.83950617283949</v>
      </c>
      <c r="O647" s="121" t="str">
        <f>INDEX(Tabledaily[المستفيــــــــد],MATCH(TableDailyJournal[[#This Row],[رقم العملية]],Tabledaily[رقم العملية],0))</f>
        <v>الامداد</v>
      </c>
      <c r="P647" s="121" t="str">
        <f>INDEX(Tabledaily[المــــرجـــــــــع],MATCH(TableDailyJournal[[#This Row],[رقم العملية]],Tabledaily[رقم العملية],0))</f>
        <v>كشف صرف</v>
      </c>
      <c r="Q647" s="121" t="str">
        <f>INDEX(Tabledaily[اســـــــم المــــرجــــع],MATCH(TableDailyJournal[[#This Row],[رقم العملية]],Tabledaily[رقم العملية],0))</f>
        <v>كشف صرف</v>
      </c>
      <c r="R647" s="121">
        <f>INDEX(Tabledaily[رقم المـــــرجـــع],MATCH(TableDailyJournal[[#This Row],[رقم العملية]],Tabledaily[رقم العملية],0))</f>
        <v>0</v>
      </c>
      <c r="S647" s="121" t="str">
        <f>INDEX(Tabledaily[مركـــــــزالتكلفــــــة],MATCH(TableDailyJournal[[#This Row],[رقم العملية]],Tabledaily[رقم العملية],0))</f>
        <v>الفرقة الثالثة</v>
      </c>
      <c r="T647" s="121">
        <f>IFERROR(INDEX(tablecost[رقم المركز],MATCH(TableDailyJournal[[#This Row],[مركـــــــزالتكلفــــــة]],tablecost[الاسم],0)),0)</f>
        <v>1</v>
      </c>
      <c r="U647" s="122">
        <f>IFERROR(DATE(TableDailyJournal[[#This Row],[السنــــة]],TableDailyJournal[[#This Row],[الشهــــر]],TableDailyJournal[[#This Row],[الـــــيوم]]),"01-01-2026")</f>
        <v>46193</v>
      </c>
      <c r="V647" s="126"/>
      <c r="W647" s="58"/>
      <c r="X647" s="58">
        <f>IFERROR(YEAR(TableDailyJournal[[#This Row],[التاريخ]]),"")</f>
        <v>2026</v>
      </c>
      <c r="Y647" s="58">
        <f>IFERROR(MONTH(TableDailyJournal[[#This Row],[التاريخ]]),"")</f>
        <v>6</v>
      </c>
      <c r="Z647" s="58">
        <f>IFERROR(DAY(TableDailyJournal[[#This Row],[التاريخ]]),"")</f>
        <v>20</v>
      </c>
      <c r="AA647"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فرد بامر</v>
      </c>
      <c r="AB647" s="121">
        <f>INDEX(Tabledaily[جهة الامر],MATCH(TableDailyJournal[[#This Row],[رقم العملية]],Tabledaily[رقم العملية],0))</f>
        <v>0</v>
      </c>
    </row>
    <row r="648" spans="2:28" ht="45.75" x14ac:dyDescent="0.55000000000000004">
      <c r="B648" s="58">
        <f t="shared" si="21"/>
        <v>644</v>
      </c>
      <c r="C648" s="59" t="s">
        <v>1138</v>
      </c>
      <c r="D648" s="60">
        <f>INDEX(Tabledaily[date],MATCH(TableDailyJournal[[#This Row],[رقم العملية]],Tabledaily[رقم العملية],0))</f>
        <v>46193</v>
      </c>
      <c r="E648" s="58" t="str">
        <f>INDEX(Tabledaily[نوع العمليــة],MATCH(TableDailyJournal[[#This Row],[رقم العملية]],Tabledaily[رقم العملية],0))</f>
        <v>قيد عهده</v>
      </c>
      <c r="F648" s="58">
        <f>IFERROR(INDEX(TableJudje[رقم الحساب],MATCH(TableDailyJournal[[#This Row],[الحساب]],TableJudje[اسم الحساب],0)),0)</f>
        <v>31010101</v>
      </c>
      <c r="G648" s="58" t="s">
        <v>111</v>
      </c>
      <c r="H648" s="61"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I648" s="60" t="str">
        <f>INDEX(Tabledaily[العملـــة],MATCH(TableDailyJournal[[#This Row],[رقم العملية]],Tabledaily[رقم العملية],0))</f>
        <v>ريال يمني</v>
      </c>
      <c r="J648" s="59">
        <f>IFERROR(INDEX(Tabledaily[سعــــــر
الصـــــرف],MATCH(C648,Tabledaily[رقم العملية],0)),1)</f>
        <v>405</v>
      </c>
      <c r="K648" s="123" cm="1">
        <f t="array" ref="K648">IFERROR(INDEX(Tabledaily[المبلـــــــغ],MATCH(1,(TableDailyJournal[[#This Row],[رقم العملية]]=Tabledaily[رقم العملية])*(TableDailyJournal[[#This Row],[الحساب]]=Tabledaily[الحســاب المديــــن]),0)),0)</f>
        <v>23000</v>
      </c>
      <c r="L648" s="123" cm="1">
        <f t="array" ref="L648">IFERROR(INDEX(Tabledaily[المبلـــــــغ],MATCH(1,(TableDailyJournal[[#This Row],[رقم العملية]]=Tabledaily[رقم العملية])*(TableDailyJournal[[#This Row],[الحساب]]=Tabledaily[الحســاب الدئـــن]),0)),0)</f>
        <v>0</v>
      </c>
      <c r="M648" s="119">
        <f>IFERROR(TableDailyJournal[[#This Row],[المبلغ مدين]]/TableDailyJournal[[#This Row],[سعــــــر
الصـــــرف]],0)</f>
        <v>56.790123456790127</v>
      </c>
      <c r="N648" s="119">
        <f>IFERROR(TableDailyJournal[[#This Row],[المبلغ دائن]]/TableDailyJournal[[#This Row],[سعــــــر
الصـــــرف]],0)</f>
        <v>0</v>
      </c>
      <c r="O648" s="121" t="str">
        <f>INDEX(Tabledaily[المستفيــــــــد],MATCH(TableDailyJournal[[#This Row],[رقم العملية]],Tabledaily[رقم العملية],0))</f>
        <v>طبية</v>
      </c>
      <c r="P648" s="121" t="str">
        <f>INDEX(Tabledaily[المــــرجـــــــــع],MATCH(TableDailyJournal[[#This Row],[رقم العملية]],Tabledaily[رقم العملية],0))</f>
        <v>كشف صرف</v>
      </c>
      <c r="Q648" s="121" t="str">
        <f>INDEX(Tabledaily[اســـــــم المــــرجــــع],MATCH(TableDailyJournal[[#This Row],[رقم العملية]],Tabledaily[رقم العملية],0))</f>
        <v>كشف صرف</v>
      </c>
      <c r="R648" s="121">
        <f>INDEX(Tabledaily[رقم المـــــرجـــع],MATCH(TableDailyJournal[[#This Row],[رقم العملية]],Tabledaily[رقم العملية],0))</f>
        <v>0</v>
      </c>
      <c r="S648" s="121" t="str">
        <f>INDEX(Tabledaily[مركـــــــزالتكلفــــــة],MATCH(TableDailyJournal[[#This Row],[رقم العملية]],Tabledaily[رقم العملية],0))</f>
        <v>الفرقة الثالثة</v>
      </c>
      <c r="T648" s="121">
        <f>IFERROR(INDEX(tablecost[رقم المركز],MATCH(TableDailyJournal[[#This Row],[مركـــــــزالتكلفــــــة]],tablecost[الاسم],0)),0)</f>
        <v>1</v>
      </c>
      <c r="U648" s="122">
        <f>IFERROR(DATE(TableDailyJournal[[#This Row],[السنــــة]],TableDailyJournal[[#This Row],[الشهــــر]],TableDailyJournal[[#This Row],[الـــــيوم]]),"01-01-2026")</f>
        <v>46193</v>
      </c>
      <c r="V648" s="126"/>
      <c r="W648" s="58"/>
      <c r="X648" s="58">
        <f>IFERROR(YEAR(TableDailyJournal[[#This Row],[التاريخ]]),"")</f>
        <v>2026</v>
      </c>
      <c r="Y648" s="58">
        <f>IFERROR(MONTH(TableDailyJournal[[#This Row],[التاريخ]]),"")</f>
        <v>6</v>
      </c>
      <c r="Z648" s="58">
        <f>IFERROR(DAY(TableDailyJournal[[#This Row],[التاريخ]]),"")</f>
        <v>20</v>
      </c>
      <c r="AA648" s="126"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AB648" s="121">
        <f>INDEX(Tabledaily[جهة الامر],MATCH(TableDailyJournal[[#This Row],[رقم العملية]],Tabledaily[رقم العملية],0))</f>
        <v>0</v>
      </c>
    </row>
    <row r="649" spans="2:28" ht="45.75" x14ac:dyDescent="0.55000000000000004">
      <c r="B649" s="58">
        <f t="shared" si="21"/>
        <v>645</v>
      </c>
      <c r="C649" s="59" t="s">
        <v>1138</v>
      </c>
      <c r="D649" s="60">
        <f>INDEX(Tabledaily[date],MATCH(TableDailyJournal[[#This Row],[رقم العملية]],Tabledaily[رقم العملية],0))</f>
        <v>46193</v>
      </c>
      <c r="E649" s="58" t="str">
        <f>INDEX(Tabledaily[نوع العمليــة],MATCH(TableDailyJournal[[#This Row],[رقم العملية]],Tabledaily[رقم العملية],0))</f>
        <v>قيد عهده</v>
      </c>
      <c r="F649" s="58">
        <f>IFERROR(INDEX(TableJudje[رقم الحساب],MATCH(TableDailyJournal[[#This Row],[الحساب]],TableJudje[اسم الحساب],0)),0)</f>
        <v>11060205</v>
      </c>
      <c r="G649" s="58" t="s">
        <v>513</v>
      </c>
      <c r="H649" s="61"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I649" s="60" t="str">
        <f>INDEX(Tabledaily[العملـــة],MATCH(TableDailyJournal[[#This Row],[رقم العملية]],Tabledaily[رقم العملية],0))</f>
        <v>ريال يمني</v>
      </c>
      <c r="J649" s="59">
        <f>IFERROR(INDEX(Tabledaily[سعــــــر
الصـــــرف],MATCH(C649,Tabledaily[رقم العملية],0)),1)</f>
        <v>405</v>
      </c>
      <c r="K649" s="123" cm="1">
        <f t="array" ref="K649">IFERROR(INDEX(Tabledaily[المبلـــــــغ],MATCH(1,(TableDailyJournal[[#This Row],[رقم العملية]]=Tabledaily[رقم العملية])*(TableDailyJournal[[#This Row],[الحساب]]=Tabledaily[الحســاب المديــــن]),0)),0)</f>
        <v>0</v>
      </c>
      <c r="L649" s="123" cm="1">
        <f t="array" ref="L649">IFERROR(INDEX(Tabledaily[المبلـــــــغ],MATCH(1,(TableDailyJournal[[#This Row],[رقم العملية]]=Tabledaily[رقم العملية])*(TableDailyJournal[[#This Row],[الحساب]]=Tabledaily[الحســاب الدئـــن]),0)),0)</f>
        <v>23000</v>
      </c>
      <c r="M649" s="119">
        <f>IFERROR(TableDailyJournal[[#This Row],[المبلغ مدين]]/TableDailyJournal[[#This Row],[سعــــــر
الصـــــرف]],0)</f>
        <v>0</v>
      </c>
      <c r="N649" s="119">
        <f>IFERROR(TableDailyJournal[[#This Row],[المبلغ دائن]]/TableDailyJournal[[#This Row],[سعــــــر
الصـــــرف]],0)</f>
        <v>56.790123456790127</v>
      </c>
      <c r="O649" s="121" t="str">
        <f>INDEX(Tabledaily[المستفيــــــــد],MATCH(TableDailyJournal[[#This Row],[رقم العملية]],Tabledaily[رقم العملية],0))</f>
        <v>طبية</v>
      </c>
      <c r="P649" s="121" t="str">
        <f>INDEX(Tabledaily[المــــرجـــــــــع],MATCH(TableDailyJournal[[#This Row],[رقم العملية]],Tabledaily[رقم العملية],0))</f>
        <v>كشف صرف</v>
      </c>
      <c r="Q649" s="121" t="str">
        <f>INDEX(Tabledaily[اســـــــم المــــرجــــع],MATCH(TableDailyJournal[[#This Row],[رقم العملية]],Tabledaily[رقم العملية],0))</f>
        <v>كشف صرف</v>
      </c>
      <c r="R649" s="121">
        <f>INDEX(Tabledaily[رقم المـــــرجـــع],MATCH(TableDailyJournal[[#This Row],[رقم العملية]],Tabledaily[رقم العملية],0))</f>
        <v>0</v>
      </c>
      <c r="S649" s="121" t="str">
        <f>INDEX(Tabledaily[مركـــــــزالتكلفــــــة],MATCH(TableDailyJournal[[#This Row],[رقم العملية]],Tabledaily[رقم العملية],0))</f>
        <v>الفرقة الثالثة</v>
      </c>
      <c r="T649" s="121">
        <f>IFERROR(INDEX(tablecost[رقم المركز],MATCH(TableDailyJournal[[#This Row],[مركـــــــزالتكلفــــــة]],tablecost[الاسم],0)),0)</f>
        <v>1</v>
      </c>
      <c r="U649" s="122">
        <f>IFERROR(DATE(TableDailyJournal[[#This Row],[السنــــة]],TableDailyJournal[[#This Row],[الشهــــر]],TableDailyJournal[[#This Row],[الـــــيوم]]),"01-01-2026")</f>
        <v>46193</v>
      </c>
      <c r="V649" s="126"/>
      <c r="W649" s="58"/>
      <c r="X649" s="58">
        <f>IFERROR(YEAR(TableDailyJournal[[#This Row],[التاريخ]]),"")</f>
        <v>2026</v>
      </c>
      <c r="Y649" s="58">
        <f>IFERROR(MONTH(TableDailyJournal[[#This Row],[التاريخ]]),"")</f>
        <v>6</v>
      </c>
      <c r="Z649" s="58">
        <f>IFERROR(DAY(TableDailyJournal[[#This Row],[التاريخ]]),"")</f>
        <v>20</v>
      </c>
      <c r="AA649" s="126" t="str">
        <f>INDEX(Tabledaily[المرجع البياني],MATCH(TableDailyJournal[[#This Row],[رقم العملية]],Tabledaily[رقم العملية],0))</f>
        <v>قيـد مقابـل:- (مصاريف  صرفة يومية للافراد  - طبية - الفرقة الثالثة)  - كشف صرف رقم   كشف صرف - صرف الصرفة اليومية لافراد الطبية عدد 3 افراد بامر</v>
      </c>
      <c r="AB649" s="121">
        <f>INDEX(Tabledaily[جهة الامر],MATCH(TableDailyJournal[[#This Row],[رقم العملية]],Tabledaily[رقم العملية],0))</f>
        <v>0</v>
      </c>
    </row>
    <row r="650" spans="2:28" ht="45.75" x14ac:dyDescent="0.55000000000000004">
      <c r="B650" s="58">
        <f t="shared" si="21"/>
        <v>646</v>
      </c>
      <c r="C650" s="59" t="s">
        <v>1139</v>
      </c>
      <c r="D650" s="60">
        <f>INDEX(Tabledaily[date],MATCH(TableDailyJournal[[#This Row],[رقم العملية]],Tabledaily[رقم العملية],0))</f>
        <v>46193</v>
      </c>
      <c r="E650" s="58" t="str">
        <f>INDEX(Tabledaily[نوع العمليــة],MATCH(TableDailyJournal[[#This Row],[رقم العملية]],Tabledaily[رقم العملية],0))</f>
        <v>قيد عهده</v>
      </c>
      <c r="F650" s="58">
        <f>IFERROR(INDEX(TableJudje[رقم الحساب],MATCH(TableDailyJournal[[#This Row],[الحساب]],TableJudje[اسم الحساب],0)),0)</f>
        <v>31010101</v>
      </c>
      <c r="G650" s="58" t="s">
        <v>111</v>
      </c>
      <c r="H650"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650" s="60" t="str">
        <f>INDEX(Tabledaily[العملـــة],MATCH(TableDailyJournal[[#This Row],[رقم العملية]],Tabledaily[رقم العملية],0))</f>
        <v>ريال يمني</v>
      </c>
      <c r="J650" s="59">
        <f>IFERROR(INDEX(Tabledaily[سعــــــر
الصـــــرف],MATCH(C650,Tabledaily[رقم العملية],0)),1)</f>
        <v>405</v>
      </c>
      <c r="K650" s="123" cm="1">
        <f t="array" ref="K650">IFERROR(INDEX(Tabledaily[المبلـــــــغ],MATCH(1,(TableDailyJournal[[#This Row],[رقم العملية]]=Tabledaily[رقم العملية])*(TableDailyJournal[[#This Row],[الحساب]]=Tabledaily[الحســاب المديــــن]),0)),0)</f>
        <v>31000</v>
      </c>
      <c r="L650" s="123" cm="1">
        <f t="array" ref="L650">IFERROR(INDEX(Tabledaily[المبلـــــــغ],MATCH(1,(TableDailyJournal[[#This Row],[رقم العملية]]=Tabledaily[رقم العملية])*(TableDailyJournal[[#This Row],[الحساب]]=Tabledaily[الحســاب الدئـــن]),0)),0)</f>
        <v>0</v>
      </c>
      <c r="M650" s="119">
        <f>IFERROR(TableDailyJournal[[#This Row],[المبلغ مدين]]/TableDailyJournal[[#This Row],[سعــــــر
الصـــــرف]],0)</f>
        <v>76.543209876543216</v>
      </c>
      <c r="N650" s="119">
        <f>IFERROR(TableDailyJournal[[#This Row],[المبلغ دائن]]/TableDailyJournal[[#This Row],[سعــــــر
الصـــــرف]],0)</f>
        <v>0</v>
      </c>
      <c r="O650" s="121" t="str">
        <f>INDEX(Tabledaily[المستفيــــــــد],MATCH(TableDailyJournal[[#This Row],[رقم العملية]],Tabledaily[رقم العملية],0))</f>
        <v>قسم المشتريات</v>
      </c>
      <c r="P650" s="121" t="str">
        <f>INDEX(Tabledaily[المــــرجـــــــــع],MATCH(TableDailyJournal[[#This Row],[رقم العملية]],Tabledaily[رقم العملية],0))</f>
        <v>كشف صرف</v>
      </c>
      <c r="Q650" s="121" t="str">
        <f>INDEX(Tabledaily[اســـــــم المــــرجــــع],MATCH(TableDailyJournal[[#This Row],[رقم العملية]],Tabledaily[رقم العملية],0))</f>
        <v>كشف صرف</v>
      </c>
      <c r="R650" s="121">
        <f>INDEX(Tabledaily[رقم المـــــرجـــع],MATCH(TableDailyJournal[[#This Row],[رقم العملية]],Tabledaily[رقم العملية],0))</f>
        <v>0</v>
      </c>
      <c r="S650" s="121" t="str">
        <f>INDEX(Tabledaily[مركـــــــزالتكلفــــــة],MATCH(TableDailyJournal[[#This Row],[رقم العملية]],Tabledaily[رقم العملية],0))</f>
        <v>الفرقة الثالثة</v>
      </c>
      <c r="T650" s="121">
        <f>IFERROR(INDEX(tablecost[رقم المركز],MATCH(TableDailyJournal[[#This Row],[مركـــــــزالتكلفــــــة]],tablecost[الاسم],0)),0)</f>
        <v>1</v>
      </c>
      <c r="U650" s="122">
        <f>IFERROR(DATE(TableDailyJournal[[#This Row],[السنــــة]],TableDailyJournal[[#This Row],[الشهــــر]],TableDailyJournal[[#This Row],[الـــــيوم]]),"01-01-2026")</f>
        <v>46193</v>
      </c>
      <c r="V650" s="126"/>
      <c r="W650" s="58"/>
      <c r="X650" s="58">
        <f>IFERROR(YEAR(TableDailyJournal[[#This Row],[التاريخ]]),"")</f>
        <v>2026</v>
      </c>
      <c r="Y650" s="58">
        <f>IFERROR(MONTH(TableDailyJournal[[#This Row],[التاريخ]]),"")</f>
        <v>6</v>
      </c>
      <c r="Z650" s="58">
        <f>IFERROR(DAY(TableDailyJournal[[#This Row],[التاريخ]]),"")</f>
        <v>20</v>
      </c>
      <c r="AA650"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650" s="121">
        <f>INDEX(Tabledaily[جهة الامر],MATCH(TableDailyJournal[[#This Row],[رقم العملية]],Tabledaily[رقم العملية],0))</f>
        <v>0</v>
      </c>
    </row>
    <row r="651" spans="2:28" ht="45.75" x14ac:dyDescent="0.55000000000000004">
      <c r="B651" s="58">
        <f t="shared" si="21"/>
        <v>647</v>
      </c>
      <c r="C651" s="59" t="s">
        <v>1139</v>
      </c>
      <c r="D651" s="60">
        <f>INDEX(Tabledaily[date],MATCH(TableDailyJournal[[#This Row],[رقم العملية]],Tabledaily[رقم العملية],0))</f>
        <v>46193</v>
      </c>
      <c r="E651" s="58" t="str">
        <f>INDEX(Tabledaily[نوع العمليــة],MATCH(TableDailyJournal[[#This Row],[رقم العملية]],Tabledaily[رقم العملية],0))</f>
        <v>قيد عهده</v>
      </c>
      <c r="F651" s="58">
        <f>IFERROR(INDEX(TableJudje[رقم الحساب],MATCH(TableDailyJournal[[#This Row],[الحساب]],TableJudje[اسم الحساب],0)),0)</f>
        <v>11060205</v>
      </c>
      <c r="G651" s="58" t="s">
        <v>513</v>
      </c>
      <c r="H651" s="61"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651" s="60" t="str">
        <f>INDEX(Tabledaily[العملـــة],MATCH(TableDailyJournal[[#This Row],[رقم العملية]],Tabledaily[رقم العملية],0))</f>
        <v>ريال يمني</v>
      </c>
      <c r="J651" s="59">
        <f>IFERROR(INDEX(Tabledaily[سعــــــر
الصـــــرف],MATCH(C651,Tabledaily[رقم العملية],0)),1)</f>
        <v>405</v>
      </c>
      <c r="K651" s="123" cm="1">
        <f t="array" ref="K651">IFERROR(INDEX(Tabledaily[المبلـــــــغ],MATCH(1,(TableDailyJournal[[#This Row],[رقم العملية]]=Tabledaily[رقم العملية])*(TableDailyJournal[[#This Row],[الحساب]]=Tabledaily[الحســاب المديــــن]),0)),0)</f>
        <v>0</v>
      </c>
      <c r="L651" s="123" cm="1">
        <f t="array" ref="L651">IFERROR(INDEX(Tabledaily[المبلـــــــغ],MATCH(1,(TableDailyJournal[[#This Row],[رقم العملية]]=Tabledaily[رقم العملية])*(TableDailyJournal[[#This Row],[الحساب]]=Tabledaily[الحســاب الدئـــن]),0)),0)</f>
        <v>31000</v>
      </c>
      <c r="M651" s="119">
        <f>IFERROR(TableDailyJournal[[#This Row],[المبلغ مدين]]/TableDailyJournal[[#This Row],[سعــــــر
الصـــــرف]],0)</f>
        <v>0</v>
      </c>
      <c r="N651" s="119">
        <f>IFERROR(TableDailyJournal[[#This Row],[المبلغ دائن]]/TableDailyJournal[[#This Row],[سعــــــر
الصـــــرف]],0)</f>
        <v>76.543209876543216</v>
      </c>
      <c r="O651" s="121" t="str">
        <f>INDEX(Tabledaily[المستفيــــــــد],MATCH(TableDailyJournal[[#This Row],[رقم العملية]],Tabledaily[رقم العملية],0))</f>
        <v>قسم المشتريات</v>
      </c>
      <c r="P651" s="121" t="str">
        <f>INDEX(Tabledaily[المــــرجـــــــــع],MATCH(TableDailyJournal[[#This Row],[رقم العملية]],Tabledaily[رقم العملية],0))</f>
        <v>كشف صرف</v>
      </c>
      <c r="Q651" s="121" t="str">
        <f>INDEX(Tabledaily[اســـــــم المــــرجــــع],MATCH(TableDailyJournal[[#This Row],[رقم العملية]],Tabledaily[رقم العملية],0))</f>
        <v>كشف صرف</v>
      </c>
      <c r="R651" s="121">
        <f>INDEX(Tabledaily[رقم المـــــرجـــع],MATCH(TableDailyJournal[[#This Row],[رقم العملية]],Tabledaily[رقم العملية],0))</f>
        <v>0</v>
      </c>
      <c r="S651" s="121" t="str">
        <f>INDEX(Tabledaily[مركـــــــزالتكلفــــــة],MATCH(TableDailyJournal[[#This Row],[رقم العملية]],Tabledaily[رقم العملية],0))</f>
        <v>الفرقة الثالثة</v>
      </c>
      <c r="T651" s="121">
        <f>IFERROR(INDEX(tablecost[رقم المركز],MATCH(TableDailyJournal[[#This Row],[مركـــــــزالتكلفــــــة]],tablecost[الاسم],0)),0)</f>
        <v>1</v>
      </c>
      <c r="U651" s="122">
        <f>IFERROR(DATE(TableDailyJournal[[#This Row],[السنــــة]],TableDailyJournal[[#This Row],[الشهــــر]],TableDailyJournal[[#This Row],[الـــــيوم]]),"01-01-2026")</f>
        <v>46193</v>
      </c>
      <c r="V651" s="126"/>
      <c r="W651" s="58"/>
      <c r="X651" s="58">
        <f>IFERROR(YEAR(TableDailyJournal[[#This Row],[التاريخ]]),"")</f>
        <v>2026</v>
      </c>
      <c r="Y651" s="58">
        <f>IFERROR(MONTH(TableDailyJournal[[#This Row],[التاريخ]]),"")</f>
        <v>6</v>
      </c>
      <c r="Z651" s="58">
        <f>IFERROR(DAY(TableDailyJournal[[#This Row],[التاريخ]]),"")</f>
        <v>20</v>
      </c>
      <c r="AA651"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651" s="121">
        <f>INDEX(Tabledaily[جهة الامر],MATCH(TableDailyJournal[[#This Row],[رقم العملية]],Tabledaily[رقم العملية],0))</f>
        <v>0</v>
      </c>
    </row>
    <row r="652" spans="2:28" ht="45.75" x14ac:dyDescent="0.55000000000000004">
      <c r="B652" s="58">
        <f t="shared" si="21"/>
        <v>648</v>
      </c>
      <c r="C652" s="59" t="s">
        <v>1140</v>
      </c>
      <c r="D652" s="60">
        <f>INDEX(Tabledaily[date],MATCH(TableDailyJournal[[#This Row],[رقم العملية]],Tabledaily[رقم العملية],0))</f>
        <v>46193</v>
      </c>
      <c r="E652" s="58" t="str">
        <f>INDEX(Tabledaily[نوع العمليــة],MATCH(TableDailyJournal[[#This Row],[رقم العملية]],Tabledaily[رقم العملية],0))</f>
        <v>قيد عهده</v>
      </c>
      <c r="F652" s="58">
        <f>IFERROR(INDEX(TableJudje[رقم الحساب],MATCH(TableDailyJournal[[#This Row],[الحساب]],TableJudje[اسم الحساب],0)),0)</f>
        <v>31010101</v>
      </c>
      <c r="G652" s="58" t="s">
        <v>111</v>
      </c>
      <c r="H652" s="61"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I652" s="60" t="str">
        <f>INDEX(Tabledaily[العملـــة],MATCH(TableDailyJournal[[#This Row],[رقم العملية]],Tabledaily[رقم العملية],0))</f>
        <v>ريال يمني</v>
      </c>
      <c r="J652" s="59">
        <f>IFERROR(INDEX(Tabledaily[سعــــــر
الصـــــرف],MATCH(C652,Tabledaily[رقم العملية],0)),1)</f>
        <v>405</v>
      </c>
      <c r="K652" s="123" cm="1">
        <f t="array" ref="K652">IFERROR(INDEX(Tabledaily[المبلـــــــغ],MATCH(1,(TableDailyJournal[[#This Row],[رقم العملية]]=Tabledaily[رقم العملية])*(TableDailyJournal[[#This Row],[الحساب]]=Tabledaily[الحســاب المديــــن]),0)),0)</f>
        <v>30000</v>
      </c>
      <c r="L652" s="123" cm="1">
        <f t="array" ref="L652">IFERROR(INDEX(Tabledaily[المبلـــــــغ],MATCH(1,(TableDailyJournal[[#This Row],[رقم العملية]]=Tabledaily[رقم العملية])*(TableDailyJournal[[#This Row],[الحساب]]=Tabledaily[الحســاب الدئـــن]),0)),0)</f>
        <v>0</v>
      </c>
      <c r="M652" s="119">
        <f>IFERROR(TableDailyJournal[[#This Row],[المبلغ مدين]]/TableDailyJournal[[#This Row],[سعــــــر
الصـــــرف]],0)</f>
        <v>74.074074074074076</v>
      </c>
      <c r="N652" s="119">
        <f>IFERROR(TableDailyJournal[[#This Row],[المبلغ دائن]]/TableDailyJournal[[#This Row],[سعــــــر
الصـــــرف]],0)</f>
        <v>0</v>
      </c>
      <c r="O652" s="121" t="str">
        <f>INDEX(Tabledaily[المستفيــــــــد],MATCH(TableDailyJournal[[#This Row],[رقم العملية]],Tabledaily[رقم العملية],0))</f>
        <v>الاستطلاع</v>
      </c>
      <c r="P652" s="121" t="str">
        <f>INDEX(Tabledaily[المــــرجـــــــــع],MATCH(TableDailyJournal[[#This Row],[رقم العملية]],Tabledaily[رقم العملية],0))</f>
        <v>كشف صرف</v>
      </c>
      <c r="Q652" s="121" t="str">
        <f>INDEX(Tabledaily[اســـــــم المــــرجــــع],MATCH(TableDailyJournal[[#This Row],[رقم العملية]],Tabledaily[رقم العملية],0))</f>
        <v>كشف صرف</v>
      </c>
      <c r="R652" s="121">
        <f>INDEX(Tabledaily[رقم المـــــرجـــع],MATCH(TableDailyJournal[[#This Row],[رقم العملية]],Tabledaily[رقم العملية],0))</f>
        <v>0</v>
      </c>
      <c r="S652" s="121" t="str">
        <f>INDEX(Tabledaily[مركـــــــزالتكلفــــــة],MATCH(TableDailyJournal[[#This Row],[رقم العملية]],Tabledaily[رقم العملية],0))</f>
        <v>الفرقة الثالثة</v>
      </c>
      <c r="T652" s="121">
        <f>IFERROR(INDEX(tablecost[رقم المركز],MATCH(TableDailyJournal[[#This Row],[مركـــــــزالتكلفــــــة]],tablecost[الاسم],0)),0)</f>
        <v>1</v>
      </c>
      <c r="U652" s="122">
        <f>IFERROR(DATE(TableDailyJournal[[#This Row],[السنــــة]],TableDailyJournal[[#This Row],[الشهــــر]],TableDailyJournal[[#This Row],[الـــــيوم]]),"01-01-2026")</f>
        <v>46193</v>
      </c>
      <c r="V652" s="126"/>
      <c r="W652" s="58"/>
      <c r="X652" s="58">
        <f>IFERROR(YEAR(TableDailyJournal[[#This Row],[التاريخ]]),"")</f>
        <v>2026</v>
      </c>
      <c r="Y652" s="58">
        <f>IFERROR(MONTH(TableDailyJournal[[#This Row],[التاريخ]]),"")</f>
        <v>6</v>
      </c>
      <c r="Z652" s="58">
        <f>IFERROR(DAY(TableDailyJournal[[#This Row],[التاريخ]]),"")</f>
        <v>20</v>
      </c>
      <c r="AA652"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AB652" s="121">
        <f>INDEX(Tabledaily[جهة الامر],MATCH(TableDailyJournal[[#This Row],[رقم العملية]],Tabledaily[رقم العملية],0))</f>
        <v>0</v>
      </c>
    </row>
    <row r="653" spans="2:28" ht="45.75" x14ac:dyDescent="0.55000000000000004">
      <c r="B653" s="58">
        <f t="shared" si="21"/>
        <v>649</v>
      </c>
      <c r="C653" s="59" t="s">
        <v>1140</v>
      </c>
      <c r="D653" s="60">
        <f>INDEX(Tabledaily[date],MATCH(TableDailyJournal[[#This Row],[رقم العملية]],Tabledaily[رقم العملية],0))</f>
        <v>46193</v>
      </c>
      <c r="E653" s="58" t="str">
        <f>INDEX(Tabledaily[نوع العمليــة],MATCH(TableDailyJournal[[#This Row],[رقم العملية]],Tabledaily[رقم العملية],0))</f>
        <v>قيد عهده</v>
      </c>
      <c r="F653" s="58">
        <f>IFERROR(INDEX(TableJudje[رقم الحساب],MATCH(TableDailyJournal[[#This Row],[الحساب]],TableJudje[اسم الحساب],0)),0)</f>
        <v>11060205</v>
      </c>
      <c r="G653" s="58" t="s">
        <v>513</v>
      </c>
      <c r="H653" s="61"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I653" s="60" t="str">
        <f>INDEX(Tabledaily[العملـــة],MATCH(TableDailyJournal[[#This Row],[رقم العملية]],Tabledaily[رقم العملية],0))</f>
        <v>ريال يمني</v>
      </c>
      <c r="J653" s="59">
        <f>IFERROR(INDEX(Tabledaily[سعــــــر
الصـــــرف],MATCH(C653,Tabledaily[رقم العملية],0)),1)</f>
        <v>405</v>
      </c>
      <c r="K653" s="123" cm="1">
        <f t="array" ref="K653">IFERROR(INDEX(Tabledaily[المبلـــــــغ],MATCH(1,(TableDailyJournal[[#This Row],[رقم العملية]]=Tabledaily[رقم العملية])*(TableDailyJournal[[#This Row],[الحساب]]=Tabledaily[الحســاب المديــــن]),0)),0)</f>
        <v>0</v>
      </c>
      <c r="L653" s="123" cm="1">
        <f t="array" ref="L653">IFERROR(INDEX(Tabledaily[المبلـــــــغ],MATCH(1,(TableDailyJournal[[#This Row],[رقم العملية]]=Tabledaily[رقم العملية])*(TableDailyJournal[[#This Row],[الحساب]]=Tabledaily[الحســاب الدئـــن]),0)),0)</f>
        <v>30000</v>
      </c>
      <c r="M653" s="119">
        <f>IFERROR(TableDailyJournal[[#This Row],[المبلغ مدين]]/TableDailyJournal[[#This Row],[سعــــــر
الصـــــرف]],0)</f>
        <v>0</v>
      </c>
      <c r="N653" s="119">
        <f>IFERROR(TableDailyJournal[[#This Row],[المبلغ دائن]]/TableDailyJournal[[#This Row],[سعــــــر
الصـــــرف]],0)</f>
        <v>74.074074074074076</v>
      </c>
      <c r="O653" s="121" t="str">
        <f>INDEX(Tabledaily[المستفيــــــــد],MATCH(TableDailyJournal[[#This Row],[رقم العملية]],Tabledaily[رقم العملية],0))</f>
        <v>الاستطلاع</v>
      </c>
      <c r="P653" s="121" t="str">
        <f>INDEX(Tabledaily[المــــرجـــــــــع],MATCH(TableDailyJournal[[#This Row],[رقم العملية]],Tabledaily[رقم العملية],0))</f>
        <v>كشف صرف</v>
      </c>
      <c r="Q653" s="121" t="str">
        <f>INDEX(Tabledaily[اســـــــم المــــرجــــع],MATCH(TableDailyJournal[[#This Row],[رقم العملية]],Tabledaily[رقم العملية],0))</f>
        <v>كشف صرف</v>
      </c>
      <c r="R653" s="121">
        <f>INDEX(Tabledaily[رقم المـــــرجـــع],MATCH(TableDailyJournal[[#This Row],[رقم العملية]],Tabledaily[رقم العملية],0))</f>
        <v>0</v>
      </c>
      <c r="S653" s="121" t="str">
        <f>INDEX(Tabledaily[مركـــــــزالتكلفــــــة],MATCH(TableDailyJournal[[#This Row],[رقم العملية]],Tabledaily[رقم العملية],0))</f>
        <v>الفرقة الثالثة</v>
      </c>
      <c r="T653" s="121">
        <f>IFERROR(INDEX(tablecost[رقم المركز],MATCH(TableDailyJournal[[#This Row],[مركـــــــزالتكلفــــــة]],tablecost[الاسم],0)),0)</f>
        <v>1</v>
      </c>
      <c r="U653" s="122">
        <f>IFERROR(DATE(TableDailyJournal[[#This Row],[السنــــة]],TableDailyJournal[[#This Row],[الشهــــر]],TableDailyJournal[[#This Row],[الـــــيوم]]),"01-01-2026")</f>
        <v>46193</v>
      </c>
      <c r="V653" s="126"/>
      <c r="W653" s="58"/>
      <c r="X653" s="58">
        <f>IFERROR(YEAR(TableDailyJournal[[#This Row],[التاريخ]]),"")</f>
        <v>2026</v>
      </c>
      <c r="Y653" s="58">
        <f>IFERROR(MONTH(TableDailyJournal[[#This Row],[التاريخ]]),"")</f>
        <v>6</v>
      </c>
      <c r="Z653" s="58">
        <f>IFERROR(DAY(TableDailyJournal[[#This Row],[التاريخ]]),"")</f>
        <v>20</v>
      </c>
      <c r="AA653"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AB653" s="121">
        <f>INDEX(Tabledaily[جهة الامر],MATCH(TableDailyJournal[[#This Row],[رقم العملية]],Tabledaily[رقم العملية],0))</f>
        <v>0</v>
      </c>
    </row>
    <row r="654" spans="2:28" ht="45.75" x14ac:dyDescent="0.55000000000000004">
      <c r="B654" s="58">
        <f t="shared" si="21"/>
        <v>650</v>
      </c>
      <c r="C654" s="59" t="s">
        <v>1142</v>
      </c>
      <c r="D654" s="60">
        <f>INDEX(Tabledaily[date],MATCH(TableDailyJournal[[#This Row],[رقم العملية]],Tabledaily[رقم العملية],0))</f>
        <v>46193</v>
      </c>
      <c r="E654" s="58" t="str">
        <f>INDEX(Tabledaily[نوع العمليــة],MATCH(TableDailyJournal[[#This Row],[رقم العملية]],Tabledaily[رقم العملية],0))</f>
        <v>قيد عهده</v>
      </c>
      <c r="F654" s="58">
        <f>IFERROR(INDEX(TableJudje[رقم الحساب],MATCH(TableDailyJournal[[#This Row],[الحساب]],TableJudje[اسم الحساب],0)),0)</f>
        <v>31010101</v>
      </c>
      <c r="G654" s="58" t="s">
        <v>111</v>
      </c>
      <c r="H654"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654" s="60" t="str">
        <f>INDEX(Tabledaily[العملـــة],MATCH(TableDailyJournal[[#This Row],[رقم العملية]],Tabledaily[رقم العملية],0))</f>
        <v>ريال يمني</v>
      </c>
      <c r="J654" s="59">
        <f>IFERROR(INDEX(Tabledaily[سعــــــر
الصـــــرف],MATCH(C654,Tabledaily[رقم العملية],0)),1)</f>
        <v>405</v>
      </c>
      <c r="K654" s="123" cm="1">
        <f t="array" ref="K654">IFERROR(INDEX(Tabledaily[المبلـــــــغ],MATCH(1,(TableDailyJournal[[#This Row],[رقم العملية]]=Tabledaily[رقم العملية])*(TableDailyJournal[[#This Row],[الحساب]]=Tabledaily[الحســاب المديــــن]),0)),0)</f>
        <v>25000</v>
      </c>
      <c r="L654" s="123" cm="1">
        <f t="array" ref="L654">IFERROR(INDEX(Tabledaily[المبلـــــــغ],MATCH(1,(TableDailyJournal[[#This Row],[رقم العملية]]=Tabledaily[رقم العملية])*(TableDailyJournal[[#This Row],[الحساب]]=Tabledaily[الحســاب الدئـــن]),0)),0)</f>
        <v>0</v>
      </c>
      <c r="M654" s="119">
        <f>IFERROR(TableDailyJournal[[#This Row],[المبلغ مدين]]/TableDailyJournal[[#This Row],[سعــــــر
الصـــــرف]],0)</f>
        <v>61.728395061728392</v>
      </c>
      <c r="N654" s="119">
        <f>IFERROR(TableDailyJournal[[#This Row],[المبلغ دائن]]/TableDailyJournal[[#This Row],[سعــــــر
الصـــــرف]],0)</f>
        <v>0</v>
      </c>
      <c r="O654" s="121" t="str">
        <f>INDEX(Tabledaily[المستفيــــــــد],MATCH(TableDailyJournal[[#This Row],[رقم العملية]],Tabledaily[رقم العملية],0))</f>
        <v>المحاسبين</v>
      </c>
      <c r="P654" s="121" t="str">
        <f>INDEX(Tabledaily[المــــرجـــــــــع],MATCH(TableDailyJournal[[#This Row],[رقم العملية]],Tabledaily[رقم العملية],0))</f>
        <v>كشف صرف</v>
      </c>
      <c r="Q654" s="121" t="str">
        <f>INDEX(Tabledaily[اســـــــم المــــرجــــع],MATCH(TableDailyJournal[[#This Row],[رقم العملية]],Tabledaily[رقم العملية],0))</f>
        <v>كشف صرف</v>
      </c>
      <c r="R654" s="121">
        <f>INDEX(Tabledaily[رقم المـــــرجـــع],MATCH(TableDailyJournal[[#This Row],[رقم العملية]],Tabledaily[رقم العملية],0))</f>
        <v>0</v>
      </c>
      <c r="S654" s="121" t="str">
        <f>INDEX(Tabledaily[مركـــــــزالتكلفــــــة],MATCH(TableDailyJournal[[#This Row],[رقم العملية]],Tabledaily[رقم العملية],0))</f>
        <v>الفرقة الثالثة</v>
      </c>
      <c r="T654" s="121">
        <f>IFERROR(INDEX(tablecost[رقم المركز],MATCH(TableDailyJournal[[#This Row],[مركـــــــزالتكلفــــــة]],tablecost[الاسم],0)),0)</f>
        <v>1</v>
      </c>
      <c r="U654" s="122">
        <f>IFERROR(DATE(TableDailyJournal[[#This Row],[السنــــة]],TableDailyJournal[[#This Row],[الشهــــر]],TableDailyJournal[[#This Row],[الـــــيوم]]),"01-01-2026")</f>
        <v>46193</v>
      </c>
      <c r="V654" s="126"/>
      <c r="W654" s="58"/>
      <c r="X654" s="58">
        <f>IFERROR(YEAR(TableDailyJournal[[#This Row],[التاريخ]]),"")</f>
        <v>2026</v>
      </c>
      <c r="Y654" s="58">
        <f>IFERROR(MONTH(TableDailyJournal[[#This Row],[التاريخ]]),"")</f>
        <v>6</v>
      </c>
      <c r="Z654" s="58">
        <f>IFERROR(DAY(TableDailyJournal[[#This Row],[التاريخ]]),"")</f>
        <v>20</v>
      </c>
      <c r="AA654"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654" s="121">
        <f>INDEX(Tabledaily[جهة الامر],MATCH(TableDailyJournal[[#This Row],[رقم العملية]],Tabledaily[رقم العملية],0))</f>
        <v>0</v>
      </c>
    </row>
    <row r="655" spans="2:28" ht="45.75" x14ac:dyDescent="0.55000000000000004">
      <c r="B655" s="58">
        <f t="shared" si="21"/>
        <v>651</v>
      </c>
      <c r="C655" s="59" t="s">
        <v>1142</v>
      </c>
      <c r="D655" s="60">
        <f>INDEX(Tabledaily[date],MATCH(TableDailyJournal[[#This Row],[رقم العملية]],Tabledaily[رقم العملية],0))</f>
        <v>46193</v>
      </c>
      <c r="E655" s="58" t="str">
        <f>INDEX(Tabledaily[نوع العمليــة],MATCH(TableDailyJournal[[#This Row],[رقم العملية]],Tabledaily[رقم العملية],0))</f>
        <v>قيد عهده</v>
      </c>
      <c r="F655" s="58">
        <f>IFERROR(INDEX(TableJudje[رقم الحساب],MATCH(TableDailyJournal[[#This Row],[الحساب]],TableJudje[اسم الحساب],0)),0)</f>
        <v>11060205</v>
      </c>
      <c r="G655" s="58" t="s">
        <v>513</v>
      </c>
      <c r="H655" s="61"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655" s="60" t="str">
        <f>INDEX(Tabledaily[العملـــة],MATCH(TableDailyJournal[[#This Row],[رقم العملية]],Tabledaily[رقم العملية],0))</f>
        <v>ريال يمني</v>
      </c>
      <c r="J655" s="59">
        <f>IFERROR(INDEX(Tabledaily[سعــــــر
الصـــــرف],MATCH(C655,Tabledaily[رقم العملية],0)),1)</f>
        <v>405</v>
      </c>
      <c r="K655" s="123" cm="1">
        <f t="array" ref="K655">IFERROR(INDEX(Tabledaily[المبلـــــــغ],MATCH(1,(TableDailyJournal[[#This Row],[رقم العملية]]=Tabledaily[رقم العملية])*(TableDailyJournal[[#This Row],[الحساب]]=Tabledaily[الحســاب المديــــن]),0)),0)</f>
        <v>0</v>
      </c>
      <c r="L655" s="123" cm="1">
        <f t="array" ref="L655">IFERROR(INDEX(Tabledaily[المبلـــــــغ],MATCH(1,(TableDailyJournal[[#This Row],[رقم العملية]]=Tabledaily[رقم العملية])*(TableDailyJournal[[#This Row],[الحساب]]=Tabledaily[الحســاب الدئـــن]),0)),0)</f>
        <v>25000</v>
      </c>
      <c r="M655" s="119">
        <f>IFERROR(TableDailyJournal[[#This Row],[المبلغ مدين]]/TableDailyJournal[[#This Row],[سعــــــر
الصـــــرف]],0)</f>
        <v>0</v>
      </c>
      <c r="N655" s="119">
        <f>IFERROR(TableDailyJournal[[#This Row],[المبلغ دائن]]/TableDailyJournal[[#This Row],[سعــــــر
الصـــــرف]],0)</f>
        <v>61.728395061728392</v>
      </c>
      <c r="O655" s="121" t="str">
        <f>INDEX(Tabledaily[المستفيــــــــد],MATCH(TableDailyJournal[[#This Row],[رقم العملية]],Tabledaily[رقم العملية],0))</f>
        <v>المحاسبين</v>
      </c>
      <c r="P655" s="121" t="str">
        <f>INDEX(Tabledaily[المــــرجـــــــــع],MATCH(TableDailyJournal[[#This Row],[رقم العملية]],Tabledaily[رقم العملية],0))</f>
        <v>كشف صرف</v>
      </c>
      <c r="Q655" s="121" t="str">
        <f>INDEX(Tabledaily[اســـــــم المــــرجــــع],MATCH(TableDailyJournal[[#This Row],[رقم العملية]],Tabledaily[رقم العملية],0))</f>
        <v>كشف صرف</v>
      </c>
      <c r="R655" s="121">
        <f>INDEX(Tabledaily[رقم المـــــرجـــع],MATCH(TableDailyJournal[[#This Row],[رقم العملية]],Tabledaily[رقم العملية],0))</f>
        <v>0</v>
      </c>
      <c r="S655" s="121" t="str">
        <f>INDEX(Tabledaily[مركـــــــزالتكلفــــــة],MATCH(TableDailyJournal[[#This Row],[رقم العملية]],Tabledaily[رقم العملية],0))</f>
        <v>الفرقة الثالثة</v>
      </c>
      <c r="T655" s="121">
        <f>IFERROR(INDEX(tablecost[رقم المركز],MATCH(TableDailyJournal[[#This Row],[مركـــــــزالتكلفــــــة]],tablecost[الاسم],0)),0)</f>
        <v>1</v>
      </c>
      <c r="U655" s="122">
        <f>IFERROR(DATE(TableDailyJournal[[#This Row],[السنــــة]],TableDailyJournal[[#This Row],[الشهــــر]],TableDailyJournal[[#This Row],[الـــــيوم]]),"01-01-2026")</f>
        <v>46193</v>
      </c>
      <c r="V655" s="126"/>
      <c r="W655" s="58"/>
      <c r="X655" s="58">
        <f>IFERROR(YEAR(TableDailyJournal[[#This Row],[التاريخ]]),"")</f>
        <v>2026</v>
      </c>
      <c r="Y655" s="58">
        <f>IFERROR(MONTH(TableDailyJournal[[#This Row],[التاريخ]]),"")</f>
        <v>6</v>
      </c>
      <c r="Z655" s="58">
        <f>IFERROR(DAY(TableDailyJournal[[#This Row],[التاريخ]]),"")</f>
        <v>20</v>
      </c>
      <c r="AA655"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655" s="121">
        <f>INDEX(Tabledaily[جهة الامر],MATCH(TableDailyJournal[[#This Row],[رقم العملية]],Tabledaily[رقم العملية],0))</f>
        <v>0</v>
      </c>
    </row>
    <row r="656" spans="2:28" ht="45.75" x14ac:dyDescent="0.55000000000000004">
      <c r="B656" s="58">
        <f t="shared" si="21"/>
        <v>652</v>
      </c>
      <c r="C656" s="59" t="s">
        <v>1143</v>
      </c>
      <c r="D656" s="60">
        <f>INDEX(Tabledaily[date],MATCH(TableDailyJournal[[#This Row],[رقم العملية]],Tabledaily[رقم العملية],0))</f>
        <v>46193</v>
      </c>
      <c r="E656" s="58" t="str">
        <f>INDEX(Tabledaily[نوع العمليــة],MATCH(TableDailyJournal[[#This Row],[رقم العملية]],Tabledaily[رقم العملية],0))</f>
        <v>قيد عهده</v>
      </c>
      <c r="F656" s="58">
        <f>IFERROR(INDEX(TableJudje[رقم الحساب],MATCH(TableDailyJournal[[#This Row],[الحساب]],TableJudje[اسم الحساب],0)),0)</f>
        <v>31010101</v>
      </c>
      <c r="G656" s="58" t="s">
        <v>111</v>
      </c>
      <c r="H656"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656" s="60" t="str">
        <f>INDEX(Tabledaily[العملـــة],MATCH(TableDailyJournal[[#This Row],[رقم العملية]],Tabledaily[رقم العملية],0))</f>
        <v>ريال يمني</v>
      </c>
      <c r="J656" s="59">
        <f>IFERROR(INDEX(Tabledaily[سعــــــر
الصـــــرف],MATCH(C656,Tabledaily[رقم العملية],0)),1)</f>
        <v>405</v>
      </c>
      <c r="K656" s="123" cm="1">
        <f t="array" ref="K656">IFERROR(INDEX(Tabledaily[المبلـــــــغ],MATCH(1,(TableDailyJournal[[#This Row],[رقم العملية]]=Tabledaily[رقم العملية])*(TableDailyJournal[[#This Row],[الحساب]]=Tabledaily[الحســاب المديــــن]),0)),0)</f>
        <v>15000</v>
      </c>
      <c r="L656" s="123" cm="1">
        <f t="array" ref="L656">IFERROR(INDEX(Tabledaily[المبلـــــــغ],MATCH(1,(TableDailyJournal[[#This Row],[رقم العملية]]=Tabledaily[رقم العملية])*(TableDailyJournal[[#This Row],[الحساب]]=Tabledaily[الحســاب الدئـــن]),0)),0)</f>
        <v>0</v>
      </c>
      <c r="M656" s="119">
        <f>IFERROR(TableDailyJournal[[#This Row],[المبلغ مدين]]/TableDailyJournal[[#This Row],[سعــــــر
الصـــــرف]],0)</f>
        <v>37.037037037037038</v>
      </c>
      <c r="N656" s="119">
        <f>IFERROR(TableDailyJournal[[#This Row],[المبلغ دائن]]/TableDailyJournal[[#This Row],[سعــــــر
الصـــــرف]],0)</f>
        <v>0</v>
      </c>
      <c r="O656" s="121" t="str">
        <f>INDEX(Tabledaily[المستفيــــــــد],MATCH(TableDailyJournal[[#This Row],[رقم العملية]],Tabledaily[رقم العملية],0))</f>
        <v>البشرية</v>
      </c>
      <c r="P656" s="121" t="str">
        <f>INDEX(Tabledaily[المــــرجـــــــــع],MATCH(TableDailyJournal[[#This Row],[رقم العملية]],Tabledaily[رقم العملية],0))</f>
        <v>كشف صرف</v>
      </c>
      <c r="Q656" s="121" t="str">
        <f>INDEX(Tabledaily[اســـــــم المــــرجــــع],MATCH(TableDailyJournal[[#This Row],[رقم العملية]],Tabledaily[رقم العملية],0))</f>
        <v>كشف صرف</v>
      </c>
      <c r="R656" s="121">
        <f>INDEX(Tabledaily[رقم المـــــرجـــع],MATCH(TableDailyJournal[[#This Row],[رقم العملية]],Tabledaily[رقم العملية],0))</f>
        <v>0</v>
      </c>
      <c r="S656" s="121" t="str">
        <f>INDEX(Tabledaily[مركـــــــزالتكلفــــــة],MATCH(TableDailyJournal[[#This Row],[رقم العملية]],Tabledaily[رقم العملية],0))</f>
        <v>الفرقة الثالثة</v>
      </c>
      <c r="T656" s="121">
        <f>IFERROR(INDEX(tablecost[رقم المركز],MATCH(TableDailyJournal[[#This Row],[مركـــــــزالتكلفــــــة]],tablecost[الاسم],0)),0)</f>
        <v>1</v>
      </c>
      <c r="U656" s="122">
        <f>IFERROR(DATE(TableDailyJournal[[#This Row],[السنــــة]],TableDailyJournal[[#This Row],[الشهــــر]],TableDailyJournal[[#This Row],[الـــــيوم]]),"01-01-2026")</f>
        <v>46193</v>
      </c>
      <c r="V656" s="126"/>
      <c r="W656" s="58"/>
      <c r="X656" s="58">
        <f>IFERROR(YEAR(TableDailyJournal[[#This Row],[التاريخ]]),"")</f>
        <v>2026</v>
      </c>
      <c r="Y656" s="58">
        <f>IFERROR(MONTH(TableDailyJournal[[#This Row],[التاريخ]]),"")</f>
        <v>6</v>
      </c>
      <c r="Z656" s="58">
        <f>IFERROR(DAY(TableDailyJournal[[#This Row],[التاريخ]]),"")</f>
        <v>20</v>
      </c>
      <c r="AA656"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656" s="121">
        <f>INDEX(Tabledaily[جهة الامر],MATCH(TableDailyJournal[[#This Row],[رقم العملية]],Tabledaily[رقم العملية],0))</f>
        <v>0</v>
      </c>
    </row>
    <row r="657" spans="2:28" ht="45.75" x14ac:dyDescent="0.55000000000000004">
      <c r="B657" s="58">
        <f t="shared" si="21"/>
        <v>653</v>
      </c>
      <c r="C657" s="59" t="s">
        <v>1143</v>
      </c>
      <c r="D657" s="60">
        <f>INDEX(Tabledaily[date],MATCH(TableDailyJournal[[#This Row],[رقم العملية]],Tabledaily[رقم العملية],0))</f>
        <v>46193</v>
      </c>
      <c r="E657" s="58" t="str">
        <f>INDEX(Tabledaily[نوع العمليــة],MATCH(TableDailyJournal[[#This Row],[رقم العملية]],Tabledaily[رقم العملية],0))</f>
        <v>قيد عهده</v>
      </c>
      <c r="F657" s="58">
        <f>IFERROR(INDEX(TableJudje[رقم الحساب],MATCH(TableDailyJournal[[#This Row],[الحساب]],TableJudje[اسم الحساب],0)),0)</f>
        <v>11060205</v>
      </c>
      <c r="G657" s="58" t="s">
        <v>513</v>
      </c>
      <c r="H657" s="61"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657" s="60" t="str">
        <f>INDEX(Tabledaily[العملـــة],MATCH(TableDailyJournal[[#This Row],[رقم العملية]],Tabledaily[رقم العملية],0))</f>
        <v>ريال يمني</v>
      </c>
      <c r="J657" s="59">
        <f>IFERROR(INDEX(Tabledaily[سعــــــر
الصـــــرف],MATCH(C657,Tabledaily[رقم العملية],0)),1)</f>
        <v>405</v>
      </c>
      <c r="K657" s="123" cm="1">
        <f t="array" ref="K657">IFERROR(INDEX(Tabledaily[المبلـــــــغ],MATCH(1,(TableDailyJournal[[#This Row],[رقم العملية]]=Tabledaily[رقم العملية])*(TableDailyJournal[[#This Row],[الحساب]]=Tabledaily[الحســاب المديــــن]),0)),0)</f>
        <v>0</v>
      </c>
      <c r="L657" s="123" cm="1">
        <f t="array" ref="L657">IFERROR(INDEX(Tabledaily[المبلـــــــغ],MATCH(1,(TableDailyJournal[[#This Row],[رقم العملية]]=Tabledaily[رقم العملية])*(TableDailyJournal[[#This Row],[الحساب]]=Tabledaily[الحســاب الدئـــن]),0)),0)</f>
        <v>15000</v>
      </c>
      <c r="M657" s="119">
        <f>IFERROR(TableDailyJournal[[#This Row],[المبلغ مدين]]/TableDailyJournal[[#This Row],[سعــــــر
الصـــــرف]],0)</f>
        <v>0</v>
      </c>
      <c r="N657" s="119">
        <f>IFERROR(TableDailyJournal[[#This Row],[المبلغ دائن]]/TableDailyJournal[[#This Row],[سعــــــر
الصـــــرف]],0)</f>
        <v>37.037037037037038</v>
      </c>
      <c r="O657" s="121" t="str">
        <f>INDEX(Tabledaily[المستفيــــــــد],MATCH(TableDailyJournal[[#This Row],[رقم العملية]],Tabledaily[رقم العملية],0))</f>
        <v>البشرية</v>
      </c>
      <c r="P657" s="121" t="str">
        <f>INDEX(Tabledaily[المــــرجـــــــــع],MATCH(TableDailyJournal[[#This Row],[رقم العملية]],Tabledaily[رقم العملية],0))</f>
        <v>كشف صرف</v>
      </c>
      <c r="Q657" s="121" t="str">
        <f>INDEX(Tabledaily[اســـــــم المــــرجــــع],MATCH(TableDailyJournal[[#This Row],[رقم العملية]],Tabledaily[رقم العملية],0))</f>
        <v>كشف صرف</v>
      </c>
      <c r="R657" s="121">
        <f>INDEX(Tabledaily[رقم المـــــرجـــع],MATCH(TableDailyJournal[[#This Row],[رقم العملية]],Tabledaily[رقم العملية],0))</f>
        <v>0</v>
      </c>
      <c r="S657" s="121" t="str">
        <f>INDEX(Tabledaily[مركـــــــزالتكلفــــــة],MATCH(TableDailyJournal[[#This Row],[رقم العملية]],Tabledaily[رقم العملية],0))</f>
        <v>الفرقة الثالثة</v>
      </c>
      <c r="T657" s="121">
        <f>IFERROR(INDEX(tablecost[رقم المركز],MATCH(TableDailyJournal[[#This Row],[مركـــــــزالتكلفــــــة]],tablecost[الاسم],0)),0)</f>
        <v>1</v>
      </c>
      <c r="U657" s="122">
        <f>IFERROR(DATE(TableDailyJournal[[#This Row],[السنــــة]],TableDailyJournal[[#This Row],[الشهــــر]],TableDailyJournal[[#This Row],[الـــــيوم]]),"01-01-2026")</f>
        <v>46193</v>
      </c>
      <c r="V657" s="126"/>
      <c r="W657" s="58"/>
      <c r="X657" s="58">
        <f>IFERROR(YEAR(TableDailyJournal[[#This Row],[التاريخ]]),"")</f>
        <v>2026</v>
      </c>
      <c r="Y657" s="58">
        <f>IFERROR(MONTH(TableDailyJournal[[#This Row],[التاريخ]]),"")</f>
        <v>6</v>
      </c>
      <c r="Z657" s="58">
        <f>IFERROR(DAY(TableDailyJournal[[#This Row],[التاريخ]]),"")</f>
        <v>20</v>
      </c>
      <c r="AA657"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657" s="121">
        <f>INDEX(Tabledaily[جهة الامر],MATCH(TableDailyJournal[[#This Row],[رقم العملية]],Tabledaily[رقم العملية],0))</f>
        <v>0</v>
      </c>
    </row>
    <row r="658" spans="2:28" ht="45.75" x14ac:dyDescent="0.55000000000000004">
      <c r="B658" s="58">
        <f t="shared" si="21"/>
        <v>654</v>
      </c>
      <c r="C658" s="59" t="s">
        <v>1144</v>
      </c>
      <c r="D658" s="60">
        <f>INDEX(Tabledaily[date],MATCH(TableDailyJournal[[#This Row],[رقم العملية]],Tabledaily[رقم العملية],0))</f>
        <v>46193</v>
      </c>
      <c r="E658" s="58" t="str">
        <f>INDEX(Tabledaily[نوع العمليــة],MATCH(TableDailyJournal[[#This Row],[رقم العملية]],Tabledaily[رقم العملية],0))</f>
        <v>قيد عهده</v>
      </c>
      <c r="F658" s="58">
        <f>IFERROR(INDEX(TableJudje[رقم الحساب],MATCH(TableDailyJournal[[#This Row],[الحساب]],TableJudje[اسم الحساب],0)),0)</f>
        <v>31010101</v>
      </c>
      <c r="G658" s="58" t="s">
        <v>111</v>
      </c>
      <c r="H658"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658" s="60" t="str">
        <f>INDEX(Tabledaily[العملـــة],MATCH(TableDailyJournal[[#This Row],[رقم العملية]],Tabledaily[رقم العملية],0))</f>
        <v>ريال يمني</v>
      </c>
      <c r="J658" s="59">
        <f>IFERROR(INDEX(Tabledaily[سعــــــر
الصـــــرف],MATCH(C658,Tabledaily[رقم العملية],0)),1)</f>
        <v>405</v>
      </c>
      <c r="K658" s="123" cm="1">
        <f t="array" ref="K658">IFERROR(INDEX(Tabledaily[المبلـــــــغ],MATCH(1,(TableDailyJournal[[#This Row],[رقم العملية]]=Tabledaily[رقم العملية])*(TableDailyJournal[[#This Row],[الحساب]]=Tabledaily[الحســاب المديــــن]),0)),0)</f>
        <v>80000</v>
      </c>
      <c r="L658" s="123" cm="1">
        <f t="array" ref="L658">IFERROR(INDEX(Tabledaily[المبلـــــــغ],MATCH(1,(TableDailyJournal[[#This Row],[رقم العملية]]=Tabledaily[رقم العملية])*(TableDailyJournal[[#This Row],[الحساب]]=Tabledaily[الحســاب الدئـــن]),0)),0)</f>
        <v>0</v>
      </c>
      <c r="M658" s="119">
        <f>IFERROR(TableDailyJournal[[#This Row],[المبلغ مدين]]/TableDailyJournal[[#This Row],[سعــــــر
الصـــــرف]],0)</f>
        <v>197.53086419753086</v>
      </c>
      <c r="N658" s="119">
        <f>IFERROR(TableDailyJournal[[#This Row],[المبلغ دائن]]/TableDailyJournal[[#This Row],[سعــــــر
الصـــــرف]],0)</f>
        <v>0</v>
      </c>
      <c r="O658" s="121" t="str">
        <f>INDEX(Tabledaily[المستفيــــــــد],MATCH(TableDailyJournal[[#This Row],[رقم العملية]],Tabledaily[رقم العملية],0))</f>
        <v>الاستخبارات</v>
      </c>
      <c r="P658" s="121" t="str">
        <f>INDEX(Tabledaily[المــــرجـــــــــع],MATCH(TableDailyJournal[[#This Row],[رقم العملية]],Tabledaily[رقم العملية],0))</f>
        <v>كشف صرف</v>
      </c>
      <c r="Q658" s="121" t="str">
        <f>INDEX(Tabledaily[اســـــــم المــــرجــــع],MATCH(TableDailyJournal[[#This Row],[رقم العملية]],Tabledaily[رقم العملية],0))</f>
        <v>كشف صرف</v>
      </c>
      <c r="R658" s="121">
        <f>INDEX(Tabledaily[رقم المـــــرجـــع],MATCH(TableDailyJournal[[#This Row],[رقم العملية]],Tabledaily[رقم العملية],0))</f>
        <v>0</v>
      </c>
      <c r="S658" s="121" t="str">
        <f>INDEX(Tabledaily[مركـــــــزالتكلفــــــة],MATCH(TableDailyJournal[[#This Row],[رقم العملية]],Tabledaily[رقم العملية],0))</f>
        <v>الفرقة الثالثة</v>
      </c>
      <c r="T658" s="121">
        <f>IFERROR(INDEX(tablecost[رقم المركز],MATCH(TableDailyJournal[[#This Row],[مركـــــــزالتكلفــــــة]],tablecost[الاسم],0)),0)</f>
        <v>1</v>
      </c>
      <c r="U658" s="122">
        <f>IFERROR(DATE(TableDailyJournal[[#This Row],[السنــــة]],TableDailyJournal[[#This Row],[الشهــــر]],TableDailyJournal[[#This Row],[الـــــيوم]]),"01-01-2026")</f>
        <v>46193</v>
      </c>
      <c r="V658" s="126"/>
      <c r="W658" s="58"/>
      <c r="X658" s="58">
        <f>IFERROR(YEAR(TableDailyJournal[[#This Row],[التاريخ]]),"")</f>
        <v>2026</v>
      </c>
      <c r="Y658" s="58">
        <f>IFERROR(MONTH(TableDailyJournal[[#This Row],[التاريخ]]),"")</f>
        <v>6</v>
      </c>
      <c r="Z658" s="58">
        <f>IFERROR(DAY(TableDailyJournal[[#This Row],[التاريخ]]),"")</f>
        <v>20</v>
      </c>
      <c r="AA658"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658" s="121">
        <f>INDEX(Tabledaily[جهة الامر],MATCH(TableDailyJournal[[#This Row],[رقم العملية]],Tabledaily[رقم العملية],0))</f>
        <v>0</v>
      </c>
    </row>
    <row r="659" spans="2:28" ht="45.75" x14ac:dyDescent="0.55000000000000004">
      <c r="B659" s="58">
        <f t="shared" si="21"/>
        <v>655</v>
      </c>
      <c r="C659" s="59" t="s">
        <v>1144</v>
      </c>
      <c r="D659" s="60">
        <f>INDEX(Tabledaily[date],MATCH(TableDailyJournal[[#This Row],[رقم العملية]],Tabledaily[رقم العملية],0))</f>
        <v>46193</v>
      </c>
      <c r="E659" s="58" t="str">
        <f>INDEX(Tabledaily[نوع العمليــة],MATCH(TableDailyJournal[[#This Row],[رقم العملية]],Tabledaily[رقم العملية],0))</f>
        <v>قيد عهده</v>
      </c>
      <c r="F659" s="58">
        <f>IFERROR(INDEX(TableJudje[رقم الحساب],MATCH(TableDailyJournal[[#This Row],[الحساب]],TableJudje[اسم الحساب],0)),0)</f>
        <v>11060205</v>
      </c>
      <c r="G659" s="58" t="s">
        <v>513</v>
      </c>
      <c r="H659" s="61"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659" s="60" t="str">
        <f>INDEX(Tabledaily[العملـــة],MATCH(TableDailyJournal[[#This Row],[رقم العملية]],Tabledaily[رقم العملية],0))</f>
        <v>ريال يمني</v>
      </c>
      <c r="J659" s="59">
        <f>IFERROR(INDEX(Tabledaily[سعــــــر
الصـــــرف],MATCH(C659,Tabledaily[رقم العملية],0)),1)</f>
        <v>405</v>
      </c>
      <c r="K659" s="123" cm="1">
        <f t="array" ref="K659">IFERROR(INDEX(Tabledaily[المبلـــــــغ],MATCH(1,(TableDailyJournal[[#This Row],[رقم العملية]]=Tabledaily[رقم العملية])*(TableDailyJournal[[#This Row],[الحساب]]=Tabledaily[الحســاب المديــــن]),0)),0)</f>
        <v>0</v>
      </c>
      <c r="L659" s="123" cm="1">
        <f t="array" ref="L659">IFERROR(INDEX(Tabledaily[المبلـــــــغ],MATCH(1,(TableDailyJournal[[#This Row],[رقم العملية]]=Tabledaily[رقم العملية])*(TableDailyJournal[[#This Row],[الحساب]]=Tabledaily[الحســاب الدئـــن]),0)),0)</f>
        <v>80000</v>
      </c>
      <c r="M659" s="119">
        <f>IFERROR(TableDailyJournal[[#This Row],[المبلغ مدين]]/TableDailyJournal[[#This Row],[سعــــــر
الصـــــرف]],0)</f>
        <v>0</v>
      </c>
      <c r="N659" s="119">
        <f>IFERROR(TableDailyJournal[[#This Row],[المبلغ دائن]]/TableDailyJournal[[#This Row],[سعــــــر
الصـــــرف]],0)</f>
        <v>197.53086419753086</v>
      </c>
      <c r="O659" s="121" t="str">
        <f>INDEX(Tabledaily[المستفيــــــــد],MATCH(TableDailyJournal[[#This Row],[رقم العملية]],Tabledaily[رقم العملية],0))</f>
        <v>الاستخبارات</v>
      </c>
      <c r="P659" s="121" t="str">
        <f>INDEX(Tabledaily[المــــرجـــــــــع],MATCH(TableDailyJournal[[#This Row],[رقم العملية]],Tabledaily[رقم العملية],0))</f>
        <v>كشف صرف</v>
      </c>
      <c r="Q659" s="121" t="str">
        <f>INDEX(Tabledaily[اســـــــم المــــرجــــع],MATCH(TableDailyJournal[[#This Row],[رقم العملية]],Tabledaily[رقم العملية],0))</f>
        <v>كشف صرف</v>
      </c>
      <c r="R659" s="121">
        <f>INDEX(Tabledaily[رقم المـــــرجـــع],MATCH(TableDailyJournal[[#This Row],[رقم العملية]],Tabledaily[رقم العملية],0))</f>
        <v>0</v>
      </c>
      <c r="S659" s="121" t="str">
        <f>INDEX(Tabledaily[مركـــــــزالتكلفــــــة],MATCH(TableDailyJournal[[#This Row],[رقم العملية]],Tabledaily[رقم العملية],0))</f>
        <v>الفرقة الثالثة</v>
      </c>
      <c r="T659" s="121">
        <f>IFERROR(INDEX(tablecost[رقم المركز],MATCH(TableDailyJournal[[#This Row],[مركـــــــزالتكلفــــــة]],tablecost[الاسم],0)),0)</f>
        <v>1</v>
      </c>
      <c r="U659" s="122">
        <f>IFERROR(DATE(TableDailyJournal[[#This Row],[السنــــة]],TableDailyJournal[[#This Row],[الشهــــر]],TableDailyJournal[[#This Row],[الـــــيوم]]),"01-01-2026")</f>
        <v>46193</v>
      </c>
      <c r="V659" s="126"/>
      <c r="W659" s="58"/>
      <c r="X659" s="58">
        <f>IFERROR(YEAR(TableDailyJournal[[#This Row],[التاريخ]]),"")</f>
        <v>2026</v>
      </c>
      <c r="Y659" s="58">
        <f>IFERROR(MONTH(TableDailyJournal[[#This Row],[التاريخ]]),"")</f>
        <v>6</v>
      </c>
      <c r="Z659" s="58">
        <f>IFERROR(DAY(TableDailyJournal[[#This Row],[التاريخ]]),"")</f>
        <v>20</v>
      </c>
      <c r="AA659"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659" s="121">
        <f>INDEX(Tabledaily[جهة الامر],MATCH(TableDailyJournal[[#This Row],[رقم العملية]],Tabledaily[رقم العملية],0))</f>
        <v>0</v>
      </c>
    </row>
    <row r="660" spans="2:28" ht="45.75" x14ac:dyDescent="0.55000000000000004">
      <c r="B660" s="58">
        <f t="shared" si="21"/>
        <v>656</v>
      </c>
      <c r="C660" s="59" t="s">
        <v>1145</v>
      </c>
      <c r="D660" s="60">
        <f>INDEX(Tabledaily[date],MATCH(TableDailyJournal[[#This Row],[رقم العملية]],Tabledaily[رقم العملية],0))</f>
        <v>46193</v>
      </c>
      <c r="E660" s="58" t="str">
        <f>INDEX(Tabledaily[نوع العمليــة],MATCH(TableDailyJournal[[#This Row],[رقم العملية]],Tabledaily[رقم العملية],0))</f>
        <v>قيد عهده</v>
      </c>
      <c r="F660" s="58">
        <f>IFERROR(INDEX(TableJudje[رقم الحساب],MATCH(TableDailyJournal[[#This Row],[الحساب]],TableJudje[اسم الحساب],0)),0)</f>
        <v>31010101</v>
      </c>
      <c r="G660" s="58" t="s">
        <v>111</v>
      </c>
      <c r="H660"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660" s="60" t="str">
        <f>INDEX(Tabledaily[العملـــة],MATCH(TableDailyJournal[[#This Row],[رقم العملية]],Tabledaily[رقم العملية],0))</f>
        <v>ريال يمني</v>
      </c>
      <c r="J660" s="59">
        <f>IFERROR(INDEX(Tabledaily[سعــــــر
الصـــــرف],MATCH(C660,Tabledaily[رقم العملية],0)),1)</f>
        <v>405</v>
      </c>
      <c r="K660" s="123" cm="1">
        <f t="array" ref="K660">IFERROR(INDEX(Tabledaily[المبلـــــــغ],MATCH(1,(TableDailyJournal[[#This Row],[رقم العملية]]=Tabledaily[رقم العملية])*(TableDailyJournal[[#This Row],[الحساب]]=Tabledaily[الحســاب المديــــن]),0)),0)</f>
        <v>45000</v>
      </c>
      <c r="L660" s="123" cm="1">
        <f t="array" ref="L660">IFERROR(INDEX(Tabledaily[المبلـــــــغ],MATCH(1,(TableDailyJournal[[#This Row],[رقم العملية]]=Tabledaily[رقم العملية])*(TableDailyJournal[[#This Row],[الحساب]]=Tabledaily[الحســاب الدئـــن]),0)),0)</f>
        <v>0</v>
      </c>
      <c r="M660" s="119">
        <f>IFERROR(TableDailyJournal[[#This Row],[المبلغ مدين]]/TableDailyJournal[[#This Row],[سعــــــر
الصـــــرف]],0)</f>
        <v>111.11111111111111</v>
      </c>
      <c r="N660" s="119">
        <f>IFERROR(TableDailyJournal[[#This Row],[المبلغ دائن]]/TableDailyJournal[[#This Row],[سعــــــر
الصـــــرف]],0)</f>
        <v>0</v>
      </c>
      <c r="O660" s="121" t="str">
        <f>INDEX(Tabledaily[المستفيــــــــد],MATCH(TableDailyJournal[[#This Row],[رقم العملية]],Tabledaily[رقم العملية],0))</f>
        <v>المدفعية</v>
      </c>
      <c r="P660" s="121" t="str">
        <f>INDEX(Tabledaily[المــــرجـــــــــع],MATCH(TableDailyJournal[[#This Row],[رقم العملية]],Tabledaily[رقم العملية],0))</f>
        <v>كشف صرف</v>
      </c>
      <c r="Q660" s="121" t="str">
        <f>INDEX(Tabledaily[اســـــــم المــــرجــــع],MATCH(TableDailyJournal[[#This Row],[رقم العملية]],Tabledaily[رقم العملية],0))</f>
        <v>كشف صرف</v>
      </c>
      <c r="R660" s="121">
        <f>INDEX(Tabledaily[رقم المـــــرجـــع],MATCH(TableDailyJournal[[#This Row],[رقم العملية]],Tabledaily[رقم العملية],0))</f>
        <v>0</v>
      </c>
      <c r="S660" s="121" t="str">
        <f>INDEX(Tabledaily[مركـــــــزالتكلفــــــة],MATCH(TableDailyJournal[[#This Row],[رقم العملية]],Tabledaily[رقم العملية],0))</f>
        <v>الفرقة الثالثة</v>
      </c>
      <c r="T660" s="121">
        <f>IFERROR(INDEX(tablecost[رقم المركز],MATCH(TableDailyJournal[[#This Row],[مركـــــــزالتكلفــــــة]],tablecost[الاسم],0)),0)</f>
        <v>1</v>
      </c>
      <c r="U660" s="122">
        <f>IFERROR(DATE(TableDailyJournal[[#This Row],[السنــــة]],TableDailyJournal[[#This Row],[الشهــــر]],TableDailyJournal[[#This Row],[الـــــيوم]]),"01-01-2026")</f>
        <v>46193</v>
      </c>
      <c r="V660" s="126"/>
      <c r="W660" s="58"/>
      <c r="X660" s="58">
        <f>IFERROR(YEAR(TableDailyJournal[[#This Row],[التاريخ]]),"")</f>
        <v>2026</v>
      </c>
      <c r="Y660" s="58">
        <f>IFERROR(MONTH(TableDailyJournal[[#This Row],[التاريخ]]),"")</f>
        <v>6</v>
      </c>
      <c r="Z660" s="58">
        <f>IFERROR(DAY(TableDailyJournal[[#This Row],[التاريخ]]),"")</f>
        <v>20</v>
      </c>
      <c r="AA660"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660" s="121">
        <f>INDEX(Tabledaily[جهة الامر],MATCH(TableDailyJournal[[#This Row],[رقم العملية]],Tabledaily[رقم العملية],0))</f>
        <v>0</v>
      </c>
    </row>
    <row r="661" spans="2:28" ht="45.75" x14ac:dyDescent="0.55000000000000004">
      <c r="B661" s="58">
        <f t="shared" si="21"/>
        <v>657</v>
      </c>
      <c r="C661" s="59" t="s">
        <v>1145</v>
      </c>
      <c r="D661" s="60">
        <f>INDEX(Tabledaily[date],MATCH(TableDailyJournal[[#This Row],[رقم العملية]],Tabledaily[رقم العملية],0))</f>
        <v>46193</v>
      </c>
      <c r="E661" s="58" t="str">
        <f>INDEX(Tabledaily[نوع العمليــة],MATCH(TableDailyJournal[[#This Row],[رقم العملية]],Tabledaily[رقم العملية],0))</f>
        <v>قيد عهده</v>
      </c>
      <c r="F661" s="58">
        <f>IFERROR(INDEX(TableJudje[رقم الحساب],MATCH(TableDailyJournal[[#This Row],[الحساب]],TableJudje[اسم الحساب],0)),0)</f>
        <v>11060205</v>
      </c>
      <c r="G661" s="58" t="s">
        <v>513</v>
      </c>
      <c r="H661" s="61"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661" s="60" t="str">
        <f>INDEX(Tabledaily[العملـــة],MATCH(TableDailyJournal[[#This Row],[رقم العملية]],Tabledaily[رقم العملية],0))</f>
        <v>ريال يمني</v>
      </c>
      <c r="J661" s="59">
        <f>IFERROR(INDEX(Tabledaily[سعــــــر
الصـــــرف],MATCH(C661,Tabledaily[رقم العملية],0)),1)</f>
        <v>405</v>
      </c>
      <c r="K661" s="123" cm="1">
        <f t="array" ref="K661">IFERROR(INDEX(Tabledaily[المبلـــــــغ],MATCH(1,(TableDailyJournal[[#This Row],[رقم العملية]]=Tabledaily[رقم العملية])*(TableDailyJournal[[#This Row],[الحساب]]=Tabledaily[الحســاب المديــــن]),0)),0)</f>
        <v>0</v>
      </c>
      <c r="L661" s="123" cm="1">
        <f t="array" ref="L661">IFERROR(INDEX(Tabledaily[المبلـــــــغ],MATCH(1,(TableDailyJournal[[#This Row],[رقم العملية]]=Tabledaily[رقم العملية])*(TableDailyJournal[[#This Row],[الحساب]]=Tabledaily[الحســاب الدئـــن]),0)),0)</f>
        <v>45000</v>
      </c>
      <c r="M661" s="119">
        <f>IFERROR(TableDailyJournal[[#This Row],[المبلغ مدين]]/TableDailyJournal[[#This Row],[سعــــــر
الصـــــرف]],0)</f>
        <v>0</v>
      </c>
      <c r="N661" s="119">
        <f>IFERROR(TableDailyJournal[[#This Row],[المبلغ دائن]]/TableDailyJournal[[#This Row],[سعــــــر
الصـــــرف]],0)</f>
        <v>111.11111111111111</v>
      </c>
      <c r="O661" s="121" t="str">
        <f>INDEX(Tabledaily[المستفيــــــــد],MATCH(TableDailyJournal[[#This Row],[رقم العملية]],Tabledaily[رقم العملية],0))</f>
        <v>المدفعية</v>
      </c>
      <c r="P661" s="121" t="str">
        <f>INDEX(Tabledaily[المــــرجـــــــــع],MATCH(TableDailyJournal[[#This Row],[رقم العملية]],Tabledaily[رقم العملية],0))</f>
        <v>كشف صرف</v>
      </c>
      <c r="Q661" s="121" t="str">
        <f>INDEX(Tabledaily[اســـــــم المــــرجــــع],MATCH(TableDailyJournal[[#This Row],[رقم العملية]],Tabledaily[رقم العملية],0))</f>
        <v>كشف صرف</v>
      </c>
      <c r="R661" s="121">
        <f>INDEX(Tabledaily[رقم المـــــرجـــع],MATCH(TableDailyJournal[[#This Row],[رقم العملية]],Tabledaily[رقم العملية],0))</f>
        <v>0</v>
      </c>
      <c r="S661" s="121" t="str">
        <f>INDEX(Tabledaily[مركـــــــزالتكلفــــــة],MATCH(TableDailyJournal[[#This Row],[رقم العملية]],Tabledaily[رقم العملية],0))</f>
        <v>الفرقة الثالثة</v>
      </c>
      <c r="T661" s="121">
        <f>IFERROR(INDEX(tablecost[رقم المركز],MATCH(TableDailyJournal[[#This Row],[مركـــــــزالتكلفــــــة]],tablecost[الاسم],0)),0)</f>
        <v>1</v>
      </c>
      <c r="U661" s="122">
        <f>IFERROR(DATE(TableDailyJournal[[#This Row],[السنــــة]],TableDailyJournal[[#This Row],[الشهــــر]],TableDailyJournal[[#This Row],[الـــــيوم]]),"01-01-2026")</f>
        <v>46193</v>
      </c>
      <c r="V661" s="126"/>
      <c r="W661" s="58"/>
      <c r="X661" s="58">
        <f>IFERROR(YEAR(TableDailyJournal[[#This Row],[التاريخ]]),"")</f>
        <v>2026</v>
      </c>
      <c r="Y661" s="58">
        <f>IFERROR(MONTH(TableDailyJournal[[#This Row],[التاريخ]]),"")</f>
        <v>6</v>
      </c>
      <c r="Z661" s="58">
        <f>IFERROR(DAY(TableDailyJournal[[#This Row],[التاريخ]]),"")</f>
        <v>20</v>
      </c>
      <c r="AA661"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661" s="121">
        <f>INDEX(Tabledaily[جهة الامر],MATCH(TableDailyJournal[[#This Row],[رقم العملية]],Tabledaily[رقم العملية],0))</f>
        <v>0</v>
      </c>
    </row>
    <row r="662" spans="2:28" ht="45.75" x14ac:dyDescent="0.55000000000000004">
      <c r="B662" s="58">
        <f t="shared" si="21"/>
        <v>658</v>
      </c>
      <c r="C662" s="59" t="s">
        <v>1146</v>
      </c>
      <c r="D662" s="60">
        <f>INDEX(Tabledaily[date],MATCH(TableDailyJournal[[#This Row],[رقم العملية]],Tabledaily[رقم العملية],0))</f>
        <v>46193</v>
      </c>
      <c r="E662" s="58" t="str">
        <f>INDEX(Tabledaily[نوع العمليــة],MATCH(TableDailyJournal[[#This Row],[رقم العملية]],Tabledaily[رقم العملية],0))</f>
        <v>قيد عهده</v>
      </c>
      <c r="F662" s="58">
        <f>IFERROR(INDEX(TableJudje[رقم الحساب],MATCH(TableDailyJournal[[#This Row],[الحساب]],TableJudje[اسم الحساب],0)),0)</f>
        <v>31010101</v>
      </c>
      <c r="G662" s="58" t="s">
        <v>111</v>
      </c>
      <c r="H662"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I662" s="60" t="str">
        <f>INDEX(Tabledaily[العملـــة],MATCH(TableDailyJournal[[#This Row],[رقم العملية]],Tabledaily[رقم العملية],0))</f>
        <v>ريال يمني</v>
      </c>
      <c r="J662" s="59">
        <f>IFERROR(INDEX(Tabledaily[سعــــــر
الصـــــرف],MATCH(C662,Tabledaily[رقم العملية],0)),1)</f>
        <v>405</v>
      </c>
      <c r="K662" s="123" cm="1">
        <f t="array" ref="K662">IFERROR(INDEX(Tabledaily[المبلـــــــغ],MATCH(1,(TableDailyJournal[[#This Row],[رقم العملية]]=Tabledaily[رقم العملية])*(TableDailyJournal[[#This Row],[الحساب]]=Tabledaily[الحســاب المديــــن]),0)),0)</f>
        <v>80000</v>
      </c>
      <c r="L662" s="123" cm="1">
        <f t="array" ref="L662">IFERROR(INDEX(Tabledaily[المبلـــــــغ],MATCH(1,(TableDailyJournal[[#This Row],[رقم العملية]]=Tabledaily[رقم العملية])*(TableDailyJournal[[#This Row],[الحساب]]=Tabledaily[الحســاب الدئـــن]),0)),0)</f>
        <v>0</v>
      </c>
      <c r="M662" s="119">
        <f>IFERROR(TableDailyJournal[[#This Row],[المبلغ مدين]]/TableDailyJournal[[#This Row],[سعــــــر
الصـــــرف]],0)</f>
        <v>197.53086419753086</v>
      </c>
      <c r="N662" s="119">
        <f>IFERROR(TableDailyJournal[[#This Row],[المبلغ دائن]]/TableDailyJournal[[#This Row],[سعــــــر
الصـــــرف]],0)</f>
        <v>0</v>
      </c>
      <c r="O662" s="121" t="str">
        <f>INDEX(Tabledaily[المستفيــــــــد],MATCH(TableDailyJournal[[#This Row],[رقم العملية]],Tabledaily[رقم العملية],0))</f>
        <v>اخرون</v>
      </c>
      <c r="P662" s="121" t="str">
        <f>INDEX(Tabledaily[المــــرجـــــــــع],MATCH(TableDailyJournal[[#This Row],[رقم العملية]],Tabledaily[رقم العملية],0))</f>
        <v>كشف صرف</v>
      </c>
      <c r="Q662" s="121" t="str">
        <f>INDEX(Tabledaily[اســـــــم المــــرجــــع],MATCH(TableDailyJournal[[#This Row],[رقم العملية]],Tabledaily[رقم العملية],0))</f>
        <v>كشف صرف</v>
      </c>
      <c r="R662" s="121">
        <f>INDEX(Tabledaily[رقم المـــــرجـــع],MATCH(TableDailyJournal[[#This Row],[رقم العملية]],Tabledaily[رقم العملية],0))</f>
        <v>0</v>
      </c>
      <c r="S662" s="121" t="str">
        <f>INDEX(Tabledaily[مركـــــــزالتكلفــــــة],MATCH(TableDailyJournal[[#This Row],[رقم العملية]],Tabledaily[رقم العملية],0))</f>
        <v>الفرقة الثالثة</v>
      </c>
      <c r="T662" s="121">
        <f>IFERROR(INDEX(tablecost[رقم المركز],MATCH(TableDailyJournal[[#This Row],[مركـــــــزالتكلفــــــة]],tablecost[الاسم],0)),0)</f>
        <v>1</v>
      </c>
      <c r="U662" s="122">
        <f>IFERROR(DATE(TableDailyJournal[[#This Row],[السنــــة]],TableDailyJournal[[#This Row],[الشهــــر]],TableDailyJournal[[#This Row],[الـــــيوم]]),"01-01-2026")</f>
        <v>46193</v>
      </c>
      <c r="V662" s="126"/>
      <c r="W662" s="58"/>
      <c r="X662" s="58">
        <f>IFERROR(YEAR(TableDailyJournal[[#This Row],[التاريخ]]),"")</f>
        <v>2026</v>
      </c>
      <c r="Y662" s="58">
        <f>IFERROR(MONTH(TableDailyJournal[[#This Row],[التاريخ]]),"")</f>
        <v>6</v>
      </c>
      <c r="Z662" s="58">
        <f>IFERROR(DAY(TableDailyJournal[[#This Row],[التاريخ]]),"")</f>
        <v>20</v>
      </c>
      <c r="AA662"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AB662" s="121">
        <f>INDEX(Tabledaily[جهة الامر],MATCH(TableDailyJournal[[#This Row],[رقم العملية]],Tabledaily[رقم العملية],0))</f>
        <v>0</v>
      </c>
    </row>
    <row r="663" spans="2:28" ht="45.75" x14ac:dyDescent="0.55000000000000004">
      <c r="B663" s="58">
        <f t="shared" si="21"/>
        <v>659</v>
      </c>
      <c r="C663" s="59" t="s">
        <v>1146</v>
      </c>
      <c r="D663" s="60">
        <f>INDEX(Tabledaily[date],MATCH(TableDailyJournal[[#This Row],[رقم العملية]],Tabledaily[رقم العملية],0))</f>
        <v>46193</v>
      </c>
      <c r="E663" s="58" t="str">
        <f>INDEX(Tabledaily[نوع العمليــة],MATCH(TableDailyJournal[[#This Row],[رقم العملية]],Tabledaily[رقم العملية],0))</f>
        <v>قيد عهده</v>
      </c>
      <c r="F663" s="58">
        <f>IFERROR(INDEX(TableJudje[رقم الحساب],MATCH(TableDailyJournal[[#This Row],[الحساب]],TableJudje[اسم الحساب],0)),0)</f>
        <v>11060205</v>
      </c>
      <c r="G663" s="58" t="s">
        <v>513</v>
      </c>
      <c r="H663" s="61"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I663" s="60" t="str">
        <f>INDEX(Tabledaily[العملـــة],MATCH(TableDailyJournal[[#This Row],[رقم العملية]],Tabledaily[رقم العملية],0))</f>
        <v>ريال يمني</v>
      </c>
      <c r="J663" s="59">
        <f>IFERROR(INDEX(Tabledaily[سعــــــر
الصـــــرف],MATCH(C663,Tabledaily[رقم العملية],0)),1)</f>
        <v>405</v>
      </c>
      <c r="K663" s="123" cm="1">
        <f t="array" ref="K663">IFERROR(INDEX(Tabledaily[المبلـــــــغ],MATCH(1,(TableDailyJournal[[#This Row],[رقم العملية]]=Tabledaily[رقم العملية])*(TableDailyJournal[[#This Row],[الحساب]]=Tabledaily[الحســاب المديــــن]),0)),0)</f>
        <v>0</v>
      </c>
      <c r="L663" s="123" cm="1">
        <f t="array" ref="L663">IFERROR(INDEX(Tabledaily[المبلـــــــغ],MATCH(1,(TableDailyJournal[[#This Row],[رقم العملية]]=Tabledaily[رقم العملية])*(TableDailyJournal[[#This Row],[الحساب]]=Tabledaily[الحســاب الدئـــن]),0)),0)</f>
        <v>80000</v>
      </c>
      <c r="M663" s="119">
        <f>IFERROR(TableDailyJournal[[#This Row],[المبلغ مدين]]/TableDailyJournal[[#This Row],[سعــــــر
الصـــــرف]],0)</f>
        <v>0</v>
      </c>
      <c r="N663" s="119">
        <f>IFERROR(TableDailyJournal[[#This Row],[المبلغ دائن]]/TableDailyJournal[[#This Row],[سعــــــر
الصـــــرف]],0)</f>
        <v>197.53086419753086</v>
      </c>
      <c r="O663" s="121" t="str">
        <f>INDEX(Tabledaily[المستفيــــــــد],MATCH(TableDailyJournal[[#This Row],[رقم العملية]],Tabledaily[رقم العملية],0))</f>
        <v>اخرون</v>
      </c>
      <c r="P663" s="121" t="str">
        <f>INDEX(Tabledaily[المــــرجـــــــــع],MATCH(TableDailyJournal[[#This Row],[رقم العملية]],Tabledaily[رقم العملية],0))</f>
        <v>كشف صرف</v>
      </c>
      <c r="Q663" s="121" t="str">
        <f>INDEX(Tabledaily[اســـــــم المــــرجــــع],MATCH(TableDailyJournal[[#This Row],[رقم العملية]],Tabledaily[رقم العملية],0))</f>
        <v>كشف صرف</v>
      </c>
      <c r="R663" s="121">
        <f>INDEX(Tabledaily[رقم المـــــرجـــع],MATCH(TableDailyJournal[[#This Row],[رقم العملية]],Tabledaily[رقم العملية],0))</f>
        <v>0</v>
      </c>
      <c r="S663" s="121" t="str">
        <f>INDEX(Tabledaily[مركـــــــزالتكلفــــــة],MATCH(TableDailyJournal[[#This Row],[رقم العملية]],Tabledaily[رقم العملية],0))</f>
        <v>الفرقة الثالثة</v>
      </c>
      <c r="T663" s="121">
        <f>IFERROR(INDEX(tablecost[رقم المركز],MATCH(TableDailyJournal[[#This Row],[مركـــــــزالتكلفــــــة]],tablecost[الاسم],0)),0)</f>
        <v>1</v>
      </c>
      <c r="U663" s="122">
        <f>IFERROR(DATE(TableDailyJournal[[#This Row],[السنــــة]],TableDailyJournal[[#This Row],[الشهــــر]],TableDailyJournal[[#This Row],[الـــــيوم]]),"01-01-2026")</f>
        <v>46193</v>
      </c>
      <c r="V663" s="126"/>
      <c r="W663" s="58"/>
      <c r="X663" s="58">
        <f>IFERROR(YEAR(TableDailyJournal[[#This Row],[التاريخ]]),"")</f>
        <v>2026</v>
      </c>
      <c r="Y663" s="58">
        <f>IFERROR(MONTH(TableDailyJournal[[#This Row],[التاريخ]]),"")</f>
        <v>6</v>
      </c>
      <c r="Z663" s="58">
        <f>IFERROR(DAY(TableDailyJournal[[#This Row],[التاريخ]]),"")</f>
        <v>20</v>
      </c>
      <c r="AA663"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الصرفة اليومية اخرون عدد 9 بامر</v>
      </c>
      <c r="AB663" s="121">
        <f>INDEX(Tabledaily[جهة الامر],MATCH(TableDailyJournal[[#This Row],[رقم العملية]],Tabledaily[رقم العملية],0))</f>
        <v>0</v>
      </c>
    </row>
    <row r="664" spans="2:28" ht="45.75" x14ac:dyDescent="0.55000000000000004">
      <c r="B664" s="58">
        <f t="shared" si="21"/>
        <v>660</v>
      </c>
      <c r="C664" s="59" t="s">
        <v>1147</v>
      </c>
      <c r="D664" s="60">
        <f>INDEX(Tabledaily[date],MATCH(TableDailyJournal[[#This Row],[رقم العملية]],Tabledaily[رقم العملية],0))</f>
        <v>46193</v>
      </c>
      <c r="E664" s="58" t="str">
        <f>INDEX(Tabledaily[نوع العمليــة],MATCH(TableDailyJournal[[#This Row],[رقم العملية]],Tabledaily[رقم العملية],0))</f>
        <v>قيد عهده</v>
      </c>
      <c r="F664" s="58">
        <f>IFERROR(INDEX(TableJudje[رقم الحساب],MATCH(TableDailyJournal[[#This Row],[الحساب]],TableJudje[اسم الحساب],0)),0)</f>
        <v>31010101</v>
      </c>
      <c r="G664" s="58" t="s">
        <v>111</v>
      </c>
      <c r="H664"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I664" s="60" t="str">
        <f>INDEX(Tabledaily[العملـــة],MATCH(TableDailyJournal[[#This Row],[رقم العملية]],Tabledaily[رقم العملية],0))</f>
        <v>ريال يمني</v>
      </c>
      <c r="J664" s="59">
        <f>IFERROR(INDEX(Tabledaily[سعــــــر
الصـــــرف],MATCH(C664,Tabledaily[رقم العملية],0)),1)</f>
        <v>405</v>
      </c>
      <c r="K664" s="123" cm="1">
        <f t="array" ref="K664">IFERROR(INDEX(Tabledaily[المبلـــــــغ],MATCH(1,(TableDailyJournal[[#This Row],[رقم العملية]]=Tabledaily[رقم العملية])*(TableDailyJournal[[#This Row],[الحساب]]=Tabledaily[الحســاب المديــــن]),0)),0)</f>
        <v>35000</v>
      </c>
      <c r="L664" s="123" cm="1">
        <f t="array" ref="L664">IFERROR(INDEX(Tabledaily[المبلـــــــغ],MATCH(1,(TableDailyJournal[[#This Row],[رقم العملية]]=Tabledaily[رقم العملية])*(TableDailyJournal[[#This Row],[الحساب]]=Tabledaily[الحســاب الدئـــن]),0)),0)</f>
        <v>0</v>
      </c>
      <c r="M664" s="119">
        <f>IFERROR(TableDailyJournal[[#This Row],[المبلغ مدين]]/TableDailyJournal[[#This Row],[سعــــــر
الصـــــرف]],0)</f>
        <v>86.419753086419746</v>
      </c>
      <c r="N664" s="119">
        <f>IFERROR(TableDailyJournal[[#This Row],[المبلغ دائن]]/TableDailyJournal[[#This Row],[سعــــــر
الصـــــرف]],0)</f>
        <v>0</v>
      </c>
      <c r="O664" s="121" t="str">
        <f>INDEX(Tabledaily[المستفيــــــــد],MATCH(TableDailyJournal[[#This Row],[رقم العملية]],Tabledaily[رقم العملية],0))</f>
        <v>الاشغال</v>
      </c>
      <c r="P664" s="121" t="str">
        <f>INDEX(Tabledaily[المــــرجـــــــــع],MATCH(TableDailyJournal[[#This Row],[رقم العملية]],Tabledaily[رقم العملية],0))</f>
        <v>كشف صرف</v>
      </c>
      <c r="Q664" s="121" t="str">
        <f>INDEX(Tabledaily[اســـــــم المــــرجــــع],MATCH(TableDailyJournal[[#This Row],[رقم العملية]],Tabledaily[رقم العملية],0))</f>
        <v>كشف صرف</v>
      </c>
      <c r="R664" s="121">
        <f>INDEX(Tabledaily[رقم المـــــرجـــع],MATCH(TableDailyJournal[[#This Row],[رقم العملية]],Tabledaily[رقم العملية],0))</f>
        <v>0</v>
      </c>
      <c r="S664" s="121" t="str">
        <f>INDEX(Tabledaily[مركـــــــزالتكلفــــــة],MATCH(TableDailyJournal[[#This Row],[رقم العملية]],Tabledaily[رقم العملية],0))</f>
        <v>الفرقة الثالثة</v>
      </c>
      <c r="T664" s="121">
        <f>IFERROR(INDEX(tablecost[رقم المركز],MATCH(TableDailyJournal[[#This Row],[مركـــــــزالتكلفــــــة]],tablecost[الاسم],0)),0)</f>
        <v>1</v>
      </c>
      <c r="U664" s="122">
        <f>IFERROR(DATE(TableDailyJournal[[#This Row],[السنــــة]],TableDailyJournal[[#This Row],[الشهــــر]],TableDailyJournal[[#This Row],[الـــــيوم]]),"01-01-2026")</f>
        <v>46193</v>
      </c>
      <c r="V664" s="126"/>
      <c r="W664" s="58"/>
      <c r="X664" s="58">
        <f>IFERROR(YEAR(TableDailyJournal[[#This Row],[التاريخ]]),"")</f>
        <v>2026</v>
      </c>
      <c r="Y664" s="58">
        <f>IFERROR(MONTH(TableDailyJournal[[#This Row],[التاريخ]]),"")</f>
        <v>6</v>
      </c>
      <c r="Z664" s="58">
        <f>IFERROR(DAY(TableDailyJournal[[#This Row],[التاريخ]]),"")</f>
        <v>20</v>
      </c>
      <c r="AA664"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AB664" s="121">
        <f>INDEX(Tabledaily[جهة الامر],MATCH(TableDailyJournal[[#This Row],[رقم العملية]],Tabledaily[رقم العملية],0))</f>
        <v>0</v>
      </c>
    </row>
    <row r="665" spans="2:28" ht="45.75" x14ac:dyDescent="0.55000000000000004">
      <c r="B665" s="58">
        <f t="shared" si="21"/>
        <v>661</v>
      </c>
      <c r="C665" s="59" t="s">
        <v>1147</v>
      </c>
      <c r="D665" s="60">
        <f>INDEX(Tabledaily[date],MATCH(TableDailyJournal[[#This Row],[رقم العملية]],Tabledaily[رقم العملية],0))</f>
        <v>46193</v>
      </c>
      <c r="E665" s="58" t="str">
        <f>INDEX(Tabledaily[نوع العمليــة],MATCH(TableDailyJournal[[#This Row],[رقم العملية]],Tabledaily[رقم العملية],0))</f>
        <v>قيد عهده</v>
      </c>
      <c r="F665" s="58">
        <f>IFERROR(INDEX(TableJudje[رقم الحساب],MATCH(TableDailyJournal[[#This Row],[الحساب]],TableJudje[اسم الحساب],0)),0)</f>
        <v>11060205</v>
      </c>
      <c r="G665" s="58" t="s">
        <v>513</v>
      </c>
      <c r="H665" s="61"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I665" s="60" t="str">
        <f>INDEX(Tabledaily[العملـــة],MATCH(TableDailyJournal[[#This Row],[رقم العملية]],Tabledaily[رقم العملية],0))</f>
        <v>ريال يمني</v>
      </c>
      <c r="J665" s="59">
        <f>IFERROR(INDEX(Tabledaily[سعــــــر
الصـــــرف],MATCH(C665,Tabledaily[رقم العملية],0)),1)</f>
        <v>405</v>
      </c>
      <c r="K665" s="123" cm="1">
        <f t="array" ref="K665">IFERROR(INDEX(Tabledaily[المبلـــــــغ],MATCH(1,(TableDailyJournal[[#This Row],[رقم العملية]]=Tabledaily[رقم العملية])*(TableDailyJournal[[#This Row],[الحساب]]=Tabledaily[الحســاب المديــــن]),0)),0)</f>
        <v>0</v>
      </c>
      <c r="L665" s="123" cm="1">
        <f t="array" ref="L665">IFERROR(INDEX(Tabledaily[المبلـــــــغ],MATCH(1,(TableDailyJournal[[#This Row],[رقم العملية]]=Tabledaily[رقم العملية])*(TableDailyJournal[[#This Row],[الحساب]]=Tabledaily[الحســاب الدئـــن]),0)),0)</f>
        <v>35000</v>
      </c>
      <c r="M665" s="119">
        <f>IFERROR(TableDailyJournal[[#This Row],[المبلغ مدين]]/TableDailyJournal[[#This Row],[سعــــــر
الصـــــرف]],0)</f>
        <v>0</v>
      </c>
      <c r="N665" s="119">
        <f>IFERROR(TableDailyJournal[[#This Row],[المبلغ دائن]]/TableDailyJournal[[#This Row],[سعــــــر
الصـــــرف]],0)</f>
        <v>86.419753086419746</v>
      </c>
      <c r="O665" s="121" t="str">
        <f>INDEX(Tabledaily[المستفيــــــــد],MATCH(TableDailyJournal[[#This Row],[رقم العملية]],Tabledaily[رقم العملية],0))</f>
        <v>الاشغال</v>
      </c>
      <c r="P665" s="121" t="str">
        <f>INDEX(Tabledaily[المــــرجـــــــــع],MATCH(TableDailyJournal[[#This Row],[رقم العملية]],Tabledaily[رقم العملية],0))</f>
        <v>كشف صرف</v>
      </c>
      <c r="Q665" s="121" t="str">
        <f>INDEX(Tabledaily[اســـــــم المــــرجــــع],MATCH(TableDailyJournal[[#This Row],[رقم العملية]],Tabledaily[رقم العملية],0))</f>
        <v>كشف صرف</v>
      </c>
      <c r="R665" s="121">
        <f>INDEX(Tabledaily[رقم المـــــرجـــع],MATCH(TableDailyJournal[[#This Row],[رقم العملية]],Tabledaily[رقم العملية],0))</f>
        <v>0</v>
      </c>
      <c r="S665" s="121" t="str">
        <f>INDEX(Tabledaily[مركـــــــزالتكلفــــــة],MATCH(TableDailyJournal[[#This Row],[رقم العملية]],Tabledaily[رقم العملية],0))</f>
        <v>الفرقة الثالثة</v>
      </c>
      <c r="T665" s="121">
        <f>IFERROR(INDEX(tablecost[رقم المركز],MATCH(TableDailyJournal[[#This Row],[مركـــــــزالتكلفــــــة]],tablecost[الاسم],0)),0)</f>
        <v>1</v>
      </c>
      <c r="U665" s="122">
        <f>IFERROR(DATE(TableDailyJournal[[#This Row],[السنــــة]],TableDailyJournal[[#This Row],[الشهــــر]],TableDailyJournal[[#This Row],[الـــــيوم]]),"01-01-2026")</f>
        <v>46193</v>
      </c>
      <c r="V665" s="126"/>
      <c r="W665" s="58"/>
      <c r="X665" s="58">
        <f>IFERROR(YEAR(TableDailyJournal[[#This Row],[التاريخ]]),"")</f>
        <v>2026</v>
      </c>
      <c r="Y665" s="58">
        <f>IFERROR(MONTH(TableDailyJournal[[#This Row],[التاريخ]]),"")</f>
        <v>6</v>
      </c>
      <c r="Z665" s="58">
        <f>IFERROR(DAY(TableDailyJournal[[#This Row],[التاريخ]]),"")</f>
        <v>20</v>
      </c>
      <c r="AA665"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AB665" s="121">
        <f>INDEX(Tabledaily[جهة الامر],MATCH(TableDailyJournal[[#This Row],[رقم العملية]],Tabledaily[رقم العملية],0))</f>
        <v>0</v>
      </c>
    </row>
    <row r="666" spans="2:28" ht="45.75" x14ac:dyDescent="0.55000000000000004">
      <c r="B666" s="58">
        <f t="shared" si="21"/>
        <v>662</v>
      </c>
      <c r="C666" s="59" t="s">
        <v>1148</v>
      </c>
      <c r="D666" s="60">
        <f>INDEX(Tabledaily[date],MATCH(TableDailyJournal[[#This Row],[رقم العملية]],Tabledaily[رقم العملية],0))</f>
        <v>46193</v>
      </c>
      <c r="E666" s="58" t="str">
        <f>INDEX(Tabledaily[نوع العمليــة],MATCH(TableDailyJournal[[#This Row],[رقم العملية]],Tabledaily[رقم العملية],0))</f>
        <v>قيد عهده</v>
      </c>
      <c r="F666" s="58">
        <f>IFERROR(INDEX(TableJudje[رقم الحساب],MATCH(TableDailyJournal[[#This Row],[الحساب]],TableJudje[اسم الحساب],0)),0)</f>
        <v>31010101</v>
      </c>
      <c r="G666" s="58" t="s">
        <v>111</v>
      </c>
      <c r="H666"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666" s="60" t="str">
        <f>INDEX(Tabledaily[العملـــة],MATCH(TableDailyJournal[[#This Row],[رقم العملية]],Tabledaily[رقم العملية],0))</f>
        <v>ريال يمني</v>
      </c>
      <c r="J666" s="59">
        <f>IFERROR(INDEX(Tabledaily[سعــــــر
الصـــــرف],MATCH(C666,Tabledaily[رقم العملية],0)),1)</f>
        <v>405</v>
      </c>
      <c r="K666" s="123" cm="1">
        <f t="array" ref="K666">IFERROR(INDEX(Tabledaily[المبلـــــــغ],MATCH(1,(TableDailyJournal[[#This Row],[رقم العملية]]=Tabledaily[رقم العملية])*(TableDailyJournal[[#This Row],[الحساب]]=Tabledaily[الحســاب المديــــن]),0)),0)</f>
        <v>25000</v>
      </c>
      <c r="L666" s="123" cm="1">
        <f t="array" ref="L666">IFERROR(INDEX(Tabledaily[المبلـــــــغ],MATCH(1,(TableDailyJournal[[#This Row],[رقم العملية]]=Tabledaily[رقم العملية])*(TableDailyJournal[[#This Row],[الحساب]]=Tabledaily[الحســاب الدئـــن]),0)),0)</f>
        <v>0</v>
      </c>
      <c r="M666" s="119">
        <f>IFERROR(TableDailyJournal[[#This Row],[المبلغ مدين]]/TableDailyJournal[[#This Row],[سعــــــر
الصـــــرف]],0)</f>
        <v>61.728395061728392</v>
      </c>
      <c r="N666" s="119">
        <f>IFERROR(TableDailyJournal[[#This Row],[المبلغ دائن]]/TableDailyJournal[[#This Row],[سعــــــر
الصـــــرف]],0)</f>
        <v>0</v>
      </c>
      <c r="O666" s="121" t="str">
        <f>INDEX(Tabledaily[المستفيــــــــد],MATCH(TableDailyJournal[[#This Row],[رقم العملية]],Tabledaily[رقم العملية],0))</f>
        <v>مرافقي الاركان</v>
      </c>
      <c r="P666" s="121" t="str">
        <f>INDEX(Tabledaily[المــــرجـــــــــع],MATCH(TableDailyJournal[[#This Row],[رقم العملية]],Tabledaily[رقم العملية],0))</f>
        <v>كشف صرف</v>
      </c>
      <c r="Q666" s="121" t="str">
        <f>INDEX(Tabledaily[اســـــــم المــــرجــــع],MATCH(TableDailyJournal[[#This Row],[رقم العملية]],Tabledaily[رقم العملية],0))</f>
        <v>كشف صرف</v>
      </c>
      <c r="R666" s="121">
        <f>INDEX(Tabledaily[رقم المـــــرجـــع],MATCH(TableDailyJournal[[#This Row],[رقم العملية]],Tabledaily[رقم العملية],0))</f>
        <v>0</v>
      </c>
      <c r="S666" s="121" t="str">
        <f>INDEX(Tabledaily[مركـــــــزالتكلفــــــة],MATCH(TableDailyJournal[[#This Row],[رقم العملية]],Tabledaily[رقم العملية],0))</f>
        <v>الفرقة الثالثة</v>
      </c>
      <c r="T666" s="121">
        <f>IFERROR(INDEX(tablecost[رقم المركز],MATCH(TableDailyJournal[[#This Row],[مركـــــــزالتكلفــــــة]],tablecost[الاسم],0)),0)</f>
        <v>1</v>
      </c>
      <c r="U666" s="122">
        <f>IFERROR(DATE(TableDailyJournal[[#This Row],[السنــــة]],TableDailyJournal[[#This Row],[الشهــــر]],TableDailyJournal[[#This Row],[الـــــيوم]]),"01-01-2026")</f>
        <v>46193</v>
      </c>
      <c r="V666" s="126"/>
      <c r="W666" s="58"/>
      <c r="X666" s="58">
        <f>IFERROR(YEAR(TableDailyJournal[[#This Row],[التاريخ]]),"")</f>
        <v>2026</v>
      </c>
      <c r="Y666" s="58">
        <f>IFERROR(MONTH(TableDailyJournal[[#This Row],[التاريخ]]),"")</f>
        <v>6</v>
      </c>
      <c r="Z666" s="58">
        <f>IFERROR(DAY(TableDailyJournal[[#This Row],[التاريخ]]),"")</f>
        <v>20</v>
      </c>
      <c r="AA666"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666" s="121">
        <f>INDEX(Tabledaily[جهة الامر],MATCH(TableDailyJournal[[#This Row],[رقم العملية]],Tabledaily[رقم العملية],0))</f>
        <v>0</v>
      </c>
    </row>
    <row r="667" spans="2:28" ht="45.75" x14ac:dyDescent="0.55000000000000004">
      <c r="B667" s="58">
        <f t="shared" si="21"/>
        <v>663</v>
      </c>
      <c r="C667" s="59" t="s">
        <v>1148</v>
      </c>
      <c r="D667" s="60">
        <f>INDEX(Tabledaily[date],MATCH(TableDailyJournal[[#This Row],[رقم العملية]],Tabledaily[رقم العملية],0))</f>
        <v>46193</v>
      </c>
      <c r="E667" s="58" t="str">
        <f>INDEX(Tabledaily[نوع العمليــة],MATCH(TableDailyJournal[[#This Row],[رقم العملية]],Tabledaily[رقم العملية],0))</f>
        <v>قيد عهده</v>
      </c>
      <c r="F667" s="58">
        <f>IFERROR(INDEX(TableJudje[رقم الحساب],MATCH(TableDailyJournal[[#This Row],[الحساب]],TableJudje[اسم الحساب],0)),0)</f>
        <v>11060205</v>
      </c>
      <c r="G667" s="58" t="s">
        <v>513</v>
      </c>
      <c r="H667" s="61"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667" s="60" t="str">
        <f>INDEX(Tabledaily[العملـــة],MATCH(TableDailyJournal[[#This Row],[رقم العملية]],Tabledaily[رقم العملية],0))</f>
        <v>ريال يمني</v>
      </c>
      <c r="J667" s="59">
        <f>IFERROR(INDEX(Tabledaily[سعــــــر
الصـــــرف],MATCH(C667,Tabledaily[رقم العملية],0)),1)</f>
        <v>405</v>
      </c>
      <c r="K667" s="123" cm="1">
        <f t="array" ref="K667">IFERROR(INDEX(Tabledaily[المبلـــــــغ],MATCH(1,(TableDailyJournal[[#This Row],[رقم العملية]]=Tabledaily[رقم العملية])*(TableDailyJournal[[#This Row],[الحساب]]=Tabledaily[الحســاب المديــــن]),0)),0)</f>
        <v>0</v>
      </c>
      <c r="L667" s="123" cm="1">
        <f t="array" ref="L667">IFERROR(INDEX(Tabledaily[المبلـــــــغ],MATCH(1,(TableDailyJournal[[#This Row],[رقم العملية]]=Tabledaily[رقم العملية])*(TableDailyJournal[[#This Row],[الحساب]]=Tabledaily[الحســاب الدئـــن]),0)),0)</f>
        <v>25000</v>
      </c>
      <c r="M667" s="119">
        <f>IFERROR(TableDailyJournal[[#This Row],[المبلغ مدين]]/TableDailyJournal[[#This Row],[سعــــــر
الصـــــرف]],0)</f>
        <v>0</v>
      </c>
      <c r="N667" s="119">
        <f>IFERROR(TableDailyJournal[[#This Row],[المبلغ دائن]]/TableDailyJournal[[#This Row],[سعــــــر
الصـــــرف]],0)</f>
        <v>61.728395061728392</v>
      </c>
      <c r="O667" s="121" t="str">
        <f>INDEX(Tabledaily[المستفيــــــــد],MATCH(TableDailyJournal[[#This Row],[رقم العملية]],Tabledaily[رقم العملية],0))</f>
        <v>مرافقي الاركان</v>
      </c>
      <c r="P667" s="121" t="str">
        <f>INDEX(Tabledaily[المــــرجـــــــــع],MATCH(TableDailyJournal[[#This Row],[رقم العملية]],Tabledaily[رقم العملية],0))</f>
        <v>كشف صرف</v>
      </c>
      <c r="Q667" s="121" t="str">
        <f>INDEX(Tabledaily[اســـــــم المــــرجــــع],MATCH(TableDailyJournal[[#This Row],[رقم العملية]],Tabledaily[رقم العملية],0))</f>
        <v>كشف صرف</v>
      </c>
      <c r="R667" s="121">
        <f>INDEX(Tabledaily[رقم المـــــرجـــع],MATCH(TableDailyJournal[[#This Row],[رقم العملية]],Tabledaily[رقم العملية],0))</f>
        <v>0</v>
      </c>
      <c r="S667" s="121" t="str">
        <f>INDEX(Tabledaily[مركـــــــزالتكلفــــــة],MATCH(TableDailyJournal[[#This Row],[رقم العملية]],Tabledaily[رقم العملية],0))</f>
        <v>الفرقة الثالثة</v>
      </c>
      <c r="T667" s="121">
        <f>IFERROR(INDEX(tablecost[رقم المركز],MATCH(TableDailyJournal[[#This Row],[مركـــــــزالتكلفــــــة]],tablecost[الاسم],0)),0)</f>
        <v>1</v>
      </c>
      <c r="U667" s="122">
        <f>IFERROR(DATE(TableDailyJournal[[#This Row],[السنــــة]],TableDailyJournal[[#This Row],[الشهــــر]],TableDailyJournal[[#This Row],[الـــــيوم]]),"01-01-2026")</f>
        <v>46193</v>
      </c>
      <c r="V667" s="126"/>
      <c r="W667" s="58"/>
      <c r="X667" s="58">
        <f>IFERROR(YEAR(TableDailyJournal[[#This Row],[التاريخ]]),"")</f>
        <v>2026</v>
      </c>
      <c r="Y667" s="58">
        <f>IFERROR(MONTH(TableDailyJournal[[#This Row],[التاريخ]]),"")</f>
        <v>6</v>
      </c>
      <c r="Z667" s="58">
        <f>IFERROR(DAY(TableDailyJournal[[#This Row],[التاريخ]]),"")</f>
        <v>20</v>
      </c>
      <c r="AA667"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667" s="121">
        <f>INDEX(Tabledaily[جهة الامر],MATCH(TableDailyJournal[[#This Row],[رقم العملية]],Tabledaily[رقم العملية],0))</f>
        <v>0</v>
      </c>
    </row>
    <row r="668" spans="2:28" ht="45.75" x14ac:dyDescent="0.55000000000000004">
      <c r="B668" s="58">
        <f t="shared" si="21"/>
        <v>664</v>
      </c>
      <c r="C668" s="59" t="s">
        <v>1149</v>
      </c>
      <c r="D668" s="60">
        <f>INDEX(Tabledaily[date],MATCH(TableDailyJournal[[#This Row],[رقم العملية]],Tabledaily[رقم العملية],0))</f>
        <v>46193</v>
      </c>
      <c r="E668" s="58" t="str">
        <f>INDEX(Tabledaily[نوع العمليــة],MATCH(TableDailyJournal[[#This Row],[رقم العملية]],Tabledaily[رقم العملية],0))</f>
        <v>قيد عهده</v>
      </c>
      <c r="F668" s="58">
        <f>IFERROR(INDEX(TableJudje[رقم الحساب],MATCH(TableDailyJournal[[#This Row],[الحساب]],TableJudje[اسم الحساب],0)),0)</f>
        <v>31010101</v>
      </c>
      <c r="G668" s="58" t="s">
        <v>111</v>
      </c>
      <c r="H668" s="61"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668" s="60" t="str">
        <f>INDEX(Tabledaily[العملـــة],MATCH(TableDailyJournal[[#This Row],[رقم العملية]],Tabledaily[رقم العملية],0))</f>
        <v>ريال يمني</v>
      </c>
      <c r="J668" s="59">
        <f>IFERROR(INDEX(Tabledaily[سعــــــر
الصـــــرف],MATCH(C668,Tabledaily[رقم العملية],0)),1)</f>
        <v>405</v>
      </c>
      <c r="K668" s="123" cm="1">
        <f t="array" ref="K668">IFERROR(INDEX(Tabledaily[المبلـــــــغ],MATCH(1,(TableDailyJournal[[#This Row],[رقم العملية]]=Tabledaily[رقم العملية])*(TableDailyJournal[[#This Row],[الحساب]]=Tabledaily[الحســاب المديــــن]),0)),0)</f>
        <v>18000</v>
      </c>
      <c r="L668" s="123" cm="1">
        <f t="array" ref="L668">IFERROR(INDEX(Tabledaily[المبلـــــــغ],MATCH(1,(TableDailyJournal[[#This Row],[رقم العملية]]=Tabledaily[رقم العملية])*(TableDailyJournal[[#This Row],[الحساب]]=Tabledaily[الحســاب الدئـــن]),0)),0)</f>
        <v>0</v>
      </c>
      <c r="M668" s="119">
        <f>IFERROR(TableDailyJournal[[#This Row],[المبلغ مدين]]/TableDailyJournal[[#This Row],[سعــــــر
الصـــــرف]],0)</f>
        <v>44.444444444444443</v>
      </c>
      <c r="N668" s="119">
        <f>IFERROR(TableDailyJournal[[#This Row],[المبلغ دائن]]/TableDailyJournal[[#This Row],[سعــــــر
الصـــــرف]],0)</f>
        <v>0</v>
      </c>
      <c r="O668" s="121" t="str">
        <f>INDEX(Tabledaily[المستفيــــــــد],MATCH(TableDailyJournal[[#This Row],[رقم العملية]],Tabledaily[رقم العملية],0))</f>
        <v>طقم اللواء السابع</v>
      </c>
      <c r="P668" s="121" t="str">
        <f>INDEX(Tabledaily[المــــرجـــــــــع],MATCH(TableDailyJournal[[#This Row],[رقم العملية]],Tabledaily[رقم العملية],0))</f>
        <v>كشف صرف</v>
      </c>
      <c r="Q668" s="121" t="str">
        <f>INDEX(Tabledaily[اســـــــم المــــرجــــع],MATCH(TableDailyJournal[[#This Row],[رقم العملية]],Tabledaily[رقم العملية],0))</f>
        <v>كشف صرف</v>
      </c>
      <c r="R668" s="121">
        <f>INDEX(Tabledaily[رقم المـــــرجـــع],MATCH(TableDailyJournal[[#This Row],[رقم العملية]],Tabledaily[رقم العملية],0))</f>
        <v>0</v>
      </c>
      <c r="S668" s="121" t="str">
        <f>INDEX(Tabledaily[مركـــــــزالتكلفــــــة],MATCH(TableDailyJournal[[#This Row],[رقم العملية]],Tabledaily[رقم العملية],0))</f>
        <v>الفرقة الثالثة</v>
      </c>
      <c r="T668" s="121">
        <f>IFERROR(INDEX(tablecost[رقم المركز],MATCH(TableDailyJournal[[#This Row],[مركـــــــزالتكلفــــــة]],tablecost[الاسم],0)),0)</f>
        <v>1</v>
      </c>
      <c r="U668" s="122">
        <f>IFERROR(DATE(TableDailyJournal[[#This Row],[السنــــة]],TableDailyJournal[[#This Row],[الشهــــر]],TableDailyJournal[[#This Row],[الـــــيوم]]),"01-01-2026")</f>
        <v>46193</v>
      </c>
      <c r="V668" s="126"/>
      <c r="W668" s="58"/>
      <c r="X668" s="58">
        <f>IFERROR(YEAR(TableDailyJournal[[#This Row],[التاريخ]]),"")</f>
        <v>2026</v>
      </c>
      <c r="Y668" s="58">
        <f>IFERROR(MONTH(TableDailyJournal[[#This Row],[التاريخ]]),"")</f>
        <v>6</v>
      </c>
      <c r="Z668" s="58">
        <f>IFERROR(DAY(TableDailyJournal[[#This Row],[التاريخ]]),"")</f>
        <v>20</v>
      </c>
      <c r="AA668"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668" s="121">
        <f>INDEX(Tabledaily[جهة الامر],MATCH(TableDailyJournal[[#This Row],[رقم العملية]],Tabledaily[رقم العملية],0))</f>
        <v>0</v>
      </c>
    </row>
    <row r="669" spans="2:28" ht="45.75" x14ac:dyDescent="0.55000000000000004">
      <c r="B669" s="58">
        <f t="shared" si="21"/>
        <v>665</v>
      </c>
      <c r="C669" s="59" t="s">
        <v>1149</v>
      </c>
      <c r="D669" s="60">
        <f>INDEX(Tabledaily[date],MATCH(TableDailyJournal[[#This Row],[رقم العملية]],Tabledaily[رقم العملية],0))</f>
        <v>46193</v>
      </c>
      <c r="E669" s="58" t="str">
        <f>INDEX(Tabledaily[نوع العمليــة],MATCH(TableDailyJournal[[#This Row],[رقم العملية]],Tabledaily[رقم العملية],0))</f>
        <v>قيد عهده</v>
      </c>
      <c r="F669" s="58">
        <f>IFERROR(INDEX(TableJudje[رقم الحساب],MATCH(TableDailyJournal[[#This Row],[الحساب]],TableJudje[اسم الحساب],0)),0)</f>
        <v>11060205</v>
      </c>
      <c r="G669" s="58" t="s">
        <v>513</v>
      </c>
      <c r="H669" s="61"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669" s="60" t="str">
        <f>INDEX(Tabledaily[العملـــة],MATCH(TableDailyJournal[[#This Row],[رقم العملية]],Tabledaily[رقم العملية],0))</f>
        <v>ريال يمني</v>
      </c>
      <c r="J669" s="59">
        <f>IFERROR(INDEX(Tabledaily[سعــــــر
الصـــــرف],MATCH(C669,Tabledaily[رقم العملية],0)),1)</f>
        <v>405</v>
      </c>
      <c r="K669" s="123" cm="1">
        <f t="array" ref="K669">IFERROR(INDEX(Tabledaily[المبلـــــــغ],MATCH(1,(TableDailyJournal[[#This Row],[رقم العملية]]=Tabledaily[رقم العملية])*(TableDailyJournal[[#This Row],[الحساب]]=Tabledaily[الحســاب المديــــن]),0)),0)</f>
        <v>0</v>
      </c>
      <c r="L669" s="123" cm="1">
        <f t="array" ref="L669">IFERROR(INDEX(Tabledaily[المبلـــــــغ],MATCH(1,(TableDailyJournal[[#This Row],[رقم العملية]]=Tabledaily[رقم العملية])*(TableDailyJournal[[#This Row],[الحساب]]=Tabledaily[الحســاب الدئـــن]),0)),0)</f>
        <v>18000</v>
      </c>
      <c r="M669" s="119">
        <f>IFERROR(TableDailyJournal[[#This Row],[المبلغ مدين]]/TableDailyJournal[[#This Row],[سعــــــر
الصـــــرف]],0)</f>
        <v>0</v>
      </c>
      <c r="N669" s="119">
        <f>IFERROR(TableDailyJournal[[#This Row],[المبلغ دائن]]/TableDailyJournal[[#This Row],[سعــــــر
الصـــــرف]],0)</f>
        <v>44.444444444444443</v>
      </c>
      <c r="O669" s="121" t="str">
        <f>INDEX(Tabledaily[المستفيــــــــد],MATCH(TableDailyJournal[[#This Row],[رقم العملية]],Tabledaily[رقم العملية],0))</f>
        <v>طقم اللواء السابع</v>
      </c>
      <c r="P669" s="121" t="str">
        <f>INDEX(Tabledaily[المــــرجـــــــــع],MATCH(TableDailyJournal[[#This Row],[رقم العملية]],Tabledaily[رقم العملية],0))</f>
        <v>كشف صرف</v>
      </c>
      <c r="Q669" s="121" t="str">
        <f>INDEX(Tabledaily[اســـــــم المــــرجــــع],MATCH(TableDailyJournal[[#This Row],[رقم العملية]],Tabledaily[رقم العملية],0))</f>
        <v>كشف صرف</v>
      </c>
      <c r="R669" s="121">
        <f>INDEX(Tabledaily[رقم المـــــرجـــع],MATCH(TableDailyJournal[[#This Row],[رقم العملية]],Tabledaily[رقم العملية],0))</f>
        <v>0</v>
      </c>
      <c r="S669" s="121" t="str">
        <f>INDEX(Tabledaily[مركـــــــزالتكلفــــــة],MATCH(TableDailyJournal[[#This Row],[رقم العملية]],Tabledaily[رقم العملية],0))</f>
        <v>الفرقة الثالثة</v>
      </c>
      <c r="T669" s="121">
        <f>IFERROR(INDEX(tablecost[رقم المركز],MATCH(TableDailyJournal[[#This Row],[مركـــــــزالتكلفــــــة]],tablecost[الاسم],0)),0)</f>
        <v>1</v>
      </c>
      <c r="U669" s="122">
        <f>IFERROR(DATE(TableDailyJournal[[#This Row],[السنــــة]],TableDailyJournal[[#This Row],[الشهــــر]],TableDailyJournal[[#This Row],[الـــــيوم]]),"01-01-2026")</f>
        <v>46193</v>
      </c>
      <c r="V669" s="126"/>
      <c r="W669" s="58"/>
      <c r="X669" s="58">
        <f>IFERROR(YEAR(TableDailyJournal[[#This Row],[التاريخ]]),"")</f>
        <v>2026</v>
      </c>
      <c r="Y669" s="58">
        <f>IFERROR(MONTH(TableDailyJournal[[#This Row],[التاريخ]]),"")</f>
        <v>6</v>
      </c>
      <c r="Z669" s="58">
        <f>IFERROR(DAY(TableDailyJournal[[#This Row],[التاريخ]]),"")</f>
        <v>20</v>
      </c>
      <c r="AA669"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669" s="121">
        <f>INDEX(Tabledaily[جهة الامر],MATCH(TableDailyJournal[[#This Row],[رقم العملية]],Tabledaily[رقم العملية],0))</f>
        <v>0</v>
      </c>
    </row>
    <row r="670" spans="2:28" ht="45.75" x14ac:dyDescent="0.55000000000000004">
      <c r="B670" s="58">
        <f t="shared" si="21"/>
        <v>666</v>
      </c>
      <c r="C670" s="59" t="s">
        <v>1150</v>
      </c>
      <c r="D670" s="60">
        <f>INDEX(Tabledaily[date],MATCH(TableDailyJournal[[#This Row],[رقم العملية]],Tabledaily[رقم العملية],0))</f>
        <v>46193</v>
      </c>
      <c r="E670" s="58" t="str">
        <f>INDEX(Tabledaily[نوع العمليــة],MATCH(TableDailyJournal[[#This Row],[رقم العملية]],Tabledaily[رقم العملية],0))</f>
        <v>قيد عهده</v>
      </c>
      <c r="F670" s="58">
        <f>IFERROR(INDEX(TableJudje[رقم الحساب],MATCH(TableDailyJournal[[#This Row],[الحساب]],TableJudje[اسم الحساب],0)),0)</f>
        <v>31010101</v>
      </c>
      <c r="G670" s="58" t="s">
        <v>111</v>
      </c>
      <c r="H670"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I670" s="60" t="str">
        <f>INDEX(Tabledaily[العملـــة],MATCH(TableDailyJournal[[#This Row],[رقم العملية]],Tabledaily[رقم العملية],0))</f>
        <v>ريال يمني</v>
      </c>
      <c r="J670" s="59">
        <f>IFERROR(INDEX(Tabledaily[سعــــــر
الصـــــرف],MATCH(C670,Tabledaily[رقم العملية],0)),1)</f>
        <v>405</v>
      </c>
      <c r="K670" s="123" cm="1">
        <f t="array" ref="K670">IFERROR(INDEX(Tabledaily[المبلـــــــغ],MATCH(1,(TableDailyJournal[[#This Row],[رقم العملية]]=Tabledaily[رقم العملية])*(TableDailyJournal[[#This Row],[الحساب]]=Tabledaily[الحســاب المديــــن]),0)),0)</f>
        <v>100000</v>
      </c>
      <c r="L670" s="123" cm="1">
        <f t="array" ref="L670">IFERROR(INDEX(Tabledaily[المبلـــــــغ],MATCH(1,(TableDailyJournal[[#This Row],[رقم العملية]]=Tabledaily[رقم العملية])*(TableDailyJournal[[#This Row],[الحساب]]=Tabledaily[الحســاب الدئـــن]),0)),0)</f>
        <v>0</v>
      </c>
      <c r="M670" s="119">
        <f>IFERROR(TableDailyJournal[[#This Row],[المبلغ مدين]]/TableDailyJournal[[#This Row],[سعــــــر
الصـــــرف]],0)</f>
        <v>246.91358024691357</v>
      </c>
      <c r="N670" s="119">
        <f>IFERROR(TableDailyJournal[[#This Row],[المبلغ دائن]]/TableDailyJournal[[#This Row],[سعــــــر
الصـــــرف]],0)</f>
        <v>0</v>
      </c>
      <c r="O670" s="121" t="str">
        <f>INDEX(Tabledaily[المستفيــــــــد],MATCH(TableDailyJournal[[#This Row],[رقم العملية]],Tabledaily[رقم العملية],0))</f>
        <v>الضباط السابقين</v>
      </c>
      <c r="P670" s="121" t="str">
        <f>INDEX(Tabledaily[المــــرجـــــــــع],MATCH(TableDailyJournal[[#This Row],[رقم العملية]],Tabledaily[رقم العملية],0))</f>
        <v>كشف صرف</v>
      </c>
      <c r="Q670" s="121" t="str">
        <f>INDEX(Tabledaily[اســـــــم المــــرجــــع],MATCH(TableDailyJournal[[#This Row],[رقم العملية]],Tabledaily[رقم العملية],0))</f>
        <v>كشف صرف</v>
      </c>
      <c r="R670" s="121">
        <f>INDEX(Tabledaily[رقم المـــــرجـــع],MATCH(TableDailyJournal[[#This Row],[رقم العملية]],Tabledaily[رقم العملية],0))</f>
        <v>0</v>
      </c>
      <c r="S670" s="121" t="str">
        <f>INDEX(Tabledaily[مركـــــــزالتكلفــــــة],MATCH(TableDailyJournal[[#This Row],[رقم العملية]],Tabledaily[رقم العملية],0))</f>
        <v>الفرقة الثالثة</v>
      </c>
      <c r="T670" s="121">
        <f>IFERROR(INDEX(tablecost[رقم المركز],MATCH(TableDailyJournal[[#This Row],[مركـــــــزالتكلفــــــة]],tablecost[الاسم],0)),0)</f>
        <v>1</v>
      </c>
      <c r="U670" s="122">
        <f>IFERROR(DATE(TableDailyJournal[[#This Row],[السنــــة]],TableDailyJournal[[#This Row],[الشهــــر]],TableDailyJournal[[#This Row],[الـــــيوم]]),"01-01-2026")</f>
        <v>46193</v>
      </c>
      <c r="V670" s="126"/>
      <c r="W670" s="58"/>
      <c r="X670" s="58">
        <f>IFERROR(YEAR(TableDailyJournal[[#This Row],[التاريخ]]),"")</f>
        <v>2026</v>
      </c>
      <c r="Y670" s="58">
        <f>IFERROR(MONTH(TableDailyJournal[[#This Row],[التاريخ]]),"")</f>
        <v>6</v>
      </c>
      <c r="Z670" s="58">
        <f>IFERROR(DAY(TableDailyJournal[[#This Row],[التاريخ]]),"")</f>
        <v>20</v>
      </c>
      <c r="AA670"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AB670" s="121">
        <f>INDEX(Tabledaily[جهة الامر],MATCH(TableDailyJournal[[#This Row],[رقم العملية]],Tabledaily[رقم العملية],0))</f>
        <v>0</v>
      </c>
    </row>
    <row r="671" spans="2:28" ht="45.75" x14ac:dyDescent="0.55000000000000004">
      <c r="B671" s="58">
        <f t="shared" si="21"/>
        <v>667</v>
      </c>
      <c r="C671" s="59" t="s">
        <v>1150</v>
      </c>
      <c r="D671" s="60">
        <f>INDEX(Tabledaily[date],MATCH(TableDailyJournal[[#This Row],[رقم العملية]],Tabledaily[رقم العملية],0))</f>
        <v>46193</v>
      </c>
      <c r="E671" s="58" t="str">
        <f>INDEX(Tabledaily[نوع العمليــة],MATCH(TableDailyJournal[[#This Row],[رقم العملية]],Tabledaily[رقم العملية],0))</f>
        <v>قيد عهده</v>
      </c>
      <c r="F671" s="58">
        <f>IFERROR(INDEX(TableJudje[رقم الحساب],MATCH(TableDailyJournal[[#This Row],[الحساب]],TableJudje[اسم الحساب],0)),0)</f>
        <v>11060205</v>
      </c>
      <c r="G671" s="58" t="s">
        <v>513</v>
      </c>
      <c r="H671" s="61"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I671" s="60" t="str">
        <f>INDEX(Tabledaily[العملـــة],MATCH(TableDailyJournal[[#This Row],[رقم العملية]],Tabledaily[رقم العملية],0))</f>
        <v>ريال يمني</v>
      </c>
      <c r="J671" s="59">
        <f>IFERROR(INDEX(Tabledaily[سعــــــر
الصـــــرف],MATCH(C671,Tabledaily[رقم العملية],0)),1)</f>
        <v>405</v>
      </c>
      <c r="K671" s="123" cm="1">
        <f t="array" ref="K671">IFERROR(INDEX(Tabledaily[المبلـــــــغ],MATCH(1,(TableDailyJournal[[#This Row],[رقم العملية]]=Tabledaily[رقم العملية])*(TableDailyJournal[[#This Row],[الحساب]]=Tabledaily[الحســاب المديــــن]),0)),0)</f>
        <v>0</v>
      </c>
      <c r="L671" s="123" cm="1">
        <f t="array" ref="L671">IFERROR(INDEX(Tabledaily[المبلـــــــغ],MATCH(1,(TableDailyJournal[[#This Row],[رقم العملية]]=Tabledaily[رقم العملية])*(TableDailyJournal[[#This Row],[الحساب]]=Tabledaily[الحســاب الدئـــن]),0)),0)</f>
        <v>100000</v>
      </c>
      <c r="M671" s="119">
        <f>IFERROR(TableDailyJournal[[#This Row],[المبلغ مدين]]/TableDailyJournal[[#This Row],[سعــــــر
الصـــــرف]],0)</f>
        <v>0</v>
      </c>
      <c r="N671" s="119">
        <f>IFERROR(TableDailyJournal[[#This Row],[المبلغ دائن]]/TableDailyJournal[[#This Row],[سعــــــر
الصـــــرف]],0)</f>
        <v>246.91358024691357</v>
      </c>
      <c r="O671" s="121" t="str">
        <f>INDEX(Tabledaily[المستفيــــــــد],MATCH(TableDailyJournal[[#This Row],[رقم العملية]],Tabledaily[رقم العملية],0))</f>
        <v>الضباط السابقين</v>
      </c>
      <c r="P671" s="121" t="str">
        <f>INDEX(Tabledaily[المــــرجـــــــــع],MATCH(TableDailyJournal[[#This Row],[رقم العملية]],Tabledaily[رقم العملية],0))</f>
        <v>كشف صرف</v>
      </c>
      <c r="Q671" s="121" t="str">
        <f>INDEX(Tabledaily[اســـــــم المــــرجــــع],MATCH(TableDailyJournal[[#This Row],[رقم العملية]],Tabledaily[رقم العملية],0))</f>
        <v>كشف صرف</v>
      </c>
      <c r="R671" s="121">
        <f>INDEX(Tabledaily[رقم المـــــرجـــع],MATCH(TableDailyJournal[[#This Row],[رقم العملية]],Tabledaily[رقم العملية],0))</f>
        <v>0</v>
      </c>
      <c r="S671" s="121" t="str">
        <f>INDEX(Tabledaily[مركـــــــزالتكلفــــــة],MATCH(TableDailyJournal[[#This Row],[رقم العملية]],Tabledaily[رقم العملية],0))</f>
        <v>الفرقة الثالثة</v>
      </c>
      <c r="T671" s="121">
        <f>IFERROR(INDEX(tablecost[رقم المركز],MATCH(TableDailyJournal[[#This Row],[مركـــــــزالتكلفــــــة]],tablecost[الاسم],0)),0)</f>
        <v>1</v>
      </c>
      <c r="U671" s="122">
        <f>IFERROR(DATE(TableDailyJournal[[#This Row],[السنــــة]],TableDailyJournal[[#This Row],[الشهــــر]],TableDailyJournal[[#This Row],[الـــــيوم]]),"01-01-2026")</f>
        <v>46193</v>
      </c>
      <c r="V671" s="126"/>
      <c r="W671" s="58"/>
      <c r="X671" s="58">
        <f>IFERROR(YEAR(TableDailyJournal[[#This Row],[التاريخ]]),"")</f>
        <v>2026</v>
      </c>
      <c r="Y671" s="58">
        <f>IFERROR(MONTH(TableDailyJournal[[#This Row],[التاريخ]]),"")</f>
        <v>6</v>
      </c>
      <c r="Z671" s="58">
        <f>IFERROR(DAY(TableDailyJournal[[#This Row],[التاريخ]]),"")</f>
        <v>20</v>
      </c>
      <c r="AA671"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AB671" s="121">
        <f>INDEX(Tabledaily[جهة الامر],MATCH(TableDailyJournal[[#This Row],[رقم العملية]],Tabledaily[رقم العملية],0))</f>
        <v>0</v>
      </c>
    </row>
    <row r="672" spans="2:28" ht="45.75" x14ac:dyDescent="0.55000000000000004">
      <c r="B672" s="58">
        <f t="shared" si="21"/>
        <v>668</v>
      </c>
      <c r="C672" s="59" t="s">
        <v>1151</v>
      </c>
      <c r="D672" s="60">
        <f>INDEX(Tabledaily[date],MATCH(TableDailyJournal[[#This Row],[رقم العملية]],Tabledaily[رقم العملية],0))</f>
        <v>46193</v>
      </c>
      <c r="E672" s="58" t="str">
        <f>INDEX(Tabledaily[نوع العمليــة],MATCH(TableDailyJournal[[#This Row],[رقم العملية]],Tabledaily[رقم العملية],0))</f>
        <v>قيد عهده</v>
      </c>
      <c r="F672" s="58">
        <f>IFERROR(INDEX(TableJudje[رقم الحساب],MATCH(TableDailyJournal[[#This Row],[الحساب]],TableJudje[اسم الحساب],0)),0)</f>
        <v>31010122</v>
      </c>
      <c r="G672" s="58" t="s">
        <v>487</v>
      </c>
      <c r="H672" s="61" t="str">
        <f>INDEX(Tabledaily[المرجع البياني],MATCH(TableDailyJournal[[#This Row],[رقم العملية]],Tabledaily[رقم العملية],0))</f>
        <v>قيـد مقابـل:- (مصاريف سفر وتنقلات  - عبدالله احمد محمد دغيش  - الفرقة الثالثة)  - استلام نقدي رقم 100-107  سند استلام - مصاريف سفر  بامرالأركان جمال مسدوس</v>
      </c>
      <c r="I672" s="60" t="str">
        <f>INDEX(Tabledaily[العملـــة],MATCH(TableDailyJournal[[#This Row],[رقم العملية]],Tabledaily[رقم العملية],0))</f>
        <v>ريال يمني</v>
      </c>
      <c r="J672" s="59">
        <f>IFERROR(INDEX(Tabledaily[سعــــــر
الصـــــرف],MATCH(C672,Tabledaily[رقم العملية],0)),1)</f>
        <v>405</v>
      </c>
      <c r="K672" s="123" cm="1">
        <f t="array" ref="K672">IFERROR(INDEX(Tabledaily[المبلـــــــغ],MATCH(1,(TableDailyJournal[[#This Row],[رقم العملية]]=Tabledaily[رقم العملية])*(TableDailyJournal[[#This Row],[الحساب]]=Tabledaily[الحســاب المديــــن]),0)),0)</f>
        <v>100000</v>
      </c>
      <c r="L672" s="123" cm="1">
        <f t="array" ref="L672">IFERROR(INDEX(Tabledaily[المبلـــــــغ],MATCH(1,(TableDailyJournal[[#This Row],[رقم العملية]]=Tabledaily[رقم العملية])*(TableDailyJournal[[#This Row],[الحساب]]=Tabledaily[الحســاب الدئـــن]),0)),0)</f>
        <v>0</v>
      </c>
      <c r="M672" s="119">
        <f>IFERROR(TableDailyJournal[[#This Row],[المبلغ مدين]]/TableDailyJournal[[#This Row],[سعــــــر
الصـــــرف]],0)</f>
        <v>246.91358024691357</v>
      </c>
      <c r="N672" s="119">
        <f>IFERROR(TableDailyJournal[[#This Row],[المبلغ دائن]]/TableDailyJournal[[#This Row],[سعــــــر
الصـــــرف]],0)</f>
        <v>0</v>
      </c>
      <c r="O672" s="121" t="str">
        <f>INDEX(Tabledaily[المستفيــــــــد],MATCH(TableDailyJournal[[#This Row],[رقم العملية]],Tabledaily[رقم العملية],0))</f>
        <v xml:space="preserve">عبدالله احمد محمد دغيش </v>
      </c>
      <c r="P672" s="121" t="str">
        <f>INDEX(Tabledaily[المــــرجـــــــــع],MATCH(TableDailyJournal[[#This Row],[رقم العملية]],Tabledaily[رقم العملية],0))</f>
        <v>استلام نقدي</v>
      </c>
      <c r="Q672" s="121" t="str">
        <f>INDEX(Tabledaily[اســـــــم المــــرجــــع],MATCH(TableDailyJournal[[#This Row],[رقم العملية]],Tabledaily[رقم العملية],0))</f>
        <v>سند استلام</v>
      </c>
      <c r="R672" s="121" t="str">
        <f>INDEX(Tabledaily[رقم المـــــرجـــع],MATCH(TableDailyJournal[[#This Row],[رقم العملية]],Tabledaily[رقم العملية],0))</f>
        <v>100-107</v>
      </c>
      <c r="S672" s="121" t="str">
        <f>INDEX(Tabledaily[مركـــــــزالتكلفــــــة],MATCH(TableDailyJournal[[#This Row],[رقم العملية]],Tabledaily[رقم العملية],0))</f>
        <v>الفرقة الثالثة</v>
      </c>
      <c r="T672" s="121">
        <f>IFERROR(INDEX(tablecost[رقم المركز],MATCH(TableDailyJournal[[#This Row],[مركـــــــزالتكلفــــــة]],tablecost[الاسم],0)),0)</f>
        <v>1</v>
      </c>
      <c r="U672" s="122">
        <f>IFERROR(DATE(TableDailyJournal[[#This Row],[السنــــة]],TableDailyJournal[[#This Row],[الشهــــر]],TableDailyJournal[[#This Row],[الـــــيوم]]),"01-01-2026")</f>
        <v>46193</v>
      </c>
      <c r="V672" s="126"/>
      <c r="W672" s="58"/>
      <c r="X672" s="58">
        <f>IFERROR(YEAR(TableDailyJournal[[#This Row],[التاريخ]]),"")</f>
        <v>2026</v>
      </c>
      <c r="Y672" s="58">
        <f>IFERROR(MONTH(TableDailyJournal[[#This Row],[التاريخ]]),"")</f>
        <v>6</v>
      </c>
      <c r="Z672" s="58">
        <f>IFERROR(DAY(TableDailyJournal[[#This Row],[التاريخ]]),"")</f>
        <v>20</v>
      </c>
      <c r="AA672" s="126" t="str">
        <f>INDEX(Tabledaily[المرجع البياني],MATCH(TableDailyJournal[[#This Row],[رقم العملية]],Tabledaily[رقم العملية],0))</f>
        <v>قيـد مقابـل:- (مصاريف سفر وتنقلات  - عبدالله احمد محمد دغيش  - الفرقة الثالثة)  - استلام نقدي رقم 100-107  سند استلام - مصاريف سفر  بامرالأركان جمال مسدوس</v>
      </c>
      <c r="AB672" s="121" t="str">
        <f>INDEX(Tabledaily[جهة الامر],MATCH(TableDailyJournal[[#This Row],[رقم العملية]],Tabledaily[رقم العملية],0))</f>
        <v>الأركان جمال مسدوس</v>
      </c>
    </row>
    <row r="673" spans="2:28" ht="45.75" x14ac:dyDescent="0.55000000000000004">
      <c r="B673" s="58">
        <f t="shared" si="21"/>
        <v>669</v>
      </c>
      <c r="C673" s="59" t="s">
        <v>1151</v>
      </c>
      <c r="D673" s="60">
        <f>INDEX(Tabledaily[date],MATCH(TableDailyJournal[[#This Row],[رقم العملية]],Tabledaily[رقم العملية],0))</f>
        <v>46193</v>
      </c>
      <c r="E673" s="58" t="str">
        <f>INDEX(Tabledaily[نوع العمليــة],MATCH(TableDailyJournal[[#This Row],[رقم العملية]],Tabledaily[رقم العملية],0))</f>
        <v>قيد عهده</v>
      </c>
      <c r="F673" s="58">
        <f>IFERROR(INDEX(TableJudje[رقم الحساب],MATCH(TableDailyJournal[[#This Row],[الحساب]],TableJudje[اسم الحساب],0)),0)</f>
        <v>11060205</v>
      </c>
      <c r="G673" s="58" t="s">
        <v>513</v>
      </c>
      <c r="H673" s="61" t="str">
        <f>INDEX(Tabledaily[المرجع البياني],MATCH(TableDailyJournal[[#This Row],[رقم العملية]],Tabledaily[رقم العملية],0))</f>
        <v>قيـد مقابـل:- (مصاريف سفر وتنقلات  - عبدالله احمد محمد دغيش  - الفرقة الثالثة)  - استلام نقدي رقم 100-107  سند استلام - مصاريف سفر  بامرالأركان جمال مسدوس</v>
      </c>
      <c r="I673" s="60" t="str">
        <f>INDEX(Tabledaily[العملـــة],MATCH(TableDailyJournal[[#This Row],[رقم العملية]],Tabledaily[رقم العملية],0))</f>
        <v>ريال يمني</v>
      </c>
      <c r="J673" s="59">
        <f>IFERROR(INDEX(Tabledaily[سعــــــر
الصـــــرف],MATCH(C673,Tabledaily[رقم العملية],0)),1)</f>
        <v>405</v>
      </c>
      <c r="K673" s="123" cm="1">
        <f t="array" ref="K673">IFERROR(INDEX(Tabledaily[المبلـــــــغ],MATCH(1,(TableDailyJournal[[#This Row],[رقم العملية]]=Tabledaily[رقم العملية])*(TableDailyJournal[[#This Row],[الحساب]]=Tabledaily[الحســاب المديــــن]),0)),0)</f>
        <v>0</v>
      </c>
      <c r="L673" s="123" cm="1">
        <f t="array" ref="L673">IFERROR(INDEX(Tabledaily[المبلـــــــغ],MATCH(1,(TableDailyJournal[[#This Row],[رقم العملية]]=Tabledaily[رقم العملية])*(TableDailyJournal[[#This Row],[الحساب]]=Tabledaily[الحســاب الدئـــن]),0)),0)</f>
        <v>100000</v>
      </c>
      <c r="M673" s="119">
        <f>IFERROR(TableDailyJournal[[#This Row],[المبلغ مدين]]/TableDailyJournal[[#This Row],[سعــــــر
الصـــــرف]],0)</f>
        <v>0</v>
      </c>
      <c r="N673" s="119">
        <f>IFERROR(TableDailyJournal[[#This Row],[المبلغ دائن]]/TableDailyJournal[[#This Row],[سعــــــر
الصـــــرف]],0)</f>
        <v>246.91358024691357</v>
      </c>
      <c r="O673" s="121" t="str">
        <f>INDEX(Tabledaily[المستفيــــــــد],MATCH(TableDailyJournal[[#This Row],[رقم العملية]],Tabledaily[رقم العملية],0))</f>
        <v xml:space="preserve">عبدالله احمد محمد دغيش </v>
      </c>
      <c r="P673" s="121" t="str">
        <f>INDEX(Tabledaily[المــــرجـــــــــع],MATCH(TableDailyJournal[[#This Row],[رقم العملية]],Tabledaily[رقم العملية],0))</f>
        <v>استلام نقدي</v>
      </c>
      <c r="Q673" s="121" t="str">
        <f>INDEX(Tabledaily[اســـــــم المــــرجــــع],MATCH(TableDailyJournal[[#This Row],[رقم العملية]],Tabledaily[رقم العملية],0))</f>
        <v>سند استلام</v>
      </c>
      <c r="R673" s="121" t="str">
        <f>INDEX(Tabledaily[رقم المـــــرجـــع],MATCH(TableDailyJournal[[#This Row],[رقم العملية]],Tabledaily[رقم العملية],0))</f>
        <v>100-107</v>
      </c>
      <c r="S673" s="121" t="str">
        <f>INDEX(Tabledaily[مركـــــــزالتكلفــــــة],MATCH(TableDailyJournal[[#This Row],[رقم العملية]],Tabledaily[رقم العملية],0))</f>
        <v>الفرقة الثالثة</v>
      </c>
      <c r="T673" s="121">
        <f>IFERROR(INDEX(tablecost[رقم المركز],MATCH(TableDailyJournal[[#This Row],[مركـــــــزالتكلفــــــة]],tablecost[الاسم],0)),0)</f>
        <v>1</v>
      </c>
      <c r="U673" s="122">
        <f>IFERROR(DATE(TableDailyJournal[[#This Row],[السنــــة]],TableDailyJournal[[#This Row],[الشهــــر]],TableDailyJournal[[#This Row],[الـــــيوم]]),"01-01-2026")</f>
        <v>46193</v>
      </c>
      <c r="V673" s="126"/>
      <c r="W673" s="58"/>
      <c r="X673" s="58">
        <f>IFERROR(YEAR(TableDailyJournal[[#This Row],[التاريخ]]),"")</f>
        <v>2026</v>
      </c>
      <c r="Y673" s="58">
        <f>IFERROR(MONTH(TableDailyJournal[[#This Row],[التاريخ]]),"")</f>
        <v>6</v>
      </c>
      <c r="Z673" s="58">
        <f>IFERROR(DAY(TableDailyJournal[[#This Row],[التاريخ]]),"")</f>
        <v>20</v>
      </c>
      <c r="AA673" s="126" t="str">
        <f>INDEX(Tabledaily[المرجع البياني],MATCH(TableDailyJournal[[#This Row],[رقم العملية]],Tabledaily[رقم العملية],0))</f>
        <v>قيـد مقابـل:- (مصاريف سفر وتنقلات  - عبدالله احمد محمد دغيش  - الفرقة الثالثة)  - استلام نقدي رقم 100-107  سند استلام - مصاريف سفر  بامرالأركان جمال مسدوس</v>
      </c>
      <c r="AB673" s="121" t="str">
        <f>INDEX(Tabledaily[جهة الامر],MATCH(TableDailyJournal[[#This Row],[رقم العملية]],Tabledaily[رقم العملية],0))</f>
        <v>الأركان جمال مسدوس</v>
      </c>
    </row>
    <row r="674" spans="2:28" ht="67.5" x14ac:dyDescent="0.55000000000000004">
      <c r="B674" s="58">
        <f t="shared" si="21"/>
        <v>670</v>
      </c>
      <c r="C674" s="59" t="s">
        <v>1155</v>
      </c>
      <c r="D674" s="60">
        <f>INDEX(Tabledaily[date],MATCH(TableDailyJournal[[#This Row],[رقم العملية]],Tabledaily[رقم العملية],0))</f>
        <v>46193</v>
      </c>
      <c r="E674" s="58" t="str">
        <f>INDEX(Tabledaily[نوع العمليــة],MATCH(TableDailyJournal[[#This Row],[رقم العملية]],Tabledaily[رقم العملية],0))</f>
        <v>قيد عهده</v>
      </c>
      <c r="F674" s="58">
        <f>IFERROR(INDEX(TableJudje[رقم الحساب],MATCH(TableDailyJournal[[#This Row],[الحساب]],TableJudje[اسم الحساب],0)),0)</f>
        <v>31010101</v>
      </c>
      <c r="G674" s="58" t="s">
        <v>111</v>
      </c>
      <c r="H674" s="61" t="str">
        <f>INDEX(Tabledaily[المرجع البياني],MATCH(TableDailyJournal[[#This Row],[رقم العملية]],Tabledaily[رقم العملية],0))</f>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v>
      </c>
      <c r="I674" s="60" t="str">
        <f>INDEX(Tabledaily[العملـــة],MATCH(TableDailyJournal[[#This Row],[رقم العملية]],Tabledaily[رقم العملية],0))</f>
        <v>ريال يمني</v>
      </c>
      <c r="J674" s="59">
        <f>IFERROR(INDEX(Tabledaily[سعــــــر
الصـــــرف],MATCH(C674,Tabledaily[رقم العملية],0)),1)</f>
        <v>405</v>
      </c>
      <c r="K674" s="123" cm="1">
        <f t="array" ref="K674">IFERROR(INDEX(Tabledaily[المبلـــــــغ],MATCH(1,(TableDailyJournal[[#This Row],[رقم العملية]]=Tabledaily[رقم العملية])*(TableDailyJournal[[#This Row],[الحساب]]=Tabledaily[الحســاب المديــــن]),0)),0)</f>
        <v>55000</v>
      </c>
      <c r="L674" s="123" cm="1">
        <f t="array" ref="L674">IFERROR(INDEX(Tabledaily[المبلـــــــغ],MATCH(1,(TableDailyJournal[[#This Row],[رقم العملية]]=Tabledaily[رقم العملية])*(TableDailyJournal[[#This Row],[الحساب]]=Tabledaily[الحســاب الدئـــن]),0)),0)</f>
        <v>0</v>
      </c>
      <c r="M674" s="119">
        <f>IFERROR(TableDailyJournal[[#This Row],[المبلغ مدين]]/TableDailyJournal[[#This Row],[سعــــــر
الصـــــرف]],0)</f>
        <v>135.80246913580248</v>
      </c>
      <c r="N674" s="119">
        <f>IFERROR(TableDailyJournal[[#This Row],[المبلغ دائن]]/TableDailyJournal[[#This Row],[سعــــــر
الصـــــرف]],0)</f>
        <v>0</v>
      </c>
      <c r="O674" s="121" t="str">
        <f>INDEX(Tabledaily[المستفيــــــــد],MATCH(TableDailyJournal[[#This Row],[رقم العملية]],Tabledaily[رقم العملية],0))</f>
        <v>عمال</v>
      </c>
      <c r="P674" s="121" t="str">
        <f>INDEX(Tabledaily[المــــرجـــــــــع],MATCH(TableDailyJournal[[#This Row],[رقم العملية]],Tabledaily[رقم العملية],0))</f>
        <v>استلام نقدي</v>
      </c>
      <c r="Q674" s="121" t="str">
        <f>INDEX(Tabledaily[اســـــــم المــــرجــــع],MATCH(TableDailyJournal[[#This Row],[رقم العملية]],Tabledaily[رقم العملية],0))</f>
        <v>سند استلام</v>
      </c>
      <c r="R674" s="121" t="str">
        <f>INDEX(Tabledaily[رقم المـــــرجـــع],MATCH(TableDailyJournal[[#This Row],[رقم العملية]],Tabledaily[رقم العملية],0))</f>
        <v>100-104</v>
      </c>
      <c r="S674" s="121" t="str">
        <f>INDEX(Tabledaily[مركـــــــزالتكلفــــــة],MATCH(TableDailyJournal[[#This Row],[رقم العملية]],Tabledaily[رقم العملية],0))</f>
        <v>الفرقة الثالثة</v>
      </c>
      <c r="T674" s="121">
        <f>IFERROR(INDEX(tablecost[رقم المركز],MATCH(TableDailyJournal[[#This Row],[مركـــــــزالتكلفــــــة]],tablecost[الاسم],0)),0)</f>
        <v>1</v>
      </c>
      <c r="U674" s="122">
        <f>IFERROR(DATE(TableDailyJournal[[#This Row],[السنــــة]],TableDailyJournal[[#This Row],[الشهــــر]],TableDailyJournal[[#This Row],[الـــــيوم]]),"01-01-2026")</f>
        <v>46193</v>
      </c>
      <c r="V674" s="126"/>
      <c r="W674" s="58"/>
      <c r="X674" s="58">
        <f>IFERROR(YEAR(TableDailyJournal[[#This Row],[التاريخ]]),"")</f>
        <v>2026</v>
      </c>
      <c r="Y674" s="58">
        <f>IFERROR(MONTH(TableDailyJournal[[#This Row],[التاريخ]]),"")</f>
        <v>6</v>
      </c>
      <c r="Z674" s="58">
        <f>IFERROR(DAY(TableDailyJournal[[#This Row],[التاريخ]]),"")</f>
        <v>20</v>
      </c>
      <c r="AA674" s="126" t="str">
        <f>INDEX(Tabledaily[المرجع البياني],MATCH(TableDailyJournal[[#This Row],[رقم العملية]],Tabledaily[رقم العملية],0))</f>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v>
      </c>
      <c r="AB674" s="121" t="str">
        <f>INDEX(Tabledaily[جهة الامر],MATCH(TableDailyJournal[[#This Row],[رقم العملية]],Tabledaily[رقم العملية],0))</f>
        <v>مدير  مكتب القائد</v>
      </c>
    </row>
    <row r="675" spans="2:28" ht="67.5" x14ac:dyDescent="0.55000000000000004">
      <c r="B675" s="58">
        <f t="shared" si="21"/>
        <v>671</v>
      </c>
      <c r="C675" s="59" t="s">
        <v>1155</v>
      </c>
      <c r="D675" s="60">
        <f>INDEX(Tabledaily[date],MATCH(TableDailyJournal[[#This Row],[رقم العملية]],Tabledaily[رقم العملية],0))</f>
        <v>46193</v>
      </c>
      <c r="E675" s="58" t="str">
        <f>INDEX(Tabledaily[نوع العمليــة],MATCH(TableDailyJournal[[#This Row],[رقم العملية]],Tabledaily[رقم العملية],0))</f>
        <v>قيد عهده</v>
      </c>
      <c r="F675" s="58">
        <f>IFERROR(INDEX(TableJudje[رقم الحساب],MATCH(TableDailyJournal[[#This Row],[الحساب]],TableJudje[اسم الحساب],0)),0)</f>
        <v>11060205</v>
      </c>
      <c r="G675" s="58" t="s">
        <v>513</v>
      </c>
      <c r="H675" s="61" t="str">
        <f>INDEX(Tabledaily[المرجع البياني],MATCH(TableDailyJournal[[#This Row],[رقم العملية]],Tabledaily[رقم العملية],0))</f>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v>
      </c>
      <c r="I675" s="60" t="str">
        <f>INDEX(Tabledaily[العملـــة],MATCH(TableDailyJournal[[#This Row],[رقم العملية]],Tabledaily[رقم العملية],0))</f>
        <v>ريال يمني</v>
      </c>
      <c r="J675" s="59">
        <f>IFERROR(INDEX(Tabledaily[سعــــــر
الصـــــرف],MATCH(C675,Tabledaily[رقم العملية],0)),1)</f>
        <v>405</v>
      </c>
      <c r="K675" s="123" cm="1">
        <f t="array" ref="K675">IFERROR(INDEX(Tabledaily[المبلـــــــغ],MATCH(1,(TableDailyJournal[[#This Row],[رقم العملية]]=Tabledaily[رقم العملية])*(TableDailyJournal[[#This Row],[الحساب]]=Tabledaily[الحســاب المديــــن]),0)),0)</f>
        <v>0</v>
      </c>
      <c r="L675" s="123" cm="1">
        <f t="array" ref="L675">IFERROR(INDEX(Tabledaily[المبلـــــــغ],MATCH(1,(TableDailyJournal[[#This Row],[رقم العملية]]=Tabledaily[رقم العملية])*(TableDailyJournal[[#This Row],[الحساب]]=Tabledaily[الحســاب الدئـــن]),0)),0)</f>
        <v>55000</v>
      </c>
      <c r="M675" s="119">
        <f>IFERROR(TableDailyJournal[[#This Row],[المبلغ مدين]]/TableDailyJournal[[#This Row],[سعــــــر
الصـــــرف]],0)</f>
        <v>0</v>
      </c>
      <c r="N675" s="119">
        <f>IFERROR(TableDailyJournal[[#This Row],[المبلغ دائن]]/TableDailyJournal[[#This Row],[سعــــــر
الصـــــرف]],0)</f>
        <v>135.80246913580248</v>
      </c>
      <c r="O675" s="121" t="str">
        <f>INDEX(Tabledaily[المستفيــــــــد],MATCH(TableDailyJournal[[#This Row],[رقم العملية]],Tabledaily[رقم العملية],0))</f>
        <v>عمال</v>
      </c>
      <c r="P675" s="121" t="str">
        <f>INDEX(Tabledaily[المــــرجـــــــــع],MATCH(TableDailyJournal[[#This Row],[رقم العملية]],Tabledaily[رقم العملية],0))</f>
        <v>استلام نقدي</v>
      </c>
      <c r="Q675" s="121" t="str">
        <f>INDEX(Tabledaily[اســـــــم المــــرجــــع],MATCH(TableDailyJournal[[#This Row],[رقم العملية]],Tabledaily[رقم العملية],0))</f>
        <v>سند استلام</v>
      </c>
      <c r="R675" s="121" t="str">
        <f>INDEX(Tabledaily[رقم المـــــرجـــع],MATCH(TableDailyJournal[[#This Row],[رقم العملية]],Tabledaily[رقم العملية],0))</f>
        <v>100-104</v>
      </c>
      <c r="S675" s="121" t="str">
        <f>INDEX(Tabledaily[مركـــــــزالتكلفــــــة],MATCH(TableDailyJournal[[#This Row],[رقم العملية]],Tabledaily[رقم العملية],0))</f>
        <v>الفرقة الثالثة</v>
      </c>
      <c r="T675" s="121">
        <f>IFERROR(INDEX(tablecost[رقم المركز],MATCH(TableDailyJournal[[#This Row],[مركـــــــزالتكلفــــــة]],tablecost[الاسم],0)),0)</f>
        <v>1</v>
      </c>
      <c r="U675" s="122">
        <f>IFERROR(DATE(TableDailyJournal[[#This Row],[السنــــة]],TableDailyJournal[[#This Row],[الشهــــر]],TableDailyJournal[[#This Row],[الـــــيوم]]),"01-01-2026")</f>
        <v>46193</v>
      </c>
      <c r="V675" s="126"/>
      <c r="W675" s="58"/>
      <c r="X675" s="58">
        <f>IFERROR(YEAR(TableDailyJournal[[#This Row],[التاريخ]]),"")</f>
        <v>2026</v>
      </c>
      <c r="Y675" s="58">
        <f>IFERROR(MONTH(TableDailyJournal[[#This Row],[التاريخ]]),"")</f>
        <v>6</v>
      </c>
      <c r="Z675" s="58">
        <f>IFERROR(DAY(TableDailyJournal[[#This Row],[التاريخ]]),"")</f>
        <v>20</v>
      </c>
      <c r="AA675" s="126" t="str">
        <f>INDEX(Tabledaily[المرجع البياني],MATCH(TableDailyJournal[[#This Row],[رقم العملية]],Tabledaily[رقم العملية],0))</f>
        <v>قيـد مقابـل:- (مصاريف  صرفة يومية للافراد  - عمال - الفرقة الثالثة)  - استلام نقدي رقم 100-104  سند استلام - اجور عمال مقابل نفل حمولة مركبة مجنونة إلى مستودعات الامدمد عدد 11 عامل مرفق الكشف  بامرمدير  مكتب القائد</v>
      </c>
      <c r="AB675" s="121" t="str">
        <f>INDEX(Tabledaily[جهة الامر],MATCH(TableDailyJournal[[#This Row],[رقم العملية]],Tabledaily[رقم العملية],0))</f>
        <v>مدير  مكتب القائد</v>
      </c>
    </row>
    <row r="676" spans="2:28" ht="67.5" x14ac:dyDescent="0.55000000000000004">
      <c r="B676" s="58">
        <f t="shared" si="21"/>
        <v>672</v>
      </c>
      <c r="C676" s="59" t="s">
        <v>1158</v>
      </c>
      <c r="D676" s="60">
        <f>INDEX(Tabledaily[date],MATCH(TableDailyJournal[[#This Row],[رقم العملية]],Tabledaily[رقم العملية],0))</f>
        <v>46193</v>
      </c>
      <c r="E676" s="58" t="str">
        <f>INDEX(Tabledaily[نوع العمليــة],MATCH(TableDailyJournal[[#This Row],[رقم العملية]],Tabledaily[رقم العملية],0))</f>
        <v>قيد عهده</v>
      </c>
      <c r="F676" s="58">
        <f>IFERROR(INDEX(TableJudje[رقم الحساب],MATCH(TableDailyJournal[[#This Row],[الحساب]],TableJudje[اسم الحساب],0)),0)</f>
        <v>31010114</v>
      </c>
      <c r="G676" s="58" t="s">
        <v>121</v>
      </c>
      <c r="H676" s="61" t="str">
        <f>INDEX(Tabledaily[المرجع البياني],MATCH(TableDailyJournal[[#This Row],[رقم العملية]],Tabledaily[رقم العملية],0))</f>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v>
      </c>
      <c r="I676" s="60" t="str">
        <f>INDEX(Tabledaily[العملـــة],MATCH(TableDailyJournal[[#This Row],[رقم العملية]],Tabledaily[رقم العملية],0))</f>
        <v>ريال يمني</v>
      </c>
      <c r="J676" s="59">
        <f>IFERROR(INDEX(Tabledaily[سعــــــر
الصـــــرف],MATCH(C676,Tabledaily[رقم العملية],0)),1)</f>
        <v>405</v>
      </c>
      <c r="K676" s="123" cm="1">
        <f t="array" ref="K676">IFERROR(INDEX(Tabledaily[المبلـــــــغ],MATCH(1,(TableDailyJournal[[#This Row],[رقم العملية]]=Tabledaily[رقم العملية])*(TableDailyJournal[[#This Row],[الحساب]]=Tabledaily[الحســاب المديــــن]),0)),0)</f>
        <v>60000</v>
      </c>
      <c r="L676" s="123" cm="1">
        <f t="array" ref="L676">IFERROR(INDEX(Tabledaily[المبلـــــــغ],MATCH(1,(TableDailyJournal[[#This Row],[رقم العملية]]=Tabledaily[رقم العملية])*(TableDailyJournal[[#This Row],[الحساب]]=Tabledaily[الحســاب الدئـــن]),0)),0)</f>
        <v>0</v>
      </c>
      <c r="M676" s="119">
        <f>IFERROR(TableDailyJournal[[#This Row],[المبلغ مدين]]/TableDailyJournal[[#This Row],[سعــــــر
الصـــــرف]],0)</f>
        <v>148.14814814814815</v>
      </c>
      <c r="N676" s="119">
        <f>IFERROR(TableDailyJournal[[#This Row],[المبلغ دائن]]/TableDailyJournal[[#This Row],[سعــــــر
الصـــــرف]],0)</f>
        <v>0</v>
      </c>
      <c r="O676" s="121" t="str">
        <f>INDEX(Tabledaily[المستفيــــــــد],MATCH(TableDailyJournal[[#This Row],[رقم العملية]],Tabledaily[رقم العملية],0))</f>
        <v>محمد السبع  + عرفات ناصر + عبدالله قطن</v>
      </c>
      <c r="P676" s="121" t="str">
        <f>INDEX(Tabledaily[المــــرجـــــــــع],MATCH(TableDailyJournal[[#This Row],[رقم العملية]],Tabledaily[رقم العملية],0))</f>
        <v>استلام نقدي</v>
      </c>
      <c r="Q676" s="121" t="str">
        <f>INDEX(Tabledaily[اســـــــم المــــرجــــع],MATCH(TableDailyJournal[[#This Row],[رقم العملية]],Tabledaily[رقم العملية],0))</f>
        <v>سند استلام</v>
      </c>
      <c r="R676" s="121" t="str">
        <f>INDEX(Tabledaily[رقم المـــــرجـــع],MATCH(TableDailyJournal[[#This Row],[رقم العملية]],Tabledaily[رقم العملية],0))</f>
        <v>100-113</v>
      </c>
      <c r="S676" s="121" t="str">
        <f>INDEX(Tabledaily[مركـــــــزالتكلفــــــة],MATCH(TableDailyJournal[[#This Row],[رقم العملية]],Tabledaily[رقم العملية],0))</f>
        <v>الفرقة الثالثة</v>
      </c>
      <c r="T676" s="121">
        <f>IFERROR(INDEX(tablecost[رقم المركز],MATCH(TableDailyJournal[[#This Row],[مركـــــــزالتكلفــــــة]],tablecost[الاسم],0)),0)</f>
        <v>1</v>
      </c>
      <c r="U676" s="122">
        <f>IFERROR(DATE(TableDailyJournal[[#This Row],[السنــــة]],TableDailyJournal[[#This Row],[الشهــــر]],TableDailyJournal[[#This Row],[الـــــيوم]]),"01-01-2026")</f>
        <v>46193</v>
      </c>
      <c r="V676" s="126"/>
      <c r="W676" s="58"/>
      <c r="X676" s="58">
        <f>IFERROR(YEAR(TableDailyJournal[[#This Row],[التاريخ]]),"")</f>
        <v>2026</v>
      </c>
      <c r="Y676" s="58">
        <f>IFERROR(MONTH(TableDailyJournal[[#This Row],[التاريخ]]),"")</f>
        <v>6</v>
      </c>
      <c r="Z676" s="58">
        <f>IFERROR(DAY(TableDailyJournal[[#This Row],[التاريخ]]),"")</f>
        <v>20</v>
      </c>
      <c r="AA676" s="126" t="str">
        <f>INDEX(Tabledaily[المرجع البياني],MATCH(TableDailyJournal[[#This Row],[رقم العملية]],Tabledaily[رقم العملية],0))</f>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v>
      </c>
      <c r="AB676" s="121" t="str">
        <f>INDEX(Tabledaily[جهة الامر],MATCH(TableDailyJournal[[#This Row],[رقم العملية]],Tabledaily[رقم العملية],0))</f>
        <v>المستشار المالي</v>
      </c>
    </row>
    <row r="677" spans="2:28" ht="67.5" x14ac:dyDescent="0.55000000000000004">
      <c r="B677" s="58">
        <f t="shared" si="21"/>
        <v>673</v>
      </c>
      <c r="C677" s="59" t="s">
        <v>1158</v>
      </c>
      <c r="D677" s="60">
        <f>INDEX(Tabledaily[date],MATCH(TableDailyJournal[[#This Row],[رقم العملية]],Tabledaily[رقم العملية],0))</f>
        <v>46193</v>
      </c>
      <c r="E677" s="58" t="str">
        <f>INDEX(Tabledaily[نوع العمليــة],MATCH(TableDailyJournal[[#This Row],[رقم العملية]],Tabledaily[رقم العملية],0))</f>
        <v>قيد عهده</v>
      </c>
      <c r="F677" s="58">
        <f>IFERROR(INDEX(TableJudje[رقم الحساب],MATCH(TableDailyJournal[[#This Row],[الحساب]],TableJudje[اسم الحساب],0)),0)</f>
        <v>11060205</v>
      </c>
      <c r="G677" s="58" t="s">
        <v>513</v>
      </c>
      <c r="H677" s="61" t="str">
        <f>INDEX(Tabledaily[المرجع البياني],MATCH(TableDailyJournal[[#This Row],[رقم العملية]],Tabledaily[رقم العملية],0))</f>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v>
      </c>
      <c r="I677" s="60" t="str">
        <f>INDEX(Tabledaily[العملـــة],MATCH(TableDailyJournal[[#This Row],[رقم العملية]],Tabledaily[رقم العملية],0))</f>
        <v>ريال يمني</v>
      </c>
      <c r="J677" s="59">
        <f>IFERROR(INDEX(Tabledaily[سعــــــر
الصـــــرف],MATCH(C677,Tabledaily[رقم العملية],0)),1)</f>
        <v>405</v>
      </c>
      <c r="K677" s="123" cm="1">
        <f t="array" ref="K677">IFERROR(INDEX(Tabledaily[المبلـــــــغ],MATCH(1,(TableDailyJournal[[#This Row],[رقم العملية]]=Tabledaily[رقم العملية])*(TableDailyJournal[[#This Row],[الحساب]]=Tabledaily[الحســاب المديــــن]),0)),0)</f>
        <v>0</v>
      </c>
      <c r="L677" s="123" cm="1">
        <f t="array" ref="L677">IFERROR(INDEX(Tabledaily[المبلـــــــغ],MATCH(1,(TableDailyJournal[[#This Row],[رقم العملية]]=Tabledaily[رقم العملية])*(TableDailyJournal[[#This Row],[الحساب]]=Tabledaily[الحســاب الدئـــن]),0)),0)</f>
        <v>60000</v>
      </c>
      <c r="M677" s="119">
        <f>IFERROR(TableDailyJournal[[#This Row],[المبلغ مدين]]/TableDailyJournal[[#This Row],[سعــــــر
الصـــــرف]],0)</f>
        <v>0</v>
      </c>
      <c r="N677" s="119">
        <f>IFERROR(TableDailyJournal[[#This Row],[المبلغ دائن]]/TableDailyJournal[[#This Row],[سعــــــر
الصـــــرف]],0)</f>
        <v>148.14814814814815</v>
      </c>
      <c r="O677" s="121" t="str">
        <f>INDEX(Tabledaily[المستفيــــــــد],MATCH(TableDailyJournal[[#This Row],[رقم العملية]],Tabledaily[رقم العملية],0))</f>
        <v>محمد السبع  + عرفات ناصر + عبدالله قطن</v>
      </c>
      <c r="P677" s="121" t="str">
        <f>INDEX(Tabledaily[المــــرجـــــــــع],MATCH(TableDailyJournal[[#This Row],[رقم العملية]],Tabledaily[رقم العملية],0))</f>
        <v>استلام نقدي</v>
      </c>
      <c r="Q677" s="121" t="str">
        <f>INDEX(Tabledaily[اســـــــم المــــرجــــع],MATCH(TableDailyJournal[[#This Row],[رقم العملية]],Tabledaily[رقم العملية],0))</f>
        <v>سند استلام</v>
      </c>
      <c r="R677" s="121" t="str">
        <f>INDEX(Tabledaily[رقم المـــــرجـــع],MATCH(TableDailyJournal[[#This Row],[رقم العملية]],Tabledaily[رقم العملية],0))</f>
        <v>100-113</v>
      </c>
      <c r="S677" s="121" t="str">
        <f>INDEX(Tabledaily[مركـــــــزالتكلفــــــة],MATCH(TableDailyJournal[[#This Row],[رقم العملية]],Tabledaily[رقم العملية],0))</f>
        <v>الفرقة الثالثة</v>
      </c>
      <c r="T677" s="121">
        <f>IFERROR(INDEX(tablecost[رقم المركز],MATCH(TableDailyJournal[[#This Row],[مركـــــــزالتكلفــــــة]],tablecost[الاسم],0)),0)</f>
        <v>1</v>
      </c>
      <c r="U677" s="122">
        <f>IFERROR(DATE(TableDailyJournal[[#This Row],[السنــــة]],TableDailyJournal[[#This Row],[الشهــــر]],TableDailyJournal[[#This Row],[الـــــيوم]]),"01-01-2026")</f>
        <v>46193</v>
      </c>
      <c r="V677" s="126"/>
      <c r="W677" s="58"/>
      <c r="X677" s="58">
        <f>IFERROR(YEAR(TableDailyJournal[[#This Row],[التاريخ]]),"")</f>
        <v>2026</v>
      </c>
      <c r="Y677" s="58">
        <f>IFERROR(MONTH(TableDailyJournal[[#This Row],[التاريخ]]),"")</f>
        <v>6</v>
      </c>
      <c r="Z677" s="58">
        <f>IFERROR(DAY(TableDailyJournal[[#This Row],[التاريخ]]),"")</f>
        <v>20</v>
      </c>
      <c r="AA677" s="126" t="str">
        <f>INDEX(Tabledaily[المرجع البياني],MATCH(TableDailyJournal[[#This Row],[رقم العملية]],Tabledaily[رقم العملية],0))</f>
        <v>قيـد مقابـل:- (مصاريف حوافز ومكافئات  - محمد السبع  + عرفات ناصر + عبدالله قطن - الفرقة الثالثة)  - استلام نقدي رقم 100-113  سند استلام - حافز مقابل القيام في ترتيبات الافراد للجنة القطيبي ولجنة البصمة  بامرالمستشار المالي</v>
      </c>
      <c r="AB677" s="121" t="str">
        <f>INDEX(Tabledaily[جهة الامر],MATCH(TableDailyJournal[[#This Row],[رقم العملية]],Tabledaily[رقم العملية],0))</f>
        <v>المستشار المالي</v>
      </c>
    </row>
    <row r="678" spans="2:28" ht="45.75" x14ac:dyDescent="0.55000000000000004">
      <c r="B678" s="58">
        <f t="shared" ref="B678:B685" si="22">ROW()-4</f>
        <v>674</v>
      </c>
      <c r="C678" s="59" t="s">
        <v>1183</v>
      </c>
      <c r="D678" s="60">
        <f>INDEX(Tabledaily[date],MATCH(TableDailyJournal[[#This Row],[رقم العملية]],Tabledaily[رقم العملية],0))</f>
        <v>46188</v>
      </c>
      <c r="E678" s="58" t="str">
        <f>INDEX(Tabledaily[نوع العمليــة],MATCH(TableDailyJournal[[#This Row],[رقم العملية]],Tabledaily[رقم العملية],0))</f>
        <v>قبض عهدة</v>
      </c>
      <c r="F678" s="58">
        <f>IFERROR(INDEX(TableJudje[رقم الحساب],MATCH(TableDailyJournal[[#This Row],[الحساب]],TableJudje[اسم الحساب],0)),0)</f>
        <v>11060205</v>
      </c>
      <c r="G678" s="58" t="s">
        <v>513</v>
      </c>
      <c r="H678" s="61" t="str">
        <f>INDEX(Tabledaily[المرجع البياني],MATCH(TableDailyJournal[[#This Row],[رقم العملية]],Tabledaily[رقم العملية],0))</f>
        <v>قيـد مقابـل:- (عهدة عبدالحفيظ - عبدالحفيظ - الفرقة الثالثة)  - حواله رقم 10460  شركة العامري للصرافة - استلام عهدة بامر</v>
      </c>
      <c r="I678" s="60" t="str">
        <f>INDEX(Tabledaily[العملـــة],MATCH(TableDailyJournal[[#This Row],[رقم العملية]],Tabledaily[رقم العملية],0))</f>
        <v>ريال سعودي</v>
      </c>
      <c r="J678" s="59">
        <f>IFERROR(INDEX(Tabledaily[سعــــــر
الصـــــرف],MATCH(C678,Tabledaily[رقم العملية],0)),1)</f>
        <v>1</v>
      </c>
      <c r="K678" s="123" cm="1">
        <f t="array" ref="K678">IFERROR(INDEX(Tabledaily[المبلـــــــغ],MATCH(1,(TableDailyJournal[[#This Row],[رقم العملية]]=Tabledaily[رقم العملية])*(TableDailyJournal[[#This Row],[الحساب]]=Tabledaily[الحســاب المديــــن]),0)),0)</f>
        <v>19960</v>
      </c>
      <c r="L678" s="123" cm="1">
        <f t="array" ref="L678">IFERROR(INDEX(Tabledaily[المبلـــــــغ],MATCH(1,(TableDailyJournal[[#This Row],[رقم العملية]]=Tabledaily[رقم العملية])*(TableDailyJournal[[#This Row],[الحساب]]=Tabledaily[الحســاب الدئـــن]),0)),0)</f>
        <v>0</v>
      </c>
      <c r="M678" s="119">
        <f>IFERROR(TableDailyJournal[[#This Row],[المبلغ مدين]]/TableDailyJournal[[#This Row],[سعــــــر
الصـــــرف]],0)</f>
        <v>19960</v>
      </c>
      <c r="N678" s="119">
        <f>IFERROR(TableDailyJournal[[#This Row],[المبلغ دائن]]/TableDailyJournal[[#This Row],[سعــــــر
الصـــــرف]],0)</f>
        <v>0</v>
      </c>
      <c r="O678" s="121" t="str">
        <f>INDEX(Tabledaily[المستفيــــــــد],MATCH(TableDailyJournal[[#This Row],[رقم العملية]],Tabledaily[رقم العملية],0))</f>
        <v>عبدالحفيظ</v>
      </c>
      <c r="P678" s="121" t="str">
        <f>INDEX(Tabledaily[المــــرجـــــــــع],MATCH(TableDailyJournal[[#This Row],[رقم العملية]],Tabledaily[رقم العملية],0))</f>
        <v>حواله</v>
      </c>
      <c r="Q678" s="121" t="str">
        <f>INDEX(Tabledaily[اســـــــم المــــرجــــع],MATCH(TableDailyJournal[[#This Row],[رقم العملية]],Tabledaily[رقم العملية],0))</f>
        <v>شركة العامري للصرافة</v>
      </c>
      <c r="R678" s="121">
        <f>INDEX(Tabledaily[رقم المـــــرجـــع],MATCH(TableDailyJournal[[#This Row],[رقم العملية]],Tabledaily[رقم العملية],0))</f>
        <v>10460</v>
      </c>
      <c r="S678" s="121" t="str">
        <f>INDEX(Tabledaily[مركـــــــزالتكلفــــــة],MATCH(TableDailyJournal[[#This Row],[رقم العملية]],Tabledaily[رقم العملية],0))</f>
        <v>الفرقة الثالثة</v>
      </c>
      <c r="T678" s="121">
        <f>IFERROR(INDEX(tablecost[رقم المركز],MATCH(TableDailyJournal[[#This Row],[مركـــــــزالتكلفــــــة]],tablecost[الاسم],0)),0)</f>
        <v>1</v>
      </c>
      <c r="U678" s="122">
        <f>IFERROR(DATE(TableDailyJournal[[#This Row],[السنــــة]],TableDailyJournal[[#This Row],[الشهــــر]],TableDailyJournal[[#This Row],[الـــــيوم]]),"01-01-2026")</f>
        <v>46188</v>
      </c>
      <c r="V678" s="126"/>
      <c r="W678" s="58"/>
      <c r="X678" s="58">
        <f>IFERROR(YEAR(TableDailyJournal[[#This Row],[التاريخ]]),"")</f>
        <v>2026</v>
      </c>
      <c r="Y678" s="58">
        <f>IFERROR(MONTH(TableDailyJournal[[#This Row],[التاريخ]]),"")</f>
        <v>6</v>
      </c>
      <c r="Z678" s="58">
        <f>IFERROR(DAY(TableDailyJournal[[#This Row],[التاريخ]]),"")</f>
        <v>15</v>
      </c>
      <c r="AA678" s="126" t="str">
        <f>INDEX(Tabledaily[المرجع البياني],MATCH(TableDailyJournal[[#This Row],[رقم العملية]],Tabledaily[رقم العملية],0))</f>
        <v>قيـد مقابـل:- (عهدة عبدالحفيظ - عبدالحفيظ - الفرقة الثالثة)  - حواله رقم 10460  شركة العامري للصرافة - استلام عهدة بامر</v>
      </c>
      <c r="AB678" s="121">
        <f>INDEX(Tabledaily[جهة الامر],MATCH(TableDailyJournal[[#This Row],[رقم العملية]],Tabledaily[رقم العملية],0))</f>
        <v>0</v>
      </c>
    </row>
    <row r="679" spans="2:28" ht="45.75" x14ac:dyDescent="0.55000000000000004">
      <c r="B679" s="58">
        <f t="shared" si="22"/>
        <v>675</v>
      </c>
      <c r="C679" s="59" t="s">
        <v>1183</v>
      </c>
      <c r="D679" s="60">
        <f>INDEX(Tabledaily[date],MATCH(TableDailyJournal[[#This Row],[رقم العملية]],Tabledaily[رقم العملية],0))</f>
        <v>46188</v>
      </c>
      <c r="E679" s="58" t="str">
        <f>INDEX(Tabledaily[نوع العمليــة],MATCH(TableDailyJournal[[#This Row],[رقم العملية]],Tabledaily[رقم العملية],0))</f>
        <v>قبض عهدة</v>
      </c>
      <c r="F679" s="58">
        <f>IFERROR(INDEX(TableJudje[رقم الحساب],MATCH(TableDailyJournal[[#This Row],[الحساب]],TableJudje[اسم الحساب],0)),0)</f>
        <v>11010101</v>
      </c>
      <c r="G679" s="58" t="s">
        <v>23</v>
      </c>
      <c r="H679" s="61" t="str">
        <f>INDEX(Tabledaily[المرجع البياني],MATCH(TableDailyJournal[[#This Row],[رقم العملية]],Tabledaily[رقم العملية],0))</f>
        <v>قيـد مقابـل:- (عهدة عبدالحفيظ - عبدالحفيظ - الفرقة الثالثة)  - حواله رقم 10460  شركة العامري للصرافة - استلام عهدة بامر</v>
      </c>
      <c r="I679" s="60" t="str">
        <f>INDEX(Tabledaily[العملـــة],MATCH(TableDailyJournal[[#This Row],[رقم العملية]],Tabledaily[رقم العملية],0))</f>
        <v>ريال سعودي</v>
      </c>
      <c r="J679" s="59">
        <f>IFERROR(INDEX(Tabledaily[سعــــــر
الصـــــرف],MATCH(C679,Tabledaily[رقم العملية],0)),1)</f>
        <v>1</v>
      </c>
      <c r="K679" s="123" cm="1">
        <f t="array" ref="K679">IFERROR(INDEX(Tabledaily[المبلـــــــغ],MATCH(1,(TableDailyJournal[[#This Row],[رقم العملية]]=Tabledaily[رقم العملية])*(TableDailyJournal[[#This Row],[الحساب]]=Tabledaily[الحســاب المديــــن]),0)),0)</f>
        <v>0</v>
      </c>
      <c r="L679" s="123" cm="1">
        <f t="array" ref="L679">IFERROR(INDEX(Tabledaily[المبلـــــــغ],MATCH(1,(TableDailyJournal[[#This Row],[رقم العملية]]=Tabledaily[رقم العملية])*(TableDailyJournal[[#This Row],[الحساب]]=Tabledaily[الحســاب الدئـــن]),0)),0)</f>
        <v>19960</v>
      </c>
      <c r="M679" s="119">
        <f>IFERROR(TableDailyJournal[[#This Row],[المبلغ مدين]]/TableDailyJournal[[#This Row],[سعــــــر
الصـــــرف]],0)</f>
        <v>0</v>
      </c>
      <c r="N679" s="119">
        <f>IFERROR(TableDailyJournal[[#This Row],[المبلغ دائن]]/TableDailyJournal[[#This Row],[سعــــــر
الصـــــرف]],0)</f>
        <v>19960</v>
      </c>
      <c r="O679" s="121" t="str">
        <f>INDEX(Tabledaily[المستفيــــــــد],MATCH(TableDailyJournal[[#This Row],[رقم العملية]],Tabledaily[رقم العملية],0))</f>
        <v>عبدالحفيظ</v>
      </c>
      <c r="P679" s="121" t="str">
        <f>INDEX(Tabledaily[المــــرجـــــــــع],MATCH(TableDailyJournal[[#This Row],[رقم العملية]],Tabledaily[رقم العملية],0))</f>
        <v>حواله</v>
      </c>
      <c r="Q679" s="121" t="str">
        <f>INDEX(Tabledaily[اســـــــم المــــرجــــع],MATCH(TableDailyJournal[[#This Row],[رقم العملية]],Tabledaily[رقم العملية],0))</f>
        <v>شركة العامري للصرافة</v>
      </c>
      <c r="R679" s="121">
        <f>INDEX(Tabledaily[رقم المـــــرجـــع],MATCH(TableDailyJournal[[#This Row],[رقم العملية]],Tabledaily[رقم العملية],0))</f>
        <v>10460</v>
      </c>
      <c r="S679" s="121" t="str">
        <f>INDEX(Tabledaily[مركـــــــزالتكلفــــــة],MATCH(TableDailyJournal[[#This Row],[رقم العملية]],Tabledaily[رقم العملية],0))</f>
        <v>الفرقة الثالثة</v>
      </c>
      <c r="T679" s="121">
        <f>IFERROR(INDEX(tablecost[رقم المركز],MATCH(TableDailyJournal[[#This Row],[مركـــــــزالتكلفــــــة]],tablecost[الاسم],0)),0)</f>
        <v>1</v>
      </c>
      <c r="U679" s="122">
        <f>IFERROR(DATE(TableDailyJournal[[#This Row],[السنــــة]],TableDailyJournal[[#This Row],[الشهــــر]],TableDailyJournal[[#This Row],[الـــــيوم]]),"01-01-2026")</f>
        <v>46188</v>
      </c>
      <c r="V679" s="126"/>
      <c r="W679" s="58"/>
      <c r="X679" s="58">
        <f>IFERROR(YEAR(TableDailyJournal[[#This Row],[التاريخ]]),"")</f>
        <v>2026</v>
      </c>
      <c r="Y679" s="58">
        <f>IFERROR(MONTH(TableDailyJournal[[#This Row],[التاريخ]]),"")</f>
        <v>6</v>
      </c>
      <c r="Z679" s="58">
        <f>IFERROR(DAY(TableDailyJournal[[#This Row],[التاريخ]]),"")</f>
        <v>15</v>
      </c>
      <c r="AA679" s="126" t="str">
        <f>INDEX(Tabledaily[المرجع البياني],MATCH(TableDailyJournal[[#This Row],[رقم العملية]],Tabledaily[رقم العملية],0))</f>
        <v>قيـد مقابـل:- (عهدة عبدالحفيظ - عبدالحفيظ - الفرقة الثالثة)  - حواله رقم 10460  شركة العامري للصرافة - استلام عهدة بامر</v>
      </c>
      <c r="AB679" s="121">
        <f>INDEX(Tabledaily[جهة الامر],MATCH(TableDailyJournal[[#This Row],[رقم العملية]],Tabledaily[رقم العملية],0))</f>
        <v>0</v>
      </c>
    </row>
    <row r="680" spans="2:28" ht="45.75" x14ac:dyDescent="0.55000000000000004">
      <c r="B680" s="58">
        <f t="shared" si="22"/>
        <v>676</v>
      </c>
      <c r="C680" s="59" t="s">
        <v>1184</v>
      </c>
      <c r="D680" s="60">
        <f>INDEX(Tabledaily[date],MATCH(TableDailyJournal[[#This Row],[رقم العملية]],Tabledaily[رقم العملية],0))</f>
        <v>46190</v>
      </c>
      <c r="E680" s="58" t="str">
        <f>INDEX(Tabledaily[نوع العمليــة],MATCH(TableDailyJournal[[#This Row],[رقم العملية]],Tabledaily[رقم العملية],0))</f>
        <v>قبض عهدة</v>
      </c>
      <c r="F680" s="58">
        <f>IFERROR(INDEX(TableJudje[رقم الحساب],MATCH(TableDailyJournal[[#This Row],[الحساب]],TableJudje[اسم الحساب],0)),0)</f>
        <v>11060205</v>
      </c>
      <c r="G680" s="58" t="s">
        <v>513</v>
      </c>
      <c r="H680" s="61"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باعمر بامر</v>
      </c>
      <c r="I680" s="60" t="str">
        <f>INDEX(Tabledaily[العملـــة],MATCH(TableDailyJournal[[#This Row],[رقم العملية]],Tabledaily[رقم العملية],0))</f>
        <v>ريال سعودي</v>
      </c>
      <c r="J680" s="59">
        <f>IFERROR(INDEX(Tabledaily[سعــــــر
الصـــــرف],MATCH(C680,Tabledaily[رقم العملية],0)),1)</f>
        <v>1</v>
      </c>
      <c r="K680" s="123" cm="1">
        <f t="array" ref="K680">IFERROR(INDEX(Tabledaily[المبلـــــــغ],MATCH(1,(TableDailyJournal[[#This Row],[رقم العملية]]=Tabledaily[رقم العملية])*(TableDailyJournal[[#This Row],[الحساب]]=Tabledaily[الحســاب المديــــن]),0)),0)</f>
        <v>5000</v>
      </c>
      <c r="L680" s="123" cm="1">
        <f t="array" ref="L680">IFERROR(INDEX(Tabledaily[المبلـــــــغ],MATCH(1,(TableDailyJournal[[#This Row],[رقم العملية]]=Tabledaily[رقم العملية])*(TableDailyJournal[[#This Row],[الحساب]]=Tabledaily[الحســاب الدئـــن]),0)),0)</f>
        <v>0</v>
      </c>
      <c r="M680" s="119">
        <f>IFERROR(TableDailyJournal[[#This Row],[المبلغ مدين]]/TableDailyJournal[[#This Row],[سعــــــر
الصـــــرف]],0)</f>
        <v>5000</v>
      </c>
      <c r="N680" s="119">
        <f>IFERROR(TableDailyJournal[[#This Row],[المبلغ دائن]]/TableDailyJournal[[#This Row],[سعــــــر
الصـــــرف]],0)</f>
        <v>0</v>
      </c>
      <c r="O680" s="121" t="str">
        <f>INDEX(Tabledaily[المستفيــــــــد],MATCH(TableDailyJournal[[#This Row],[رقم العملية]],Tabledaily[رقم العملية],0))</f>
        <v>عبدالحفيظ</v>
      </c>
      <c r="P680" s="121" t="str">
        <f>INDEX(Tabledaily[المــــرجـــــــــع],MATCH(TableDailyJournal[[#This Row],[رقم العملية]],Tabledaily[رقم العملية],0))</f>
        <v>استلام نقدي</v>
      </c>
      <c r="Q680" s="121" t="str">
        <f>INDEX(Tabledaily[اســـــــم المــــرجــــع],MATCH(TableDailyJournal[[#This Row],[رقم العملية]],Tabledaily[رقم العملية],0))</f>
        <v>سند استلام</v>
      </c>
      <c r="R680" s="121">
        <f>INDEX(Tabledaily[رقم المـــــرجـــع],MATCH(TableDailyJournal[[#This Row],[رقم العملية]],Tabledaily[رقم العملية],0))</f>
        <v>0</v>
      </c>
      <c r="S680" s="121" t="str">
        <f>INDEX(Tabledaily[مركـــــــزالتكلفــــــة],MATCH(TableDailyJournal[[#This Row],[رقم العملية]],Tabledaily[رقم العملية],0))</f>
        <v>الفرقة الثالثة</v>
      </c>
      <c r="T680" s="121">
        <f>IFERROR(INDEX(tablecost[رقم المركز],MATCH(TableDailyJournal[[#This Row],[مركـــــــزالتكلفــــــة]],tablecost[الاسم],0)),0)</f>
        <v>1</v>
      </c>
      <c r="U680" s="122">
        <f>IFERROR(DATE(TableDailyJournal[[#This Row],[السنــــة]],TableDailyJournal[[#This Row],[الشهــــر]],TableDailyJournal[[#This Row],[الـــــيوم]]),"01-01-2026")</f>
        <v>46190</v>
      </c>
      <c r="V680" s="126"/>
      <c r="W680" s="58"/>
      <c r="X680" s="58">
        <f>IFERROR(YEAR(TableDailyJournal[[#This Row],[التاريخ]]),"")</f>
        <v>2026</v>
      </c>
      <c r="Y680" s="58">
        <f>IFERROR(MONTH(TableDailyJournal[[#This Row],[التاريخ]]),"")</f>
        <v>6</v>
      </c>
      <c r="Z680" s="58">
        <f>IFERROR(DAY(TableDailyJournal[[#This Row],[التاريخ]]),"")</f>
        <v>17</v>
      </c>
      <c r="AA680" s="126"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باعمر بامر</v>
      </c>
      <c r="AB680" s="121">
        <f>INDEX(Tabledaily[جهة الامر],MATCH(TableDailyJournal[[#This Row],[رقم العملية]],Tabledaily[رقم العملية],0))</f>
        <v>0</v>
      </c>
    </row>
    <row r="681" spans="2:28" ht="45.75" x14ac:dyDescent="0.55000000000000004">
      <c r="B681" s="58">
        <f t="shared" si="22"/>
        <v>677</v>
      </c>
      <c r="C681" s="59" t="s">
        <v>1184</v>
      </c>
      <c r="D681" s="60">
        <f>INDEX(Tabledaily[date],MATCH(TableDailyJournal[[#This Row],[رقم العملية]],Tabledaily[رقم العملية],0))</f>
        <v>46190</v>
      </c>
      <c r="E681" s="58" t="str">
        <f>INDEX(Tabledaily[نوع العمليــة],MATCH(TableDailyJournal[[#This Row],[رقم العملية]],Tabledaily[رقم العملية],0))</f>
        <v>قبض عهدة</v>
      </c>
      <c r="F681" s="58">
        <f>IFERROR(INDEX(TableJudje[رقم الحساب],MATCH(TableDailyJournal[[#This Row],[الحساب]],TableJudje[اسم الحساب],0)),0)</f>
        <v>11060210</v>
      </c>
      <c r="G681" s="58" t="s">
        <v>855</v>
      </c>
      <c r="H681" s="61"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باعمر بامر</v>
      </c>
      <c r="I681" s="60" t="str">
        <f>INDEX(Tabledaily[العملـــة],MATCH(TableDailyJournal[[#This Row],[رقم العملية]],Tabledaily[رقم العملية],0))</f>
        <v>ريال سعودي</v>
      </c>
      <c r="J681" s="59">
        <f>IFERROR(INDEX(Tabledaily[سعــــــر
الصـــــرف],MATCH(C681,Tabledaily[رقم العملية],0)),1)</f>
        <v>1</v>
      </c>
      <c r="K681" s="123" cm="1">
        <f t="array" ref="K681">IFERROR(INDEX(Tabledaily[المبلـــــــغ],MATCH(1,(TableDailyJournal[[#This Row],[رقم العملية]]=Tabledaily[رقم العملية])*(TableDailyJournal[[#This Row],[الحساب]]=Tabledaily[الحســاب المديــــن]),0)),0)</f>
        <v>0</v>
      </c>
      <c r="L681" s="123" cm="1">
        <f t="array" ref="L681">IFERROR(INDEX(Tabledaily[المبلـــــــغ],MATCH(1,(TableDailyJournal[[#This Row],[رقم العملية]]=Tabledaily[رقم العملية])*(TableDailyJournal[[#This Row],[الحساب]]=Tabledaily[الحســاب الدئـــن]),0)),0)</f>
        <v>5000</v>
      </c>
      <c r="M681" s="119">
        <f>IFERROR(TableDailyJournal[[#This Row],[المبلغ مدين]]/TableDailyJournal[[#This Row],[سعــــــر
الصـــــرف]],0)</f>
        <v>0</v>
      </c>
      <c r="N681" s="119">
        <f>IFERROR(TableDailyJournal[[#This Row],[المبلغ دائن]]/TableDailyJournal[[#This Row],[سعــــــر
الصـــــرف]],0)</f>
        <v>5000</v>
      </c>
      <c r="O681" s="121" t="str">
        <f>INDEX(Tabledaily[المستفيــــــــد],MATCH(TableDailyJournal[[#This Row],[رقم العملية]],Tabledaily[رقم العملية],0))</f>
        <v>عبدالحفيظ</v>
      </c>
      <c r="P681" s="121" t="str">
        <f>INDEX(Tabledaily[المــــرجـــــــــع],MATCH(TableDailyJournal[[#This Row],[رقم العملية]],Tabledaily[رقم العملية],0))</f>
        <v>استلام نقدي</v>
      </c>
      <c r="Q681" s="121" t="str">
        <f>INDEX(Tabledaily[اســـــــم المــــرجــــع],MATCH(TableDailyJournal[[#This Row],[رقم العملية]],Tabledaily[رقم العملية],0))</f>
        <v>سند استلام</v>
      </c>
      <c r="R681" s="121">
        <f>INDEX(Tabledaily[رقم المـــــرجـــع],MATCH(TableDailyJournal[[#This Row],[رقم العملية]],Tabledaily[رقم العملية],0))</f>
        <v>0</v>
      </c>
      <c r="S681" s="121" t="str">
        <f>INDEX(Tabledaily[مركـــــــزالتكلفــــــة],MATCH(TableDailyJournal[[#This Row],[رقم العملية]],Tabledaily[رقم العملية],0))</f>
        <v>الفرقة الثالثة</v>
      </c>
      <c r="T681" s="121">
        <f>IFERROR(INDEX(tablecost[رقم المركز],MATCH(TableDailyJournal[[#This Row],[مركـــــــزالتكلفــــــة]],tablecost[الاسم],0)),0)</f>
        <v>1</v>
      </c>
      <c r="U681" s="122">
        <f>IFERROR(DATE(TableDailyJournal[[#This Row],[السنــــة]],TableDailyJournal[[#This Row],[الشهــــر]],TableDailyJournal[[#This Row],[الـــــيوم]]),"01-01-2026")</f>
        <v>46190</v>
      </c>
      <c r="V681" s="126"/>
      <c r="W681" s="58"/>
      <c r="X681" s="58">
        <f>IFERROR(YEAR(TableDailyJournal[[#This Row],[التاريخ]]),"")</f>
        <v>2026</v>
      </c>
      <c r="Y681" s="58">
        <f>IFERROR(MONTH(TableDailyJournal[[#This Row],[التاريخ]]),"")</f>
        <v>6</v>
      </c>
      <c r="Z681" s="58">
        <f>IFERROR(DAY(TableDailyJournal[[#This Row],[التاريخ]]),"")</f>
        <v>17</v>
      </c>
      <c r="AA681" s="126" t="str">
        <f>INDEX(Tabledaily[المرجع البياني],MATCH(TableDailyJournal[[#This Row],[رقم العملية]],Tabledaily[رقم العملية],0))</f>
        <v>قيـد مقابـل:- (عهدة عبدالحفيظ - عبدالحفيظ - الفرقة الثالثة)  - استلام نقدي رقم   سند استلام - استلام عهدة من باعمر بامر</v>
      </c>
      <c r="AB681" s="121">
        <f>INDEX(Tabledaily[جهة الامر],MATCH(TableDailyJournal[[#This Row],[رقم العملية]],Tabledaily[رقم العملية],0))</f>
        <v>0</v>
      </c>
    </row>
    <row r="682" spans="2:28" ht="45.75" x14ac:dyDescent="0.55000000000000004">
      <c r="B682" s="58">
        <f t="shared" si="22"/>
        <v>678</v>
      </c>
      <c r="C682" s="59" t="s">
        <v>1186</v>
      </c>
      <c r="D682" s="60">
        <f>INDEX(Tabledaily[date],MATCH(TableDailyJournal[[#This Row],[رقم العملية]],Tabledaily[رقم العملية],0))</f>
        <v>46190</v>
      </c>
      <c r="E682" s="58" t="str">
        <f>INDEX(Tabledaily[نوع العمليــة],MATCH(TableDailyJournal[[#This Row],[رقم العملية]],Tabledaily[رقم العملية],0))</f>
        <v>قبض عهدة</v>
      </c>
      <c r="F682" s="58">
        <f>IFERROR(INDEX(TableJudje[رقم الحساب],MATCH(TableDailyJournal[[#This Row],[الحساب]],TableJudje[اسم الحساب],0)),0)</f>
        <v>11060205</v>
      </c>
      <c r="G682" s="58" t="s">
        <v>513</v>
      </c>
      <c r="H682" s="61" t="str">
        <f>INDEX(Tabledaily[المرجع البياني],MATCH(TableDailyJournal[[#This Row],[رقم العملية]],Tabledaily[رقم العملية],0))</f>
        <v>قيـد مقابـل:- (عهدة عبدالحفيظ - عبدالحفيظ - الفرقة الثالثة)  - حواله رقم 10712  شركة العامري للصرافة - استلام عهدة بامر</v>
      </c>
      <c r="I682" s="60" t="str">
        <f>INDEX(Tabledaily[العملـــة],MATCH(TableDailyJournal[[#This Row],[رقم العملية]],Tabledaily[رقم العملية],0))</f>
        <v>ريال سعودي</v>
      </c>
      <c r="J682" s="59">
        <f>IFERROR(INDEX(Tabledaily[سعــــــر
الصـــــرف],MATCH(C682,Tabledaily[رقم العملية],0)),1)</f>
        <v>1</v>
      </c>
      <c r="K682" s="123" cm="1">
        <f t="array" ref="K682">IFERROR(INDEX(Tabledaily[المبلـــــــغ],MATCH(1,(TableDailyJournal[[#This Row],[رقم العملية]]=Tabledaily[رقم العملية])*(TableDailyJournal[[#This Row],[الحساب]]=Tabledaily[الحســاب المديــــن]),0)),0)</f>
        <v>29940</v>
      </c>
      <c r="L682" s="123" cm="1">
        <f t="array" ref="L682">IFERROR(INDEX(Tabledaily[المبلـــــــغ],MATCH(1,(TableDailyJournal[[#This Row],[رقم العملية]]=Tabledaily[رقم العملية])*(TableDailyJournal[[#This Row],[الحساب]]=Tabledaily[الحســاب الدئـــن]),0)),0)</f>
        <v>0</v>
      </c>
      <c r="M682" s="119">
        <f>IFERROR(TableDailyJournal[[#This Row],[المبلغ مدين]]/TableDailyJournal[[#This Row],[سعــــــر
الصـــــرف]],0)</f>
        <v>29940</v>
      </c>
      <c r="N682" s="119">
        <f>IFERROR(TableDailyJournal[[#This Row],[المبلغ دائن]]/TableDailyJournal[[#This Row],[سعــــــر
الصـــــرف]],0)</f>
        <v>0</v>
      </c>
      <c r="O682" s="121" t="str">
        <f>INDEX(Tabledaily[المستفيــــــــد],MATCH(TableDailyJournal[[#This Row],[رقم العملية]],Tabledaily[رقم العملية],0))</f>
        <v>عبدالحفيظ</v>
      </c>
      <c r="P682" s="121" t="str">
        <f>INDEX(Tabledaily[المــــرجـــــــــع],MATCH(TableDailyJournal[[#This Row],[رقم العملية]],Tabledaily[رقم العملية],0))</f>
        <v>حواله</v>
      </c>
      <c r="Q682" s="121" t="str">
        <f>INDEX(Tabledaily[اســـــــم المــــرجــــع],MATCH(TableDailyJournal[[#This Row],[رقم العملية]],Tabledaily[رقم العملية],0))</f>
        <v>شركة العامري للصرافة</v>
      </c>
      <c r="R682" s="121">
        <f>INDEX(Tabledaily[رقم المـــــرجـــع],MATCH(TableDailyJournal[[#This Row],[رقم العملية]],Tabledaily[رقم العملية],0))</f>
        <v>10712</v>
      </c>
      <c r="S682" s="121" t="str">
        <f>INDEX(Tabledaily[مركـــــــزالتكلفــــــة],MATCH(TableDailyJournal[[#This Row],[رقم العملية]],Tabledaily[رقم العملية],0))</f>
        <v>الفرقة الثالثة</v>
      </c>
      <c r="T682" s="121">
        <f>IFERROR(INDEX(tablecost[رقم المركز],MATCH(TableDailyJournal[[#This Row],[مركـــــــزالتكلفــــــة]],tablecost[الاسم],0)),0)</f>
        <v>1</v>
      </c>
      <c r="U682" s="122">
        <f>IFERROR(DATE(TableDailyJournal[[#This Row],[السنــــة]],TableDailyJournal[[#This Row],[الشهــــر]],TableDailyJournal[[#This Row],[الـــــيوم]]),"01-01-2026")</f>
        <v>46190</v>
      </c>
      <c r="V682" s="126"/>
      <c r="W682" s="58"/>
      <c r="X682" s="58">
        <f>IFERROR(YEAR(TableDailyJournal[[#This Row],[التاريخ]]),"")</f>
        <v>2026</v>
      </c>
      <c r="Y682" s="58">
        <f>IFERROR(MONTH(TableDailyJournal[[#This Row],[التاريخ]]),"")</f>
        <v>6</v>
      </c>
      <c r="Z682" s="58">
        <f>IFERROR(DAY(TableDailyJournal[[#This Row],[التاريخ]]),"")</f>
        <v>17</v>
      </c>
      <c r="AA682" s="126" t="str">
        <f>INDEX(Tabledaily[المرجع البياني],MATCH(TableDailyJournal[[#This Row],[رقم العملية]],Tabledaily[رقم العملية],0))</f>
        <v>قيـد مقابـل:- (عهدة عبدالحفيظ - عبدالحفيظ - الفرقة الثالثة)  - حواله رقم 10712  شركة العامري للصرافة - استلام عهدة بامر</v>
      </c>
      <c r="AB682" s="121">
        <f>INDEX(Tabledaily[جهة الامر],MATCH(TableDailyJournal[[#This Row],[رقم العملية]],Tabledaily[رقم العملية],0))</f>
        <v>0</v>
      </c>
    </row>
    <row r="683" spans="2:28" ht="45.75" x14ac:dyDescent="0.55000000000000004">
      <c r="B683" s="58">
        <f t="shared" si="22"/>
        <v>679</v>
      </c>
      <c r="C683" s="59" t="s">
        <v>1186</v>
      </c>
      <c r="D683" s="60">
        <f>INDEX(Tabledaily[date],MATCH(TableDailyJournal[[#This Row],[رقم العملية]],Tabledaily[رقم العملية],0))</f>
        <v>46190</v>
      </c>
      <c r="E683" s="58" t="str">
        <f>INDEX(Tabledaily[نوع العمليــة],MATCH(TableDailyJournal[[#This Row],[رقم العملية]],Tabledaily[رقم العملية],0))</f>
        <v>قبض عهدة</v>
      </c>
      <c r="F683" s="58">
        <f>IFERROR(INDEX(TableJudje[رقم الحساب],MATCH(TableDailyJournal[[#This Row],[الحساب]],TableJudje[اسم الحساب],0)),0)</f>
        <v>11010101</v>
      </c>
      <c r="G683" s="58" t="s">
        <v>23</v>
      </c>
      <c r="H683" s="61" t="str">
        <f>INDEX(Tabledaily[المرجع البياني],MATCH(TableDailyJournal[[#This Row],[رقم العملية]],Tabledaily[رقم العملية],0))</f>
        <v>قيـد مقابـل:- (عهدة عبدالحفيظ - عبدالحفيظ - الفرقة الثالثة)  - حواله رقم 10712  شركة العامري للصرافة - استلام عهدة بامر</v>
      </c>
      <c r="I683" s="60" t="str">
        <f>INDEX(Tabledaily[العملـــة],MATCH(TableDailyJournal[[#This Row],[رقم العملية]],Tabledaily[رقم العملية],0))</f>
        <v>ريال سعودي</v>
      </c>
      <c r="J683" s="59">
        <f>IFERROR(INDEX(Tabledaily[سعــــــر
الصـــــرف],MATCH(C683,Tabledaily[رقم العملية],0)),1)</f>
        <v>1</v>
      </c>
      <c r="K683" s="123" cm="1">
        <f t="array" ref="K683">IFERROR(INDEX(Tabledaily[المبلـــــــغ],MATCH(1,(TableDailyJournal[[#This Row],[رقم العملية]]=Tabledaily[رقم العملية])*(TableDailyJournal[[#This Row],[الحساب]]=Tabledaily[الحســاب المديــــن]),0)),0)</f>
        <v>0</v>
      </c>
      <c r="L683" s="123" cm="1">
        <f t="array" ref="L683">IFERROR(INDEX(Tabledaily[المبلـــــــغ],MATCH(1,(TableDailyJournal[[#This Row],[رقم العملية]]=Tabledaily[رقم العملية])*(TableDailyJournal[[#This Row],[الحساب]]=Tabledaily[الحســاب الدئـــن]),0)),0)</f>
        <v>29940</v>
      </c>
      <c r="M683" s="119">
        <f>IFERROR(TableDailyJournal[[#This Row],[المبلغ مدين]]/TableDailyJournal[[#This Row],[سعــــــر
الصـــــرف]],0)</f>
        <v>0</v>
      </c>
      <c r="N683" s="119">
        <f>IFERROR(TableDailyJournal[[#This Row],[المبلغ دائن]]/TableDailyJournal[[#This Row],[سعــــــر
الصـــــرف]],0)</f>
        <v>29940</v>
      </c>
      <c r="O683" s="121" t="str">
        <f>INDEX(Tabledaily[المستفيــــــــد],MATCH(TableDailyJournal[[#This Row],[رقم العملية]],Tabledaily[رقم العملية],0))</f>
        <v>عبدالحفيظ</v>
      </c>
      <c r="P683" s="121" t="str">
        <f>INDEX(Tabledaily[المــــرجـــــــــع],MATCH(TableDailyJournal[[#This Row],[رقم العملية]],Tabledaily[رقم العملية],0))</f>
        <v>حواله</v>
      </c>
      <c r="Q683" s="121" t="str">
        <f>INDEX(Tabledaily[اســـــــم المــــرجــــع],MATCH(TableDailyJournal[[#This Row],[رقم العملية]],Tabledaily[رقم العملية],0))</f>
        <v>شركة العامري للصرافة</v>
      </c>
      <c r="R683" s="121">
        <f>INDEX(Tabledaily[رقم المـــــرجـــع],MATCH(TableDailyJournal[[#This Row],[رقم العملية]],Tabledaily[رقم العملية],0))</f>
        <v>10712</v>
      </c>
      <c r="S683" s="121" t="str">
        <f>INDEX(Tabledaily[مركـــــــزالتكلفــــــة],MATCH(TableDailyJournal[[#This Row],[رقم العملية]],Tabledaily[رقم العملية],0))</f>
        <v>الفرقة الثالثة</v>
      </c>
      <c r="T683" s="121">
        <f>IFERROR(INDEX(tablecost[رقم المركز],MATCH(TableDailyJournal[[#This Row],[مركـــــــزالتكلفــــــة]],tablecost[الاسم],0)),0)</f>
        <v>1</v>
      </c>
      <c r="U683" s="122">
        <f>IFERROR(DATE(TableDailyJournal[[#This Row],[السنــــة]],TableDailyJournal[[#This Row],[الشهــــر]],TableDailyJournal[[#This Row],[الـــــيوم]]),"01-01-2026")</f>
        <v>46190</v>
      </c>
      <c r="V683" s="126"/>
      <c r="W683" s="58"/>
      <c r="X683" s="58">
        <f>IFERROR(YEAR(TableDailyJournal[[#This Row],[التاريخ]]),"")</f>
        <v>2026</v>
      </c>
      <c r="Y683" s="58">
        <f>IFERROR(MONTH(TableDailyJournal[[#This Row],[التاريخ]]),"")</f>
        <v>6</v>
      </c>
      <c r="Z683" s="58">
        <f>IFERROR(DAY(TableDailyJournal[[#This Row],[التاريخ]]),"")</f>
        <v>17</v>
      </c>
      <c r="AA683" s="126" t="str">
        <f>INDEX(Tabledaily[المرجع البياني],MATCH(TableDailyJournal[[#This Row],[رقم العملية]],Tabledaily[رقم العملية],0))</f>
        <v>قيـد مقابـل:- (عهدة عبدالحفيظ - عبدالحفيظ - الفرقة الثالثة)  - حواله رقم 10712  شركة العامري للصرافة - استلام عهدة بامر</v>
      </c>
      <c r="AB683" s="121">
        <f>INDEX(Tabledaily[جهة الامر],MATCH(TableDailyJournal[[#This Row],[رقم العملية]],Tabledaily[رقم العملية],0))</f>
        <v>0</v>
      </c>
    </row>
    <row r="684" spans="2:28" ht="45.75" x14ac:dyDescent="0.55000000000000004">
      <c r="B684" s="58">
        <f t="shared" si="22"/>
        <v>680</v>
      </c>
      <c r="C684" s="59" t="s">
        <v>1187</v>
      </c>
      <c r="D684" s="60">
        <f>INDEX(Tabledaily[date],MATCH(TableDailyJournal[[#This Row],[رقم العملية]],Tabledaily[رقم العملية],0))</f>
        <v>46192</v>
      </c>
      <c r="E684" s="58" t="str">
        <f>INDEX(Tabledaily[نوع العمليــة],MATCH(TableDailyJournal[[#This Row],[رقم العملية]],Tabledaily[رقم العملية],0))</f>
        <v>قيد عهده</v>
      </c>
      <c r="F684" s="58">
        <f>IFERROR(INDEX(TableJudje[رقم الحساب],MATCH(TableDailyJournal[[#This Row],[الحساب]],TableJudje[اسم الحساب],0)),0)</f>
        <v>11060210</v>
      </c>
      <c r="G684" s="58" t="s">
        <v>855</v>
      </c>
      <c r="H684" s="61"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عهده بامرالمستشار المالي</v>
      </c>
      <c r="I684" s="60" t="str">
        <f>INDEX(Tabledaily[العملـــة],MATCH(TableDailyJournal[[#This Row],[رقم العملية]],Tabledaily[رقم العملية],0))</f>
        <v>ريال سعودي</v>
      </c>
      <c r="J684" s="59">
        <f>IFERROR(INDEX(Tabledaily[سعــــــر
الصـــــرف],MATCH(C684,Tabledaily[رقم العملية],0)),1)</f>
        <v>1</v>
      </c>
      <c r="K684" s="123" cm="1">
        <f t="array" ref="K684">IFERROR(INDEX(Tabledaily[المبلـــــــغ],MATCH(1,(TableDailyJournal[[#This Row],[رقم العملية]]=Tabledaily[رقم العملية])*(TableDailyJournal[[#This Row],[الحساب]]=Tabledaily[الحســاب المديــــن]),0)),0)</f>
        <v>12000</v>
      </c>
      <c r="L684" s="123" cm="1">
        <f t="array" ref="L684">IFERROR(INDEX(Tabledaily[المبلـــــــغ],MATCH(1,(TableDailyJournal[[#This Row],[رقم العملية]]=Tabledaily[رقم العملية])*(TableDailyJournal[[#This Row],[الحساب]]=Tabledaily[الحســاب الدئـــن]),0)),0)</f>
        <v>0</v>
      </c>
      <c r="M684" s="119">
        <f>IFERROR(TableDailyJournal[[#This Row],[المبلغ مدين]]/TableDailyJournal[[#This Row],[سعــــــر
الصـــــرف]],0)</f>
        <v>12000</v>
      </c>
      <c r="N684" s="119">
        <f>IFERROR(TableDailyJournal[[#This Row],[المبلغ دائن]]/TableDailyJournal[[#This Row],[سعــــــر
الصـــــرف]],0)</f>
        <v>0</v>
      </c>
      <c r="O684" s="121" t="str">
        <f>INDEX(Tabledaily[المستفيــــــــد],MATCH(TableDailyJournal[[#This Row],[رقم العملية]],Tabledaily[رقم العملية],0))</f>
        <v>عبدالله باعمر</v>
      </c>
      <c r="P684" s="121" t="str">
        <f>INDEX(Tabledaily[المــــرجـــــــــع],MATCH(TableDailyJournal[[#This Row],[رقم العملية]],Tabledaily[رقم العملية],0))</f>
        <v>استلام نقدي</v>
      </c>
      <c r="Q684" s="121" t="str">
        <f>INDEX(Tabledaily[اســـــــم المــــرجــــع],MATCH(TableDailyJournal[[#This Row],[رقم العملية]],Tabledaily[رقم العملية],0))</f>
        <v>سند استلام</v>
      </c>
      <c r="R684" s="121">
        <f>INDEX(Tabledaily[رقم المـــــرجـــع],MATCH(TableDailyJournal[[#This Row],[رقم العملية]],Tabledaily[رقم العملية],0))</f>
        <v>0</v>
      </c>
      <c r="S684" s="121" t="str">
        <f>INDEX(Tabledaily[مركـــــــزالتكلفــــــة],MATCH(TableDailyJournal[[#This Row],[رقم العملية]],Tabledaily[رقم العملية],0))</f>
        <v>الفرقة الثالثة</v>
      </c>
      <c r="T684" s="121">
        <f>IFERROR(INDEX(tablecost[رقم المركز],MATCH(TableDailyJournal[[#This Row],[مركـــــــزالتكلفــــــة]],tablecost[الاسم],0)),0)</f>
        <v>1</v>
      </c>
      <c r="U684" s="122">
        <f>IFERROR(DATE(TableDailyJournal[[#This Row],[السنــــة]],TableDailyJournal[[#This Row],[الشهــــر]],TableDailyJournal[[#This Row],[الـــــيوم]]),"01-01-2026")</f>
        <v>46192</v>
      </c>
      <c r="V684" s="126"/>
      <c r="W684" s="58"/>
      <c r="X684" s="58">
        <f>IFERROR(YEAR(TableDailyJournal[[#This Row],[التاريخ]]),"")</f>
        <v>2026</v>
      </c>
      <c r="Y684" s="58">
        <f>IFERROR(MONTH(TableDailyJournal[[#This Row],[التاريخ]]),"")</f>
        <v>6</v>
      </c>
      <c r="Z684" s="58">
        <f>IFERROR(DAY(TableDailyJournal[[#This Row],[التاريخ]]),"")</f>
        <v>19</v>
      </c>
      <c r="AA684" s="126"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عهده بامرالمستشار المالي</v>
      </c>
      <c r="AB684" s="121" t="str">
        <f>INDEX(Tabledaily[جهة الامر],MATCH(TableDailyJournal[[#This Row],[رقم العملية]],Tabledaily[رقم العملية],0))</f>
        <v>المستشار المالي</v>
      </c>
    </row>
    <row r="685" spans="2:28" ht="45.75" x14ac:dyDescent="0.55000000000000004">
      <c r="B685" s="58">
        <f t="shared" si="22"/>
        <v>681</v>
      </c>
      <c r="C685" s="59" t="s">
        <v>1187</v>
      </c>
      <c r="D685" s="60">
        <f>INDEX(Tabledaily[date],MATCH(TableDailyJournal[[#This Row],[رقم العملية]],Tabledaily[رقم العملية],0))</f>
        <v>46192</v>
      </c>
      <c r="E685" s="58" t="str">
        <f>INDEX(Tabledaily[نوع العمليــة],MATCH(TableDailyJournal[[#This Row],[رقم العملية]],Tabledaily[رقم العملية],0))</f>
        <v>قيد عهده</v>
      </c>
      <c r="F685" s="58">
        <f>IFERROR(INDEX(TableJudje[رقم الحساب],MATCH(TableDailyJournal[[#This Row],[الحساب]],TableJudje[اسم الحساب],0)),0)</f>
        <v>11060205</v>
      </c>
      <c r="G685" s="58" t="s">
        <v>513</v>
      </c>
      <c r="H685" s="61"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عهده بامرالمستشار المالي</v>
      </c>
      <c r="I685" s="60" t="str">
        <f>INDEX(Tabledaily[العملـــة],MATCH(TableDailyJournal[[#This Row],[رقم العملية]],Tabledaily[رقم العملية],0))</f>
        <v>ريال سعودي</v>
      </c>
      <c r="J685" s="59">
        <f>IFERROR(INDEX(Tabledaily[سعــــــر
الصـــــرف],MATCH(C685,Tabledaily[رقم العملية],0)),1)</f>
        <v>1</v>
      </c>
      <c r="K685" s="123" cm="1">
        <f t="array" ref="K685">IFERROR(INDEX(Tabledaily[المبلـــــــغ],MATCH(1,(TableDailyJournal[[#This Row],[رقم العملية]]=Tabledaily[رقم العملية])*(TableDailyJournal[[#This Row],[الحساب]]=Tabledaily[الحســاب المديــــن]),0)),0)</f>
        <v>0</v>
      </c>
      <c r="L685" s="123" cm="1">
        <f t="array" ref="L685">IFERROR(INDEX(Tabledaily[المبلـــــــغ],MATCH(1,(TableDailyJournal[[#This Row],[رقم العملية]]=Tabledaily[رقم العملية])*(TableDailyJournal[[#This Row],[الحساب]]=Tabledaily[الحســاب الدئـــن]),0)),0)</f>
        <v>12000</v>
      </c>
      <c r="M685" s="119">
        <f>IFERROR(TableDailyJournal[[#This Row],[المبلغ مدين]]/TableDailyJournal[[#This Row],[سعــــــر
الصـــــرف]],0)</f>
        <v>0</v>
      </c>
      <c r="N685" s="119">
        <f>IFERROR(TableDailyJournal[[#This Row],[المبلغ دائن]]/TableDailyJournal[[#This Row],[سعــــــر
الصـــــرف]],0)</f>
        <v>12000</v>
      </c>
      <c r="O685" s="121" t="str">
        <f>INDEX(Tabledaily[المستفيــــــــد],MATCH(TableDailyJournal[[#This Row],[رقم العملية]],Tabledaily[رقم العملية],0))</f>
        <v>عبدالله باعمر</v>
      </c>
      <c r="P685" s="121" t="str">
        <f>INDEX(Tabledaily[المــــرجـــــــــع],MATCH(TableDailyJournal[[#This Row],[رقم العملية]],Tabledaily[رقم العملية],0))</f>
        <v>استلام نقدي</v>
      </c>
      <c r="Q685" s="121" t="str">
        <f>INDEX(Tabledaily[اســـــــم المــــرجــــع],MATCH(TableDailyJournal[[#This Row],[رقم العملية]],Tabledaily[رقم العملية],0))</f>
        <v>سند استلام</v>
      </c>
      <c r="R685" s="121">
        <f>INDEX(Tabledaily[رقم المـــــرجـــع],MATCH(TableDailyJournal[[#This Row],[رقم العملية]],Tabledaily[رقم العملية],0))</f>
        <v>0</v>
      </c>
      <c r="S685" s="121" t="str">
        <f>INDEX(Tabledaily[مركـــــــزالتكلفــــــة],MATCH(TableDailyJournal[[#This Row],[رقم العملية]],Tabledaily[رقم العملية],0))</f>
        <v>الفرقة الثالثة</v>
      </c>
      <c r="T685" s="121">
        <f>IFERROR(INDEX(tablecost[رقم المركز],MATCH(TableDailyJournal[[#This Row],[مركـــــــزالتكلفــــــة]],tablecost[الاسم],0)),0)</f>
        <v>1</v>
      </c>
      <c r="U685" s="122">
        <f>IFERROR(DATE(TableDailyJournal[[#This Row],[السنــــة]],TableDailyJournal[[#This Row],[الشهــــر]],TableDailyJournal[[#This Row],[الـــــيوم]]),"01-01-2026")</f>
        <v>46192</v>
      </c>
      <c r="V685" s="126"/>
      <c r="W685" s="58"/>
      <c r="X685" s="58">
        <f>IFERROR(YEAR(TableDailyJournal[[#This Row],[التاريخ]]),"")</f>
        <v>2026</v>
      </c>
      <c r="Y685" s="58">
        <f>IFERROR(MONTH(TableDailyJournal[[#This Row],[التاريخ]]),"")</f>
        <v>6</v>
      </c>
      <c r="Z685" s="58">
        <f>IFERROR(DAY(TableDailyJournal[[#This Row],[التاريخ]]),"")</f>
        <v>19</v>
      </c>
      <c r="AA685" s="126" t="str">
        <f>INDEX(Tabledaily[المرجع البياني],MATCH(TableDailyJournal[[#This Row],[رقم العملية]],Tabledaily[رقم العملية],0))</f>
        <v>قيـد مقابـل:- (عهدة عبدالله باعمر - عبدالله باعمر - الفرقة الثالثة)  - استلام نقدي رقم   سند استلام - صرف عهده بامرالمستشار المالي</v>
      </c>
      <c r="AB685" s="121" t="str">
        <f>INDEX(Tabledaily[جهة الامر],MATCH(TableDailyJournal[[#This Row],[رقم العملية]],Tabledaily[رقم العملية],0))</f>
        <v>المستشار المالي</v>
      </c>
    </row>
    <row r="686" spans="2:28" ht="67.5" x14ac:dyDescent="0.55000000000000004">
      <c r="B686" s="194">
        <f>ROW()-4</f>
        <v>682</v>
      </c>
      <c r="C686" s="59" t="s">
        <v>1193</v>
      </c>
      <c r="D686" s="60">
        <f>INDEX(Tabledaily[date],MATCH(TableDailyJournal[[#This Row],[رقم العملية]],Tabledaily[رقم العملية],0))</f>
        <v>46190</v>
      </c>
      <c r="E686" s="194" t="str">
        <f>INDEX(Tabledaily[نوع العمليــة],MATCH(TableDailyJournal[[#This Row],[رقم العملية]],Tabledaily[رقم العملية],0))</f>
        <v>قيد عهده</v>
      </c>
      <c r="F686" s="194">
        <f>IFERROR(INDEX(TableJudje[رقم الحساب],MATCH(TableDailyJournal[[#This Row],[الحساب]],TableJudje[اسم الحساب],0)),0)</f>
        <v>31010109</v>
      </c>
      <c r="G686" s="58" t="s">
        <v>484</v>
      </c>
      <c r="H686" s="195" t="str">
        <f>INDEX(Tabledaily[المرجع البياني],MATCH(TableDailyJournal[[#This Row],[رقم العملية]],Tabledaily[رقم العملية],0))</f>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v>
      </c>
      <c r="I686" s="60" t="str">
        <f>INDEX(Tabledaily[العملـــة],MATCH(TableDailyJournal[[#This Row],[رقم العملية]],Tabledaily[رقم العملية],0))</f>
        <v>ريال سعودي</v>
      </c>
      <c r="J686" s="196">
        <f>IFERROR(INDEX(Tabledaily[سعــــــر
الصـــــرف],MATCH(C686,Tabledaily[رقم العملية],0)),1)</f>
        <v>1</v>
      </c>
      <c r="K686" s="123" cm="1">
        <f t="array" ref="K686">IFERROR(INDEX(Tabledaily[المبلـــــــغ],MATCH(1,(TableDailyJournal[[#This Row],[رقم العملية]]=Tabledaily[رقم العملية])*(TableDailyJournal[[#This Row],[الحساب]]=Tabledaily[الحســاب المديــــن]),0)),0)</f>
        <v>200</v>
      </c>
      <c r="L686" s="123" cm="1">
        <f t="array" ref="L686">IFERROR(INDEX(Tabledaily[المبلـــــــغ],MATCH(1,(TableDailyJournal[[#This Row],[رقم العملية]]=Tabledaily[رقم العملية])*(TableDailyJournal[[#This Row],[الحساب]]=Tabledaily[الحســاب الدئـــن]),0)),0)</f>
        <v>0</v>
      </c>
      <c r="M686" s="119">
        <f>IFERROR(TableDailyJournal[[#This Row],[المبلغ مدين]]/TableDailyJournal[[#This Row],[سعــــــر
الصـــــرف]],0)</f>
        <v>200</v>
      </c>
      <c r="N686" s="119">
        <f>IFERROR(TableDailyJournal[[#This Row],[المبلغ دائن]]/TableDailyJournal[[#This Row],[سعــــــر
الصـــــرف]],0)</f>
        <v>0</v>
      </c>
      <c r="O686" s="197" t="str">
        <f>INDEX(Tabledaily[المستفيــــــــد],MATCH(TableDailyJournal[[#This Row],[رقم العملية]],Tabledaily[رقم العملية],0))</f>
        <v>محمد عبدالصمد عبدالله</v>
      </c>
      <c r="P686" s="197" t="str">
        <f>INDEX(Tabledaily[المــــرجـــــــــع],MATCH(TableDailyJournal[[#This Row],[رقم العملية]],Tabledaily[رقم العملية],0))</f>
        <v>استلام نقدي</v>
      </c>
      <c r="Q686" s="197" t="str">
        <f>INDEX(Tabledaily[اســـــــم المــــرجــــع],MATCH(TableDailyJournal[[#This Row],[رقم العملية]],Tabledaily[رقم العملية],0))</f>
        <v>سند استلام</v>
      </c>
      <c r="R686" s="197" t="str">
        <f>INDEX(Tabledaily[رقم المـــــرجـــع],MATCH(TableDailyJournal[[#This Row],[رقم العملية]],Tabledaily[رقم العملية],0))</f>
        <v>100-455</v>
      </c>
      <c r="S686" s="197" t="str">
        <f>INDEX(Tabledaily[مركـــــــزالتكلفــــــة],MATCH(TableDailyJournal[[#This Row],[رقم العملية]],Tabledaily[رقم العملية],0))</f>
        <v>اللواء السادس</v>
      </c>
      <c r="T686" s="197">
        <f>IFERROR(INDEX(tablecost[رقم المركز],MATCH(TableDailyJournal[[#This Row],[مركـــــــزالتكلفــــــة]],tablecost[الاسم],0)),0)</f>
        <v>7</v>
      </c>
      <c r="U686" s="122">
        <f>IFERROR(DATE(TableDailyJournal[[#This Row],[السنــــة]],TableDailyJournal[[#This Row],[الشهــــر]],TableDailyJournal[[#This Row],[الـــــيوم]]),"01-01-2026")</f>
        <v>46190</v>
      </c>
      <c r="V686" s="126"/>
      <c r="W686" s="194"/>
      <c r="X686" s="194">
        <f>IFERROR(YEAR(TableDailyJournal[[#This Row],[التاريخ]]),"")</f>
        <v>2026</v>
      </c>
      <c r="Y686" s="194">
        <f>IFERROR(MONTH(TableDailyJournal[[#This Row],[التاريخ]]),"")</f>
        <v>6</v>
      </c>
      <c r="Z686" s="194">
        <f>IFERROR(DAY(TableDailyJournal[[#This Row],[التاريخ]]),"")</f>
        <v>17</v>
      </c>
      <c r="AA686" s="126" t="str">
        <f>INDEX(Tabledaily[المرجع البياني],MATCH(TableDailyJournal[[#This Row],[رقم العملية]],Tabledaily[رقم العملية],0))</f>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v>
      </c>
      <c r="AB686" s="197" t="str">
        <f>INDEX(Tabledaily[جهة الامر],MATCH(TableDailyJournal[[#This Row],[رقم العملية]],Tabledaily[رقم العملية],0))</f>
        <v>المستشار المالي</v>
      </c>
    </row>
    <row r="687" spans="2:28" ht="67.5" x14ac:dyDescent="0.55000000000000004">
      <c r="B687" s="194">
        <f>ROW()-4</f>
        <v>683</v>
      </c>
      <c r="C687" s="59" t="s">
        <v>1193</v>
      </c>
      <c r="D687" s="60">
        <f>INDEX(Tabledaily[date],MATCH(TableDailyJournal[[#This Row],[رقم العملية]],Tabledaily[رقم العملية],0))</f>
        <v>46190</v>
      </c>
      <c r="E687" s="194" t="str">
        <f>INDEX(Tabledaily[نوع العمليــة],MATCH(TableDailyJournal[[#This Row],[رقم العملية]],Tabledaily[رقم العملية],0))</f>
        <v>قيد عهده</v>
      </c>
      <c r="F687" s="194">
        <f>IFERROR(INDEX(TableJudje[رقم الحساب],MATCH(TableDailyJournal[[#This Row],[الحساب]],TableJudje[اسم الحساب],0)),0)</f>
        <v>11060205</v>
      </c>
      <c r="G687" s="58" t="s">
        <v>513</v>
      </c>
      <c r="H687" s="195" t="str">
        <f>INDEX(Tabledaily[المرجع البياني],MATCH(TableDailyJournal[[#This Row],[رقم العملية]],Tabledaily[رقم العملية],0))</f>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v>
      </c>
      <c r="I687" s="60" t="str">
        <f>INDEX(Tabledaily[العملـــة],MATCH(TableDailyJournal[[#This Row],[رقم العملية]],Tabledaily[رقم العملية],0))</f>
        <v>ريال سعودي</v>
      </c>
      <c r="J687" s="196">
        <f>IFERROR(INDEX(Tabledaily[سعــــــر
الصـــــرف],MATCH(C687,Tabledaily[رقم العملية],0)),1)</f>
        <v>1</v>
      </c>
      <c r="K687" s="123" cm="1">
        <f t="array" ref="K687">IFERROR(INDEX(Tabledaily[المبلـــــــغ],MATCH(1,(TableDailyJournal[[#This Row],[رقم العملية]]=Tabledaily[رقم العملية])*(TableDailyJournal[[#This Row],[الحساب]]=Tabledaily[الحســاب المديــــن]),0)),0)</f>
        <v>0</v>
      </c>
      <c r="L687" s="123" cm="1">
        <f t="array" ref="L687">IFERROR(INDEX(Tabledaily[المبلـــــــغ],MATCH(1,(TableDailyJournal[[#This Row],[رقم العملية]]=Tabledaily[رقم العملية])*(TableDailyJournal[[#This Row],[الحساب]]=Tabledaily[الحســاب الدئـــن]),0)),0)</f>
        <v>200</v>
      </c>
      <c r="M687" s="119">
        <f>IFERROR(TableDailyJournal[[#This Row],[المبلغ مدين]]/TableDailyJournal[[#This Row],[سعــــــر
الصـــــرف]],0)</f>
        <v>0</v>
      </c>
      <c r="N687" s="119">
        <f>IFERROR(TableDailyJournal[[#This Row],[المبلغ دائن]]/TableDailyJournal[[#This Row],[سعــــــر
الصـــــرف]],0)</f>
        <v>200</v>
      </c>
      <c r="O687" s="197" t="str">
        <f>INDEX(Tabledaily[المستفيــــــــد],MATCH(TableDailyJournal[[#This Row],[رقم العملية]],Tabledaily[رقم العملية],0))</f>
        <v>محمد عبدالصمد عبدالله</v>
      </c>
      <c r="P687" s="197" t="str">
        <f>INDEX(Tabledaily[المــــرجـــــــــع],MATCH(TableDailyJournal[[#This Row],[رقم العملية]],Tabledaily[رقم العملية],0))</f>
        <v>استلام نقدي</v>
      </c>
      <c r="Q687" s="197" t="str">
        <f>INDEX(Tabledaily[اســـــــم المــــرجــــع],MATCH(TableDailyJournal[[#This Row],[رقم العملية]],Tabledaily[رقم العملية],0))</f>
        <v>سند استلام</v>
      </c>
      <c r="R687" s="197" t="str">
        <f>INDEX(Tabledaily[رقم المـــــرجـــع],MATCH(TableDailyJournal[[#This Row],[رقم العملية]],Tabledaily[رقم العملية],0))</f>
        <v>100-455</v>
      </c>
      <c r="S687" s="197" t="str">
        <f>INDEX(Tabledaily[مركـــــــزالتكلفــــــة],MATCH(TableDailyJournal[[#This Row],[رقم العملية]],Tabledaily[رقم العملية],0))</f>
        <v>اللواء السادس</v>
      </c>
      <c r="T687" s="197">
        <f>IFERROR(INDEX(tablecost[رقم المركز],MATCH(TableDailyJournal[[#This Row],[مركـــــــزالتكلفــــــة]],tablecost[الاسم],0)),0)</f>
        <v>7</v>
      </c>
      <c r="U687" s="122">
        <f>IFERROR(DATE(TableDailyJournal[[#This Row],[السنــــة]],TableDailyJournal[[#This Row],[الشهــــر]],TableDailyJournal[[#This Row],[الـــــيوم]]),"01-01-2026")</f>
        <v>46190</v>
      </c>
      <c r="V687" s="126"/>
      <c r="W687" s="194"/>
      <c r="X687" s="194">
        <f>IFERROR(YEAR(TableDailyJournal[[#This Row],[التاريخ]]),"")</f>
        <v>2026</v>
      </c>
      <c r="Y687" s="194">
        <f>IFERROR(MONTH(TableDailyJournal[[#This Row],[التاريخ]]),"")</f>
        <v>6</v>
      </c>
      <c r="Z687" s="194">
        <f>IFERROR(DAY(TableDailyJournal[[#This Row],[التاريخ]]),"")</f>
        <v>17</v>
      </c>
      <c r="AA687" s="126" t="str">
        <f>INDEX(Tabledaily[المرجع البياني],MATCH(TableDailyJournal[[#This Row],[رقم العملية]],Tabledaily[رقم العملية],0))</f>
        <v>قيـد مقابـل:- (مصاريف نثريات أخرى - محمد عبدالصمد عبدالله - اللواء السادس)  - استلام نقدي رقم 100-455  سند استلام - مصاريف عدد 6 ضباط  من اللواء السادس + نثريات قيادة اللواء السادس بتوجيه من عبدالله باعمر  بامرالمستشار المالي</v>
      </c>
      <c r="AB687" s="197" t="str">
        <f>INDEX(Tabledaily[جهة الامر],MATCH(TableDailyJournal[[#This Row],[رقم العملية]],Tabledaily[رقم العملية],0))</f>
        <v>المستشار المالي</v>
      </c>
    </row>
    <row r="688" spans="2:28" ht="45.75" x14ac:dyDescent="0.55000000000000004">
      <c r="B688" s="194">
        <f>ROW()-4</f>
        <v>684</v>
      </c>
      <c r="C688" s="59" t="s">
        <v>1197</v>
      </c>
      <c r="D688" s="60">
        <f>INDEX(Tabledaily[date],MATCH(TableDailyJournal[[#This Row],[رقم العملية]],Tabledaily[رقم العملية],0))</f>
        <v>46194</v>
      </c>
      <c r="E688" s="194" t="str">
        <f>INDEX(Tabledaily[نوع العمليــة],MATCH(TableDailyJournal[[#This Row],[رقم العملية]],Tabledaily[رقم العملية],0))</f>
        <v>قيد عهده</v>
      </c>
      <c r="F688" s="194">
        <f>IFERROR(INDEX(TableJudje[رقم الحساب],MATCH(TableDailyJournal[[#This Row],[الحساب]],TableJudje[اسم الحساب],0)),0)</f>
        <v>31010101</v>
      </c>
      <c r="G688" s="58" t="s">
        <v>111</v>
      </c>
      <c r="H688" s="195"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لعدد8 بامر</v>
      </c>
      <c r="I688" s="60" t="str">
        <f>INDEX(Tabledaily[العملـــة],MATCH(TableDailyJournal[[#This Row],[رقم العملية]],Tabledaily[رقم العملية],0))</f>
        <v>ريال يمني</v>
      </c>
      <c r="J688" s="196">
        <f>IFERROR(INDEX(Tabledaily[سعــــــر
الصـــــرف],MATCH(C688,Tabledaily[رقم العملية],0)),1)</f>
        <v>405</v>
      </c>
      <c r="K688" s="123" cm="1">
        <f t="array" ref="K688">IFERROR(INDEX(Tabledaily[المبلـــــــغ],MATCH(1,(TableDailyJournal[[#This Row],[رقم العملية]]=Tabledaily[رقم العملية])*(TableDailyJournal[[#This Row],[الحساب]]=Tabledaily[الحســاب المديــــن]),0)),0)</f>
        <v>52000</v>
      </c>
      <c r="L688" s="123" cm="1">
        <f t="array" ref="L688">IFERROR(INDEX(Tabledaily[المبلـــــــغ],MATCH(1,(TableDailyJournal[[#This Row],[رقم العملية]]=Tabledaily[رقم العملية])*(TableDailyJournal[[#This Row],[الحساب]]=Tabledaily[الحســاب الدئـــن]),0)),0)</f>
        <v>0</v>
      </c>
      <c r="M688" s="119">
        <f>IFERROR(TableDailyJournal[[#This Row],[المبلغ مدين]]/TableDailyJournal[[#This Row],[سعــــــر
الصـــــرف]],0)</f>
        <v>128.39506172839506</v>
      </c>
      <c r="N688" s="119">
        <f>IFERROR(TableDailyJournal[[#This Row],[المبلغ دائن]]/TableDailyJournal[[#This Row],[سعــــــر
الصـــــرف]],0)</f>
        <v>0</v>
      </c>
      <c r="O688" s="197" t="str">
        <f>INDEX(Tabledaily[المستفيــــــــد],MATCH(TableDailyJournal[[#This Row],[رقم العملية]],Tabledaily[رقم العملية],0))</f>
        <v>السيطرة والاتصالات</v>
      </c>
      <c r="P688" s="197" t="str">
        <f>INDEX(Tabledaily[المــــرجـــــــــع],MATCH(TableDailyJournal[[#This Row],[رقم العملية]],Tabledaily[رقم العملية],0))</f>
        <v>كشف صرف</v>
      </c>
      <c r="Q688" s="197" t="str">
        <f>INDEX(Tabledaily[اســـــــم المــــرجــــع],MATCH(TableDailyJournal[[#This Row],[رقم العملية]],Tabledaily[رقم العملية],0))</f>
        <v>كشف صرف</v>
      </c>
      <c r="R688" s="197">
        <f>INDEX(Tabledaily[رقم المـــــرجـــع],MATCH(TableDailyJournal[[#This Row],[رقم العملية]],Tabledaily[رقم العملية],0))</f>
        <v>0</v>
      </c>
      <c r="S688" s="197" t="str">
        <f>INDEX(Tabledaily[مركـــــــزالتكلفــــــة],MATCH(TableDailyJournal[[#This Row],[رقم العملية]],Tabledaily[رقم العملية],0))</f>
        <v>الفرقة الثالثة</v>
      </c>
      <c r="T688" s="197">
        <f>IFERROR(INDEX(tablecost[رقم المركز],MATCH(TableDailyJournal[[#This Row],[مركـــــــزالتكلفــــــة]],tablecost[الاسم],0)),0)</f>
        <v>1</v>
      </c>
      <c r="U688" s="122">
        <f>IFERROR(DATE(TableDailyJournal[[#This Row],[السنــــة]],TableDailyJournal[[#This Row],[الشهــــر]],TableDailyJournal[[#This Row],[الـــــيوم]]),"01-01-2026")</f>
        <v>46194</v>
      </c>
      <c r="V688" s="126"/>
      <c r="W688" s="194"/>
      <c r="X688" s="194">
        <f>IFERROR(YEAR(TableDailyJournal[[#This Row],[التاريخ]]),"")</f>
        <v>2026</v>
      </c>
      <c r="Y688" s="194">
        <f>IFERROR(MONTH(TableDailyJournal[[#This Row],[التاريخ]]),"")</f>
        <v>6</v>
      </c>
      <c r="Z688" s="194">
        <f>IFERROR(DAY(TableDailyJournal[[#This Row],[التاريخ]]),"")</f>
        <v>21</v>
      </c>
      <c r="AA688"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لعدد8 بامر</v>
      </c>
      <c r="AB688" s="197">
        <f>INDEX(Tabledaily[جهة الامر],MATCH(TableDailyJournal[[#This Row],[رقم العملية]],Tabledaily[رقم العملية],0))</f>
        <v>0</v>
      </c>
    </row>
    <row r="689" spans="2:28" ht="45.75" x14ac:dyDescent="0.55000000000000004">
      <c r="B689" s="194">
        <f>ROW()-4</f>
        <v>685</v>
      </c>
      <c r="C689" s="59" t="s">
        <v>1197</v>
      </c>
      <c r="D689" s="60">
        <f>INDEX(Tabledaily[date],MATCH(TableDailyJournal[[#This Row],[رقم العملية]],Tabledaily[رقم العملية],0))</f>
        <v>46194</v>
      </c>
      <c r="E689" s="194" t="str">
        <f>INDEX(Tabledaily[نوع العمليــة],MATCH(TableDailyJournal[[#This Row],[رقم العملية]],Tabledaily[رقم العملية],0))</f>
        <v>قيد عهده</v>
      </c>
      <c r="F689" s="194">
        <f>IFERROR(INDEX(TableJudje[رقم الحساب],MATCH(TableDailyJournal[[#This Row],[الحساب]],TableJudje[اسم الحساب],0)),0)</f>
        <v>11060205</v>
      </c>
      <c r="G689" s="58" t="s">
        <v>513</v>
      </c>
      <c r="H689" s="195"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لعدد8 بامر</v>
      </c>
      <c r="I689" s="60" t="str">
        <f>INDEX(Tabledaily[العملـــة],MATCH(TableDailyJournal[[#This Row],[رقم العملية]],Tabledaily[رقم العملية],0))</f>
        <v>ريال يمني</v>
      </c>
      <c r="J689" s="196">
        <f>IFERROR(INDEX(Tabledaily[سعــــــر
الصـــــرف],MATCH(C689,Tabledaily[رقم العملية],0)),1)</f>
        <v>405</v>
      </c>
      <c r="K689" s="123" cm="1">
        <f t="array" ref="K689">IFERROR(INDEX(Tabledaily[المبلـــــــغ],MATCH(1,(TableDailyJournal[[#This Row],[رقم العملية]]=Tabledaily[رقم العملية])*(TableDailyJournal[[#This Row],[الحساب]]=Tabledaily[الحســاب المديــــن]),0)),0)</f>
        <v>0</v>
      </c>
      <c r="L689" s="123" cm="1">
        <f t="array" ref="L689">IFERROR(INDEX(Tabledaily[المبلـــــــغ],MATCH(1,(TableDailyJournal[[#This Row],[رقم العملية]]=Tabledaily[رقم العملية])*(TableDailyJournal[[#This Row],[الحساب]]=Tabledaily[الحســاب الدئـــن]),0)),0)</f>
        <v>52000</v>
      </c>
      <c r="M689" s="119">
        <f>IFERROR(TableDailyJournal[[#This Row],[المبلغ مدين]]/TableDailyJournal[[#This Row],[سعــــــر
الصـــــرف]],0)</f>
        <v>0</v>
      </c>
      <c r="N689" s="119">
        <f>IFERROR(TableDailyJournal[[#This Row],[المبلغ دائن]]/TableDailyJournal[[#This Row],[سعــــــر
الصـــــرف]],0)</f>
        <v>128.39506172839506</v>
      </c>
      <c r="O689" s="197" t="str">
        <f>INDEX(Tabledaily[المستفيــــــــد],MATCH(TableDailyJournal[[#This Row],[رقم العملية]],Tabledaily[رقم العملية],0))</f>
        <v>السيطرة والاتصالات</v>
      </c>
      <c r="P689" s="197" t="str">
        <f>INDEX(Tabledaily[المــــرجـــــــــع],MATCH(TableDailyJournal[[#This Row],[رقم العملية]],Tabledaily[رقم العملية],0))</f>
        <v>كشف صرف</v>
      </c>
      <c r="Q689" s="197" t="str">
        <f>INDEX(Tabledaily[اســـــــم المــــرجــــع],MATCH(TableDailyJournal[[#This Row],[رقم العملية]],Tabledaily[رقم العملية],0))</f>
        <v>كشف صرف</v>
      </c>
      <c r="R689" s="197">
        <f>INDEX(Tabledaily[رقم المـــــرجـــع],MATCH(TableDailyJournal[[#This Row],[رقم العملية]],Tabledaily[رقم العملية],0))</f>
        <v>0</v>
      </c>
      <c r="S689" s="197" t="str">
        <f>INDEX(Tabledaily[مركـــــــزالتكلفــــــة],MATCH(TableDailyJournal[[#This Row],[رقم العملية]],Tabledaily[رقم العملية],0))</f>
        <v>الفرقة الثالثة</v>
      </c>
      <c r="T689" s="197">
        <f>IFERROR(INDEX(tablecost[رقم المركز],MATCH(TableDailyJournal[[#This Row],[مركـــــــزالتكلفــــــة]],tablecost[الاسم],0)),0)</f>
        <v>1</v>
      </c>
      <c r="U689" s="122">
        <f>IFERROR(DATE(TableDailyJournal[[#This Row],[السنــــة]],TableDailyJournal[[#This Row],[الشهــــر]],TableDailyJournal[[#This Row],[الـــــيوم]]),"01-01-2026")</f>
        <v>46194</v>
      </c>
      <c r="V689" s="126"/>
      <c r="W689" s="194"/>
      <c r="X689" s="194">
        <f>IFERROR(YEAR(TableDailyJournal[[#This Row],[التاريخ]]),"")</f>
        <v>2026</v>
      </c>
      <c r="Y689" s="194">
        <f>IFERROR(MONTH(TableDailyJournal[[#This Row],[التاريخ]]),"")</f>
        <v>6</v>
      </c>
      <c r="Z689" s="194">
        <f>IFERROR(DAY(TableDailyJournal[[#This Row],[التاريخ]]),"")</f>
        <v>21</v>
      </c>
      <c r="AA689" s="126" t="str">
        <f>INDEX(Tabledaily[المرجع البياني],MATCH(TableDailyJournal[[#This Row],[رقم العملية]],Tabledaily[رقم العملية],0))</f>
        <v>قيـد مقابـل:- (مصاريف  صرفة يومية للافراد  - السيطرة والاتصالات - الفرقة الثالثة)  - كشف صرف رقم   كشف صرف - صرف الصرفة اليومية للسيطرة والاتصالات لعدد8 بامر</v>
      </c>
      <c r="AB689" s="197">
        <f>INDEX(Tabledaily[جهة الامر],MATCH(TableDailyJournal[[#This Row],[رقم العملية]],Tabledaily[رقم العملية],0))</f>
        <v>0</v>
      </c>
    </row>
    <row r="690" spans="2:28" ht="45.75" x14ac:dyDescent="0.55000000000000004">
      <c r="B690" s="194">
        <f>ROW()-4</f>
        <v>686</v>
      </c>
      <c r="C690" s="59" t="s">
        <v>1200</v>
      </c>
      <c r="D690" s="60">
        <f>INDEX(Tabledaily[date],MATCH(TableDailyJournal[[#This Row],[رقم العملية]],Tabledaily[رقم العملية],0))</f>
        <v>46194</v>
      </c>
      <c r="E690" s="194" t="str">
        <f>INDEX(Tabledaily[نوع العمليــة],MATCH(TableDailyJournal[[#This Row],[رقم العملية]],Tabledaily[رقم العملية],0))</f>
        <v>قيد عهده</v>
      </c>
      <c r="F690" s="194">
        <f>IFERROR(INDEX(TableJudje[رقم الحساب],MATCH(TableDailyJournal[[#This Row],[الحساب]],TableJudje[اسم الحساب],0)),0)</f>
        <v>31010101</v>
      </c>
      <c r="G690" s="58" t="s">
        <v>111</v>
      </c>
      <c r="H690" s="195"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I690" s="60" t="str">
        <f>INDEX(Tabledaily[العملـــة],MATCH(TableDailyJournal[[#This Row],[رقم العملية]],Tabledaily[رقم العملية],0))</f>
        <v>ريال يمني</v>
      </c>
      <c r="J690" s="196">
        <f>IFERROR(INDEX(Tabledaily[سعــــــر
الصـــــرف],MATCH(C690,Tabledaily[رقم العملية],0)),1)</f>
        <v>405</v>
      </c>
      <c r="K690" s="123" cm="1">
        <f t="array" ref="K690">IFERROR(INDEX(Tabledaily[المبلـــــــغ],MATCH(1,(TableDailyJournal[[#This Row],[رقم العملية]]=Tabledaily[رقم العملية])*(TableDailyJournal[[#This Row],[الحساب]]=Tabledaily[الحســاب المديــــن]),0)),0)</f>
        <v>70000</v>
      </c>
      <c r="L690" s="123" cm="1">
        <f t="array" ref="L690">IFERROR(INDEX(Tabledaily[المبلـــــــغ],MATCH(1,(TableDailyJournal[[#This Row],[رقم العملية]]=Tabledaily[رقم العملية])*(TableDailyJournal[[#This Row],[الحساب]]=Tabledaily[الحســاب الدئـــن]),0)),0)</f>
        <v>0</v>
      </c>
      <c r="M690" s="119">
        <f>IFERROR(TableDailyJournal[[#This Row],[المبلغ مدين]]/TableDailyJournal[[#This Row],[سعــــــر
الصـــــرف]],0)</f>
        <v>172.83950617283949</v>
      </c>
      <c r="N690" s="119">
        <f>IFERROR(TableDailyJournal[[#This Row],[المبلغ دائن]]/TableDailyJournal[[#This Row],[سعــــــر
الصـــــرف]],0)</f>
        <v>0</v>
      </c>
      <c r="O690" s="197" t="str">
        <f>INDEX(Tabledaily[المستفيــــــــد],MATCH(TableDailyJournal[[#This Row],[رقم العملية]],Tabledaily[رقم العملية],0))</f>
        <v>الامداد</v>
      </c>
      <c r="P690" s="197" t="str">
        <f>INDEX(Tabledaily[المــــرجـــــــــع],MATCH(TableDailyJournal[[#This Row],[رقم العملية]],Tabledaily[رقم العملية],0))</f>
        <v>كشف صرف</v>
      </c>
      <c r="Q690" s="197" t="str">
        <f>INDEX(Tabledaily[اســـــــم المــــرجــــع],MATCH(TableDailyJournal[[#This Row],[رقم العملية]],Tabledaily[رقم العملية],0))</f>
        <v>كشف صرف</v>
      </c>
      <c r="R690" s="197">
        <f>INDEX(Tabledaily[رقم المـــــرجـــع],MATCH(TableDailyJournal[[#This Row],[رقم العملية]],Tabledaily[رقم العملية],0))</f>
        <v>0</v>
      </c>
      <c r="S690" s="197" t="str">
        <f>INDEX(Tabledaily[مركـــــــزالتكلفــــــة],MATCH(TableDailyJournal[[#This Row],[رقم العملية]],Tabledaily[رقم العملية],0))</f>
        <v>الفرقة الثالثة</v>
      </c>
      <c r="T690" s="197">
        <f>IFERROR(INDEX(tablecost[رقم المركز],MATCH(TableDailyJournal[[#This Row],[مركـــــــزالتكلفــــــة]],tablecost[الاسم],0)),0)</f>
        <v>1</v>
      </c>
      <c r="U690" s="122">
        <f>IFERROR(DATE(TableDailyJournal[[#This Row],[السنــــة]],TableDailyJournal[[#This Row],[الشهــــر]],TableDailyJournal[[#This Row],[الـــــيوم]]),"01-01-2026")</f>
        <v>46194</v>
      </c>
      <c r="V690" s="126"/>
      <c r="W690" s="194"/>
      <c r="X690" s="194">
        <f>IFERROR(YEAR(TableDailyJournal[[#This Row],[التاريخ]]),"")</f>
        <v>2026</v>
      </c>
      <c r="Y690" s="194">
        <f>IFERROR(MONTH(TableDailyJournal[[#This Row],[التاريخ]]),"")</f>
        <v>6</v>
      </c>
      <c r="Z690" s="194">
        <f>IFERROR(DAY(TableDailyJournal[[#This Row],[التاريخ]]),"")</f>
        <v>21</v>
      </c>
      <c r="AA690"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AB690" s="197">
        <f>INDEX(Tabledaily[جهة الامر],MATCH(TableDailyJournal[[#This Row],[رقم العملية]],Tabledaily[رقم العملية],0))</f>
        <v>0</v>
      </c>
    </row>
    <row r="691" spans="2:28" ht="45.75" x14ac:dyDescent="0.55000000000000004">
      <c r="B691" s="194">
        <f>ROW()-4</f>
        <v>687</v>
      </c>
      <c r="C691" s="59" t="s">
        <v>1200</v>
      </c>
      <c r="D691" s="60">
        <f>INDEX(Tabledaily[date],MATCH(TableDailyJournal[[#This Row],[رقم العملية]],Tabledaily[رقم العملية],0))</f>
        <v>46194</v>
      </c>
      <c r="E691" s="194" t="str">
        <f>INDEX(Tabledaily[نوع العمليــة],MATCH(TableDailyJournal[[#This Row],[رقم العملية]],Tabledaily[رقم العملية],0))</f>
        <v>قيد عهده</v>
      </c>
      <c r="F691" s="194">
        <f>IFERROR(INDEX(TableJudje[رقم الحساب],MATCH(TableDailyJournal[[#This Row],[الحساب]],TableJudje[اسم الحساب],0)),0)</f>
        <v>11060205</v>
      </c>
      <c r="G691" s="58" t="s">
        <v>513</v>
      </c>
      <c r="H691" s="195"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I691" s="60" t="str">
        <f>INDEX(Tabledaily[العملـــة],MATCH(TableDailyJournal[[#This Row],[رقم العملية]],Tabledaily[رقم العملية],0))</f>
        <v>ريال يمني</v>
      </c>
      <c r="J691" s="196">
        <f>IFERROR(INDEX(Tabledaily[سعــــــر
الصـــــرف],MATCH(C691,Tabledaily[رقم العملية],0)),1)</f>
        <v>405</v>
      </c>
      <c r="K691" s="123" cm="1">
        <f t="array" ref="K691">IFERROR(INDEX(Tabledaily[المبلـــــــغ],MATCH(1,(TableDailyJournal[[#This Row],[رقم العملية]]=Tabledaily[رقم العملية])*(TableDailyJournal[[#This Row],[الحساب]]=Tabledaily[الحســاب المديــــن]),0)),0)</f>
        <v>0</v>
      </c>
      <c r="L691" s="123" cm="1">
        <f t="array" ref="L691">IFERROR(INDEX(Tabledaily[المبلـــــــغ],MATCH(1,(TableDailyJournal[[#This Row],[رقم العملية]]=Tabledaily[رقم العملية])*(TableDailyJournal[[#This Row],[الحساب]]=Tabledaily[الحســاب الدئـــن]),0)),0)</f>
        <v>70000</v>
      </c>
      <c r="M691" s="119">
        <f>IFERROR(TableDailyJournal[[#This Row],[المبلغ مدين]]/TableDailyJournal[[#This Row],[سعــــــر
الصـــــرف]],0)</f>
        <v>0</v>
      </c>
      <c r="N691" s="119">
        <f>IFERROR(TableDailyJournal[[#This Row],[المبلغ دائن]]/TableDailyJournal[[#This Row],[سعــــــر
الصـــــرف]],0)</f>
        <v>172.83950617283949</v>
      </c>
      <c r="O691" s="197" t="str">
        <f>INDEX(Tabledaily[المستفيــــــــد],MATCH(TableDailyJournal[[#This Row],[رقم العملية]],Tabledaily[رقم العملية],0))</f>
        <v>الامداد</v>
      </c>
      <c r="P691" s="197" t="str">
        <f>INDEX(Tabledaily[المــــرجـــــــــع],MATCH(TableDailyJournal[[#This Row],[رقم العملية]],Tabledaily[رقم العملية],0))</f>
        <v>كشف صرف</v>
      </c>
      <c r="Q691" s="197" t="str">
        <f>INDEX(Tabledaily[اســـــــم المــــرجــــع],MATCH(TableDailyJournal[[#This Row],[رقم العملية]],Tabledaily[رقم العملية],0))</f>
        <v>كشف صرف</v>
      </c>
      <c r="R691" s="197">
        <f>INDEX(Tabledaily[رقم المـــــرجـــع],MATCH(TableDailyJournal[[#This Row],[رقم العملية]],Tabledaily[رقم العملية],0))</f>
        <v>0</v>
      </c>
      <c r="S691" s="197" t="str">
        <f>INDEX(Tabledaily[مركـــــــزالتكلفــــــة],MATCH(TableDailyJournal[[#This Row],[رقم العملية]],Tabledaily[رقم العملية],0))</f>
        <v>الفرقة الثالثة</v>
      </c>
      <c r="T691" s="197">
        <f>IFERROR(INDEX(tablecost[رقم المركز],MATCH(TableDailyJournal[[#This Row],[مركـــــــزالتكلفــــــة]],tablecost[الاسم],0)),0)</f>
        <v>1</v>
      </c>
      <c r="U691" s="122">
        <f>IFERROR(DATE(TableDailyJournal[[#This Row],[السنــــة]],TableDailyJournal[[#This Row],[الشهــــر]],TableDailyJournal[[#This Row],[الـــــيوم]]),"01-01-2026")</f>
        <v>46194</v>
      </c>
      <c r="V691" s="126"/>
      <c r="W691" s="194"/>
      <c r="X691" s="194">
        <f>IFERROR(YEAR(TableDailyJournal[[#This Row],[التاريخ]]),"")</f>
        <v>2026</v>
      </c>
      <c r="Y691" s="194">
        <f>IFERROR(MONTH(TableDailyJournal[[#This Row],[التاريخ]]),"")</f>
        <v>6</v>
      </c>
      <c r="Z691" s="194">
        <f>IFERROR(DAY(TableDailyJournal[[#This Row],[التاريخ]]),"")</f>
        <v>21</v>
      </c>
      <c r="AA691" s="126" t="str">
        <f>INDEX(Tabledaily[المرجع البياني],MATCH(TableDailyJournal[[#This Row],[رقم العملية]],Tabledaily[رقم العملية],0))</f>
        <v>قيـد مقابـل:- (مصاريف  صرفة يومية للافراد  - الامداد - الفرقة الثالثة)  - كشف صرف رقم   كشف صرف - صرف الصرفة اليومية  لافراد الامداد لعدد 6 بامر</v>
      </c>
      <c r="AB691" s="197">
        <f>INDEX(Tabledaily[جهة الامر],MATCH(TableDailyJournal[[#This Row],[رقم العملية]],Tabledaily[رقم العملية],0))</f>
        <v>0</v>
      </c>
    </row>
    <row r="692" spans="2:28" ht="45.75" x14ac:dyDescent="0.55000000000000004">
      <c r="B692" s="194">
        <f>ROW()-4</f>
        <v>688</v>
      </c>
      <c r="C692" s="59" t="s">
        <v>1201</v>
      </c>
      <c r="D692" s="60">
        <f>INDEX(Tabledaily[date],MATCH(TableDailyJournal[[#This Row],[رقم العملية]],Tabledaily[رقم العملية],0))</f>
        <v>46194</v>
      </c>
      <c r="E692" s="194" t="str">
        <f>INDEX(Tabledaily[نوع العمليــة],MATCH(TableDailyJournal[[#This Row],[رقم العملية]],Tabledaily[رقم العملية],0))</f>
        <v>قيد عهده</v>
      </c>
      <c r="F692" s="194">
        <f>IFERROR(INDEX(TableJudje[رقم الحساب],MATCH(TableDailyJournal[[#This Row],[الحساب]],TableJudje[اسم الحساب],0)),0)</f>
        <v>31010101</v>
      </c>
      <c r="G692" s="58" t="s">
        <v>111</v>
      </c>
      <c r="H692" s="195"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692" s="60" t="str">
        <f>INDEX(Tabledaily[العملـــة],MATCH(TableDailyJournal[[#This Row],[رقم العملية]],Tabledaily[رقم العملية],0))</f>
        <v>ريال يمني</v>
      </c>
      <c r="J692" s="196">
        <f>IFERROR(INDEX(Tabledaily[سعــــــر
الصـــــرف],MATCH(C692,Tabledaily[رقم العملية],0)),1)</f>
        <v>405</v>
      </c>
      <c r="K692" s="123" cm="1">
        <f t="array" ref="K692">IFERROR(INDEX(Tabledaily[المبلـــــــغ],MATCH(1,(TableDailyJournal[[#This Row],[رقم العملية]]=Tabledaily[رقم العملية])*(TableDailyJournal[[#This Row],[الحساب]]=Tabledaily[الحســاب المديــــن]),0)),0)</f>
        <v>31000</v>
      </c>
      <c r="L692" s="123" cm="1">
        <f t="array" ref="L692">IFERROR(INDEX(Tabledaily[المبلـــــــغ],MATCH(1,(TableDailyJournal[[#This Row],[رقم العملية]]=Tabledaily[رقم العملية])*(TableDailyJournal[[#This Row],[الحساب]]=Tabledaily[الحســاب الدئـــن]),0)),0)</f>
        <v>0</v>
      </c>
      <c r="M692" s="119">
        <f>IFERROR(TableDailyJournal[[#This Row],[المبلغ مدين]]/TableDailyJournal[[#This Row],[سعــــــر
الصـــــرف]],0)</f>
        <v>76.543209876543216</v>
      </c>
      <c r="N692" s="119">
        <f>IFERROR(TableDailyJournal[[#This Row],[المبلغ دائن]]/TableDailyJournal[[#This Row],[سعــــــر
الصـــــرف]],0)</f>
        <v>0</v>
      </c>
      <c r="O692" s="197" t="str">
        <f>INDEX(Tabledaily[المستفيــــــــد],MATCH(TableDailyJournal[[#This Row],[رقم العملية]],Tabledaily[رقم العملية],0))</f>
        <v>قسم المشتريات</v>
      </c>
      <c r="P692" s="197" t="str">
        <f>INDEX(Tabledaily[المــــرجـــــــــع],MATCH(TableDailyJournal[[#This Row],[رقم العملية]],Tabledaily[رقم العملية],0))</f>
        <v>كشف صرف</v>
      </c>
      <c r="Q692" s="197" t="str">
        <f>INDEX(Tabledaily[اســـــــم المــــرجــــع],MATCH(TableDailyJournal[[#This Row],[رقم العملية]],Tabledaily[رقم العملية],0))</f>
        <v>كشف صرف</v>
      </c>
      <c r="R692" s="197">
        <f>INDEX(Tabledaily[رقم المـــــرجـــع],MATCH(TableDailyJournal[[#This Row],[رقم العملية]],Tabledaily[رقم العملية],0))</f>
        <v>0</v>
      </c>
      <c r="S692" s="197" t="str">
        <f>INDEX(Tabledaily[مركـــــــزالتكلفــــــة],MATCH(TableDailyJournal[[#This Row],[رقم العملية]],Tabledaily[رقم العملية],0))</f>
        <v>الفرقة الثالثة</v>
      </c>
      <c r="T692" s="197">
        <f>IFERROR(INDEX(tablecost[رقم المركز],MATCH(TableDailyJournal[[#This Row],[مركـــــــزالتكلفــــــة]],tablecost[الاسم],0)),0)</f>
        <v>1</v>
      </c>
      <c r="U692" s="122">
        <f>IFERROR(DATE(TableDailyJournal[[#This Row],[السنــــة]],TableDailyJournal[[#This Row],[الشهــــر]],TableDailyJournal[[#This Row],[الـــــيوم]]),"01-01-2026")</f>
        <v>46194</v>
      </c>
      <c r="V692" s="126"/>
      <c r="W692" s="194"/>
      <c r="X692" s="194">
        <f>IFERROR(YEAR(TableDailyJournal[[#This Row],[التاريخ]]),"")</f>
        <v>2026</v>
      </c>
      <c r="Y692" s="194">
        <f>IFERROR(MONTH(TableDailyJournal[[#This Row],[التاريخ]]),"")</f>
        <v>6</v>
      </c>
      <c r="Z692" s="194">
        <f>IFERROR(DAY(TableDailyJournal[[#This Row],[التاريخ]]),"")</f>
        <v>21</v>
      </c>
      <c r="AA692"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692" s="197">
        <f>INDEX(Tabledaily[جهة الامر],MATCH(TableDailyJournal[[#This Row],[رقم العملية]],Tabledaily[رقم العملية],0))</f>
        <v>0</v>
      </c>
    </row>
    <row r="693" spans="2:28" ht="45.75" x14ac:dyDescent="0.55000000000000004">
      <c r="B693" s="194">
        <f>ROW()-4</f>
        <v>689</v>
      </c>
      <c r="C693" s="59" t="s">
        <v>1201</v>
      </c>
      <c r="D693" s="60">
        <f>INDEX(Tabledaily[date],MATCH(TableDailyJournal[[#This Row],[رقم العملية]],Tabledaily[رقم العملية],0))</f>
        <v>46194</v>
      </c>
      <c r="E693" s="194" t="str">
        <f>INDEX(Tabledaily[نوع العمليــة],MATCH(TableDailyJournal[[#This Row],[رقم العملية]],Tabledaily[رقم العملية],0))</f>
        <v>قيد عهده</v>
      </c>
      <c r="F693" s="194">
        <f>IFERROR(INDEX(TableJudje[رقم الحساب],MATCH(TableDailyJournal[[#This Row],[الحساب]],TableJudje[اسم الحساب],0)),0)</f>
        <v>11060205</v>
      </c>
      <c r="G693" s="58" t="s">
        <v>513</v>
      </c>
      <c r="H693" s="195"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I693" s="60" t="str">
        <f>INDEX(Tabledaily[العملـــة],MATCH(TableDailyJournal[[#This Row],[رقم العملية]],Tabledaily[رقم العملية],0))</f>
        <v>ريال يمني</v>
      </c>
      <c r="J693" s="196">
        <f>IFERROR(INDEX(Tabledaily[سعــــــر
الصـــــرف],MATCH(C693,Tabledaily[رقم العملية],0)),1)</f>
        <v>405</v>
      </c>
      <c r="K693" s="123" cm="1">
        <f t="array" ref="K693">IFERROR(INDEX(Tabledaily[المبلـــــــغ],MATCH(1,(TableDailyJournal[[#This Row],[رقم العملية]]=Tabledaily[رقم العملية])*(TableDailyJournal[[#This Row],[الحساب]]=Tabledaily[الحســاب المديــــن]),0)),0)</f>
        <v>0</v>
      </c>
      <c r="L693" s="123" cm="1">
        <f t="array" ref="L693">IFERROR(INDEX(Tabledaily[المبلـــــــغ],MATCH(1,(TableDailyJournal[[#This Row],[رقم العملية]]=Tabledaily[رقم العملية])*(TableDailyJournal[[#This Row],[الحساب]]=Tabledaily[الحســاب الدئـــن]),0)),0)</f>
        <v>31000</v>
      </c>
      <c r="M693" s="119">
        <f>IFERROR(TableDailyJournal[[#This Row],[المبلغ مدين]]/TableDailyJournal[[#This Row],[سعــــــر
الصـــــرف]],0)</f>
        <v>0</v>
      </c>
      <c r="N693" s="119">
        <f>IFERROR(TableDailyJournal[[#This Row],[المبلغ دائن]]/TableDailyJournal[[#This Row],[سعــــــر
الصـــــرف]],0)</f>
        <v>76.543209876543216</v>
      </c>
      <c r="O693" s="197" t="str">
        <f>INDEX(Tabledaily[المستفيــــــــد],MATCH(TableDailyJournal[[#This Row],[رقم العملية]],Tabledaily[رقم العملية],0))</f>
        <v>قسم المشتريات</v>
      </c>
      <c r="P693" s="197" t="str">
        <f>INDEX(Tabledaily[المــــرجـــــــــع],MATCH(TableDailyJournal[[#This Row],[رقم العملية]],Tabledaily[رقم العملية],0))</f>
        <v>كشف صرف</v>
      </c>
      <c r="Q693" s="197" t="str">
        <f>INDEX(Tabledaily[اســـــــم المــــرجــــع],MATCH(TableDailyJournal[[#This Row],[رقم العملية]],Tabledaily[رقم العملية],0))</f>
        <v>كشف صرف</v>
      </c>
      <c r="R693" s="197">
        <f>INDEX(Tabledaily[رقم المـــــرجـــع],MATCH(TableDailyJournal[[#This Row],[رقم العملية]],Tabledaily[رقم العملية],0))</f>
        <v>0</v>
      </c>
      <c r="S693" s="197" t="str">
        <f>INDEX(Tabledaily[مركـــــــزالتكلفــــــة],MATCH(TableDailyJournal[[#This Row],[رقم العملية]],Tabledaily[رقم العملية],0))</f>
        <v>الفرقة الثالثة</v>
      </c>
      <c r="T693" s="197">
        <f>IFERROR(INDEX(tablecost[رقم المركز],MATCH(TableDailyJournal[[#This Row],[مركـــــــزالتكلفــــــة]],tablecost[الاسم],0)),0)</f>
        <v>1</v>
      </c>
      <c r="U693" s="122">
        <f>IFERROR(DATE(TableDailyJournal[[#This Row],[السنــــة]],TableDailyJournal[[#This Row],[الشهــــر]],TableDailyJournal[[#This Row],[الـــــيوم]]),"01-01-2026")</f>
        <v>46194</v>
      </c>
      <c r="V693" s="126"/>
      <c r="W693" s="194"/>
      <c r="X693" s="194">
        <f>IFERROR(YEAR(TableDailyJournal[[#This Row],[التاريخ]]),"")</f>
        <v>2026</v>
      </c>
      <c r="Y693" s="194">
        <f>IFERROR(MONTH(TableDailyJournal[[#This Row],[التاريخ]]),"")</f>
        <v>6</v>
      </c>
      <c r="Z693" s="194">
        <f>IFERROR(DAY(TableDailyJournal[[#This Row],[التاريخ]]),"")</f>
        <v>21</v>
      </c>
      <c r="AA693" s="126" t="str">
        <f>INDEX(Tabledaily[المرجع البياني],MATCH(TableDailyJournal[[#This Row],[رقم العملية]],Tabledaily[رقم العملية],0))</f>
        <v>قيـد مقابـل:- (مصاريف  صرفة يومية للافراد  - قسم المشتريات - الفرقة الثالثة)  - كشف صرف رقم   كشف صرف - صرف الصرفة اليومية لافراد قسم المشتريات عدد3 بامر</v>
      </c>
      <c r="AB693" s="197">
        <f>INDEX(Tabledaily[جهة الامر],MATCH(TableDailyJournal[[#This Row],[رقم العملية]],Tabledaily[رقم العملية],0))</f>
        <v>0</v>
      </c>
    </row>
    <row r="694" spans="2:28" ht="45.75" x14ac:dyDescent="0.55000000000000004">
      <c r="B694" s="194">
        <f>ROW()-4</f>
        <v>690</v>
      </c>
      <c r="C694" s="59" t="s">
        <v>1202</v>
      </c>
      <c r="D694" s="60">
        <f>INDEX(Tabledaily[date],MATCH(TableDailyJournal[[#This Row],[رقم العملية]],Tabledaily[رقم العملية],0))</f>
        <v>46194</v>
      </c>
      <c r="E694" s="194" t="str">
        <f>INDEX(Tabledaily[نوع العمليــة],MATCH(TableDailyJournal[[#This Row],[رقم العملية]],Tabledaily[رقم العملية],0))</f>
        <v>قيد عهده</v>
      </c>
      <c r="F694" s="194">
        <f>IFERROR(INDEX(TableJudje[رقم الحساب],MATCH(TableDailyJournal[[#This Row],[الحساب]],TableJudje[اسم الحساب],0)),0)</f>
        <v>31010101</v>
      </c>
      <c r="G694" s="58" t="s">
        <v>111</v>
      </c>
      <c r="H694" s="195"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I694" s="60" t="str">
        <f>INDEX(Tabledaily[العملـــة],MATCH(TableDailyJournal[[#This Row],[رقم العملية]],Tabledaily[رقم العملية],0))</f>
        <v>ريال يمني</v>
      </c>
      <c r="J694" s="196">
        <f>IFERROR(INDEX(Tabledaily[سعــــــر
الصـــــرف],MATCH(C694,Tabledaily[رقم العملية],0)),1)</f>
        <v>405</v>
      </c>
      <c r="K694" s="123" cm="1">
        <f t="array" ref="K694">IFERROR(INDEX(Tabledaily[المبلـــــــغ],MATCH(1,(TableDailyJournal[[#This Row],[رقم العملية]]=Tabledaily[رقم العملية])*(TableDailyJournal[[#This Row],[الحساب]]=Tabledaily[الحســاب المديــــن]),0)),0)</f>
        <v>30000</v>
      </c>
      <c r="L694" s="123" cm="1">
        <f t="array" ref="L694">IFERROR(INDEX(Tabledaily[المبلـــــــغ],MATCH(1,(TableDailyJournal[[#This Row],[رقم العملية]]=Tabledaily[رقم العملية])*(TableDailyJournal[[#This Row],[الحساب]]=Tabledaily[الحســاب الدئـــن]),0)),0)</f>
        <v>0</v>
      </c>
      <c r="M694" s="119">
        <f>IFERROR(TableDailyJournal[[#This Row],[المبلغ مدين]]/TableDailyJournal[[#This Row],[سعــــــر
الصـــــرف]],0)</f>
        <v>74.074074074074076</v>
      </c>
      <c r="N694" s="119">
        <f>IFERROR(TableDailyJournal[[#This Row],[المبلغ دائن]]/TableDailyJournal[[#This Row],[سعــــــر
الصـــــرف]],0)</f>
        <v>0</v>
      </c>
      <c r="O694" s="197" t="str">
        <f>INDEX(Tabledaily[المستفيــــــــد],MATCH(TableDailyJournal[[#This Row],[رقم العملية]],Tabledaily[رقم العملية],0))</f>
        <v>الاستطلاع</v>
      </c>
      <c r="P694" s="197" t="str">
        <f>INDEX(Tabledaily[المــــرجـــــــــع],MATCH(TableDailyJournal[[#This Row],[رقم العملية]],Tabledaily[رقم العملية],0))</f>
        <v>كشف صرف</v>
      </c>
      <c r="Q694" s="197" t="str">
        <f>INDEX(Tabledaily[اســـــــم المــــرجــــع],MATCH(TableDailyJournal[[#This Row],[رقم العملية]],Tabledaily[رقم العملية],0))</f>
        <v>كشف صرف</v>
      </c>
      <c r="R694" s="197">
        <f>INDEX(Tabledaily[رقم المـــــرجـــع],MATCH(TableDailyJournal[[#This Row],[رقم العملية]],Tabledaily[رقم العملية],0))</f>
        <v>0</v>
      </c>
      <c r="S694" s="197" t="str">
        <f>INDEX(Tabledaily[مركـــــــزالتكلفــــــة],MATCH(TableDailyJournal[[#This Row],[رقم العملية]],Tabledaily[رقم العملية],0))</f>
        <v>الفرقة الثالثة</v>
      </c>
      <c r="T694" s="197">
        <f>IFERROR(INDEX(tablecost[رقم المركز],MATCH(TableDailyJournal[[#This Row],[مركـــــــزالتكلفــــــة]],tablecost[الاسم],0)),0)</f>
        <v>1</v>
      </c>
      <c r="U694" s="122">
        <f>IFERROR(DATE(TableDailyJournal[[#This Row],[السنــــة]],TableDailyJournal[[#This Row],[الشهــــر]],TableDailyJournal[[#This Row],[الـــــيوم]]),"01-01-2026")</f>
        <v>46194</v>
      </c>
      <c r="V694" s="126"/>
      <c r="W694" s="194"/>
      <c r="X694" s="194">
        <f>IFERROR(YEAR(TableDailyJournal[[#This Row],[التاريخ]]),"")</f>
        <v>2026</v>
      </c>
      <c r="Y694" s="194">
        <f>IFERROR(MONTH(TableDailyJournal[[#This Row],[التاريخ]]),"")</f>
        <v>6</v>
      </c>
      <c r="Z694" s="194">
        <f>IFERROR(DAY(TableDailyJournal[[#This Row],[التاريخ]]),"")</f>
        <v>21</v>
      </c>
      <c r="AA694"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AB694" s="197">
        <f>INDEX(Tabledaily[جهة الامر],MATCH(TableDailyJournal[[#This Row],[رقم العملية]],Tabledaily[رقم العملية],0))</f>
        <v>0</v>
      </c>
    </row>
    <row r="695" spans="2:28" ht="45.75" x14ac:dyDescent="0.55000000000000004">
      <c r="B695" s="194">
        <f>ROW()-4</f>
        <v>691</v>
      </c>
      <c r="C695" s="59" t="s">
        <v>1202</v>
      </c>
      <c r="D695" s="60">
        <f>INDEX(Tabledaily[date],MATCH(TableDailyJournal[[#This Row],[رقم العملية]],Tabledaily[رقم العملية],0))</f>
        <v>46194</v>
      </c>
      <c r="E695" s="194" t="str">
        <f>INDEX(Tabledaily[نوع العمليــة],MATCH(TableDailyJournal[[#This Row],[رقم العملية]],Tabledaily[رقم العملية],0))</f>
        <v>قيد عهده</v>
      </c>
      <c r="F695" s="194">
        <f>IFERROR(INDEX(TableJudje[رقم الحساب],MATCH(TableDailyJournal[[#This Row],[الحساب]],TableJudje[اسم الحساب],0)),0)</f>
        <v>11060205</v>
      </c>
      <c r="G695" s="58" t="s">
        <v>513</v>
      </c>
      <c r="H695" s="195"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I695" s="60" t="str">
        <f>INDEX(Tabledaily[العملـــة],MATCH(TableDailyJournal[[#This Row],[رقم العملية]],Tabledaily[رقم العملية],0))</f>
        <v>ريال يمني</v>
      </c>
      <c r="J695" s="196">
        <f>IFERROR(INDEX(Tabledaily[سعــــــر
الصـــــرف],MATCH(C695,Tabledaily[رقم العملية],0)),1)</f>
        <v>405</v>
      </c>
      <c r="K695" s="123" cm="1">
        <f t="array" ref="K695">IFERROR(INDEX(Tabledaily[المبلـــــــغ],MATCH(1,(TableDailyJournal[[#This Row],[رقم العملية]]=Tabledaily[رقم العملية])*(TableDailyJournal[[#This Row],[الحساب]]=Tabledaily[الحســاب المديــــن]),0)),0)</f>
        <v>0</v>
      </c>
      <c r="L695" s="123" cm="1">
        <f t="array" ref="L695">IFERROR(INDEX(Tabledaily[المبلـــــــغ],MATCH(1,(TableDailyJournal[[#This Row],[رقم العملية]]=Tabledaily[رقم العملية])*(TableDailyJournal[[#This Row],[الحساب]]=Tabledaily[الحســاب الدئـــن]),0)),0)</f>
        <v>30000</v>
      </c>
      <c r="M695" s="119">
        <f>IFERROR(TableDailyJournal[[#This Row],[المبلغ مدين]]/TableDailyJournal[[#This Row],[سعــــــر
الصـــــرف]],0)</f>
        <v>0</v>
      </c>
      <c r="N695" s="119">
        <f>IFERROR(TableDailyJournal[[#This Row],[المبلغ دائن]]/TableDailyJournal[[#This Row],[سعــــــر
الصـــــرف]],0)</f>
        <v>74.074074074074076</v>
      </c>
      <c r="O695" s="197" t="str">
        <f>INDEX(Tabledaily[المستفيــــــــد],MATCH(TableDailyJournal[[#This Row],[رقم العملية]],Tabledaily[رقم العملية],0))</f>
        <v>الاستطلاع</v>
      </c>
      <c r="P695" s="197" t="str">
        <f>INDEX(Tabledaily[المــــرجـــــــــع],MATCH(TableDailyJournal[[#This Row],[رقم العملية]],Tabledaily[رقم العملية],0))</f>
        <v>كشف صرف</v>
      </c>
      <c r="Q695" s="197" t="str">
        <f>INDEX(Tabledaily[اســـــــم المــــرجــــع],MATCH(TableDailyJournal[[#This Row],[رقم العملية]],Tabledaily[رقم العملية],0))</f>
        <v>كشف صرف</v>
      </c>
      <c r="R695" s="197">
        <f>INDEX(Tabledaily[رقم المـــــرجـــع],MATCH(TableDailyJournal[[#This Row],[رقم العملية]],Tabledaily[رقم العملية],0))</f>
        <v>0</v>
      </c>
      <c r="S695" s="197" t="str">
        <f>INDEX(Tabledaily[مركـــــــزالتكلفــــــة],MATCH(TableDailyJournal[[#This Row],[رقم العملية]],Tabledaily[رقم العملية],0))</f>
        <v>الفرقة الثالثة</v>
      </c>
      <c r="T695" s="197">
        <f>IFERROR(INDEX(tablecost[رقم المركز],MATCH(TableDailyJournal[[#This Row],[مركـــــــزالتكلفــــــة]],tablecost[الاسم],0)),0)</f>
        <v>1</v>
      </c>
      <c r="U695" s="122">
        <f>IFERROR(DATE(TableDailyJournal[[#This Row],[السنــــة]],TableDailyJournal[[#This Row],[الشهــــر]],TableDailyJournal[[#This Row],[الـــــيوم]]),"01-01-2026")</f>
        <v>46194</v>
      </c>
      <c r="V695" s="126"/>
      <c r="W695" s="194"/>
      <c r="X695" s="194">
        <f>IFERROR(YEAR(TableDailyJournal[[#This Row],[التاريخ]]),"")</f>
        <v>2026</v>
      </c>
      <c r="Y695" s="194">
        <f>IFERROR(MONTH(TableDailyJournal[[#This Row],[التاريخ]]),"")</f>
        <v>6</v>
      </c>
      <c r="Z695" s="194">
        <f>IFERROR(DAY(TableDailyJournal[[#This Row],[التاريخ]]),"")</f>
        <v>21</v>
      </c>
      <c r="AA695" s="126" t="str">
        <f>INDEX(Tabledaily[المرجع البياني],MATCH(TableDailyJournal[[#This Row],[رقم العملية]],Tabledaily[رقم العملية],0))</f>
        <v>قيـد مقابـل:- (مصاريف  صرفة يومية للافراد  - الاستطلاع - الفرقة الثالثة)  - كشف صرف رقم   كشف صرف - صرف الصرفة اليومية لافراد الاستطلاع عدد 2 افراد بامر</v>
      </c>
      <c r="AB695" s="197">
        <f>INDEX(Tabledaily[جهة الامر],MATCH(TableDailyJournal[[#This Row],[رقم العملية]],Tabledaily[رقم العملية],0))</f>
        <v>0</v>
      </c>
    </row>
    <row r="696" spans="2:28" ht="45.75" x14ac:dyDescent="0.55000000000000004">
      <c r="B696" s="194">
        <f>ROW()-4</f>
        <v>692</v>
      </c>
      <c r="C696" s="59" t="s">
        <v>1204</v>
      </c>
      <c r="D696" s="60">
        <f>INDEX(Tabledaily[date],MATCH(TableDailyJournal[[#This Row],[رقم العملية]],Tabledaily[رقم العملية],0))</f>
        <v>46194</v>
      </c>
      <c r="E696" s="194" t="str">
        <f>INDEX(Tabledaily[نوع العمليــة],MATCH(TableDailyJournal[[#This Row],[رقم العملية]],Tabledaily[رقم العملية],0))</f>
        <v>قيد عهده</v>
      </c>
      <c r="F696" s="194">
        <f>IFERROR(INDEX(TableJudje[رقم الحساب],MATCH(TableDailyJournal[[#This Row],[الحساب]],TableJudje[اسم الحساب],0)),0)</f>
        <v>31010101</v>
      </c>
      <c r="G696" s="58" t="s">
        <v>111</v>
      </c>
      <c r="H696" s="195"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696" s="60" t="str">
        <f>INDEX(Tabledaily[العملـــة],MATCH(TableDailyJournal[[#This Row],[رقم العملية]],Tabledaily[رقم العملية],0))</f>
        <v>ريال يمني</v>
      </c>
      <c r="J696" s="196">
        <f>IFERROR(INDEX(Tabledaily[سعــــــر
الصـــــرف],MATCH(C696,Tabledaily[رقم العملية],0)),1)</f>
        <v>405</v>
      </c>
      <c r="K696" s="123" cm="1">
        <f t="array" ref="K696">IFERROR(INDEX(Tabledaily[المبلـــــــغ],MATCH(1,(TableDailyJournal[[#This Row],[رقم العملية]]=Tabledaily[رقم العملية])*(TableDailyJournal[[#This Row],[الحساب]]=Tabledaily[الحســاب المديــــن]),0)),0)</f>
        <v>25000</v>
      </c>
      <c r="L696" s="123" cm="1">
        <f t="array" ref="L696">IFERROR(INDEX(Tabledaily[المبلـــــــغ],MATCH(1,(TableDailyJournal[[#This Row],[رقم العملية]]=Tabledaily[رقم العملية])*(TableDailyJournal[[#This Row],[الحساب]]=Tabledaily[الحســاب الدئـــن]),0)),0)</f>
        <v>0</v>
      </c>
      <c r="M696" s="119">
        <f>IFERROR(TableDailyJournal[[#This Row],[المبلغ مدين]]/TableDailyJournal[[#This Row],[سعــــــر
الصـــــرف]],0)</f>
        <v>61.728395061728392</v>
      </c>
      <c r="N696" s="119">
        <f>IFERROR(TableDailyJournal[[#This Row],[المبلغ دائن]]/TableDailyJournal[[#This Row],[سعــــــر
الصـــــرف]],0)</f>
        <v>0</v>
      </c>
      <c r="O696" s="197" t="str">
        <f>INDEX(Tabledaily[المستفيــــــــد],MATCH(TableDailyJournal[[#This Row],[رقم العملية]],Tabledaily[رقم العملية],0))</f>
        <v>المحاسبين</v>
      </c>
      <c r="P696" s="197" t="str">
        <f>INDEX(Tabledaily[المــــرجـــــــــع],MATCH(TableDailyJournal[[#This Row],[رقم العملية]],Tabledaily[رقم العملية],0))</f>
        <v>كشف صرف</v>
      </c>
      <c r="Q696" s="197" t="str">
        <f>INDEX(Tabledaily[اســـــــم المــــرجــــع],MATCH(TableDailyJournal[[#This Row],[رقم العملية]],Tabledaily[رقم العملية],0))</f>
        <v>كشف صرف</v>
      </c>
      <c r="R696" s="197">
        <f>INDEX(Tabledaily[رقم المـــــرجـــع],MATCH(TableDailyJournal[[#This Row],[رقم العملية]],Tabledaily[رقم العملية],0))</f>
        <v>0</v>
      </c>
      <c r="S696" s="197" t="str">
        <f>INDEX(Tabledaily[مركـــــــزالتكلفــــــة],MATCH(TableDailyJournal[[#This Row],[رقم العملية]],Tabledaily[رقم العملية],0))</f>
        <v>الفرقة الثالثة</v>
      </c>
      <c r="T696" s="197">
        <f>IFERROR(INDEX(tablecost[رقم المركز],MATCH(TableDailyJournal[[#This Row],[مركـــــــزالتكلفــــــة]],tablecost[الاسم],0)),0)</f>
        <v>1</v>
      </c>
      <c r="U696" s="122">
        <f>IFERROR(DATE(TableDailyJournal[[#This Row],[السنــــة]],TableDailyJournal[[#This Row],[الشهــــر]],TableDailyJournal[[#This Row],[الـــــيوم]]),"01-01-2026")</f>
        <v>46194</v>
      </c>
      <c r="V696" s="126"/>
      <c r="W696" s="194"/>
      <c r="X696" s="194">
        <f>IFERROR(YEAR(TableDailyJournal[[#This Row],[التاريخ]]),"")</f>
        <v>2026</v>
      </c>
      <c r="Y696" s="194">
        <f>IFERROR(MONTH(TableDailyJournal[[#This Row],[التاريخ]]),"")</f>
        <v>6</v>
      </c>
      <c r="Z696" s="194">
        <f>IFERROR(DAY(TableDailyJournal[[#This Row],[التاريخ]]),"")</f>
        <v>21</v>
      </c>
      <c r="AA696"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696" s="197">
        <f>INDEX(Tabledaily[جهة الامر],MATCH(TableDailyJournal[[#This Row],[رقم العملية]],Tabledaily[رقم العملية],0))</f>
        <v>0</v>
      </c>
    </row>
    <row r="697" spans="2:28" ht="45.75" x14ac:dyDescent="0.55000000000000004">
      <c r="B697" s="194">
        <f>ROW()-4</f>
        <v>693</v>
      </c>
      <c r="C697" s="59" t="s">
        <v>1204</v>
      </c>
      <c r="D697" s="60">
        <f>INDEX(Tabledaily[date],MATCH(TableDailyJournal[[#This Row],[رقم العملية]],Tabledaily[رقم العملية],0))</f>
        <v>46194</v>
      </c>
      <c r="E697" s="194" t="str">
        <f>INDEX(Tabledaily[نوع العمليــة],MATCH(TableDailyJournal[[#This Row],[رقم العملية]],Tabledaily[رقم العملية],0))</f>
        <v>قيد عهده</v>
      </c>
      <c r="F697" s="194">
        <f>IFERROR(INDEX(TableJudje[رقم الحساب],MATCH(TableDailyJournal[[#This Row],[الحساب]],TableJudje[اسم الحساب],0)),0)</f>
        <v>11060205</v>
      </c>
      <c r="G697" s="58" t="s">
        <v>513</v>
      </c>
      <c r="H697" s="195"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I697" s="60" t="str">
        <f>INDEX(Tabledaily[العملـــة],MATCH(TableDailyJournal[[#This Row],[رقم العملية]],Tabledaily[رقم العملية],0))</f>
        <v>ريال يمني</v>
      </c>
      <c r="J697" s="196">
        <f>IFERROR(INDEX(Tabledaily[سعــــــر
الصـــــرف],MATCH(C697,Tabledaily[رقم العملية],0)),1)</f>
        <v>405</v>
      </c>
      <c r="K697" s="123" cm="1">
        <f t="array" ref="K697">IFERROR(INDEX(Tabledaily[المبلـــــــغ],MATCH(1,(TableDailyJournal[[#This Row],[رقم العملية]]=Tabledaily[رقم العملية])*(TableDailyJournal[[#This Row],[الحساب]]=Tabledaily[الحســاب المديــــن]),0)),0)</f>
        <v>0</v>
      </c>
      <c r="L697" s="123" cm="1">
        <f t="array" ref="L697">IFERROR(INDEX(Tabledaily[المبلـــــــغ],MATCH(1,(TableDailyJournal[[#This Row],[رقم العملية]]=Tabledaily[رقم العملية])*(TableDailyJournal[[#This Row],[الحساب]]=Tabledaily[الحســاب الدئـــن]),0)),0)</f>
        <v>25000</v>
      </c>
      <c r="M697" s="119">
        <f>IFERROR(TableDailyJournal[[#This Row],[المبلغ مدين]]/TableDailyJournal[[#This Row],[سعــــــر
الصـــــرف]],0)</f>
        <v>0</v>
      </c>
      <c r="N697" s="119">
        <f>IFERROR(TableDailyJournal[[#This Row],[المبلغ دائن]]/TableDailyJournal[[#This Row],[سعــــــر
الصـــــرف]],0)</f>
        <v>61.728395061728392</v>
      </c>
      <c r="O697" s="197" t="str">
        <f>INDEX(Tabledaily[المستفيــــــــد],MATCH(TableDailyJournal[[#This Row],[رقم العملية]],Tabledaily[رقم العملية],0))</f>
        <v>المحاسبين</v>
      </c>
      <c r="P697" s="197" t="str">
        <f>INDEX(Tabledaily[المــــرجـــــــــع],MATCH(TableDailyJournal[[#This Row],[رقم العملية]],Tabledaily[رقم العملية],0))</f>
        <v>كشف صرف</v>
      </c>
      <c r="Q697" s="197" t="str">
        <f>INDEX(Tabledaily[اســـــــم المــــرجــــع],MATCH(TableDailyJournal[[#This Row],[رقم العملية]],Tabledaily[رقم العملية],0))</f>
        <v>كشف صرف</v>
      </c>
      <c r="R697" s="197">
        <f>INDEX(Tabledaily[رقم المـــــرجـــع],MATCH(TableDailyJournal[[#This Row],[رقم العملية]],Tabledaily[رقم العملية],0))</f>
        <v>0</v>
      </c>
      <c r="S697" s="197" t="str">
        <f>INDEX(Tabledaily[مركـــــــزالتكلفــــــة],MATCH(TableDailyJournal[[#This Row],[رقم العملية]],Tabledaily[رقم العملية],0))</f>
        <v>الفرقة الثالثة</v>
      </c>
      <c r="T697" s="197">
        <f>IFERROR(INDEX(tablecost[رقم المركز],MATCH(TableDailyJournal[[#This Row],[مركـــــــزالتكلفــــــة]],tablecost[الاسم],0)),0)</f>
        <v>1</v>
      </c>
      <c r="U697" s="122">
        <f>IFERROR(DATE(TableDailyJournal[[#This Row],[السنــــة]],TableDailyJournal[[#This Row],[الشهــــر]],TableDailyJournal[[#This Row],[الـــــيوم]]),"01-01-2026")</f>
        <v>46194</v>
      </c>
      <c r="V697" s="126"/>
      <c r="W697" s="194"/>
      <c r="X697" s="194">
        <f>IFERROR(YEAR(TableDailyJournal[[#This Row],[التاريخ]]),"")</f>
        <v>2026</v>
      </c>
      <c r="Y697" s="194">
        <f>IFERROR(MONTH(TableDailyJournal[[#This Row],[التاريخ]]),"")</f>
        <v>6</v>
      </c>
      <c r="Z697" s="194">
        <f>IFERROR(DAY(TableDailyJournal[[#This Row],[التاريخ]]),"")</f>
        <v>21</v>
      </c>
      <c r="AA697" s="126" t="str">
        <f>INDEX(Tabledaily[المرجع البياني],MATCH(TableDailyJournal[[#This Row],[رقم العملية]],Tabledaily[رقم العملية],0))</f>
        <v>قيـد مقابـل:- (مصاريف  صرفة يومية للافراد  - المحاسبين - الفرقة الثالثة)  - كشف صرف رقم   كشف صرف - صرف الصرفة اليومية للمحاسبين عدد2 بامر</v>
      </c>
      <c r="AB697" s="197">
        <f>INDEX(Tabledaily[جهة الامر],MATCH(TableDailyJournal[[#This Row],[رقم العملية]],Tabledaily[رقم العملية],0))</f>
        <v>0</v>
      </c>
    </row>
    <row r="698" spans="2:28" ht="45.75" x14ac:dyDescent="0.55000000000000004">
      <c r="B698" s="194">
        <f>ROW()-4</f>
        <v>694</v>
      </c>
      <c r="C698" s="59" t="s">
        <v>1205</v>
      </c>
      <c r="D698" s="60">
        <f>INDEX(Tabledaily[date],MATCH(TableDailyJournal[[#This Row],[رقم العملية]],Tabledaily[رقم العملية],0))</f>
        <v>46194</v>
      </c>
      <c r="E698" s="194" t="str">
        <f>INDEX(Tabledaily[نوع العمليــة],MATCH(TableDailyJournal[[#This Row],[رقم العملية]],Tabledaily[رقم العملية],0))</f>
        <v>قيد عهده</v>
      </c>
      <c r="F698" s="194">
        <f>IFERROR(INDEX(TableJudje[رقم الحساب],MATCH(TableDailyJournal[[#This Row],[الحساب]],TableJudje[اسم الحساب],0)),0)</f>
        <v>31010101</v>
      </c>
      <c r="G698" s="58" t="s">
        <v>111</v>
      </c>
      <c r="H698" s="195"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698" s="60" t="str">
        <f>INDEX(Tabledaily[العملـــة],MATCH(TableDailyJournal[[#This Row],[رقم العملية]],Tabledaily[رقم العملية],0))</f>
        <v>ريال يمني</v>
      </c>
      <c r="J698" s="196">
        <f>IFERROR(INDEX(Tabledaily[سعــــــر
الصـــــرف],MATCH(C698,Tabledaily[رقم العملية],0)),1)</f>
        <v>405</v>
      </c>
      <c r="K698" s="123" cm="1">
        <f t="array" ref="K698">IFERROR(INDEX(Tabledaily[المبلـــــــغ],MATCH(1,(TableDailyJournal[[#This Row],[رقم العملية]]=Tabledaily[رقم العملية])*(TableDailyJournal[[#This Row],[الحساب]]=Tabledaily[الحســاب المديــــن]),0)),0)</f>
        <v>15000</v>
      </c>
      <c r="L698" s="123" cm="1">
        <f t="array" ref="L698">IFERROR(INDEX(Tabledaily[المبلـــــــغ],MATCH(1,(TableDailyJournal[[#This Row],[رقم العملية]]=Tabledaily[رقم العملية])*(TableDailyJournal[[#This Row],[الحساب]]=Tabledaily[الحســاب الدئـــن]),0)),0)</f>
        <v>0</v>
      </c>
      <c r="M698" s="119">
        <f>IFERROR(TableDailyJournal[[#This Row],[المبلغ مدين]]/TableDailyJournal[[#This Row],[سعــــــر
الصـــــرف]],0)</f>
        <v>37.037037037037038</v>
      </c>
      <c r="N698" s="119">
        <f>IFERROR(TableDailyJournal[[#This Row],[المبلغ دائن]]/TableDailyJournal[[#This Row],[سعــــــر
الصـــــرف]],0)</f>
        <v>0</v>
      </c>
      <c r="O698" s="197" t="str">
        <f>INDEX(Tabledaily[المستفيــــــــد],MATCH(TableDailyJournal[[#This Row],[رقم العملية]],Tabledaily[رقم العملية],0))</f>
        <v>البشرية</v>
      </c>
      <c r="P698" s="197" t="str">
        <f>INDEX(Tabledaily[المــــرجـــــــــع],MATCH(TableDailyJournal[[#This Row],[رقم العملية]],Tabledaily[رقم العملية],0))</f>
        <v>كشف صرف</v>
      </c>
      <c r="Q698" s="197" t="str">
        <f>INDEX(Tabledaily[اســـــــم المــــرجــــع],MATCH(TableDailyJournal[[#This Row],[رقم العملية]],Tabledaily[رقم العملية],0))</f>
        <v>كشف صرف</v>
      </c>
      <c r="R698" s="197">
        <f>INDEX(Tabledaily[رقم المـــــرجـــع],MATCH(TableDailyJournal[[#This Row],[رقم العملية]],Tabledaily[رقم العملية],0))</f>
        <v>0</v>
      </c>
      <c r="S698" s="197" t="str">
        <f>INDEX(Tabledaily[مركـــــــزالتكلفــــــة],MATCH(TableDailyJournal[[#This Row],[رقم العملية]],Tabledaily[رقم العملية],0))</f>
        <v>الفرقة الثالثة</v>
      </c>
      <c r="T698" s="197">
        <f>IFERROR(INDEX(tablecost[رقم المركز],MATCH(TableDailyJournal[[#This Row],[مركـــــــزالتكلفــــــة]],tablecost[الاسم],0)),0)</f>
        <v>1</v>
      </c>
      <c r="U698" s="122">
        <f>IFERROR(DATE(TableDailyJournal[[#This Row],[السنــــة]],TableDailyJournal[[#This Row],[الشهــــر]],TableDailyJournal[[#This Row],[الـــــيوم]]),"01-01-2026")</f>
        <v>46194</v>
      </c>
      <c r="V698" s="126"/>
      <c r="W698" s="194"/>
      <c r="X698" s="194">
        <f>IFERROR(YEAR(TableDailyJournal[[#This Row],[التاريخ]]),"")</f>
        <v>2026</v>
      </c>
      <c r="Y698" s="194">
        <f>IFERROR(MONTH(TableDailyJournal[[#This Row],[التاريخ]]),"")</f>
        <v>6</v>
      </c>
      <c r="Z698" s="194">
        <f>IFERROR(DAY(TableDailyJournal[[#This Row],[التاريخ]]),"")</f>
        <v>21</v>
      </c>
      <c r="AA698"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698" s="197">
        <f>INDEX(Tabledaily[جهة الامر],MATCH(TableDailyJournal[[#This Row],[رقم العملية]],Tabledaily[رقم العملية],0))</f>
        <v>0</v>
      </c>
    </row>
    <row r="699" spans="2:28" ht="45.75" x14ac:dyDescent="0.55000000000000004">
      <c r="B699" s="194">
        <f>ROW()-4</f>
        <v>695</v>
      </c>
      <c r="C699" s="59" t="s">
        <v>1205</v>
      </c>
      <c r="D699" s="60">
        <f>INDEX(Tabledaily[date],MATCH(TableDailyJournal[[#This Row],[رقم العملية]],Tabledaily[رقم العملية],0))</f>
        <v>46194</v>
      </c>
      <c r="E699" s="194" t="str">
        <f>INDEX(Tabledaily[نوع العمليــة],MATCH(TableDailyJournal[[#This Row],[رقم العملية]],Tabledaily[رقم العملية],0))</f>
        <v>قيد عهده</v>
      </c>
      <c r="F699" s="194">
        <f>IFERROR(INDEX(TableJudje[رقم الحساب],MATCH(TableDailyJournal[[#This Row],[الحساب]],TableJudje[اسم الحساب],0)),0)</f>
        <v>11060205</v>
      </c>
      <c r="G699" s="58" t="s">
        <v>513</v>
      </c>
      <c r="H699" s="195"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I699" s="60" t="str">
        <f>INDEX(Tabledaily[العملـــة],MATCH(TableDailyJournal[[#This Row],[رقم العملية]],Tabledaily[رقم العملية],0))</f>
        <v>ريال يمني</v>
      </c>
      <c r="J699" s="196">
        <f>IFERROR(INDEX(Tabledaily[سعــــــر
الصـــــرف],MATCH(C699,Tabledaily[رقم العملية],0)),1)</f>
        <v>405</v>
      </c>
      <c r="K699" s="123" cm="1">
        <f t="array" ref="K699">IFERROR(INDEX(Tabledaily[المبلـــــــغ],MATCH(1,(TableDailyJournal[[#This Row],[رقم العملية]]=Tabledaily[رقم العملية])*(TableDailyJournal[[#This Row],[الحساب]]=Tabledaily[الحســاب المديــــن]),0)),0)</f>
        <v>0</v>
      </c>
      <c r="L699" s="123" cm="1">
        <f t="array" ref="L699">IFERROR(INDEX(Tabledaily[المبلـــــــغ],MATCH(1,(TableDailyJournal[[#This Row],[رقم العملية]]=Tabledaily[رقم العملية])*(TableDailyJournal[[#This Row],[الحساب]]=Tabledaily[الحســاب الدئـــن]),0)),0)</f>
        <v>15000</v>
      </c>
      <c r="M699" s="119">
        <f>IFERROR(TableDailyJournal[[#This Row],[المبلغ مدين]]/TableDailyJournal[[#This Row],[سعــــــر
الصـــــرف]],0)</f>
        <v>0</v>
      </c>
      <c r="N699" s="119">
        <f>IFERROR(TableDailyJournal[[#This Row],[المبلغ دائن]]/TableDailyJournal[[#This Row],[سعــــــر
الصـــــرف]],0)</f>
        <v>37.037037037037038</v>
      </c>
      <c r="O699" s="197" t="str">
        <f>INDEX(Tabledaily[المستفيــــــــد],MATCH(TableDailyJournal[[#This Row],[رقم العملية]],Tabledaily[رقم العملية],0))</f>
        <v>البشرية</v>
      </c>
      <c r="P699" s="197" t="str">
        <f>INDEX(Tabledaily[المــــرجـــــــــع],MATCH(TableDailyJournal[[#This Row],[رقم العملية]],Tabledaily[رقم العملية],0))</f>
        <v>كشف صرف</v>
      </c>
      <c r="Q699" s="197" t="str">
        <f>INDEX(Tabledaily[اســـــــم المــــرجــــع],MATCH(TableDailyJournal[[#This Row],[رقم العملية]],Tabledaily[رقم العملية],0))</f>
        <v>كشف صرف</v>
      </c>
      <c r="R699" s="197">
        <f>INDEX(Tabledaily[رقم المـــــرجـــع],MATCH(TableDailyJournal[[#This Row],[رقم العملية]],Tabledaily[رقم العملية],0))</f>
        <v>0</v>
      </c>
      <c r="S699" s="197" t="str">
        <f>INDEX(Tabledaily[مركـــــــزالتكلفــــــة],MATCH(TableDailyJournal[[#This Row],[رقم العملية]],Tabledaily[رقم العملية],0))</f>
        <v>الفرقة الثالثة</v>
      </c>
      <c r="T699" s="197">
        <f>IFERROR(INDEX(tablecost[رقم المركز],MATCH(TableDailyJournal[[#This Row],[مركـــــــزالتكلفــــــة]],tablecost[الاسم],0)),0)</f>
        <v>1</v>
      </c>
      <c r="U699" s="122">
        <f>IFERROR(DATE(TableDailyJournal[[#This Row],[السنــــة]],TableDailyJournal[[#This Row],[الشهــــر]],TableDailyJournal[[#This Row],[الـــــيوم]]),"01-01-2026")</f>
        <v>46194</v>
      </c>
      <c r="V699" s="126"/>
      <c r="W699" s="194"/>
      <c r="X699" s="194">
        <f>IFERROR(YEAR(TableDailyJournal[[#This Row],[التاريخ]]),"")</f>
        <v>2026</v>
      </c>
      <c r="Y699" s="194">
        <f>IFERROR(MONTH(TableDailyJournal[[#This Row],[التاريخ]]),"")</f>
        <v>6</v>
      </c>
      <c r="Z699" s="194">
        <f>IFERROR(DAY(TableDailyJournal[[#This Row],[التاريخ]]),"")</f>
        <v>21</v>
      </c>
      <c r="AA699" s="126" t="str">
        <f>INDEX(Tabledaily[المرجع البياني],MATCH(TableDailyJournal[[#This Row],[رقم العملية]],Tabledaily[رقم العملية],0))</f>
        <v>قيـد مقابـل:- (مصاريف  صرفة يومية للافراد  - البشرية - الفرقة الثالثة)  - كشف صرف رقم   كشف صرف - صرف الصرفة اليومية لافراد البشرية عدد1 بامر</v>
      </c>
      <c r="AB699" s="197">
        <f>INDEX(Tabledaily[جهة الامر],MATCH(TableDailyJournal[[#This Row],[رقم العملية]],Tabledaily[رقم العملية],0))</f>
        <v>0</v>
      </c>
    </row>
    <row r="700" spans="2:28" ht="45.75" x14ac:dyDescent="0.55000000000000004">
      <c r="B700" s="194">
        <f>ROW()-4</f>
        <v>696</v>
      </c>
      <c r="C700" s="59" t="s">
        <v>1206</v>
      </c>
      <c r="D700" s="60">
        <f>INDEX(Tabledaily[date],MATCH(TableDailyJournal[[#This Row],[رقم العملية]],Tabledaily[رقم العملية],0))</f>
        <v>46194</v>
      </c>
      <c r="E700" s="194" t="str">
        <f>INDEX(Tabledaily[نوع العمليــة],MATCH(TableDailyJournal[[#This Row],[رقم العملية]],Tabledaily[رقم العملية],0))</f>
        <v>قيد عهده</v>
      </c>
      <c r="F700" s="194">
        <f>IFERROR(INDEX(TableJudje[رقم الحساب],MATCH(TableDailyJournal[[#This Row],[الحساب]],TableJudje[اسم الحساب],0)),0)</f>
        <v>31010101</v>
      </c>
      <c r="G700" s="58" t="s">
        <v>111</v>
      </c>
      <c r="H700" s="195"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700" s="60" t="str">
        <f>INDEX(Tabledaily[العملـــة],MATCH(TableDailyJournal[[#This Row],[رقم العملية]],Tabledaily[رقم العملية],0))</f>
        <v>ريال يمني</v>
      </c>
      <c r="J700" s="196">
        <f>IFERROR(INDEX(Tabledaily[سعــــــر
الصـــــرف],MATCH(C700,Tabledaily[رقم العملية],0)),1)</f>
        <v>405</v>
      </c>
      <c r="K700" s="123" cm="1">
        <f t="array" ref="K700">IFERROR(INDEX(Tabledaily[المبلـــــــغ],MATCH(1,(TableDailyJournal[[#This Row],[رقم العملية]]=Tabledaily[رقم العملية])*(TableDailyJournal[[#This Row],[الحساب]]=Tabledaily[الحســاب المديــــن]),0)),0)</f>
        <v>80000</v>
      </c>
      <c r="L700" s="123" cm="1">
        <f t="array" ref="L700">IFERROR(INDEX(Tabledaily[المبلـــــــغ],MATCH(1,(TableDailyJournal[[#This Row],[رقم العملية]]=Tabledaily[رقم العملية])*(TableDailyJournal[[#This Row],[الحساب]]=Tabledaily[الحســاب الدئـــن]),0)),0)</f>
        <v>0</v>
      </c>
      <c r="M700" s="119">
        <f>IFERROR(TableDailyJournal[[#This Row],[المبلغ مدين]]/TableDailyJournal[[#This Row],[سعــــــر
الصـــــرف]],0)</f>
        <v>197.53086419753086</v>
      </c>
      <c r="N700" s="119">
        <f>IFERROR(TableDailyJournal[[#This Row],[المبلغ دائن]]/TableDailyJournal[[#This Row],[سعــــــر
الصـــــرف]],0)</f>
        <v>0</v>
      </c>
      <c r="O700" s="197" t="str">
        <f>INDEX(Tabledaily[المستفيــــــــد],MATCH(TableDailyJournal[[#This Row],[رقم العملية]],Tabledaily[رقم العملية],0))</f>
        <v>الاستخبارات</v>
      </c>
      <c r="P700" s="197" t="str">
        <f>INDEX(Tabledaily[المــــرجـــــــــع],MATCH(TableDailyJournal[[#This Row],[رقم العملية]],Tabledaily[رقم العملية],0))</f>
        <v>كشف صرف</v>
      </c>
      <c r="Q700" s="197" t="str">
        <f>INDEX(Tabledaily[اســـــــم المــــرجــــع],MATCH(TableDailyJournal[[#This Row],[رقم العملية]],Tabledaily[رقم العملية],0))</f>
        <v>كشف صرف</v>
      </c>
      <c r="R700" s="197">
        <f>INDEX(Tabledaily[رقم المـــــرجـــع],MATCH(TableDailyJournal[[#This Row],[رقم العملية]],Tabledaily[رقم العملية],0))</f>
        <v>0</v>
      </c>
      <c r="S700" s="197" t="str">
        <f>INDEX(Tabledaily[مركـــــــزالتكلفــــــة],MATCH(TableDailyJournal[[#This Row],[رقم العملية]],Tabledaily[رقم العملية],0))</f>
        <v>الفرقة الثالثة</v>
      </c>
      <c r="T700" s="197">
        <f>IFERROR(INDEX(tablecost[رقم المركز],MATCH(TableDailyJournal[[#This Row],[مركـــــــزالتكلفــــــة]],tablecost[الاسم],0)),0)</f>
        <v>1</v>
      </c>
      <c r="U700" s="122">
        <f>IFERROR(DATE(TableDailyJournal[[#This Row],[السنــــة]],TableDailyJournal[[#This Row],[الشهــــر]],TableDailyJournal[[#This Row],[الـــــيوم]]),"01-01-2026")</f>
        <v>46194</v>
      </c>
      <c r="V700" s="126"/>
      <c r="W700" s="194"/>
      <c r="X700" s="194">
        <f>IFERROR(YEAR(TableDailyJournal[[#This Row],[التاريخ]]),"")</f>
        <v>2026</v>
      </c>
      <c r="Y700" s="194">
        <f>IFERROR(MONTH(TableDailyJournal[[#This Row],[التاريخ]]),"")</f>
        <v>6</v>
      </c>
      <c r="Z700" s="194">
        <f>IFERROR(DAY(TableDailyJournal[[#This Row],[التاريخ]]),"")</f>
        <v>21</v>
      </c>
      <c r="AA700"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700" s="197">
        <f>INDEX(Tabledaily[جهة الامر],MATCH(TableDailyJournal[[#This Row],[رقم العملية]],Tabledaily[رقم العملية],0))</f>
        <v>0</v>
      </c>
    </row>
    <row r="701" spans="2:28" ht="45.75" x14ac:dyDescent="0.55000000000000004">
      <c r="B701" s="194">
        <f>ROW()-4</f>
        <v>697</v>
      </c>
      <c r="C701" s="59" t="s">
        <v>1206</v>
      </c>
      <c r="D701" s="60">
        <f>INDEX(Tabledaily[date],MATCH(TableDailyJournal[[#This Row],[رقم العملية]],Tabledaily[رقم العملية],0))</f>
        <v>46194</v>
      </c>
      <c r="E701" s="194" t="str">
        <f>INDEX(Tabledaily[نوع العمليــة],MATCH(TableDailyJournal[[#This Row],[رقم العملية]],Tabledaily[رقم العملية],0))</f>
        <v>قيد عهده</v>
      </c>
      <c r="F701" s="194">
        <f>IFERROR(INDEX(TableJudje[رقم الحساب],MATCH(TableDailyJournal[[#This Row],[الحساب]],TableJudje[اسم الحساب],0)),0)</f>
        <v>11060205</v>
      </c>
      <c r="G701" s="58" t="s">
        <v>513</v>
      </c>
      <c r="H701" s="195"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I701" s="60" t="str">
        <f>INDEX(Tabledaily[العملـــة],MATCH(TableDailyJournal[[#This Row],[رقم العملية]],Tabledaily[رقم العملية],0))</f>
        <v>ريال يمني</v>
      </c>
      <c r="J701" s="196">
        <f>IFERROR(INDEX(Tabledaily[سعــــــر
الصـــــرف],MATCH(C701,Tabledaily[رقم العملية],0)),1)</f>
        <v>405</v>
      </c>
      <c r="K701" s="123" cm="1">
        <f t="array" ref="K701">IFERROR(INDEX(Tabledaily[المبلـــــــغ],MATCH(1,(TableDailyJournal[[#This Row],[رقم العملية]]=Tabledaily[رقم العملية])*(TableDailyJournal[[#This Row],[الحساب]]=Tabledaily[الحســاب المديــــن]),0)),0)</f>
        <v>0</v>
      </c>
      <c r="L701" s="123" cm="1">
        <f t="array" ref="L701">IFERROR(INDEX(Tabledaily[المبلـــــــغ],MATCH(1,(TableDailyJournal[[#This Row],[رقم العملية]]=Tabledaily[رقم العملية])*(TableDailyJournal[[#This Row],[الحساب]]=Tabledaily[الحســاب الدئـــن]),0)),0)</f>
        <v>80000</v>
      </c>
      <c r="M701" s="119">
        <f>IFERROR(TableDailyJournal[[#This Row],[المبلغ مدين]]/TableDailyJournal[[#This Row],[سعــــــر
الصـــــرف]],0)</f>
        <v>0</v>
      </c>
      <c r="N701" s="119">
        <f>IFERROR(TableDailyJournal[[#This Row],[المبلغ دائن]]/TableDailyJournal[[#This Row],[سعــــــر
الصـــــرف]],0)</f>
        <v>197.53086419753086</v>
      </c>
      <c r="O701" s="197" t="str">
        <f>INDEX(Tabledaily[المستفيــــــــد],MATCH(TableDailyJournal[[#This Row],[رقم العملية]],Tabledaily[رقم العملية],0))</f>
        <v>الاستخبارات</v>
      </c>
      <c r="P701" s="197" t="str">
        <f>INDEX(Tabledaily[المــــرجـــــــــع],MATCH(TableDailyJournal[[#This Row],[رقم العملية]],Tabledaily[رقم العملية],0))</f>
        <v>كشف صرف</v>
      </c>
      <c r="Q701" s="197" t="str">
        <f>INDEX(Tabledaily[اســـــــم المــــرجــــع],MATCH(TableDailyJournal[[#This Row],[رقم العملية]],Tabledaily[رقم العملية],0))</f>
        <v>كشف صرف</v>
      </c>
      <c r="R701" s="197">
        <f>INDEX(Tabledaily[رقم المـــــرجـــع],MATCH(TableDailyJournal[[#This Row],[رقم العملية]],Tabledaily[رقم العملية],0))</f>
        <v>0</v>
      </c>
      <c r="S701" s="197" t="str">
        <f>INDEX(Tabledaily[مركـــــــزالتكلفــــــة],MATCH(TableDailyJournal[[#This Row],[رقم العملية]],Tabledaily[رقم العملية],0))</f>
        <v>الفرقة الثالثة</v>
      </c>
      <c r="T701" s="197">
        <f>IFERROR(INDEX(tablecost[رقم المركز],MATCH(TableDailyJournal[[#This Row],[مركـــــــزالتكلفــــــة]],tablecost[الاسم],0)),0)</f>
        <v>1</v>
      </c>
      <c r="U701" s="122">
        <f>IFERROR(DATE(TableDailyJournal[[#This Row],[السنــــة]],TableDailyJournal[[#This Row],[الشهــــر]],TableDailyJournal[[#This Row],[الـــــيوم]]),"01-01-2026")</f>
        <v>46194</v>
      </c>
      <c r="V701" s="126"/>
      <c r="W701" s="194"/>
      <c r="X701" s="194">
        <f>IFERROR(YEAR(TableDailyJournal[[#This Row],[التاريخ]]),"")</f>
        <v>2026</v>
      </c>
      <c r="Y701" s="194">
        <f>IFERROR(MONTH(TableDailyJournal[[#This Row],[التاريخ]]),"")</f>
        <v>6</v>
      </c>
      <c r="Z701" s="194">
        <f>IFERROR(DAY(TableDailyJournal[[#This Row],[التاريخ]]),"")</f>
        <v>21</v>
      </c>
      <c r="AA701" s="126" t="str">
        <f>INDEX(Tabledaily[المرجع البياني],MATCH(TableDailyJournal[[#This Row],[رقم العملية]],Tabledaily[رقم العملية],0))</f>
        <v>قيـد مقابـل:- (مصاريف  صرفة يومية للافراد  - الاستخبارات - الفرقة الثالثة)  - كشف صرف رقم   كشف صرف - صرف الصرفة اليومية لافراد الاستخبارات عدد 5 افراد بامر</v>
      </c>
      <c r="AB701" s="197">
        <f>INDEX(Tabledaily[جهة الامر],MATCH(TableDailyJournal[[#This Row],[رقم العملية]],Tabledaily[رقم العملية],0))</f>
        <v>0</v>
      </c>
    </row>
    <row r="702" spans="2:28" ht="45.75" x14ac:dyDescent="0.55000000000000004">
      <c r="B702" s="194">
        <f>ROW()-4</f>
        <v>698</v>
      </c>
      <c r="C702" s="59" t="s">
        <v>1207</v>
      </c>
      <c r="D702" s="60">
        <f>INDEX(Tabledaily[date],MATCH(TableDailyJournal[[#This Row],[رقم العملية]],Tabledaily[رقم العملية],0))</f>
        <v>46194</v>
      </c>
      <c r="E702" s="194" t="str">
        <f>INDEX(Tabledaily[نوع العمليــة],MATCH(TableDailyJournal[[#This Row],[رقم العملية]],Tabledaily[رقم العملية],0))</f>
        <v>قيد عهده</v>
      </c>
      <c r="F702" s="194">
        <f>IFERROR(INDEX(TableJudje[رقم الحساب],MATCH(TableDailyJournal[[#This Row],[الحساب]],TableJudje[اسم الحساب],0)),0)</f>
        <v>31010101</v>
      </c>
      <c r="G702" s="58" t="s">
        <v>111</v>
      </c>
      <c r="H702" s="195"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702" s="60" t="str">
        <f>INDEX(Tabledaily[العملـــة],MATCH(TableDailyJournal[[#This Row],[رقم العملية]],Tabledaily[رقم العملية],0))</f>
        <v>ريال يمني</v>
      </c>
      <c r="J702" s="196">
        <f>IFERROR(INDEX(Tabledaily[سعــــــر
الصـــــرف],MATCH(C702,Tabledaily[رقم العملية],0)),1)</f>
        <v>405</v>
      </c>
      <c r="K702" s="123" cm="1">
        <f t="array" ref="K702">IFERROR(INDEX(Tabledaily[المبلـــــــغ],MATCH(1,(TableDailyJournal[[#This Row],[رقم العملية]]=Tabledaily[رقم العملية])*(TableDailyJournal[[#This Row],[الحساب]]=Tabledaily[الحســاب المديــــن]),0)),0)</f>
        <v>45000</v>
      </c>
      <c r="L702" s="123" cm="1">
        <f t="array" ref="L702">IFERROR(INDEX(Tabledaily[المبلـــــــغ],MATCH(1,(TableDailyJournal[[#This Row],[رقم العملية]]=Tabledaily[رقم العملية])*(TableDailyJournal[[#This Row],[الحساب]]=Tabledaily[الحســاب الدئـــن]),0)),0)</f>
        <v>0</v>
      </c>
      <c r="M702" s="119">
        <f>IFERROR(TableDailyJournal[[#This Row],[المبلغ مدين]]/TableDailyJournal[[#This Row],[سعــــــر
الصـــــرف]],0)</f>
        <v>111.11111111111111</v>
      </c>
      <c r="N702" s="119">
        <f>IFERROR(TableDailyJournal[[#This Row],[المبلغ دائن]]/TableDailyJournal[[#This Row],[سعــــــر
الصـــــرف]],0)</f>
        <v>0</v>
      </c>
      <c r="O702" s="197" t="str">
        <f>INDEX(Tabledaily[المستفيــــــــد],MATCH(TableDailyJournal[[#This Row],[رقم العملية]],Tabledaily[رقم العملية],0))</f>
        <v>المدفعية</v>
      </c>
      <c r="P702" s="197" t="str">
        <f>INDEX(Tabledaily[المــــرجـــــــــع],MATCH(TableDailyJournal[[#This Row],[رقم العملية]],Tabledaily[رقم العملية],0))</f>
        <v>كشف صرف</v>
      </c>
      <c r="Q702" s="197" t="str">
        <f>INDEX(Tabledaily[اســـــــم المــــرجــــع],MATCH(TableDailyJournal[[#This Row],[رقم العملية]],Tabledaily[رقم العملية],0))</f>
        <v>كشف صرف</v>
      </c>
      <c r="R702" s="197">
        <f>INDEX(Tabledaily[رقم المـــــرجـــع],MATCH(TableDailyJournal[[#This Row],[رقم العملية]],Tabledaily[رقم العملية],0))</f>
        <v>0</v>
      </c>
      <c r="S702" s="197" t="str">
        <f>INDEX(Tabledaily[مركـــــــزالتكلفــــــة],MATCH(TableDailyJournal[[#This Row],[رقم العملية]],Tabledaily[رقم العملية],0))</f>
        <v>الفرقة الثالثة</v>
      </c>
      <c r="T702" s="197">
        <f>IFERROR(INDEX(tablecost[رقم المركز],MATCH(TableDailyJournal[[#This Row],[مركـــــــزالتكلفــــــة]],tablecost[الاسم],0)),0)</f>
        <v>1</v>
      </c>
      <c r="U702" s="122">
        <f>IFERROR(DATE(TableDailyJournal[[#This Row],[السنــــة]],TableDailyJournal[[#This Row],[الشهــــر]],TableDailyJournal[[#This Row],[الـــــيوم]]),"01-01-2026")</f>
        <v>46194</v>
      </c>
      <c r="V702" s="126"/>
      <c r="W702" s="194"/>
      <c r="X702" s="194">
        <f>IFERROR(YEAR(TableDailyJournal[[#This Row],[التاريخ]]),"")</f>
        <v>2026</v>
      </c>
      <c r="Y702" s="194">
        <f>IFERROR(MONTH(TableDailyJournal[[#This Row],[التاريخ]]),"")</f>
        <v>6</v>
      </c>
      <c r="Z702" s="194">
        <f>IFERROR(DAY(TableDailyJournal[[#This Row],[التاريخ]]),"")</f>
        <v>21</v>
      </c>
      <c r="AA702"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702" s="197">
        <f>INDEX(Tabledaily[جهة الامر],MATCH(TableDailyJournal[[#This Row],[رقم العملية]],Tabledaily[رقم العملية],0))</f>
        <v>0</v>
      </c>
    </row>
    <row r="703" spans="2:28" ht="45.75" x14ac:dyDescent="0.55000000000000004">
      <c r="B703" s="194">
        <f>ROW()-4</f>
        <v>699</v>
      </c>
      <c r="C703" s="59" t="s">
        <v>1207</v>
      </c>
      <c r="D703" s="60">
        <f>INDEX(Tabledaily[date],MATCH(TableDailyJournal[[#This Row],[رقم العملية]],Tabledaily[رقم العملية],0))</f>
        <v>46194</v>
      </c>
      <c r="E703" s="194" t="str">
        <f>INDEX(Tabledaily[نوع العمليــة],MATCH(TableDailyJournal[[#This Row],[رقم العملية]],Tabledaily[رقم العملية],0))</f>
        <v>قيد عهده</v>
      </c>
      <c r="F703" s="194">
        <f>IFERROR(INDEX(TableJudje[رقم الحساب],MATCH(TableDailyJournal[[#This Row],[الحساب]],TableJudje[اسم الحساب],0)),0)</f>
        <v>11060205</v>
      </c>
      <c r="G703" s="58" t="s">
        <v>513</v>
      </c>
      <c r="H703" s="195"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I703" s="60" t="str">
        <f>INDEX(Tabledaily[العملـــة],MATCH(TableDailyJournal[[#This Row],[رقم العملية]],Tabledaily[رقم العملية],0))</f>
        <v>ريال يمني</v>
      </c>
      <c r="J703" s="196">
        <f>IFERROR(INDEX(Tabledaily[سعــــــر
الصـــــرف],MATCH(C703,Tabledaily[رقم العملية],0)),1)</f>
        <v>405</v>
      </c>
      <c r="K703" s="123" cm="1">
        <f t="array" ref="K703">IFERROR(INDEX(Tabledaily[المبلـــــــغ],MATCH(1,(TableDailyJournal[[#This Row],[رقم العملية]]=Tabledaily[رقم العملية])*(TableDailyJournal[[#This Row],[الحساب]]=Tabledaily[الحســاب المديــــن]),0)),0)</f>
        <v>0</v>
      </c>
      <c r="L703" s="123" cm="1">
        <f t="array" ref="L703">IFERROR(INDEX(Tabledaily[المبلـــــــغ],MATCH(1,(TableDailyJournal[[#This Row],[رقم العملية]]=Tabledaily[رقم العملية])*(TableDailyJournal[[#This Row],[الحساب]]=Tabledaily[الحســاب الدئـــن]),0)),0)</f>
        <v>45000</v>
      </c>
      <c r="M703" s="119">
        <f>IFERROR(TableDailyJournal[[#This Row],[المبلغ مدين]]/TableDailyJournal[[#This Row],[سعــــــر
الصـــــرف]],0)</f>
        <v>0</v>
      </c>
      <c r="N703" s="119">
        <f>IFERROR(TableDailyJournal[[#This Row],[المبلغ دائن]]/TableDailyJournal[[#This Row],[سعــــــر
الصـــــرف]],0)</f>
        <v>111.11111111111111</v>
      </c>
      <c r="O703" s="197" t="str">
        <f>INDEX(Tabledaily[المستفيــــــــد],MATCH(TableDailyJournal[[#This Row],[رقم العملية]],Tabledaily[رقم العملية],0))</f>
        <v>المدفعية</v>
      </c>
      <c r="P703" s="197" t="str">
        <f>INDEX(Tabledaily[المــــرجـــــــــع],MATCH(TableDailyJournal[[#This Row],[رقم العملية]],Tabledaily[رقم العملية],0))</f>
        <v>كشف صرف</v>
      </c>
      <c r="Q703" s="197" t="str">
        <f>INDEX(Tabledaily[اســـــــم المــــرجــــع],MATCH(TableDailyJournal[[#This Row],[رقم العملية]],Tabledaily[رقم العملية],0))</f>
        <v>كشف صرف</v>
      </c>
      <c r="R703" s="197">
        <f>INDEX(Tabledaily[رقم المـــــرجـــع],MATCH(TableDailyJournal[[#This Row],[رقم العملية]],Tabledaily[رقم العملية],0))</f>
        <v>0</v>
      </c>
      <c r="S703" s="197" t="str">
        <f>INDEX(Tabledaily[مركـــــــزالتكلفــــــة],MATCH(TableDailyJournal[[#This Row],[رقم العملية]],Tabledaily[رقم العملية],0))</f>
        <v>الفرقة الثالثة</v>
      </c>
      <c r="T703" s="197">
        <f>IFERROR(INDEX(tablecost[رقم المركز],MATCH(TableDailyJournal[[#This Row],[مركـــــــزالتكلفــــــة]],tablecost[الاسم],0)),0)</f>
        <v>1</v>
      </c>
      <c r="U703" s="122">
        <f>IFERROR(DATE(TableDailyJournal[[#This Row],[السنــــة]],TableDailyJournal[[#This Row],[الشهــــر]],TableDailyJournal[[#This Row],[الـــــيوم]]),"01-01-2026")</f>
        <v>46194</v>
      </c>
      <c r="V703" s="126"/>
      <c r="W703" s="194"/>
      <c r="X703" s="194">
        <f>IFERROR(YEAR(TableDailyJournal[[#This Row],[التاريخ]]),"")</f>
        <v>2026</v>
      </c>
      <c r="Y703" s="194">
        <f>IFERROR(MONTH(TableDailyJournal[[#This Row],[التاريخ]]),"")</f>
        <v>6</v>
      </c>
      <c r="Z703" s="194">
        <f>IFERROR(DAY(TableDailyJournal[[#This Row],[التاريخ]]),"")</f>
        <v>21</v>
      </c>
      <c r="AA703" s="126" t="str">
        <f>INDEX(Tabledaily[المرجع البياني],MATCH(TableDailyJournal[[#This Row],[رقم العملية]],Tabledaily[رقم العملية],0))</f>
        <v>قيـد مقابـل:- (مصاريف  صرفة يومية للافراد  - المدفعية - الفرقة الثالثة)  - كشف صرف رقم   كشف صرف - صرف الصرفة اليومية لافراد المدفعية عدد 5 افراد بامر</v>
      </c>
      <c r="AB703" s="197">
        <f>INDEX(Tabledaily[جهة الامر],MATCH(TableDailyJournal[[#This Row],[رقم العملية]],Tabledaily[رقم العملية],0))</f>
        <v>0</v>
      </c>
    </row>
    <row r="704" spans="2:28" ht="67.5" x14ac:dyDescent="0.55000000000000004">
      <c r="B704" s="194">
        <f>ROW()-4</f>
        <v>700</v>
      </c>
      <c r="C704" s="59" t="s">
        <v>1208</v>
      </c>
      <c r="D704" s="60">
        <f>INDEX(Tabledaily[date],MATCH(TableDailyJournal[[#This Row],[رقم العملية]],Tabledaily[رقم العملية],0))</f>
        <v>46194</v>
      </c>
      <c r="E704" s="194" t="str">
        <f>INDEX(Tabledaily[نوع العمليــة],MATCH(TableDailyJournal[[#This Row],[رقم العملية]],Tabledaily[رقم العملية],0))</f>
        <v>قيد عهده</v>
      </c>
      <c r="F704" s="194">
        <f>IFERROR(INDEX(TableJudje[رقم الحساب],MATCH(TableDailyJournal[[#This Row],[الحساب]],TableJudje[اسم الحساب],0)),0)</f>
        <v>31010101</v>
      </c>
      <c r="G704" s="58" t="s">
        <v>111</v>
      </c>
      <c r="H704" s="195"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10 بامر</v>
      </c>
      <c r="I704" s="60" t="str">
        <f>INDEX(Tabledaily[العملـــة],MATCH(TableDailyJournal[[#This Row],[رقم العملية]],Tabledaily[رقم العملية],0))</f>
        <v>ريال يمني</v>
      </c>
      <c r="J704" s="196">
        <f>IFERROR(INDEX(Tabledaily[سعــــــر
الصـــــرف],MATCH(C704,Tabledaily[رقم العملية],0)),1)</f>
        <v>405</v>
      </c>
      <c r="K704" s="123" cm="1">
        <f t="array" ref="K704">IFERROR(INDEX(Tabledaily[المبلـــــــغ],MATCH(1,(TableDailyJournal[[#This Row],[رقم العملية]]=Tabledaily[رقم العملية])*(TableDailyJournal[[#This Row],[الحساب]]=Tabledaily[الحســاب المديــــن]),0)),0)</f>
        <v>102000</v>
      </c>
      <c r="L704" s="123" cm="1">
        <f t="array" ref="L704">IFERROR(INDEX(Tabledaily[المبلـــــــغ],MATCH(1,(TableDailyJournal[[#This Row],[رقم العملية]]=Tabledaily[رقم العملية])*(TableDailyJournal[[#This Row],[الحساب]]=Tabledaily[الحســاب الدئـــن]),0)),0)</f>
        <v>0</v>
      </c>
      <c r="M704" s="119">
        <f>IFERROR(TableDailyJournal[[#This Row],[المبلغ مدين]]/TableDailyJournal[[#This Row],[سعــــــر
الصـــــرف]],0)</f>
        <v>251.85185185185185</v>
      </c>
      <c r="N704" s="119">
        <f>IFERROR(TableDailyJournal[[#This Row],[المبلغ دائن]]/TableDailyJournal[[#This Row],[سعــــــر
الصـــــرف]],0)</f>
        <v>0</v>
      </c>
      <c r="O704" s="197" t="str">
        <f>INDEX(Tabledaily[المستفيــــــــد],MATCH(TableDailyJournal[[#This Row],[رقم العملية]],Tabledaily[رقم العملية],0))</f>
        <v>المستشارين والمساعدين</v>
      </c>
      <c r="P704" s="197" t="str">
        <f>INDEX(Tabledaily[المــــرجـــــــــع],MATCH(TableDailyJournal[[#This Row],[رقم العملية]],Tabledaily[رقم العملية],0))</f>
        <v>كشف صرف</v>
      </c>
      <c r="Q704" s="197" t="str">
        <f>INDEX(Tabledaily[اســـــــم المــــرجــــع],MATCH(TableDailyJournal[[#This Row],[رقم العملية]],Tabledaily[رقم العملية],0))</f>
        <v>كشف صرف</v>
      </c>
      <c r="R704" s="197">
        <f>INDEX(Tabledaily[رقم المـــــرجـــع],MATCH(TableDailyJournal[[#This Row],[رقم العملية]],Tabledaily[رقم العملية],0))</f>
        <v>0</v>
      </c>
      <c r="S704" s="197" t="str">
        <f>INDEX(Tabledaily[مركـــــــزالتكلفــــــة],MATCH(TableDailyJournal[[#This Row],[رقم العملية]],Tabledaily[رقم العملية],0))</f>
        <v>الفرقة الثالثة</v>
      </c>
      <c r="T704" s="197">
        <f>IFERROR(INDEX(tablecost[رقم المركز],MATCH(TableDailyJournal[[#This Row],[مركـــــــزالتكلفــــــة]],tablecost[الاسم],0)),0)</f>
        <v>1</v>
      </c>
      <c r="U704" s="122">
        <f>IFERROR(DATE(TableDailyJournal[[#This Row],[السنــــة]],TableDailyJournal[[#This Row],[الشهــــر]],TableDailyJournal[[#This Row],[الـــــيوم]]),"01-01-2026")</f>
        <v>46194</v>
      </c>
      <c r="V704" s="126"/>
      <c r="W704" s="194"/>
      <c r="X704" s="194">
        <f>IFERROR(YEAR(TableDailyJournal[[#This Row],[التاريخ]]),"")</f>
        <v>2026</v>
      </c>
      <c r="Y704" s="194">
        <f>IFERROR(MONTH(TableDailyJournal[[#This Row],[التاريخ]]),"")</f>
        <v>6</v>
      </c>
      <c r="Z704" s="194">
        <f>IFERROR(DAY(TableDailyJournal[[#This Row],[التاريخ]]),"")</f>
        <v>21</v>
      </c>
      <c r="AA704"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10 بامر</v>
      </c>
      <c r="AB704" s="197">
        <f>INDEX(Tabledaily[جهة الامر],MATCH(TableDailyJournal[[#This Row],[رقم العملية]],Tabledaily[رقم العملية],0))</f>
        <v>0</v>
      </c>
    </row>
    <row r="705" spans="2:28" ht="67.5" x14ac:dyDescent="0.55000000000000004">
      <c r="B705" s="194">
        <f>ROW()-4</f>
        <v>701</v>
      </c>
      <c r="C705" s="59" t="s">
        <v>1208</v>
      </c>
      <c r="D705" s="60">
        <f>INDEX(Tabledaily[date],MATCH(TableDailyJournal[[#This Row],[رقم العملية]],Tabledaily[رقم العملية],0))</f>
        <v>46194</v>
      </c>
      <c r="E705" s="194" t="str">
        <f>INDEX(Tabledaily[نوع العمليــة],MATCH(TableDailyJournal[[#This Row],[رقم العملية]],Tabledaily[رقم العملية],0))</f>
        <v>قيد عهده</v>
      </c>
      <c r="F705" s="194">
        <f>IFERROR(INDEX(TableJudje[رقم الحساب],MATCH(TableDailyJournal[[#This Row],[الحساب]],TableJudje[اسم الحساب],0)),0)</f>
        <v>11060205</v>
      </c>
      <c r="G705" s="58" t="s">
        <v>513</v>
      </c>
      <c r="H705" s="195"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10 بامر</v>
      </c>
      <c r="I705" s="60" t="str">
        <f>INDEX(Tabledaily[العملـــة],MATCH(TableDailyJournal[[#This Row],[رقم العملية]],Tabledaily[رقم العملية],0))</f>
        <v>ريال يمني</v>
      </c>
      <c r="J705" s="196">
        <f>IFERROR(INDEX(Tabledaily[سعــــــر
الصـــــرف],MATCH(C705,Tabledaily[رقم العملية],0)),1)</f>
        <v>405</v>
      </c>
      <c r="K705" s="123" cm="1">
        <f t="array" ref="K705">IFERROR(INDEX(Tabledaily[المبلـــــــغ],MATCH(1,(TableDailyJournal[[#This Row],[رقم العملية]]=Tabledaily[رقم العملية])*(TableDailyJournal[[#This Row],[الحساب]]=Tabledaily[الحســاب المديــــن]),0)),0)</f>
        <v>0</v>
      </c>
      <c r="L705" s="123" cm="1">
        <f t="array" ref="L705">IFERROR(INDEX(Tabledaily[المبلـــــــغ],MATCH(1,(TableDailyJournal[[#This Row],[رقم العملية]]=Tabledaily[رقم العملية])*(TableDailyJournal[[#This Row],[الحساب]]=Tabledaily[الحســاب الدئـــن]),0)),0)</f>
        <v>102000</v>
      </c>
      <c r="M705" s="119">
        <f>IFERROR(TableDailyJournal[[#This Row],[المبلغ مدين]]/TableDailyJournal[[#This Row],[سعــــــر
الصـــــرف]],0)</f>
        <v>0</v>
      </c>
      <c r="N705" s="119">
        <f>IFERROR(TableDailyJournal[[#This Row],[المبلغ دائن]]/TableDailyJournal[[#This Row],[سعــــــر
الصـــــرف]],0)</f>
        <v>251.85185185185185</v>
      </c>
      <c r="O705" s="197" t="str">
        <f>INDEX(Tabledaily[المستفيــــــــد],MATCH(TableDailyJournal[[#This Row],[رقم العملية]],Tabledaily[رقم العملية],0))</f>
        <v>المستشارين والمساعدين</v>
      </c>
      <c r="P705" s="197" t="str">
        <f>INDEX(Tabledaily[المــــرجـــــــــع],MATCH(TableDailyJournal[[#This Row],[رقم العملية]],Tabledaily[رقم العملية],0))</f>
        <v>كشف صرف</v>
      </c>
      <c r="Q705" s="197" t="str">
        <f>INDEX(Tabledaily[اســـــــم المــــرجــــع],MATCH(TableDailyJournal[[#This Row],[رقم العملية]],Tabledaily[رقم العملية],0))</f>
        <v>كشف صرف</v>
      </c>
      <c r="R705" s="197">
        <f>INDEX(Tabledaily[رقم المـــــرجـــع],MATCH(TableDailyJournal[[#This Row],[رقم العملية]],Tabledaily[رقم العملية],0))</f>
        <v>0</v>
      </c>
      <c r="S705" s="197" t="str">
        <f>INDEX(Tabledaily[مركـــــــزالتكلفــــــة],MATCH(TableDailyJournal[[#This Row],[رقم العملية]],Tabledaily[رقم العملية],0))</f>
        <v>الفرقة الثالثة</v>
      </c>
      <c r="T705" s="197">
        <f>IFERROR(INDEX(tablecost[رقم المركز],MATCH(TableDailyJournal[[#This Row],[مركـــــــزالتكلفــــــة]],tablecost[الاسم],0)),0)</f>
        <v>1</v>
      </c>
      <c r="U705" s="122">
        <f>IFERROR(DATE(TableDailyJournal[[#This Row],[السنــــة]],TableDailyJournal[[#This Row],[الشهــــر]],TableDailyJournal[[#This Row],[الـــــيوم]]),"01-01-2026")</f>
        <v>46194</v>
      </c>
      <c r="V705" s="126"/>
      <c r="W705" s="194"/>
      <c r="X705" s="194">
        <f>IFERROR(YEAR(TableDailyJournal[[#This Row],[التاريخ]]),"")</f>
        <v>2026</v>
      </c>
      <c r="Y705" s="194">
        <f>IFERROR(MONTH(TableDailyJournal[[#This Row],[التاريخ]]),"")</f>
        <v>6</v>
      </c>
      <c r="Z705" s="194">
        <f>IFERROR(DAY(TableDailyJournal[[#This Row],[التاريخ]]),"")</f>
        <v>21</v>
      </c>
      <c r="AA705" s="126" t="str">
        <f>INDEX(Tabledaily[المرجع البياني],MATCH(TableDailyJournal[[#This Row],[رقم العملية]],Tabledaily[رقم العملية],0))</f>
        <v>قيـد مقابـل:- (مصاريف  صرفة يومية للافراد  - المستشارين والمساعدين - الفرقة الثالثة)  - كشف صرف رقم   كشف صرف - صرف الصرفة اليومية للمستشارين والمساعدين عدد 10 بامر</v>
      </c>
      <c r="AB705" s="197">
        <f>INDEX(Tabledaily[جهة الامر],MATCH(TableDailyJournal[[#This Row],[رقم العملية]],Tabledaily[رقم العملية],0))</f>
        <v>0</v>
      </c>
    </row>
    <row r="706" spans="2:28" ht="45.75" x14ac:dyDescent="0.55000000000000004">
      <c r="B706" s="194">
        <f>ROW()-4</f>
        <v>702</v>
      </c>
      <c r="C706" s="59" t="s">
        <v>1210</v>
      </c>
      <c r="D706" s="60">
        <f>INDEX(Tabledaily[date],MATCH(TableDailyJournal[[#This Row],[رقم العملية]],Tabledaily[رقم العملية],0))</f>
        <v>46194</v>
      </c>
      <c r="E706" s="194" t="str">
        <f>INDEX(Tabledaily[نوع العمليــة],MATCH(TableDailyJournal[[#This Row],[رقم العملية]],Tabledaily[رقم العملية],0))</f>
        <v>قيد عهده</v>
      </c>
      <c r="F706" s="194">
        <f>IFERROR(INDEX(TableJudje[رقم الحساب],MATCH(TableDailyJournal[[#This Row],[الحساب]],TableJudje[اسم الحساب],0)),0)</f>
        <v>31010101</v>
      </c>
      <c r="G706" s="58" t="s">
        <v>111</v>
      </c>
      <c r="H706" s="195"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706" s="60" t="str">
        <f>INDEX(Tabledaily[العملـــة],MATCH(TableDailyJournal[[#This Row],[رقم العملية]],Tabledaily[رقم العملية],0))</f>
        <v>ريال يمني</v>
      </c>
      <c r="J706" s="196">
        <f>IFERROR(INDEX(Tabledaily[سعــــــر
الصـــــرف],MATCH(C706,Tabledaily[رقم العملية],0)),1)</f>
        <v>405</v>
      </c>
      <c r="K706" s="123" cm="1">
        <f t="array" ref="K706">IFERROR(INDEX(Tabledaily[المبلـــــــغ],MATCH(1,(TableDailyJournal[[#This Row],[رقم العملية]]=Tabledaily[رقم العملية])*(TableDailyJournal[[#This Row],[الحساب]]=Tabledaily[الحســاب المديــــن]),0)),0)</f>
        <v>18000</v>
      </c>
      <c r="L706" s="123" cm="1">
        <f t="array" ref="L706">IFERROR(INDEX(Tabledaily[المبلـــــــغ],MATCH(1,(TableDailyJournal[[#This Row],[رقم العملية]]=Tabledaily[رقم العملية])*(TableDailyJournal[[#This Row],[الحساب]]=Tabledaily[الحســاب الدئـــن]),0)),0)</f>
        <v>0</v>
      </c>
      <c r="M706" s="119">
        <f>IFERROR(TableDailyJournal[[#This Row],[المبلغ مدين]]/TableDailyJournal[[#This Row],[سعــــــر
الصـــــرف]],0)</f>
        <v>44.444444444444443</v>
      </c>
      <c r="N706" s="119">
        <f>IFERROR(TableDailyJournal[[#This Row],[المبلغ دائن]]/TableDailyJournal[[#This Row],[سعــــــر
الصـــــرف]],0)</f>
        <v>0</v>
      </c>
      <c r="O706" s="197" t="str">
        <f>INDEX(Tabledaily[المستفيــــــــد],MATCH(TableDailyJournal[[#This Row],[رقم العملية]],Tabledaily[رقم العملية],0))</f>
        <v>طقم اللواء السابع</v>
      </c>
      <c r="P706" s="197" t="str">
        <f>INDEX(Tabledaily[المــــرجـــــــــع],MATCH(TableDailyJournal[[#This Row],[رقم العملية]],Tabledaily[رقم العملية],0))</f>
        <v>كشف صرف</v>
      </c>
      <c r="Q706" s="197" t="str">
        <f>INDEX(Tabledaily[اســـــــم المــــرجــــع],MATCH(TableDailyJournal[[#This Row],[رقم العملية]],Tabledaily[رقم العملية],0))</f>
        <v>كشف صرف</v>
      </c>
      <c r="R706" s="197">
        <f>INDEX(Tabledaily[رقم المـــــرجـــع],MATCH(TableDailyJournal[[#This Row],[رقم العملية]],Tabledaily[رقم العملية],0))</f>
        <v>0</v>
      </c>
      <c r="S706" s="197" t="str">
        <f>INDEX(Tabledaily[مركـــــــزالتكلفــــــة],MATCH(TableDailyJournal[[#This Row],[رقم العملية]],Tabledaily[رقم العملية],0))</f>
        <v>الفرقة الثالثة</v>
      </c>
      <c r="T706" s="197">
        <f>IFERROR(INDEX(tablecost[رقم المركز],MATCH(TableDailyJournal[[#This Row],[مركـــــــزالتكلفــــــة]],tablecost[الاسم],0)),0)</f>
        <v>1</v>
      </c>
      <c r="U706" s="122">
        <f>IFERROR(DATE(TableDailyJournal[[#This Row],[السنــــة]],TableDailyJournal[[#This Row],[الشهــــر]],TableDailyJournal[[#This Row],[الـــــيوم]]),"01-01-2026")</f>
        <v>46194</v>
      </c>
      <c r="V706" s="126"/>
      <c r="W706" s="194"/>
      <c r="X706" s="194">
        <f>IFERROR(YEAR(TableDailyJournal[[#This Row],[التاريخ]]),"")</f>
        <v>2026</v>
      </c>
      <c r="Y706" s="194">
        <f>IFERROR(MONTH(TableDailyJournal[[#This Row],[التاريخ]]),"")</f>
        <v>6</v>
      </c>
      <c r="Z706" s="194">
        <f>IFERROR(DAY(TableDailyJournal[[#This Row],[التاريخ]]),"")</f>
        <v>21</v>
      </c>
      <c r="AA706"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706" s="197">
        <f>INDEX(Tabledaily[جهة الامر],MATCH(TableDailyJournal[[#This Row],[رقم العملية]],Tabledaily[رقم العملية],0))</f>
        <v>0</v>
      </c>
    </row>
    <row r="707" spans="2:28" ht="45.75" x14ac:dyDescent="0.55000000000000004">
      <c r="B707" s="194">
        <f>ROW()-4</f>
        <v>703</v>
      </c>
      <c r="C707" s="59" t="s">
        <v>1210</v>
      </c>
      <c r="D707" s="60">
        <f>INDEX(Tabledaily[date],MATCH(TableDailyJournal[[#This Row],[رقم العملية]],Tabledaily[رقم العملية],0))</f>
        <v>46194</v>
      </c>
      <c r="E707" s="194" t="str">
        <f>INDEX(Tabledaily[نوع العمليــة],MATCH(TableDailyJournal[[#This Row],[رقم العملية]],Tabledaily[رقم العملية],0))</f>
        <v>قيد عهده</v>
      </c>
      <c r="F707" s="194">
        <f>IFERROR(INDEX(TableJudje[رقم الحساب],MATCH(TableDailyJournal[[#This Row],[الحساب]],TableJudje[اسم الحساب],0)),0)</f>
        <v>11060205</v>
      </c>
      <c r="G707" s="58" t="s">
        <v>513</v>
      </c>
      <c r="H707" s="195"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I707" s="60" t="str">
        <f>INDEX(Tabledaily[العملـــة],MATCH(TableDailyJournal[[#This Row],[رقم العملية]],Tabledaily[رقم العملية],0))</f>
        <v>ريال يمني</v>
      </c>
      <c r="J707" s="196">
        <f>IFERROR(INDEX(Tabledaily[سعــــــر
الصـــــرف],MATCH(C707,Tabledaily[رقم العملية],0)),1)</f>
        <v>405</v>
      </c>
      <c r="K707" s="123" cm="1">
        <f t="array" ref="K707">IFERROR(INDEX(Tabledaily[المبلـــــــغ],MATCH(1,(TableDailyJournal[[#This Row],[رقم العملية]]=Tabledaily[رقم العملية])*(TableDailyJournal[[#This Row],[الحساب]]=Tabledaily[الحســاب المديــــن]),0)),0)</f>
        <v>0</v>
      </c>
      <c r="L707" s="123" cm="1">
        <f t="array" ref="L707">IFERROR(INDEX(Tabledaily[المبلـــــــغ],MATCH(1,(TableDailyJournal[[#This Row],[رقم العملية]]=Tabledaily[رقم العملية])*(TableDailyJournal[[#This Row],[الحساب]]=Tabledaily[الحســاب الدئـــن]),0)),0)</f>
        <v>18000</v>
      </c>
      <c r="M707" s="119">
        <f>IFERROR(TableDailyJournal[[#This Row],[المبلغ مدين]]/TableDailyJournal[[#This Row],[سعــــــر
الصـــــرف]],0)</f>
        <v>0</v>
      </c>
      <c r="N707" s="119">
        <f>IFERROR(TableDailyJournal[[#This Row],[المبلغ دائن]]/TableDailyJournal[[#This Row],[سعــــــر
الصـــــرف]],0)</f>
        <v>44.444444444444443</v>
      </c>
      <c r="O707" s="197" t="str">
        <f>INDEX(Tabledaily[المستفيــــــــد],MATCH(TableDailyJournal[[#This Row],[رقم العملية]],Tabledaily[رقم العملية],0))</f>
        <v>طقم اللواء السابع</v>
      </c>
      <c r="P707" s="197" t="str">
        <f>INDEX(Tabledaily[المــــرجـــــــــع],MATCH(TableDailyJournal[[#This Row],[رقم العملية]],Tabledaily[رقم العملية],0))</f>
        <v>كشف صرف</v>
      </c>
      <c r="Q707" s="197" t="str">
        <f>INDEX(Tabledaily[اســـــــم المــــرجــــع],MATCH(TableDailyJournal[[#This Row],[رقم العملية]],Tabledaily[رقم العملية],0))</f>
        <v>كشف صرف</v>
      </c>
      <c r="R707" s="197">
        <f>INDEX(Tabledaily[رقم المـــــرجـــع],MATCH(TableDailyJournal[[#This Row],[رقم العملية]],Tabledaily[رقم العملية],0))</f>
        <v>0</v>
      </c>
      <c r="S707" s="197" t="str">
        <f>INDEX(Tabledaily[مركـــــــزالتكلفــــــة],MATCH(TableDailyJournal[[#This Row],[رقم العملية]],Tabledaily[رقم العملية],0))</f>
        <v>الفرقة الثالثة</v>
      </c>
      <c r="T707" s="197">
        <f>IFERROR(INDEX(tablecost[رقم المركز],MATCH(TableDailyJournal[[#This Row],[مركـــــــزالتكلفــــــة]],tablecost[الاسم],0)),0)</f>
        <v>1</v>
      </c>
      <c r="U707" s="122">
        <f>IFERROR(DATE(TableDailyJournal[[#This Row],[السنــــة]],TableDailyJournal[[#This Row],[الشهــــر]],TableDailyJournal[[#This Row],[الـــــيوم]]),"01-01-2026")</f>
        <v>46194</v>
      </c>
      <c r="V707" s="126"/>
      <c r="W707" s="194"/>
      <c r="X707" s="194">
        <f>IFERROR(YEAR(TableDailyJournal[[#This Row],[التاريخ]]),"")</f>
        <v>2026</v>
      </c>
      <c r="Y707" s="194">
        <f>IFERROR(MONTH(TableDailyJournal[[#This Row],[التاريخ]]),"")</f>
        <v>6</v>
      </c>
      <c r="Z707" s="194">
        <f>IFERROR(DAY(TableDailyJournal[[#This Row],[التاريخ]]),"")</f>
        <v>21</v>
      </c>
      <c r="AA707" s="126" t="str">
        <f>INDEX(Tabledaily[المرجع البياني],MATCH(TableDailyJournal[[#This Row],[رقم العملية]],Tabledaily[رقم العملية],0))</f>
        <v>قيـد مقابـل:- (مصاريف  صرفة يومية للافراد  - طقم اللواء السابع - الفرقة الثالثة)  - كشف صرف رقم   كشف صرف - صرف الصرفة اليومية لافراد طقم اللواء السابع عدد3 افراد بامر</v>
      </c>
      <c r="AB707" s="197">
        <f>INDEX(Tabledaily[جهة الامر],MATCH(TableDailyJournal[[#This Row],[رقم العملية]],Tabledaily[رقم العملية],0))</f>
        <v>0</v>
      </c>
    </row>
    <row r="708" spans="2:28" ht="45.75" x14ac:dyDescent="0.55000000000000004">
      <c r="B708" s="194">
        <f>ROW()-4</f>
        <v>704</v>
      </c>
      <c r="C708" s="59" t="s">
        <v>1211</v>
      </c>
      <c r="D708" s="60">
        <f>INDEX(Tabledaily[date],MATCH(TableDailyJournal[[#This Row],[رقم العملية]],Tabledaily[رقم العملية],0))</f>
        <v>46194</v>
      </c>
      <c r="E708" s="194" t="str">
        <f>INDEX(Tabledaily[نوع العمليــة],MATCH(TableDailyJournal[[#This Row],[رقم العملية]],Tabledaily[رقم العملية],0))</f>
        <v>قيد عهده</v>
      </c>
      <c r="F708" s="194">
        <f>IFERROR(INDEX(TableJudje[رقم الحساب],MATCH(TableDailyJournal[[#This Row],[الحساب]],TableJudje[اسم الحساب],0)),0)</f>
        <v>31010101</v>
      </c>
      <c r="G708" s="58" t="s">
        <v>111</v>
      </c>
      <c r="H708" s="195"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708" s="60" t="str">
        <f>INDEX(Tabledaily[العملـــة],MATCH(TableDailyJournal[[#This Row],[رقم العملية]],Tabledaily[رقم العملية],0))</f>
        <v>ريال يمني</v>
      </c>
      <c r="J708" s="196">
        <f>IFERROR(INDEX(Tabledaily[سعــــــر
الصـــــرف],MATCH(C708,Tabledaily[رقم العملية],0)),1)</f>
        <v>405</v>
      </c>
      <c r="K708" s="123" cm="1">
        <f t="array" ref="K708">IFERROR(INDEX(Tabledaily[المبلـــــــغ],MATCH(1,(TableDailyJournal[[#This Row],[رقم العملية]]=Tabledaily[رقم العملية])*(TableDailyJournal[[#This Row],[الحساب]]=Tabledaily[الحســاب المديــــن]),0)),0)</f>
        <v>25000</v>
      </c>
      <c r="L708" s="123" cm="1">
        <f t="array" ref="L708">IFERROR(INDEX(Tabledaily[المبلـــــــغ],MATCH(1,(TableDailyJournal[[#This Row],[رقم العملية]]=Tabledaily[رقم العملية])*(TableDailyJournal[[#This Row],[الحساب]]=Tabledaily[الحســاب الدئـــن]),0)),0)</f>
        <v>0</v>
      </c>
      <c r="M708" s="119">
        <f>IFERROR(TableDailyJournal[[#This Row],[المبلغ مدين]]/TableDailyJournal[[#This Row],[سعــــــر
الصـــــرف]],0)</f>
        <v>61.728395061728392</v>
      </c>
      <c r="N708" s="119">
        <f>IFERROR(TableDailyJournal[[#This Row],[المبلغ دائن]]/TableDailyJournal[[#This Row],[سعــــــر
الصـــــرف]],0)</f>
        <v>0</v>
      </c>
      <c r="O708" s="197" t="str">
        <f>INDEX(Tabledaily[المستفيــــــــد],MATCH(TableDailyJournal[[#This Row],[رقم العملية]],Tabledaily[رقم العملية],0))</f>
        <v>مرافقي الاركان</v>
      </c>
      <c r="P708" s="197" t="str">
        <f>INDEX(Tabledaily[المــــرجـــــــــع],MATCH(TableDailyJournal[[#This Row],[رقم العملية]],Tabledaily[رقم العملية],0))</f>
        <v>كشف صرف</v>
      </c>
      <c r="Q708" s="197" t="str">
        <f>INDEX(Tabledaily[اســـــــم المــــرجــــع],MATCH(TableDailyJournal[[#This Row],[رقم العملية]],Tabledaily[رقم العملية],0))</f>
        <v>كشف صرف</v>
      </c>
      <c r="R708" s="197">
        <f>INDEX(Tabledaily[رقم المـــــرجـــع],MATCH(TableDailyJournal[[#This Row],[رقم العملية]],Tabledaily[رقم العملية],0))</f>
        <v>0</v>
      </c>
      <c r="S708" s="197" t="str">
        <f>INDEX(Tabledaily[مركـــــــزالتكلفــــــة],MATCH(TableDailyJournal[[#This Row],[رقم العملية]],Tabledaily[رقم العملية],0))</f>
        <v>الفرقة الثالثة</v>
      </c>
      <c r="T708" s="197">
        <f>IFERROR(INDEX(tablecost[رقم المركز],MATCH(TableDailyJournal[[#This Row],[مركـــــــزالتكلفــــــة]],tablecost[الاسم],0)),0)</f>
        <v>1</v>
      </c>
      <c r="U708" s="122">
        <f>IFERROR(DATE(TableDailyJournal[[#This Row],[السنــــة]],TableDailyJournal[[#This Row],[الشهــــر]],TableDailyJournal[[#This Row],[الـــــيوم]]),"01-01-2026")</f>
        <v>46194</v>
      </c>
      <c r="V708" s="126"/>
      <c r="W708" s="194"/>
      <c r="X708" s="194">
        <f>IFERROR(YEAR(TableDailyJournal[[#This Row],[التاريخ]]),"")</f>
        <v>2026</v>
      </c>
      <c r="Y708" s="194">
        <f>IFERROR(MONTH(TableDailyJournal[[#This Row],[التاريخ]]),"")</f>
        <v>6</v>
      </c>
      <c r="Z708" s="194">
        <f>IFERROR(DAY(TableDailyJournal[[#This Row],[التاريخ]]),"")</f>
        <v>21</v>
      </c>
      <c r="AA708"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708" s="197">
        <f>INDEX(Tabledaily[جهة الامر],MATCH(TableDailyJournal[[#This Row],[رقم العملية]],Tabledaily[رقم العملية],0))</f>
        <v>0</v>
      </c>
    </row>
    <row r="709" spans="2:28" ht="45.75" x14ac:dyDescent="0.55000000000000004">
      <c r="B709" s="194">
        <f>ROW()-4</f>
        <v>705</v>
      </c>
      <c r="C709" s="59" t="s">
        <v>1211</v>
      </c>
      <c r="D709" s="60">
        <f>INDEX(Tabledaily[date],MATCH(TableDailyJournal[[#This Row],[رقم العملية]],Tabledaily[رقم العملية],0))</f>
        <v>46194</v>
      </c>
      <c r="E709" s="194" t="str">
        <f>INDEX(Tabledaily[نوع العمليــة],MATCH(TableDailyJournal[[#This Row],[رقم العملية]],Tabledaily[رقم العملية],0))</f>
        <v>قيد عهده</v>
      </c>
      <c r="F709" s="194">
        <f>IFERROR(INDEX(TableJudje[رقم الحساب],MATCH(TableDailyJournal[[#This Row],[الحساب]],TableJudje[اسم الحساب],0)),0)</f>
        <v>11060205</v>
      </c>
      <c r="G709" s="58" t="s">
        <v>513</v>
      </c>
      <c r="H709" s="195"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I709" s="60" t="str">
        <f>INDEX(Tabledaily[العملـــة],MATCH(TableDailyJournal[[#This Row],[رقم العملية]],Tabledaily[رقم العملية],0))</f>
        <v>ريال يمني</v>
      </c>
      <c r="J709" s="196">
        <f>IFERROR(INDEX(Tabledaily[سعــــــر
الصـــــرف],MATCH(C709,Tabledaily[رقم العملية],0)),1)</f>
        <v>405</v>
      </c>
      <c r="K709" s="123" cm="1">
        <f t="array" ref="K709">IFERROR(INDEX(Tabledaily[المبلـــــــغ],MATCH(1,(TableDailyJournal[[#This Row],[رقم العملية]]=Tabledaily[رقم العملية])*(TableDailyJournal[[#This Row],[الحساب]]=Tabledaily[الحســاب المديــــن]),0)),0)</f>
        <v>0</v>
      </c>
      <c r="L709" s="123" cm="1">
        <f t="array" ref="L709">IFERROR(INDEX(Tabledaily[المبلـــــــغ],MATCH(1,(TableDailyJournal[[#This Row],[رقم العملية]]=Tabledaily[رقم العملية])*(TableDailyJournal[[#This Row],[الحساب]]=Tabledaily[الحســاب الدئـــن]),0)),0)</f>
        <v>25000</v>
      </c>
      <c r="M709" s="119">
        <f>IFERROR(TableDailyJournal[[#This Row],[المبلغ مدين]]/TableDailyJournal[[#This Row],[سعــــــر
الصـــــرف]],0)</f>
        <v>0</v>
      </c>
      <c r="N709" s="119">
        <f>IFERROR(TableDailyJournal[[#This Row],[المبلغ دائن]]/TableDailyJournal[[#This Row],[سعــــــر
الصـــــرف]],0)</f>
        <v>61.728395061728392</v>
      </c>
      <c r="O709" s="197" t="str">
        <f>INDEX(Tabledaily[المستفيــــــــد],MATCH(TableDailyJournal[[#This Row],[رقم العملية]],Tabledaily[رقم العملية],0))</f>
        <v>مرافقي الاركان</v>
      </c>
      <c r="P709" s="197" t="str">
        <f>INDEX(Tabledaily[المــــرجـــــــــع],MATCH(TableDailyJournal[[#This Row],[رقم العملية]],Tabledaily[رقم العملية],0))</f>
        <v>كشف صرف</v>
      </c>
      <c r="Q709" s="197" t="str">
        <f>INDEX(Tabledaily[اســـــــم المــــرجــــع],MATCH(TableDailyJournal[[#This Row],[رقم العملية]],Tabledaily[رقم العملية],0))</f>
        <v>كشف صرف</v>
      </c>
      <c r="R709" s="197">
        <f>INDEX(Tabledaily[رقم المـــــرجـــع],MATCH(TableDailyJournal[[#This Row],[رقم العملية]],Tabledaily[رقم العملية],0))</f>
        <v>0</v>
      </c>
      <c r="S709" s="197" t="str">
        <f>INDEX(Tabledaily[مركـــــــزالتكلفــــــة],MATCH(TableDailyJournal[[#This Row],[رقم العملية]],Tabledaily[رقم العملية],0))</f>
        <v>الفرقة الثالثة</v>
      </c>
      <c r="T709" s="197">
        <f>IFERROR(INDEX(tablecost[رقم المركز],MATCH(TableDailyJournal[[#This Row],[مركـــــــزالتكلفــــــة]],tablecost[الاسم],0)),0)</f>
        <v>1</v>
      </c>
      <c r="U709" s="122">
        <f>IFERROR(DATE(TableDailyJournal[[#This Row],[السنــــة]],TableDailyJournal[[#This Row],[الشهــــر]],TableDailyJournal[[#This Row],[الـــــيوم]]),"01-01-2026")</f>
        <v>46194</v>
      </c>
      <c r="V709" s="126"/>
      <c r="W709" s="194"/>
      <c r="X709" s="194">
        <f>IFERROR(YEAR(TableDailyJournal[[#This Row],[التاريخ]]),"")</f>
        <v>2026</v>
      </c>
      <c r="Y709" s="194">
        <f>IFERROR(MONTH(TableDailyJournal[[#This Row],[التاريخ]]),"")</f>
        <v>6</v>
      </c>
      <c r="Z709" s="194">
        <f>IFERROR(DAY(TableDailyJournal[[#This Row],[التاريخ]]),"")</f>
        <v>21</v>
      </c>
      <c r="AA709" s="126" t="str">
        <f>INDEX(Tabledaily[المرجع البياني],MATCH(TableDailyJournal[[#This Row],[رقم العملية]],Tabledaily[رقم العملية],0))</f>
        <v>قيـد مقابـل:- (مصاريف  صرفة يومية للافراد  - مرافقي الاركان - الفرقة الثالثة)  - كشف صرف رقم   كشف صرف - صرف الصرفة اليومية لمرافقين الاركان عدد 4 افراد بامر</v>
      </c>
      <c r="AB709" s="197">
        <f>INDEX(Tabledaily[جهة الامر],MATCH(TableDailyJournal[[#This Row],[رقم العملية]],Tabledaily[رقم العملية],0))</f>
        <v>0</v>
      </c>
    </row>
    <row r="710" spans="2:28" ht="45.75" x14ac:dyDescent="0.55000000000000004">
      <c r="B710" s="194">
        <f>ROW()-4</f>
        <v>706</v>
      </c>
      <c r="C710" s="59" t="s">
        <v>1212</v>
      </c>
      <c r="D710" s="60">
        <f>INDEX(Tabledaily[date],MATCH(TableDailyJournal[[#This Row],[رقم العملية]],Tabledaily[رقم العملية],0))</f>
        <v>46194</v>
      </c>
      <c r="E710" s="194" t="str">
        <f>INDEX(Tabledaily[نوع العمليــة],MATCH(TableDailyJournal[[#This Row],[رقم العملية]],Tabledaily[رقم العملية],0))</f>
        <v>قيد عهده</v>
      </c>
      <c r="F710" s="194">
        <f>IFERROR(INDEX(TableJudje[رقم الحساب],MATCH(TableDailyJournal[[#This Row],[الحساب]],TableJudje[اسم الحساب],0)),0)</f>
        <v>31010101</v>
      </c>
      <c r="G710" s="58" t="s">
        <v>111</v>
      </c>
      <c r="H710" s="195"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I710" s="60" t="str">
        <f>INDEX(Tabledaily[العملـــة],MATCH(TableDailyJournal[[#This Row],[رقم العملية]],Tabledaily[رقم العملية],0))</f>
        <v>ريال يمني</v>
      </c>
      <c r="J710" s="196">
        <f>IFERROR(INDEX(Tabledaily[سعــــــر
الصـــــرف],MATCH(C710,Tabledaily[رقم العملية],0)),1)</f>
        <v>405</v>
      </c>
      <c r="K710" s="123" cm="1">
        <f t="array" ref="K710">IFERROR(INDEX(Tabledaily[المبلـــــــغ],MATCH(1,(TableDailyJournal[[#This Row],[رقم العملية]]=Tabledaily[رقم العملية])*(TableDailyJournal[[#This Row],[الحساب]]=Tabledaily[الحســاب المديــــن]),0)),0)</f>
        <v>33000</v>
      </c>
      <c r="L710" s="123" cm="1">
        <f t="array" ref="L710">IFERROR(INDEX(Tabledaily[المبلـــــــغ],MATCH(1,(TableDailyJournal[[#This Row],[رقم العملية]]=Tabledaily[رقم العملية])*(TableDailyJournal[[#This Row],[الحساب]]=Tabledaily[الحســاب الدئـــن]),0)),0)</f>
        <v>0</v>
      </c>
      <c r="M710" s="119">
        <f>IFERROR(TableDailyJournal[[#This Row],[المبلغ مدين]]/TableDailyJournal[[#This Row],[سعــــــر
الصـــــرف]],0)</f>
        <v>81.481481481481481</v>
      </c>
      <c r="N710" s="119">
        <f>IFERROR(TableDailyJournal[[#This Row],[المبلغ دائن]]/TableDailyJournal[[#This Row],[سعــــــر
الصـــــرف]],0)</f>
        <v>0</v>
      </c>
      <c r="O710" s="197" t="str">
        <f>INDEX(Tabledaily[المستفيــــــــد],MATCH(TableDailyJournal[[#This Row],[رقم العملية]],Tabledaily[رقم العملية],0))</f>
        <v>الاشغال</v>
      </c>
      <c r="P710" s="197" t="str">
        <f>INDEX(Tabledaily[المــــرجـــــــــع],MATCH(TableDailyJournal[[#This Row],[رقم العملية]],Tabledaily[رقم العملية],0))</f>
        <v>كشف صرف</v>
      </c>
      <c r="Q710" s="197" t="str">
        <f>INDEX(Tabledaily[اســـــــم المــــرجــــع],MATCH(TableDailyJournal[[#This Row],[رقم العملية]],Tabledaily[رقم العملية],0))</f>
        <v>كشف صرف</v>
      </c>
      <c r="R710" s="197">
        <f>INDEX(Tabledaily[رقم المـــــرجـــع],MATCH(TableDailyJournal[[#This Row],[رقم العملية]],Tabledaily[رقم العملية],0))</f>
        <v>0</v>
      </c>
      <c r="S710" s="197" t="str">
        <f>INDEX(Tabledaily[مركـــــــزالتكلفــــــة],MATCH(TableDailyJournal[[#This Row],[رقم العملية]],Tabledaily[رقم العملية],0))</f>
        <v>الفرقة الثالثة</v>
      </c>
      <c r="T710" s="197">
        <f>IFERROR(INDEX(tablecost[رقم المركز],MATCH(TableDailyJournal[[#This Row],[مركـــــــزالتكلفــــــة]],tablecost[الاسم],0)),0)</f>
        <v>1</v>
      </c>
      <c r="U710" s="122">
        <f>IFERROR(DATE(TableDailyJournal[[#This Row],[السنــــة]],TableDailyJournal[[#This Row],[الشهــــر]],TableDailyJournal[[#This Row],[الـــــيوم]]),"01-01-2026")</f>
        <v>46194</v>
      </c>
      <c r="V710" s="126"/>
      <c r="W710" s="194"/>
      <c r="X710" s="194">
        <f>IFERROR(YEAR(TableDailyJournal[[#This Row],[التاريخ]]),"")</f>
        <v>2026</v>
      </c>
      <c r="Y710" s="194">
        <f>IFERROR(MONTH(TableDailyJournal[[#This Row],[التاريخ]]),"")</f>
        <v>6</v>
      </c>
      <c r="Z710" s="194">
        <f>IFERROR(DAY(TableDailyJournal[[#This Row],[التاريخ]]),"")</f>
        <v>21</v>
      </c>
      <c r="AA710"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AB710" s="197">
        <f>INDEX(Tabledaily[جهة الامر],MATCH(TableDailyJournal[[#This Row],[رقم العملية]],Tabledaily[رقم العملية],0))</f>
        <v>0</v>
      </c>
    </row>
    <row r="711" spans="2:28" ht="45.75" x14ac:dyDescent="0.55000000000000004">
      <c r="B711" s="194">
        <f>ROW()-4</f>
        <v>707</v>
      </c>
      <c r="C711" s="59" t="s">
        <v>1212</v>
      </c>
      <c r="D711" s="60">
        <f>INDEX(Tabledaily[date],MATCH(TableDailyJournal[[#This Row],[رقم العملية]],Tabledaily[رقم العملية],0))</f>
        <v>46194</v>
      </c>
      <c r="E711" s="194" t="str">
        <f>INDEX(Tabledaily[نوع العمليــة],MATCH(TableDailyJournal[[#This Row],[رقم العملية]],Tabledaily[رقم العملية],0))</f>
        <v>قيد عهده</v>
      </c>
      <c r="F711" s="194">
        <f>IFERROR(INDEX(TableJudje[رقم الحساب],MATCH(TableDailyJournal[[#This Row],[الحساب]],TableJudje[اسم الحساب],0)),0)</f>
        <v>11060205</v>
      </c>
      <c r="G711" s="58" t="s">
        <v>513</v>
      </c>
      <c r="H711" s="195"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I711" s="60" t="str">
        <f>INDEX(Tabledaily[العملـــة],MATCH(TableDailyJournal[[#This Row],[رقم العملية]],Tabledaily[رقم العملية],0))</f>
        <v>ريال يمني</v>
      </c>
      <c r="J711" s="196">
        <f>IFERROR(INDEX(Tabledaily[سعــــــر
الصـــــرف],MATCH(C711,Tabledaily[رقم العملية],0)),1)</f>
        <v>405</v>
      </c>
      <c r="K711" s="123" cm="1">
        <f t="array" ref="K711">IFERROR(INDEX(Tabledaily[المبلـــــــغ],MATCH(1,(TableDailyJournal[[#This Row],[رقم العملية]]=Tabledaily[رقم العملية])*(TableDailyJournal[[#This Row],[الحساب]]=Tabledaily[الحســاب المديــــن]),0)),0)</f>
        <v>0</v>
      </c>
      <c r="L711" s="123" cm="1">
        <f t="array" ref="L711">IFERROR(INDEX(Tabledaily[المبلـــــــغ],MATCH(1,(TableDailyJournal[[#This Row],[رقم العملية]]=Tabledaily[رقم العملية])*(TableDailyJournal[[#This Row],[الحساب]]=Tabledaily[الحســاب الدئـــن]),0)),0)</f>
        <v>33000</v>
      </c>
      <c r="M711" s="119">
        <f>IFERROR(TableDailyJournal[[#This Row],[المبلغ مدين]]/TableDailyJournal[[#This Row],[سعــــــر
الصـــــرف]],0)</f>
        <v>0</v>
      </c>
      <c r="N711" s="119">
        <f>IFERROR(TableDailyJournal[[#This Row],[المبلغ دائن]]/TableDailyJournal[[#This Row],[سعــــــر
الصـــــرف]],0)</f>
        <v>81.481481481481481</v>
      </c>
      <c r="O711" s="197" t="str">
        <f>INDEX(Tabledaily[المستفيــــــــد],MATCH(TableDailyJournal[[#This Row],[رقم العملية]],Tabledaily[رقم العملية],0))</f>
        <v>الاشغال</v>
      </c>
      <c r="P711" s="197" t="str">
        <f>INDEX(Tabledaily[المــــرجـــــــــع],MATCH(TableDailyJournal[[#This Row],[رقم العملية]],Tabledaily[رقم العملية],0))</f>
        <v>كشف صرف</v>
      </c>
      <c r="Q711" s="197" t="str">
        <f>INDEX(Tabledaily[اســـــــم المــــرجــــع],MATCH(TableDailyJournal[[#This Row],[رقم العملية]],Tabledaily[رقم العملية],0))</f>
        <v>كشف صرف</v>
      </c>
      <c r="R711" s="197">
        <f>INDEX(Tabledaily[رقم المـــــرجـــع],MATCH(TableDailyJournal[[#This Row],[رقم العملية]],Tabledaily[رقم العملية],0))</f>
        <v>0</v>
      </c>
      <c r="S711" s="197" t="str">
        <f>INDEX(Tabledaily[مركـــــــزالتكلفــــــة],MATCH(TableDailyJournal[[#This Row],[رقم العملية]],Tabledaily[رقم العملية],0))</f>
        <v>الفرقة الثالثة</v>
      </c>
      <c r="T711" s="197">
        <f>IFERROR(INDEX(tablecost[رقم المركز],MATCH(TableDailyJournal[[#This Row],[مركـــــــزالتكلفــــــة]],tablecost[الاسم],0)),0)</f>
        <v>1</v>
      </c>
      <c r="U711" s="122">
        <f>IFERROR(DATE(TableDailyJournal[[#This Row],[السنــــة]],TableDailyJournal[[#This Row],[الشهــــر]],TableDailyJournal[[#This Row],[الـــــيوم]]),"01-01-2026")</f>
        <v>46194</v>
      </c>
      <c r="V711" s="126"/>
      <c r="W711" s="194"/>
      <c r="X711" s="194">
        <f>IFERROR(YEAR(TableDailyJournal[[#This Row],[التاريخ]]),"")</f>
        <v>2026</v>
      </c>
      <c r="Y711" s="194">
        <f>IFERROR(MONTH(TableDailyJournal[[#This Row],[التاريخ]]),"")</f>
        <v>6</v>
      </c>
      <c r="Z711" s="194">
        <f>IFERROR(DAY(TableDailyJournal[[#This Row],[التاريخ]]),"")</f>
        <v>21</v>
      </c>
      <c r="AA711" s="126" t="str">
        <f>INDEX(Tabledaily[المرجع البياني],MATCH(TableDailyJournal[[#This Row],[رقم العملية]],Tabledaily[رقم العملية],0))</f>
        <v>قيـد مقابـل:- (مصاريف  صرفة يومية للافراد  - الاشغال - الفرقة الثالثة)  - كشف صرف رقم   كشف صرف - صرف الصرفة اليومية لافراد الاشغال عدد 4 افراد بامر</v>
      </c>
      <c r="AB711" s="197">
        <f>INDEX(Tabledaily[جهة الامر],MATCH(TableDailyJournal[[#This Row],[رقم العملية]],Tabledaily[رقم العملية],0))</f>
        <v>0</v>
      </c>
    </row>
    <row r="712" spans="2:28" ht="45.75" x14ac:dyDescent="0.55000000000000004">
      <c r="B712" s="194">
        <f>ROW()-4</f>
        <v>708</v>
      </c>
      <c r="C712" s="59" t="s">
        <v>1213</v>
      </c>
      <c r="D712" s="60">
        <f>INDEX(Tabledaily[date],MATCH(TableDailyJournal[[#This Row],[رقم العملية]],Tabledaily[رقم العملية],0))</f>
        <v>46194</v>
      </c>
      <c r="E712" s="194" t="str">
        <f>INDEX(Tabledaily[نوع العمليــة],MATCH(TableDailyJournal[[#This Row],[رقم العملية]],Tabledaily[رقم العملية],0))</f>
        <v>قيد عهده</v>
      </c>
      <c r="F712" s="194">
        <f>IFERROR(INDEX(TableJudje[رقم الحساب],MATCH(TableDailyJournal[[#This Row],[الحساب]],TableJudje[اسم الحساب],0)),0)</f>
        <v>31010101</v>
      </c>
      <c r="G712" s="58" t="s">
        <v>111</v>
      </c>
      <c r="H712" s="195"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I712" s="60" t="str">
        <f>INDEX(Tabledaily[العملـــة],MATCH(TableDailyJournal[[#This Row],[رقم العملية]],Tabledaily[رقم العملية],0))</f>
        <v>ريال يمني</v>
      </c>
      <c r="J712" s="196">
        <f>IFERROR(INDEX(Tabledaily[سعــــــر
الصـــــرف],MATCH(C712,Tabledaily[رقم العملية],0)),1)</f>
        <v>405</v>
      </c>
      <c r="K712" s="123" cm="1">
        <f t="array" ref="K712">IFERROR(INDEX(Tabledaily[المبلـــــــغ],MATCH(1,(TableDailyJournal[[#This Row],[رقم العملية]]=Tabledaily[رقم العملية])*(TableDailyJournal[[#This Row],[الحساب]]=Tabledaily[الحســاب المديــــن]),0)),0)</f>
        <v>80000</v>
      </c>
      <c r="L712" s="123" cm="1">
        <f t="array" ref="L712">IFERROR(INDEX(Tabledaily[المبلـــــــغ],MATCH(1,(TableDailyJournal[[#This Row],[رقم العملية]]=Tabledaily[رقم العملية])*(TableDailyJournal[[#This Row],[الحساب]]=Tabledaily[الحســاب الدئـــن]),0)),0)</f>
        <v>0</v>
      </c>
      <c r="M712" s="119">
        <f>IFERROR(TableDailyJournal[[#This Row],[المبلغ مدين]]/TableDailyJournal[[#This Row],[سعــــــر
الصـــــرف]],0)</f>
        <v>197.53086419753086</v>
      </c>
      <c r="N712" s="119">
        <f>IFERROR(TableDailyJournal[[#This Row],[المبلغ دائن]]/TableDailyJournal[[#This Row],[سعــــــر
الصـــــرف]],0)</f>
        <v>0</v>
      </c>
      <c r="O712" s="197" t="str">
        <f>INDEX(Tabledaily[المستفيــــــــد],MATCH(TableDailyJournal[[#This Row],[رقم العملية]],Tabledaily[رقم العملية],0))</f>
        <v>اخرون</v>
      </c>
      <c r="P712" s="197" t="str">
        <f>INDEX(Tabledaily[المــــرجـــــــــع],MATCH(TableDailyJournal[[#This Row],[رقم العملية]],Tabledaily[رقم العملية],0))</f>
        <v>كشف صرف</v>
      </c>
      <c r="Q712" s="197" t="str">
        <f>INDEX(Tabledaily[اســـــــم المــــرجــــع],MATCH(TableDailyJournal[[#This Row],[رقم العملية]],Tabledaily[رقم العملية],0))</f>
        <v>كشف صرف</v>
      </c>
      <c r="R712" s="197">
        <f>INDEX(Tabledaily[رقم المـــــرجـــع],MATCH(TableDailyJournal[[#This Row],[رقم العملية]],Tabledaily[رقم العملية],0))</f>
        <v>0</v>
      </c>
      <c r="S712" s="197" t="str">
        <f>INDEX(Tabledaily[مركـــــــزالتكلفــــــة],MATCH(TableDailyJournal[[#This Row],[رقم العملية]],Tabledaily[رقم العملية],0))</f>
        <v>الفرقة الثالثة</v>
      </c>
      <c r="T712" s="197">
        <f>IFERROR(INDEX(tablecost[رقم المركز],MATCH(TableDailyJournal[[#This Row],[مركـــــــزالتكلفــــــة]],tablecost[الاسم],0)),0)</f>
        <v>1</v>
      </c>
      <c r="U712" s="122">
        <f>IFERROR(DATE(TableDailyJournal[[#This Row],[السنــــة]],TableDailyJournal[[#This Row],[الشهــــر]],TableDailyJournal[[#This Row],[الـــــيوم]]),"01-01-2026")</f>
        <v>46194</v>
      </c>
      <c r="V712" s="126"/>
      <c r="W712" s="194"/>
      <c r="X712" s="194">
        <f>IFERROR(YEAR(TableDailyJournal[[#This Row],[التاريخ]]),"")</f>
        <v>2026</v>
      </c>
      <c r="Y712" s="194">
        <f>IFERROR(MONTH(TableDailyJournal[[#This Row],[التاريخ]]),"")</f>
        <v>6</v>
      </c>
      <c r="Z712" s="194">
        <f>IFERROR(DAY(TableDailyJournal[[#This Row],[التاريخ]]),"")</f>
        <v>21</v>
      </c>
      <c r="AA712"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AB712" s="197">
        <f>INDEX(Tabledaily[جهة الامر],MATCH(TableDailyJournal[[#This Row],[رقم العملية]],Tabledaily[رقم العملية],0))</f>
        <v>0</v>
      </c>
    </row>
    <row r="713" spans="2:28" ht="45.75" x14ac:dyDescent="0.55000000000000004">
      <c r="B713" s="194">
        <f>ROW()-4</f>
        <v>709</v>
      </c>
      <c r="C713" s="59" t="s">
        <v>1213</v>
      </c>
      <c r="D713" s="60">
        <f>INDEX(Tabledaily[date],MATCH(TableDailyJournal[[#This Row],[رقم العملية]],Tabledaily[رقم العملية],0))</f>
        <v>46194</v>
      </c>
      <c r="E713" s="194" t="str">
        <f>INDEX(Tabledaily[نوع العمليــة],MATCH(TableDailyJournal[[#This Row],[رقم العملية]],Tabledaily[رقم العملية],0))</f>
        <v>قيد عهده</v>
      </c>
      <c r="F713" s="194">
        <f>IFERROR(INDEX(TableJudje[رقم الحساب],MATCH(TableDailyJournal[[#This Row],[الحساب]],TableJudje[اسم الحساب],0)),0)</f>
        <v>11060205</v>
      </c>
      <c r="G713" s="58" t="s">
        <v>513</v>
      </c>
      <c r="H713" s="195"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I713" s="60" t="str">
        <f>INDEX(Tabledaily[العملـــة],MATCH(TableDailyJournal[[#This Row],[رقم العملية]],Tabledaily[رقم العملية],0))</f>
        <v>ريال يمني</v>
      </c>
      <c r="J713" s="196">
        <f>IFERROR(INDEX(Tabledaily[سعــــــر
الصـــــرف],MATCH(C713,Tabledaily[رقم العملية],0)),1)</f>
        <v>405</v>
      </c>
      <c r="K713" s="123" cm="1">
        <f t="array" ref="K713">IFERROR(INDEX(Tabledaily[المبلـــــــغ],MATCH(1,(TableDailyJournal[[#This Row],[رقم العملية]]=Tabledaily[رقم العملية])*(TableDailyJournal[[#This Row],[الحساب]]=Tabledaily[الحســاب المديــــن]),0)),0)</f>
        <v>0</v>
      </c>
      <c r="L713" s="123" cm="1">
        <f t="array" ref="L713">IFERROR(INDEX(Tabledaily[المبلـــــــغ],MATCH(1,(TableDailyJournal[[#This Row],[رقم العملية]]=Tabledaily[رقم العملية])*(TableDailyJournal[[#This Row],[الحساب]]=Tabledaily[الحســاب الدئـــن]),0)),0)</f>
        <v>80000</v>
      </c>
      <c r="M713" s="119">
        <f>IFERROR(TableDailyJournal[[#This Row],[المبلغ مدين]]/TableDailyJournal[[#This Row],[سعــــــر
الصـــــرف]],0)</f>
        <v>0</v>
      </c>
      <c r="N713" s="119">
        <f>IFERROR(TableDailyJournal[[#This Row],[المبلغ دائن]]/TableDailyJournal[[#This Row],[سعــــــر
الصـــــرف]],0)</f>
        <v>197.53086419753086</v>
      </c>
      <c r="O713" s="197" t="str">
        <f>INDEX(Tabledaily[المستفيــــــــد],MATCH(TableDailyJournal[[#This Row],[رقم العملية]],Tabledaily[رقم العملية],0))</f>
        <v>اخرون</v>
      </c>
      <c r="P713" s="197" t="str">
        <f>INDEX(Tabledaily[المــــرجـــــــــع],MATCH(TableDailyJournal[[#This Row],[رقم العملية]],Tabledaily[رقم العملية],0))</f>
        <v>كشف صرف</v>
      </c>
      <c r="Q713" s="197" t="str">
        <f>INDEX(Tabledaily[اســـــــم المــــرجــــع],MATCH(TableDailyJournal[[#This Row],[رقم العملية]],Tabledaily[رقم العملية],0))</f>
        <v>كشف صرف</v>
      </c>
      <c r="R713" s="197">
        <f>INDEX(Tabledaily[رقم المـــــرجـــع],MATCH(TableDailyJournal[[#This Row],[رقم العملية]],Tabledaily[رقم العملية],0))</f>
        <v>0</v>
      </c>
      <c r="S713" s="197" t="str">
        <f>INDEX(Tabledaily[مركـــــــزالتكلفــــــة],MATCH(TableDailyJournal[[#This Row],[رقم العملية]],Tabledaily[رقم العملية],0))</f>
        <v>الفرقة الثالثة</v>
      </c>
      <c r="T713" s="197">
        <f>IFERROR(INDEX(tablecost[رقم المركز],MATCH(TableDailyJournal[[#This Row],[مركـــــــزالتكلفــــــة]],tablecost[الاسم],0)),0)</f>
        <v>1</v>
      </c>
      <c r="U713" s="122">
        <f>IFERROR(DATE(TableDailyJournal[[#This Row],[السنــــة]],TableDailyJournal[[#This Row],[الشهــــر]],TableDailyJournal[[#This Row],[الـــــيوم]]),"01-01-2026")</f>
        <v>46194</v>
      </c>
      <c r="V713" s="126"/>
      <c r="W713" s="194"/>
      <c r="X713" s="194">
        <f>IFERROR(YEAR(TableDailyJournal[[#This Row],[التاريخ]]),"")</f>
        <v>2026</v>
      </c>
      <c r="Y713" s="194">
        <f>IFERROR(MONTH(TableDailyJournal[[#This Row],[التاريخ]]),"")</f>
        <v>6</v>
      </c>
      <c r="Z713" s="194">
        <f>IFERROR(DAY(TableDailyJournal[[#This Row],[التاريخ]]),"")</f>
        <v>21</v>
      </c>
      <c r="AA713" s="126" t="str">
        <f>INDEX(Tabledaily[المرجع البياني],MATCH(TableDailyJournal[[#This Row],[رقم العملية]],Tabledaily[رقم العملية],0))</f>
        <v>قيـد مقابـل:- (مصاريف  صرفة يومية للافراد  - اخرون - الفرقة الثالثة)  - كشف صرف رقم   كشف صرف - صرف الصرفة اليومية اخرون لعدد 9 افراد بامر</v>
      </c>
      <c r="AB713" s="197">
        <f>INDEX(Tabledaily[جهة الامر],MATCH(TableDailyJournal[[#This Row],[رقم العملية]],Tabledaily[رقم العملية],0))</f>
        <v>0</v>
      </c>
    </row>
    <row r="714" spans="2:28" ht="45.75" x14ac:dyDescent="0.55000000000000004">
      <c r="B714" s="194">
        <f>ROW()-4</f>
        <v>710</v>
      </c>
      <c r="C714" s="59" t="s">
        <v>1214</v>
      </c>
      <c r="D714" s="60">
        <f>INDEX(Tabledaily[date],MATCH(TableDailyJournal[[#This Row],[رقم العملية]],Tabledaily[رقم العملية],0))</f>
        <v>46194</v>
      </c>
      <c r="E714" s="194" t="str">
        <f>INDEX(Tabledaily[نوع العمليــة],MATCH(TableDailyJournal[[#This Row],[رقم العملية]],Tabledaily[رقم العملية],0))</f>
        <v>قيد عهده</v>
      </c>
      <c r="F714" s="194">
        <f>IFERROR(INDEX(TableJudje[رقم الحساب],MATCH(TableDailyJournal[[#This Row],[الحساب]],TableJudje[اسم الحساب],0)),0)</f>
        <v>31010101</v>
      </c>
      <c r="G714" s="58" t="s">
        <v>111</v>
      </c>
      <c r="H714" s="195"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I714" s="60" t="str">
        <f>INDEX(Tabledaily[العملـــة],MATCH(TableDailyJournal[[#This Row],[رقم العملية]],Tabledaily[رقم العملية],0))</f>
        <v>ريال يمني</v>
      </c>
      <c r="J714" s="196">
        <f>IFERROR(INDEX(Tabledaily[سعــــــر
الصـــــرف],MATCH(C714,Tabledaily[رقم العملية],0)),1)</f>
        <v>405</v>
      </c>
      <c r="K714" s="123" cm="1">
        <f t="array" ref="K714">IFERROR(INDEX(Tabledaily[المبلـــــــغ],MATCH(1,(TableDailyJournal[[#This Row],[رقم العملية]]=Tabledaily[رقم العملية])*(TableDailyJournal[[#This Row],[الحساب]]=Tabledaily[الحســاب المديــــن]),0)),0)</f>
        <v>100000</v>
      </c>
      <c r="L714" s="123" cm="1">
        <f t="array" ref="L714">IFERROR(INDEX(Tabledaily[المبلـــــــغ],MATCH(1,(TableDailyJournal[[#This Row],[رقم العملية]]=Tabledaily[رقم العملية])*(TableDailyJournal[[#This Row],[الحساب]]=Tabledaily[الحســاب الدئـــن]),0)),0)</f>
        <v>0</v>
      </c>
      <c r="M714" s="119">
        <f>IFERROR(TableDailyJournal[[#This Row],[المبلغ مدين]]/TableDailyJournal[[#This Row],[سعــــــر
الصـــــرف]],0)</f>
        <v>246.91358024691357</v>
      </c>
      <c r="N714" s="119">
        <f>IFERROR(TableDailyJournal[[#This Row],[المبلغ دائن]]/TableDailyJournal[[#This Row],[سعــــــر
الصـــــرف]],0)</f>
        <v>0</v>
      </c>
      <c r="O714" s="197" t="str">
        <f>INDEX(Tabledaily[المستفيــــــــد],MATCH(TableDailyJournal[[#This Row],[رقم العملية]],Tabledaily[رقم العملية],0))</f>
        <v>الضباط السابقين</v>
      </c>
      <c r="P714" s="197" t="str">
        <f>INDEX(Tabledaily[المــــرجـــــــــع],MATCH(TableDailyJournal[[#This Row],[رقم العملية]],Tabledaily[رقم العملية],0))</f>
        <v>كشف صرف</v>
      </c>
      <c r="Q714" s="197" t="str">
        <f>INDEX(Tabledaily[اســـــــم المــــرجــــع],MATCH(TableDailyJournal[[#This Row],[رقم العملية]],Tabledaily[رقم العملية],0))</f>
        <v>كشف صرف</v>
      </c>
      <c r="R714" s="197">
        <f>INDEX(Tabledaily[رقم المـــــرجـــع],MATCH(TableDailyJournal[[#This Row],[رقم العملية]],Tabledaily[رقم العملية],0))</f>
        <v>0</v>
      </c>
      <c r="S714" s="197" t="str">
        <f>INDEX(Tabledaily[مركـــــــزالتكلفــــــة],MATCH(TableDailyJournal[[#This Row],[رقم العملية]],Tabledaily[رقم العملية],0))</f>
        <v>الفرقة الثالثة</v>
      </c>
      <c r="T714" s="197">
        <f>IFERROR(INDEX(tablecost[رقم المركز],MATCH(TableDailyJournal[[#This Row],[مركـــــــزالتكلفــــــة]],tablecost[الاسم],0)),0)</f>
        <v>1</v>
      </c>
      <c r="U714" s="122">
        <f>IFERROR(DATE(TableDailyJournal[[#This Row],[السنــــة]],TableDailyJournal[[#This Row],[الشهــــر]],TableDailyJournal[[#This Row],[الـــــيوم]]),"01-01-2026")</f>
        <v>46194</v>
      </c>
      <c r="V714" s="126"/>
      <c r="W714" s="194"/>
      <c r="X714" s="194">
        <f>IFERROR(YEAR(TableDailyJournal[[#This Row],[التاريخ]]),"")</f>
        <v>2026</v>
      </c>
      <c r="Y714" s="194">
        <f>IFERROR(MONTH(TableDailyJournal[[#This Row],[التاريخ]]),"")</f>
        <v>6</v>
      </c>
      <c r="Z714" s="194">
        <f>IFERROR(DAY(TableDailyJournal[[#This Row],[التاريخ]]),"")</f>
        <v>21</v>
      </c>
      <c r="AA714"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AB714" s="197">
        <f>INDEX(Tabledaily[جهة الامر],MATCH(TableDailyJournal[[#This Row],[رقم العملية]],Tabledaily[رقم العملية],0))</f>
        <v>0</v>
      </c>
    </row>
    <row r="715" spans="2:28" ht="45.75" x14ac:dyDescent="0.55000000000000004">
      <c r="B715" s="194">
        <f>ROW()-4</f>
        <v>711</v>
      </c>
      <c r="C715" s="59" t="s">
        <v>1214</v>
      </c>
      <c r="D715" s="60">
        <f>INDEX(Tabledaily[date],MATCH(TableDailyJournal[[#This Row],[رقم العملية]],Tabledaily[رقم العملية],0))</f>
        <v>46194</v>
      </c>
      <c r="E715" s="194" t="str">
        <f>INDEX(Tabledaily[نوع العمليــة],MATCH(TableDailyJournal[[#This Row],[رقم العملية]],Tabledaily[رقم العملية],0))</f>
        <v>قيد عهده</v>
      </c>
      <c r="F715" s="194">
        <f>IFERROR(INDEX(TableJudje[رقم الحساب],MATCH(TableDailyJournal[[#This Row],[الحساب]],TableJudje[اسم الحساب],0)),0)</f>
        <v>11060205</v>
      </c>
      <c r="G715" s="58" t="s">
        <v>513</v>
      </c>
      <c r="H715" s="195"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I715" s="60" t="str">
        <f>INDEX(Tabledaily[العملـــة],MATCH(TableDailyJournal[[#This Row],[رقم العملية]],Tabledaily[رقم العملية],0))</f>
        <v>ريال يمني</v>
      </c>
      <c r="J715" s="196">
        <f>IFERROR(INDEX(Tabledaily[سعــــــر
الصـــــرف],MATCH(C715,Tabledaily[رقم العملية],0)),1)</f>
        <v>405</v>
      </c>
      <c r="K715" s="123" cm="1">
        <f t="array" ref="K715">IFERROR(INDEX(Tabledaily[المبلـــــــغ],MATCH(1,(TableDailyJournal[[#This Row],[رقم العملية]]=Tabledaily[رقم العملية])*(TableDailyJournal[[#This Row],[الحساب]]=Tabledaily[الحســاب المديــــن]),0)),0)</f>
        <v>0</v>
      </c>
      <c r="L715" s="123" cm="1">
        <f t="array" ref="L715">IFERROR(INDEX(Tabledaily[المبلـــــــغ],MATCH(1,(TableDailyJournal[[#This Row],[رقم العملية]]=Tabledaily[رقم العملية])*(TableDailyJournal[[#This Row],[الحساب]]=Tabledaily[الحســاب الدئـــن]),0)),0)</f>
        <v>100000</v>
      </c>
      <c r="M715" s="119">
        <f>IFERROR(TableDailyJournal[[#This Row],[المبلغ مدين]]/TableDailyJournal[[#This Row],[سعــــــر
الصـــــرف]],0)</f>
        <v>0</v>
      </c>
      <c r="N715" s="119">
        <f>IFERROR(TableDailyJournal[[#This Row],[المبلغ دائن]]/TableDailyJournal[[#This Row],[سعــــــر
الصـــــرف]],0)</f>
        <v>246.91358024691357</v>
      </c>
      <c r="O715" s="197" t="str">
        <f>INDEX(Tabledaily[المستفيــــــــد],MATCH(TableDailyJournal[[#This Row],[رقم العملية]],Tabledaily[رقم العملية],0))</f>
        <v>الضباط السابقين</v>
      </c>
      <c r="P715" s="197" t="str">
        <f>INDEX(Tabledaily[المــــرجـــــــــع],MATCH(TableDailyJournal[[#This Row],[رقم العملية]],Tabledaily[رقم العملية],0))</f>
        <v>كشف صرف</v>
      </c>
      <c r="Q715" s="197" t="str">
        <f>INDEX(Tabledaily[اســـــــم المــــرجــــع],MATCH(TableDailyJournal[[#This Row],[رقم العملية]],Tabledaily[رقم العملية],0))</f>
        <v>كشف صرف</v>
      </c>
      <c r="R715" s="197">
        <f>INDEX(Tabledaily[رقم المـــــرجـــع],MATCH(TableDailyJournal[[#This Row],[رقم العملية]],Tabledaily[رقم العملية],0))</f>
        <v>0</v>
      </c>
      <c r="S715" s="197" t="str">
        <f>INDEX(Tabledaily[مركـــــــزالتكلفــــــة],MATCH(TableDailyJournal[[#This Row],[رقم العملية]],Tabledaily[رقم العملية],0))</f>
        <v>الفرقة الثالثة</v>
      </c>
      <c r="T715" s="197">
        <f>IFERROR(INDEX(tablecost[رقم المركز],MATCH(TableDailyJournal[[#This Row],[مركـــــــزالتكلفــــــة]],tablecost[الاسم],0)),0)</f>
        <v>1</v>
      </c>
      <c r="U715" s="122">
        <f>IFERROR(DATE(TableDailyJournal[[#This Row],[السنــــة]],TableDailyJournal[[#This Row],[الشهــــر]],TableDailyJournal[[#This Row],[الـــــيوم]]),"01-01-2026")</f>
        <v>46194</v>
      </c>
      <c r="V715" s="126"/>
      <c r="W715" s="194"/>
      <c r="X715" s="194">
        <f>IFERROR(YEAR(TableDailyJournal[[#This Row],[التاريخ]]),"")</f>
        <v>2026</v>
      </c>
      <c r="Y715" s="194">
        <f>IFERROR(MONTH(TableDailyJournal[[#This Row],[التاريخ]]),"")</f>
        <v>6</v>
      </c>
      <c r="Z715" s="194">
        <f>IFERROR(DAY(TableDailyJournal[[#This Row],[التاريخ]]),"")</f>
        <v>21</v>
      </c>
      <c r="AA715" s="126" t="str">
        <f>INDEX(Tabledaily[المرجع البياني],MATCH(TableDailyJournal[[#This Row],[رقم العملية]],Tabledaily[رقم العملية],0))</f>
        <v>قيـد مقابـل:- (مصاريف  صرفة يومية للافراد  - الضباط السابقين - الفرقة الثالثة)  - كشف صرف رقم   كشف صرف - صرف الصرفة اليومية للضباط السابقين عدد 10 ضباط بامر</v>
      </c>
      <c r="AB715" s="197">
        <f>INDEX(Tabledaily[جهة الامر],MATCH(TableDailyJournal[[#This Row],[رقم العملية]],Tabledaily[رقم العملية],0))</f>
        <v>0</v>
      </c>
    </row>
    <row r="716" spans="2:28" ht="45.75" x14ac:dyDescent="0.55000000000000004">
      <c r="B716" s="194">
        <f>ROW()-4</f>
        <v>712</v>
      </c>
      <c r="C716" s="59" t="s">
        <v>1215</v>
      </c>
      <c r="D716" s="60">
        <f>INDEX(Tabledaily[date],MATCH(TableDailyJournal[[#This Row],[رقم العملية]],Tabledaily[رقم العملية],0))</f>
        <v>46194</v>
      </c>
      <c r="E716" s="194" t="str">
        <f>INDEX(Tabledaily[نوع العمليــة],MATCH(TableDailyJournal[[#This Row],[رقم العملية]],Tabledaily[رقم العملية],0))</f>
        <v>قيد عهده</v>
      </c>
      <c r="F716" s="194">
        <f>IFERROR(INDEX(TableJudje[رقم الحساب],MATCH(TableDailyJournal[[#This Row],[الحساب]],TableJudje[اسم الحساب],0)),0)</f>
        <v>31010122</v>
      </c>
      <c r="G716" s="58" t="s">
        <v>487</v>
      </c>
      <c r="H716" s="195" t="str">
        <f>INDEX(Tabledaily[المرجع البياني],MATCH(TableDailyJournal[[#This Row],[رقم العملية]],Tabledaily[رقم العملية],0))</f>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v>
      </c>
      <c r="I716" s="60" t="str">
        <f>INDEX(Tabledaily[العملـــة],MATCH(TableDailyJournal[[#This Row],[رقم العملية]],Tabledaily[رقم العملية],0))</f>
        <v>ريال يمني</v>
      </c>
      <c r="J716" s="196">
        <f>IFERROR(INDEX(Tabledaily[سعــــــر
الصـــــرف],MATCH(C716,Tabledaily[رقم العملية],0)),1)</f>
        <v>405</v>
      </c>
      <c r="K716" s="123" cm="1">
        <f t="array" ref="K716">IFERROR(INDEX(Tabledaily[المبلـــــــغ],MATCH(1,(TableDailyJournal[[#This Row],[رقم العملية]]=Tabledaily[رقم العملية])*(TableDailyJournal[[#This Row],[الحساب]]=Tabledaily[الحســاب المديــــن]),0)),0)</f>
        <v>60000</v>
      </c>
      <c r="L716" s="123" cm="1">
        <f t="array" ref="L716">IFERROR(INDEX(Tabledaily[المبلـــــــغ],MATCH(1,(TableDailyJournal[[#This Row],[رقم العملية]]=Tabledaily[رقم العملية])*(TableDailyJournal[[#This Row],[الحساب]]=Tabledaily[الحســاب الدئـــن]),0)),0)</f>
        <v>0</v>
      </c>
      <c r="M716" s="119">
        <f>IFERROR(TableDailyJournal[[#This Row],[المبلغ مدين]]/TableDailyJournal[[#This Row],[سعــــــر
الصـــــرف]],0)</f>
        <v>148.14814814814815</v>
      </c>
      <c r="N716" s="119">
        <f>IFERROR(TableDailyJournal[[#This Row],[المبلغ دائن]]/TableDailyJournal[[#This Row],[سعــــــر
الصـــــرف]],0)</f>
        <v>0</v>
      </c>
      <c r="O716" s="197" t="str">
        <f>INDEX(Tabledaily[المستفيــــــــد],MATCH(TableDailyJournal[[#This Row],[رقم العملية]],Tabledaily[رقم العملية],0))</f>
        <v>محمد خدام ثابت احمد</v>
      </c>
      <c r="P716" s="197" t="str">
        <f>INDEX(Tabledaily[المــــرجـــــــــع],MATCH(TableDailyJournal[[#This Row],[رقم العملية]],Tabledaily[رقم العملية],0))</f>
        <v>استلام نقدي</v>
      </c>
      <c r="Q716" s="197" t="str">
        <f>INDEX(Tabledaily[اســـــــم المــــرجــــع],MATCH(TableDailyJournal[[#This Row],[رقم العملية]],Tabledaily[رقم العملية],0))</f>
        <v>سند استلام</v>
      </c>
      <c r="R716" s="197" t="str">
        <f>INDEX(Tabledaily[رقم المـــــرجـــع],MATCH(TableDailyJournal[[#This Row],[رقم العملية]],Tabledaily[رقم العملية],0))</f>
        <v>100-120</v>
      </c>
      <c r="S716" s="197" t="str">
        <f>INDEX(Tabledaily[مركـــــــزالتكلفــــــة],MATCH(TableDailyJournal[[#This Row],[رقم العملية]],Tabledaily[رقم العملية],0))</f>
        <v>اللواء السادس</v>
      </c>
      <c r="T716" s="197">
        <f>IFERROR(INDEX(tablecost[رقم المركز],MATCH(TableDailyJournal[[#This Row],[مركـــــــزالتكلفــــــة]],tablecost[الاسم],0)),0)</f>
        <v>7</v>
      </c>
      <c r="U716" s="122">
        <f>IFERROR(DATE(TableDailyJournal[[#This Row],[السنــــة]],TableDailyJournal[[#This Row],[الشهــــر]],TableDailyJournal[[#This Row],[الـــــيوم]]),"01-01-2026")</f>
        <v>46194</v>
      </c>
      <c r="V716" s="126"/>
      <c r="W716" s="194"/>
      <c r="X716" s="194">
        <f>IFERROR(YEAR(TableDailyJournal[[#This Row],[التاريخ]]),"")</f>
        <v>2026</v>
      </c>
      <c r="Y716" s="194">
        <f>IFERROR(MONTH(TableDailyJournal[[#This Row],[التاريخ]]),"")</f>
        <v>6</v>
      </c>
      <c r="Z716" s="194">
        <f>IFERROR(DAY(TableDailyJournal[[#This Row],[التاريخ]]),"")</f>
        <v>21</v>
      </c>
      <c r="AA716" s="126" t="str">
        <f>INDEX(Tabledaily[المرجع البياني],MATCH(TableDailyJournal[[#This Row],[رقم العملية]],Tabledaily[رقم العملية],0))</f>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v>
      </c>
      <c r="AB716" s="197" t="str">
        <f>INDEX(Tabledaily[جهة الامر],MATCH(TableDailyJournal[[#This Row],[رقم العملية]],Tabledaily[رقم العملية],0))</f>
        <v>المستشار المالي</v>
      </c>
    </row>
    <row r="717" spans="2:28" ht="45.75" x14ac:dyDescent="0.55000000000000004">
      <c r="B717" s="194">
        <f>ROW()-4</f>
        <v>713</v>
      </c>
      <c r="C717" s="59" t="s">
        <v>1215</v>
      </c>
      <c r="D717" s="60">
        <f>INDEX(Tabledaily[date],MATCH(TableDailyJournal[[#This Row],[رقم العملية]],Tabledaily[رقم العملية],0))</f>
        <v>46194</v>
      </c>
      <c r="E717" s="194" t="str">
        <f>INDEX(Tabledaily[نوع العمليــة],MATCH(TableDailyJournal[[#This Row],[رقم العملية]],Tabledaily[رقم العملية],0))</f>
        <v>قيد عهده</v>
      </c>
      <c r="F717" s="194">
        <f>IFERROR(INDEX(TableJudje[رقم الحساب],MATCH(TableDailyJournal[[#This Row],[الحساب]],TableJudje[اسم الحساب],0)),0)</f>
        <v>11060205</v>
      </c>
      <c r="G717" s="58" t="s">
        <v>513</v>
      </c>
      <c r="H717" s="195" t="str">
        <f>INDEX(Tabledaily[المرجع البياني],MATCH(TableDailyJournal[[#This Row],[رقم العملية]],Tabledaily[رقم العملية],0))</f>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v>
      </c>
      <c r="I717" s="60" t="str">
        <f>INDEX(Tabledaily[العملـــة],MATCH(TableDailyJournal[[#This Row],[رقم العملية]],Tabledaily[رقم العملية],0))</f>
        <v>ريال يمني</v>
      </c>
      <c r="J717" s="196">
        <f>IFERROR(INDEX(Tabledaily[سعــــــر
الصـــــرف],MATCH(C717,Tabledaily[رقم العملية],0)),1)</f>
        <v>405</v>
      </c>
      <c r="K717" s="123" cm="1">
        <f t="array" ref="K717">IFERROR(INDEX(Tabledaily[المبلـــــــغ],MATCH(1,(TableDailyJournal[[#This Row],[رقم العملية]]=Tabledaily[رقم العملية])*(TableDailyJournal[[#This Row],[الحساب]]=Tabledaily[الحســاب المديــــن]),0)),0)</f>
        <v>0</v>
      </c>
      <c r="L717" s="123" cm="1">
        <f t="array" ref="L717">IFERROR(INDEX(Tabledaily[المبلـــــــغ],MATCH(1,(TableDailyJournal[[#This Row],[رقم العملية]]=Tabledaily[رقم العملية])*(TableDailyJournal[[#This Row],[الحساب]]=Tabledaily[الحســاب الدئـــن]),0)),0)</f>
        <v>60000</v>
      </c>
      <c r="M717" s="119">
        <f>IFERROR(TableDailyJournal[[#This Row],[المبلغ مدين]]/TableDailyJournal[[#This Row],[سعــــــر
الصـــــرف]],0)</f>
        <v>0</v>
      </c>
      <c r="N717" s="119">
        <f>IFERROR(TableDailyJournal[[#This Row],[المبلغ دائن]]/TableDailyJournal[[#This Row],[سعــــــر
الصـــــرف]],0)</f>
        <v>148.14814814814815</v>
      </c>
      <c r="O717" s="197" t="str">
        <f>INDEX(Tabledaily[المستفيــــــــد],MATCH(TableDailyJournal[[#This Row],[رقم العملية]],Tabledaily[رقم العملية],0))</f>
        <v>محمد خدام ثابت احمد</v>
      </c>
      <c r="P717" s="197" t="str">
        <f>INDEX(Tabledaily[المــــرجـــــــــع],MATCH(TableDailyJournal[[#This Row],[رقم العملية]],Tabledaily[رقم العملية],0))</f>
        <v>استلام نقدي</v>
      </c>
      <c r="Q717" s="197" t="str">
        <f>INDEX(Tabledaily[اســـــــم المــــرجــــع],MATCH(TableDailyJournal[[#This Row],[رقم العملية]],Tabledaily[رقم العملية],0))</f>
        <v>سند استلام</v>
      </c>
      <c r="R717" s="197" t="str">
        <f>INDEX(Tabledaily[رقم المـــــرجـــع],MATCH(TableDailyJournal[[#This Row],[رقم العملية]],Tabledaily[رقم العملية],0))</f>
        <v>100-120</v>
      </c>
      <c r="S717" s="197" t="str">
        <f>INDEX(Tabledaily[مركـــــــزالتكلفــــــة],MATCH(TableDailyJournal[[#This Row],[رقم العملية]],Tabledaily[رقم العملية],0))</f>
        <v>اللواء السادس</v>
      </c>
      <c r="T717" s="197">
        <f>IFERROR(INDEX(tablecost[رقم المركز],MATCH(TableDailyJournal[[#This Row],[مركـــــــزالتكلفــــــة]],tablecost[الاسم],0)),0)</f>
        <v>7</v>
      </c>
      <c r="U717" s="122">
        <f>IFERROR(DATE(TableDailyJournal[[#This Row],[السنــــة]],TableDailyJournal[[#This Row],[الشهــــر]],TableDailyJournal[[#This Row],[الـــــيوم]]),"01-01-2026")</f>
        <v>46194</v>
      </c>
      <c r="V717" s="126"/>
      <c r="W717" s="194"/>
      <c r="X717" s="194">
        <f>IFERROR(YEAR(TableDailyJournal[[#This Row],[التاريخ]]),"")</f>
        <v>2026</v>
      </c>
      <c r="Y717" s="194">
        <f>IFERROR(MONTH(TableDailyJournal[[#This Row],[التاريخ]]),"")</f>
        <v>6</v>
      </c>
      <c r="Z717" s="194">
        <f>IFERROR(DAY(TableDailyJournal[[#This Row],[التاريخ]]),"")</f>
        <v>21</v>
      </c>
      <c r="AA717" s="126" t="str">
        <f>INDEX(Tabledaily[المرجع البياني],MATCH(TableDailyJournal[[#This Row],[رقم العملية]],Tabledaily[رقم العملية],0))</f>
        <v>قيـد مقابـل:- (مصاريف سفر وتنقلات  - محمد خدام ثابت احمد - اللواء السادس)  - استلام نقدي رقم 100-120  سند استلام - مصاريف سفر توجيهات المستشار المالي بامرالمستشار المالي</v>
      </c>
      <c r="AB717" s="197" t="str">
        <f>INDEX(Tabledaily[جهة الامر],MATCH(TableDailyJournal[[#This Row],[رقم العملية]],Tabledaily[رقم العملية],0))</f>
        <v>المستشار المالي</v>
      </c>
    </row>
    <row r="718" spans="2:28" ht="45.75" x14ac:dyDescent="0.55000000000000004">
      <c r="B718" s="194">
        <f>ROW()-4</f>
        <v>714</v>
      </c>
      <c r="C718" s="59" t="s">
        <v>1219</v>
      </c>
      <c r="D718" s="60">
        <f>INDEX(Tabledaily[date],MATCH(TableDailyJournal[[#This Row],[رقم العملية]],Tabledaily[رقم العملية],0))</f>
        <v>46194</v>
      </c>
      <c r="E718" s="194" t="str">
        <f>INDEX(Tabledaily[نوع العمليــة],MATCH(TableDailyJournal[[#This Row],[رقم العملية]],Tabledaily[رقم العملية],0))</f>
        <v>قيد عهده</v>
      </c>
      <c r="F718" s="194">
        <f>IFERROR(INDEX(TableJudje[رقم الحساب],MATCH(TableDailyJournal[[#This Row],[الحساب]],TableJudje[اسم الحساب],0)),0)</f>
        <v>31010122</v>
      </c>
      <c r="G718" s="58" t="s">
        <v>487</v>
      </c>
      <c r="H718" s="195" t="str">
        <f>INDEX(Tabledaily[المرجع البياني],MATCH(TableDailyJournal[[#This Row],[رقم العملية]],Tabledaily[رقم العملية],0))</f>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v>
      </c>
      <c r="I718" s="60" t="str">
        <f>INDEX(Tabledaily[العملـــة],MATCH(TableDailyJournal[[#This Row],[رقم العملية]],Tabledaily[رقم العملية],0))</f>
        <v>ريال يمني</v>
      </c>
      <c r="J718" s="196">
        <f>IFERROR(INDEX(Tabledaily[سعــــــر
الصـــــرف],MATCH(C718,Tabledaily[رقم العملية],0)),1)</f>
        <v>405</v>
      </c>
      <c r="K718" s="123" cm="1">
        <f t="array" ref="K718">IFERROR(INDEX(Tabledaily[المبلـــــــغ],MATCH(1,(TableDailyJournal[[#This Row],[رقم العملية]]=Tabledaily[رقم العملية])*(TableDailyJournal[[#This Row],[الحساب]]=Tabledaily[الحســاب المديــــن]),0)),0)</f>
        <v>80000</v>
      </c>
      <c r="L718" s="123" cm="1">
        <f t="array" ref="L718">IFERROR(INDEX(Tabledaily[المبلـــــــغ],MATCH(1,(TableDailyJournal[[#This Row],[رقم العملية]]=Tabledaily[رقم العملية])*(TableDailyJournal[[#This Row],[الحساب]]=Tabledaily[الحســاب الدئـــن]),0)),0)</f>
        <v>0</v>
      </c>
      <c r="M718" s="119">
        <f>IFERROR(TableDailyJournal[[#This Row],[المبلغ مدين]]/TableDailyJournal[[#This Row],[سعــــــر
الصـــــرف]],0)</f>
        <v>197.53086419753086</v>
      </c>
      <c r="N718" s="119">
        <f>IFERROR(TableDailyJournal[[#This Row],[المبلغ دائن]]/TableDailyJournal[[#This Row],[سعــــــر
الصـــــرف]],0)</f>
        <v>0</v>
      </c>
      <c r="O718" s="197" t="str">
        <f>INDEX(Tabledaily[المستفيــــــــد],MATCH(TableDailyJournal[[#This Row],[رقم العملية]],Tabledaily[رقم العملية],0))</f>
        <v>طلحة عباس احمد قاسم</v>
      </c>
      <c r="P718" s="197" t="str">
        <f>INDEX(Tabledaily[المــــرجـــــــــع],MATCH(TableDailyJournal[[#This Row],[رقم العملية]],Tabledaily[رقم العملية],0))</f>
        <v>استلام نقدي</v>
      </c>
      <c r="Q718" s="197" t="str">
        <f>INDEX(Tabledaily[اســـــــم المــــرجــــع],MATCH(TableDailyJournal[[#This Row],[رقم العملية]],Tabledaily[رقم العملية],0))</f>
        <v>سند استلام</v>
      </c>
      <c r="R718" s="197" t="str">
        <f>INDEX(Tabledaily[رقم المـــــرجـــع],MATCH(TableDailyJournal[[#This Row],[رقم العملية]],Tabledaily[رقم العملية],0))</f>
        <v>100-114</v>
      </c>
      <c r="S718" s="197" t="str">
        <f>INDEX(Tabledaily[مركـــــــزالتكلفــــــة],MATCH(TableDailyJournal[[#This Row],[رقم العملية]],Tabledaily[رقم العملية],0))</f>
        <v>اللواء السادس</v>
      </c>
      <c r="T718" s="197">
        <f>IFERROR(INDEX(tablecost[رقم المركز],MATCH(TableDailyJournal[[#This Row],[مركـــــــزالتكلفــــــة]],tablecost[الاسم],0)),0)</f>
        <v>7</v>
      </c>
      <c r="U718" s="122">
        <f>IFERROR(DATE(TableDailyJournal[[#This Row],[السنــــة]],TableDailyJournal[[#This Row],[الشهــــر]],TableDailyJournal[[#This Row],[الـــــيوم]]),"01-01-2026")</f>
        <v>46194</v>
      </c>
      <c r="V718" s="126"/>
      <c r="W718" s="194"/>
      <c r="X718" s="194">
        <f>IFERROR(YEAR(TableDailyJournal[[#This Row],[التاريخ]]),"")</f>
        <v>2026</v>
      </c>
      <c r="Y718" s="194">
        <f>IFERROR(MONTH(TableDailyJournal[[#This Row],[التاريخ]]),"")</f>
        <v>6</v>
      </c>
      <c r="Z718" s="194">
        <f>IFERROR(DAY(TableDailyJournal[[#This Row],[التاريخ]]),"")</f>
        <v>21</v>
      </c>
      <c r="AA718" s="126" t="str">
        <f>INDEX(Tabledaily[المرجع البياني],MATCH(TableDailyJournal[[#This Row],[رقم العملية]],Tabledaily[رقم العملية],0))</f>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v>
      </c>
      <c r="AB718" s="197" t="str">
        <f>INDEX(Tabledaily[جهة الامر],MATCH(TableDailyJournal[[#This Row],[رقم العملية]],Tabledaily[رقم العملية],0))</f>
        <v>المستشار المالي</v>
      </c>
    </row>
    <row r="719" spans="2:28" ht="45.75" x14ac:dyDescent="0.55000000000000004">
      <c r="B719" s="194">
        <f>ROW()-4</f>
        <v>715</v>
      </c>
      <c r="C719" s="59" t="s">
        <v>1219</v>
      </c>
      <c r="D719" s="60">
        <f>INDEX(Tabledaily[date],MATCH(TableDailyJournal[[#This Row],[رقم العملية]],Tabledaily[رقم العملية],0))</f>
        <v>46194</v>
      </c>
      <c r="E719" s="194" t="str">
        <f>INDEX(Tabledaily[نوع العمليــة],MATCH(TableDailyJournal[[#This Row],[رقم العملية]],Tabledaily[رقم العملية],0))</f>
        <v>قيد عهده</v>
      </c>
      <c r="F719" s="194">
        <f>IFERROR(INDEX(TableJudje[رقم الحساب],MATCH(TableDailyJournal[[#This Row],[الحساب]],TableJudje[اسم الحساب],0)),0)</f>
        <v>11060205</v>
      </c>
      <c r="G719" s="58" t="s">
        <v>513</v>
      </c>
      <c r="H719" s="195" t="str">
        <f>INDEX(Tabledaily[المرجع البياني],MATCH(TableDailyJournal[[#This Row],[رقم العملية]],Tabledaily[رقم العملية],0))</f>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v>
      </c>
      <c r="I719" s="60" t="str">
        <f>INDEX(Tabledaily[العملـــة],MATCH(TableDailyJournal[[#This Row],[رقم العملية]],Tabledaily[رقم العملية],0))</f>
        <v>ريال يمني</v>
      </c>
      <c r="J719" s="196">
        <f>IFERROR(INDEX(Tabledaily[سعــــــر
الصـــــرف],MATCH(C719,Tabledaily[رقم العملية],0)),1)</f>
        <v>405</v>
      </c>
      <c r="K719" s="123" cm="1">
        <f t="array" ref="K719">IFERROR(INDEX(Tabledaily[المبلـــــــغ],MATCH(1,(TableDailyJournal[[#This Row],[رقم العملية]]=Tabledaily[رقم العملية])*(TableDailyJournal[[#This Row],[الحساب]]=Tabledaily[الحســاب المديــــن]),0)),0)</f>
        <v>0</v>
      </c>
      <c r="L719" s="123" cm="1">
        <f t="array" ref="L719">IFERROR(INDEX(Tabledaily[المبلـــــــغ],MATCH(1,(TableDailyJournal[[#This Row],[رقم العملية]]=Tabledaily[رقم العملية])*(TableDailyJournal[[#This Row],[الحساب]]=Tabledaily[الحســاب الدئـــن]),0)),0)</f>
        <v>80000</v>
      </c>
      <c r="M719" s="119">
        <f>IFERROR(TableDailyJournal[[#This Row],[المبلغ مدين]]/TableDailyJournal[[#This Row],[سعــــــر
الصـــــرف]],0)</f>
        <v>0</v>
      </c>
      <c r="N719" s="119">
        <f>IFERROR(TableDailyJournal[[#This Row],[المبلغ دائن]]/TableDailyJournal[[#This Row],[سعــــــر
الصـــــرف]],0)</f>
        <v>197.53086419753086</v>
      </c>
      <c r="O719" s="197" t="str">
        <f>INDEX(Tabledaily[المستفيــــــــد],MATCH(TableDailyJournal[[#This Row],[رقم العملية]],Tabledaily[رقم العملية],0))</f>
        <v>طلحة عباس احمد قاسم</v>
      </c>
      <c r="P719" s="197" t="str">
        <f>INDEX(Tabledaily[المــــرجـــــــــع],MATCH(TableDailyJournal[[#This Row],[رقم العملية]],Tabledaily[رقم العملية],0))</f>
        <v>استلام نقدي</v>
      </c>
      <c r="Q719" s="197" t="str">
        <f>INDEX(Tabledaily[اســـــــم المــــرجــــع],MATCH(TableDailyJournal[[#This Row],[رقم العملية]],Tabledaily[رقم العملية],0))</f>
        <v>سند استلام</v>
      </c>
      <c r="R719" s="197" t="str">
        <f>INDEX(Tabledaily[رقم المـــــرجـــع],MATCH(TableDailyJournal[[#This Row],[رقم العملية]],Tabledaily[رقم العملية],0))</f>
        <v>100-114</v>
      </c>
      <c r="S719" s="197" t="str">
        <f>INDEX(Tabledaily[مركـــــــزالتكلفــــــة],MATCH(TableDailyJournal[[#This Row],[رقم العملية]],Tabledaily[رقم العملية],0))</f>
        <v>اللواء السادس</v>
      </c>
      <c r="T719" s="197">
        <f>IFERROR(INDEX(tablecost[رقم المركز],MATCH(TableDailyJournal[[#This Row],[مركـــــــزالتكلفــــــة]],tablecost[الاسم],0)),0)</f>
        <v>7</v>
      </c>
      <c r="U719" s="122">
        <f>IFERROR(DATE(TableDailyJournal[[#This Row],[السنــــة]],TableDailyJournal[[#This Row],[الشهــــر]],TableDailyJournal[[#This Row],[الـــــيوم]]),"01-01-2026")</f>
        <v>46194</v>
      </c>
      <c r="V719" s="126"/>
      <c r="W719" s="194"/>
      <c r="X719" s="194">
        <f>IFERROR(YEAR(TableDailyJournal[[#This Row],[التاريخ]]),"")</f>
        <v>2026</v>
      </c>
      <c r="Y719" s="194">
        <f>IFERROR(MONTH(TableDailyJournal[[#This Row],[التاريخ]]),"")</f>
        <v>6</v>
      </c>
      <c r="Z719" s="194">
        <f>IFERROR(DAY(TableDailyJournal[[#This Row],[التاريخ]]),"")</f>
        <v>21</v>
      </c>
      <c r="AA719" s="126" t="str">
        <f>INDEX(Tabledaily[المرجع البياني],MATCH(TableDailyJournal[[#This Row],[رقم العملية]],Tabledaily[رقم العملية],0))</f>
        <v>قيـد مقابـل:- (مصاريف سفر وتنقلات  - طلحة عباس احمد قاسم - اللواء السادس)  - استلام نقدي رقم 100-114  سند استلام - مصاريف سفر توجيهات المستشار المالي بامرالمستشار المالي</v>
      </c>
      <c r="AB719" s="197" t="str">
        <f>INDEX(Tabledaily[جهة الامر],MATCH(TableDailyJournal[[#This Row],[رقم العملية]],Tabledaily[رقم العملية],0))</f>
        <v>المستشار المالي</v>
      </c>
    </row>
    <row r="720" spans="2:28" ht="45.75" x14ac:dyDescent="0.55000000000000004">
      <c r="B720" s="194">
        <f>ROW()-4</f>
        <v>716</v>
      </c>
      <c r="C720" s="59" t="s">
        <v>1227</v>
      </c>
      <c r="D720" s="60">
        <f>INDEX(Tabledaily[date],MATCH(TableDailyJournal[[#This Row],[رقم العملية]],Tabledaily[رقم العملية],0))</f>
        <v>46194</v>
      </c>
      <c r="E720" s="194" t="str">
        <f>INDEX(Tabledaily[نوع العمليــة],MATCH(TableDailyJournal[[#This Row],[رقم العملية]],Tabledaily[رقم العملية],0))</f>
        <v>قيد عهده</v>
      </c>
      <c r="F720" s="194">
        <f>IFERROR(INDEX(TableJudje[رقم الحساب],MATCH(TableDailyJournal[[#This Row],[الحساب]],TableJudje[اسم الحساب],0)),0)</f>
        <v>31010122</v>
      </c>
      <c r="G720" s="58" t="s">
        <v>487</v>
      </c>
      <c r="H720" s="195" t="str">
        <f>INDEX(Tabledaily[المرجع البياني],MATCH(TableDailyJournal[[#This Row],[رقم العملية]],Tabledaily[رقم العملية],0))</f>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v>
      </c>
      <c r="I720" s="60" t="str">
        <f>INDEX(Tabledaily[العملـــة],MATCH(TableDailyJournal[[#This Row],[رقم العملية]],Tabledaily[رقم العملية],0))</f>
        <v>ريال يمني</v>
      </c>
      <c r="J720" s="196">
        <f>IFERROR(INDEX(Tabledaily[سعــــــر
الصـــــرف],MATCH(C720,Tabledaily[رقم العملية],0)),1)</f>
        <v>405</v>
      </c>
      <c r="K720" s="123" cm="1">
        <f t="array" ref="K720">IFERROR(INDEX(Tabledaily[المبلـــــــغ],MATCH(1,(TableDailyJournal[[#This Row],[رقم العملية]]=Tabledaily[رقم العملية])*(TableDailyJournal[[#This Row],[الحساب]]=Tabledaily[الحســاب المديــــن]),0)),0)</f>
        <v>80000</v>
      </c>
      <c r="L720" s="123" cm="1">
        <f t="array" ref="L720">IFERROR(INDEX(Tabledaily[المبلـــــــغ],MATCH(1,(TableDailyJournal[[#This Row],[رقم العملية]]=Tabledaily[رقم العملية])*(TableDailyJournal[[#This Row],[الحساب]]=Tabledaily[الحســاب الدئـــن]),0)),0)</f>
        <v>0</v>
      </c>
      <c r="M720" s="119">
        <f>IFERROR(TableDailyJournal[[#This Row],[المبلغ مدين]]/TableDailyJournal[[#This Row],[سعــــــر
الصـــــرف]],0)</f>
        <v>197.53086419753086</v>
      </c>
      <c r="N720" s="119">
        <f>IFERROR(TableDailyJournal[[#This Row],[المبلغ دائن]]/TableDailyJournal[[#This Row],[سعــــــر
الصـــــرف]],0)</f>
        <v>0</v>
      </c>
      <c r="O720" s="197" t="str">
        <f>INDEX(Tabledaily[المستفيــــــــد],MATCH(TableDailyJournal[[#This Row],[رقم العملية]],Tabledaily[رقم العملية],0))</f>
        <v>محمد مبارك علي نعمان</v>
      </c>
      <c r="P720" s="197" t="str">
        <f>INDEX(Tabledaily[المــــرجـــــــــع],MATCH(TableDailyJournal[[#This Row],[رقم العملية]],Tabledaily[رقم العملية],0))</f>
        <v>استلام نقدي</v>
      </c>
      <c r="Q720" s="197" t="str">
        <f>INDEX(Tabledaily[اســـــــم المــــرجــــع],MATCH(TableDailyJournal[[#This Row],[رقم العملية]],Tabledaily[رقم العملية],0))</f>
        <v>سند استلام</v>
      </c>
      <c r="R720" s="197" t="str">
        <f>INDEX(Tabledaily[رقم المـــــرجـــع],MATCH(TableDailyJournal[[#This Row],[رقم العملية]],Tabledaily[رقم العملية],0))</f>
        <v>100-111</v>
      </c>
      <c r="S720" s="197" t="str">
        <f>INDEX(Tabledaily[مركـــــــزالتكلفــــــة],MATCH(TableDailyJournal[[#This Row],[رقم العملية]],Tabledaily[رقم العملية],0))</f>
        <v>اللواء السادس</v>
      </c>
      <c r="T720" s="197">
        <f>IFERROR(INDEX(tablecost[رقم المركز],MATCH(TableDailyJournal[[#This Row],[مركـــــــزالتكلفــــــة]],tablecost[الاسم],0)),0)</f>
        <v>7</v>
      </c>
      <c r="U720" s="122">
        <f>IFERROR(DATE(TableDailyJournal[[#This Row],[السنــــة]],TableDailyJournal[[#This Row],[الشهــــر]],TableDailyJournal[[#This Row],[الـــــيوم]]),"01-01-2026")</f>
        <v>46194</v>
      </c>
      <c r="V720" s="126"/>
      <c r="W720" s="194"/>
      <c r="X720" s="194">
        <f>IFERROR(YEAR(TableDailyJournal[[#This Row],[التاريخ]]),"")</f>
        <v>2026</v>
      </c>
      <c r="Y720" s="194">
        <f>IFERROR(MONTH(TableDailyJournal[[#This Row],[التاريخ]]),"")</f>
        <v>6</v>
      </c>
      <c r="Z720" s="194">
        <f>IFERROR(DAY(TableDailyJournal[[#This Row],[التاريخ]]),"")</f>
        <v>21</v>
      </c>
      <c r="AA720" s="126" t="str">
        <f>INDEX(Tabledaily[المرجع البياني],MATCH(TableDailyJournal[[#This Row],[رقم العملية]],Tabledaily[رقم العملية],0))</f>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v>
      </c>
      <c r="AB720" s="197" t="str">
        <f>INDEX(Tabledaily[جهة الامر],MATCH(TableDailyJournal[[#This Row],[رقم العملية]],Tabledaily[رقم العملية],0))</f>
        <v>المستشار المالي</v>
      </c>
    </row>
    <row r="721" spans="2:28" ht="45.75" x14ac:dyDescent="0.55000000000000004">
      <c r="B721" s="194">
        <f>ROW()-4</f>
        <v>717</v>
      </c>
      <c r="C721" s="59" t="s">
        <v>1227</v>
      </c>
      <c r="D721" s="60">
        <f>INDEX(Tabledaily[date],MATCH(TableDailyJournal[[#This Row],[رقم العملية]],Tabledaily[رقم العملية],0))</f>
        <v>46194</v>
      </c>
      <c r="E721" s="194" t="str">
        <f>INDEX(Tabledaily[نوع العمليــة],MATCH(TableDailyJournal[[#This Row],[رقم العملية]],Tabledaily[رقم العملية],0))</f>
        <v>قيد عهده</v>
      </c>
      <c r="F721" s="194">
        <f>IFERROR(INDEX(TableJudje[رقم الحساب],MATCH(TableDailyJournal[[#This Row],[الحساب]],TableJudje[اسم الحساب],0)),0)</f>
        <v>11060205</v>
      </c>
      <c r="G721" s="58" t="s">
        <v>513</v>
      </c>
      <c r="H721" s="195" t="str">
        <f>INDEX(Tabledaily[المرجع البياني],MATCH(TableDailyJournal[[#This Row],[رقم العملية]],Tabledaily[رقم العملية],0))</f>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v>
      </c>
      <c r="I721" s="60" t="str">
        <f>INDEX(Tabledaily[العملـــة],MATCH(TableDailyJournal[[#This Row],[رقم العملية]],Tabledaily[رقم العملية],0))</f>
        <v>ريال يمني</v>
      </c>
      <c r="J721" s="196">
        <f>IFERROR(INDEX(Tabledaily[سعــــــر
الصـــــرف],MATCH(C721,Tabledaily[رقم العملية],0)),1)</f>
        <v>405</v>
      </c>
      <c r="K721" s="123" cm="1">
        <f t="array" ref="K721">IFERROR(INDEX(Tabledaily[المبلـــــــغ],MATCH(1,(TableDailyJournal[[#This Row],[رقم العملية]]=Tabledaily[رقم العملية])*(TableDailyJournal[[#This Row],[الحساب]]=Tabledaily[الحســاب المديــــن]),0)),0)</f>
        <v>0</v>
      </c>
      <c r="L721" s="123" cm="1">
        <f t="array" ref="L721">IFERROR(INDEX(Tabledaily[المبلـــــــغ],MATCH(1,(TableDailyJournal[[#This Row],[رقم العملية]]=Tabledaily[رقم العملية])*(TableDailyJournal[[#This Row],[الحساب]]=Tabledaily[الحســاب الدئـــن]),0)),0)</f>
        <v>80000</v>
      </c>
      <c r="M721" s="119">
        <f>IFERROR(TableDailyJournal[[#This Row],[المبلغ مدين]]/TableDailyJournal[[#This Row],[سعــــــر
الصـــــرف]],0)</f>
        <v>0</v>
      </c>
      <c r="N721" s="119">
        <f>IFERROR(TableDailyJournal[[#This Row],[المبلغ دائن]]/TableDailyJournal[[#This Row],[سعــــــر
الصـــــرف]],0)</f>
        <v>197.53086419753086</v>
      </c>
      <c r="O721" s="197" t="str">
        <f>INDEX(Tabledaily[المستفيــــــــد],MATCH(TableDailyJournal[[#This Row],[رقم العملية]],Tabledaily[رقم العملية],0))</f>
        <v>محمد مبارك علي نعمان</v>
      </c>
      <c r="P721" s="197" t="str">
        <f>INDEX(Tabledaily[المــــرجـــــــــع],MATCH(TableDailyJournal[[#This Row],[رقم العملية]],Tabledaily[رقم العملية],0))</f>
        <v>استلام نقدي</v>
      </c>
      <c r="Q721" s="197" t="str">
        <f>INDEX(Tabledaily[اســـــــم المــــرجــــع],MATCH(TableDailyJournal[[#This Row],[رقم العملية]],Tabledaily[رقم العملية],0))</f>
        <v>سند استلام</v>
      </c>
      <c r="R721" s="197" t="str">
        <f>INDEX(Tabledaily[رقم المـــــرجـــع],MATCH(TableDailyJournal[[#This Row],[رقم العملية]],Tabledaily[رقم العملية],0))</f>
        <v>100-111</v>
      </c>
      <c r="S721" s="197" t="str">
        <f>INDEX(Tabledaily[مركـــــــزالتكلفــــــة],MATCH(TableDailyJournal[[#This Row],[رقم العملية]],Tabledaily[رقم العملية],0))</f>
        <v>اللواء السادس</v>
      </c>
      <c r="T721" s="197">
        <f>IFERROR(INDEX(tablecost[رقم المركز],MATCH(TableDailyJournal[[#This Row],[مركـــــــزالتكلفــــــة]],tablecost[الاسم],0)),0)</f>
        <v>7</v>
      </c>
      <c r="U721" s="122">
        <f>IFERROR(DATE(TableDailyJournal[[#This Row],[السنــــة]],TableDailyJournal[[#This Row],[الشهــــر]],TableDailyJournal[[#This Row],[الـــــيوم]]),"01-01-2026")</f>
        <v>46194</v>
      </c>
      <c r="V721" s="126"/>
      <c r="W721" s="194"/>
      <c r="X721" s="194">
        <f>IFERROR(YEAR(TableDailyJournal[[#This Row],[التاريخ]]),"")</f>
        <v>2026</v>
      </c>
      <c r="Y721" s="194">
        <f>IFERROR(MONTH(TableDailyJournal[[#This Row],[التاريخ]]),"")</f>
        <v>6</v>
      </c>
      <c r="Z721" s="194">
        <f>IFERROR(DAY(TableDailyJournal[[#This Row],[التاريخ]]),"")</f>
        <v>21</v>
      </c>
      <c r="AA721" s="126" t="str">
        <f>INDEX(Tabledaily[المرجع البياني],MATCH(TableDailyJournal[[#This Row],[رقم العملية]],Tabledaily[رقم العملية],0))</f>
        <v>قيـد مقابـل:- (مصاريف سفر وتنقلات  - محمد مبارك علي نعمان - اللواء السادس)  - استلام نقدي رقم 100-111  سند استلام - مصاريف سفر توجيهات المستشار المالي بامرالمستشار المالي</v>
      </c>
      <c r="AB721" s="197" t="str">
        <f>INDEX(Tabledaily[جهة الامر],MATCH(TableDailyJournal[[#This Row],[رقم العملية]],Tabledaily[رقم العملية],0))</f>
        <v>المستشار المالي</v>
      </c>
    </row>
    <row r="722" spans="2:28" ht="45.75" x14ac:dyDescent="0.55000000000000004">
      <c r="B722" s="194">
        <f>ROW()-4</f>
        <v>718</v>
      </c>
      <c r="C722" s="59" t="s">
        <v>1230</v>
      </c>
      <c r="D722" s="60">
        <f>INDEX(Tabledaily[date],MATCH(TableDailyJournal[[#This Row],[رقم العملية]],Tabledaily[رقم العملية],0))</f>
        <v>46194</v>
      </c>
      <c r="E722" s="194" t="str">
        <f>INDEX(Tabledaily[نوع العمليــة],MATCH(TableDailyJournal[[#This Row],[رقم العملية]],Tabledaily[رقم العملية],0))</f>
        <v>قيد عهده</v>
      </c>
      <c r="F722" s="194">
        <f>IFERROR(INDEX(TableJudje[رقم الحساب],MATCH(TableDailyJournal[[#This Row],[الحساب]],TableJudje[اسم الحساب],0)),0)</f>
        <v>31010122</v>
      </c>
      <c r="G722" s="58" t="s">
        <v>487</v>
      </c>
      <c r="H722" s="195" t="str">
        <f>INDEX(Tabledaily[المرجع البياني],MATCH(TableDailyJournal[[#This Row],[رقم العملية]],Tabledaily[رقم العملية],0))</f>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v>
      </c>
      <c r="I722" s="60" t="str">
        <f>INDEX(Tabledaily[العملـــة],MATCH(TableDailyJournal[[#This Row],[رقم العملية]],Tabledaily[رقم العملية],0))</f>
        <v>ريال يمني</v>
      </c>
      <c r="J722" s="196">
        <f>IFERROR(INDEX(Tabledaily[سعــــــر
الصـــــرف],MATCH(C722,Tabledaily[رقم العملية],0)),1)</f>
        <v>405</v>
      </c>
      <c r="K722" s="123" cm="1">
        <f t="array" ref="K722">IFERROR(INDEX(Tabledaily[المبلـــــــغ],MATCH(1,(TableDailyJournal[[#This Row],[رقم العملية]]=Tabledaily[رقم العملية])*(TableDailyJournal[[#This Row],[الحساب]]=Tabledaily[الحســاب المديــــن]),0)),0)</f>
        <v>80000</v>
      </c>
      <c r="L722" s="123" cm="1">
        <f t="array" ref="L722">IFERROR(INDEX(Tabledaily[المبلـــــــغ],MATCH(1,(TableDailyJournal[[#This Row],[رقم العملية]]=Tabledaily[رقم العملية])*(TableDailyJournal[[#This Row],[الحساب]]=Tabledaily[الحســاب الدئـــن]),0)),0)</f>
        <v>0</v>
      </c>
      <c r="M722" s="119">
        <f>IFERROR(TableDailyJournal[[#This Row],[المبلغ مدين]]/TableDailyJournal[[#This Row],[سعــــــر
الصـــــرف]],0)</f>
        <v>197.53086419753086</v>
      </c>
      <c r="N722" s="119">
        <f>IFERROR(TableDailyJournal[[#This Row],[المبلغ دائن]]/TableDailyJournal[[#This Row],[سعــــــر
الصـــــرف]],0)</f>
        <v>0</v>
      </c>
      <c r="O722" s="197" t="str">
        <f>INDEX(Tabledaily[المستفيــــــــد],MATCH(TableDailyJournal[[#This Row],[رقم العملية]],Tabledaily[رقم العملية],0))</f>
        <v>الخضر محمد احمد الخضر</v>
      </c>
      <c r="P722" s="197" t="str">
        <f>INDEX(Tabledaily[المــــرجـــــــــع],MATCH(TableDailyJournal[[#This Row],[رقم العملية]],Tabledaily[رقم العملية],0))</f>
        <v>استلام نقدي</v>
      </c>
      <c r="Q722" s="197" t="str">
        <f>INDEX(Tabledaily[اســـــــم المــــرجــــع],MATCH(TableDailyJournal[[#This Row],[رقم العملية]],Tabledaily[رقم العملية],0))</f>
        <v>سند استلام</v>
      </c>
      <c r="R722" s="197" t="str">
        <f>INDEX(Tabledaily[رقم المـــــرجـــع],MATCH(TableDailyJournal[[#This Row],[رقم العملية]],Tabledaily[رقم العملية],0))</f>
        <v>100-105</v>
      </c>
      <c r="S722" s="197" t="str">
        <f>INDEX(Tabledaily[مركـــــــزالتكلفــــــة],MATCH(TableDailyJournal[[#This Row],[رقم العملية]],Tabledaily[رقم العملية],0))</f>
        <v>اللواء السادس</v>
      </c>
      <c r="T722" s="197">
        <f>IFERROR(INDEX(tablecost[رقم المركز],MATCH(TableDailyJournal[[#This Row],[مركـــــــزالتكلفــــــة]],tablecost[الاسم],0)),0)</f>
        <v>7</v>
      </c>
      <c r="U722" s="122">
        <f>IFERROR(DATE(TableDailyJournal[[#This Row],[السنــــة]],TableDailyJournal[[#This Row],[الشهــــر]],TableDailyJournal[[#This Row],[الـــــيوم]]),"01-01-2026")</f>
        <v>46194</v>
      </c>
      <c r="V722" s="126"/>
      <c r="W722" s="194"/>
      <c r="X722" s="194">
        <f>IFERROR(YEAR(TableDailyJournal[[#This Row],[التاريخ]]),"")</f>
        <v>2026</v>
      </c>
      <c r="Y722" s="194">
        <f>IFERROR(MONTH(TableDailyJournal[[#This Row],[التاريخ]]),"")</f>
        <v>6</v>
      </c>
      <c r="Z722" s="194">
        <f>IFERROR(DAY(TableDailyJournal[[#This Row],[التاريخ]]),"")</f>
        <v>21</v>
      </c>
      <c r="AA722" s="126" t="str">
        <f>INDEX(Tabledaily[المرجع البياني],MATCH(TableDailyJournal[[#This Row],[رقم العملية]],Tabledaily[رقم العملية],0))</f>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v>
      </c>
      <c r="AB722" s="197" t="str">
        <f>INDEX(Tabledaily[جهة الامر],MATCH(TableDailyJournal[[#This Row],[رقم العملية]],Tabledaily[رقم العملية],0))</f>
        <v>المستشار المالي</v>
      </c>
    </row>
    <row r="723" spans="2:28" ht="45.75" x14ac:dyDescent="0.55000000000000004">
      <c r="B723" s="194">
        <f>ROW()-4</f>
        <v>719</v>
      </c>
      <c r="C723" s="59" t="s">
        <v>1230</v>
      </c>
      <c r="D723" s="60">
        <f>INDEX(Tabledaily[date],MATCH(TableDailyJournal[[#This Row],[رقم العملية]],Tabledaily[رقم العملية],0))</f>
        <v>46194</v>
      </c>
      <c r="E723" s="194" t="str">
        <f>INDEX(Tabledaily[نوع العمليــة],MATCH(TableDailyJournal[[#This Row],[رقم العملية]],Tabledaily[رقم العملية],0))</f>
        <v>قيد عهده</v>
      </c>
      <c r="F723" s="194">
        <f>IFERROR(INDEX(TableJudje[رقم الحساب],MATCH(TableDailyJournal[[#This Row],[الحساب]],TableJudje[اسم الحساب],0)),0)</f>
        <v>11060205</v>
      </c>
      <c r="G723" s="58" t="s">
        <v>513</v>
      </c>
      <c r="H723" s="195" t="str">
        <f>INDEX(Tabledaily[المرجع البياني],MATCH(TableDailyJournal[[#This Row],[رقم العملية]],Tabledaily[رقم العملية],0))</f>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v>
      </c>
      <c r="I723" s="60" t="str">
        <f>INDEX(Tabledaily[العملـــة],MATCH(TableDailyJournal[[#This Row],[رقم العملية]],Tabledaily[رقم العملية],0))</f>
        <v>ريال يمني</v>
      </c>
      <c r="J723" s="196">
        <f>IFERROR(INDEX(Tabledaily[سعــــــر
الصـــــرف],MATCH(C723,Tabledaily[رقم العملية],0)),1)</f>
        <v>405</v>
      </c>
      <c r="K723" s="123" cm="1">
        <f t="array" ref="K723">IFERROR(INDEX(Tabledaily[المبلـــــــغ],MATCH(1,(TableDailyJournal[[#This Row],[رقم العملية]]=Tabledaily[رقم العملية])*(TableDailyJournal[[#This Row],[الحساب]]=Tabledaily[الحســاب المديــــن]),0)),0)</f>
        <v>0</v>
      </c>
      <c r="L723" s="123" cm="1">
        <f t="array" ref="L723">IFERROR(INDEX(Tabledaily[المبلـــــــغ],MATCH(1,(TableDailyJournal[[#This Row],[رقم العملية]]=Tabledaily[رقم العملية])*(TableDailyJournal[[#This Row],[الحساب]]=Tabledaily[الحســاب الدئـــن]),0)),0)</f>
        <v>80000</v>
      </c>
      <c r="M723" s="119">
        <f>IFERROR(TableDailyJournal[[#This Row],[المبلغ مدين]]/TableDailyJournal[[#This Row],[سعــــــر
الصـــــرف]],0)</f>
        <v>0</v>
      </c>
      <c r="N723" s="119">
        <f>IFERROR(TableDailyJournal[[#This Row],[المبلغ دائن]]/TableDailyJournal[[#This Row],[سعــــــر
الصـــــرف]],0)</f>
        <v>197.53086419753086</v>
      </c>
      <c r="O723" s="197" t="str">
        <f>INDEX(Tabledaily[المستفيــــــــد],MATCH(TableDailyJournal[[#This Row],[رقم العملية]],Tabledaily[رقم العملية],0))</f>
        <v>الخضر محمد احمد الخضر</v>
      </c>
      <c r="P723" s="197" t="str">
        <f>INDEX(Tabledaily[المــــرجـــــــــع],MATCH(TableDailyJournal[[#This Row],[رقم العملية]],Tabledaily[رقم العملية],0))</f>
        <v>استلام نقدي</v>
      </c>
      <c r="Q723" s="197" t="str">
        <f>INDEX(Tabledaily[اســـــــم المــــرجــــع],MATCH(TableDailyJournal[[#This Row],[رقم العملية]],Tabledaily[رقم العملية],0))</f>
        <v>سند استلام</v>
      </c>
      <c r="R723" s="197" t="str">
        <f>INDEX(Tabledaily[رقم المـــــرجـــع],MATCH(TableDailyJournal[[#This Row],[رقم العملية]],Tabledaily[رقم العملية],0))</f>
        <v>100-105</v>
      </c>
      <c r="S723" s="197" t="str">
        <f>INDEX(Tabledaily[مركـــــــزالتكلفــــــة],MATCH(TableDailyJournal[[#This Row],[رقم العملية]],Tabledaily[رقم العملية],0))</f>
        <v>اللواء السادس</v>
      </c>
      <c r="T723" s="197">
        <f>IFERROR(INDEX(tablecost[رقم المركز],MATCH(TableDailyJournal[[#This Row],[مركـــــــزالتكلفــــــة]],tablecost[الاسم],0)),0)</f>
        <v>7</v>
      </c>
      <c r="U723" s="122">
        <f>IFERROR(DATE(TableDailyJournal[[#This Row],[السنــــة]],TableDailyJournal[[#This Row],[الشهــــر]],TableDailyJournal[[#This Row],[الـــــيوم]]),"01-01-2026")</f>
        <v>46194</v>
      </c>
      <c r="V723" s="126"/>
      <c r="W723" s="194"/>
      <c r="X723" s="194">
        <f>IFERROR(YEAR(TableDailyJournal[[#This Row],[التاريخ]]),"")</f>
        <v>2026</v>
      </c>
      <c r="Y723" s="194">
        <f>IFERROR(MONTH(TableDailyJournal[[#This Row],[التاريخ]]),"")</f>
        <v>6</v>
      </c>
      <c r="Z723" s="194">
        <f>IFERROR(DAY(TableDailyJournal[[#This Row],[التاريخ]]),"")</f>
        <v>21</v>
      </c>
      <c r="AA723" s="126" t="str">
        <f>INDEX(Tabledaily[المرجع البياني],MATCH(TableDailyJournal[[#This Row],[رقم العملية]],Tabledaily[رقم العملية],0))</f>
        <v>قيـد مقابـل:- (مصاريف سفر وتنقلات  - الخضر محمد احمد الخضر - اللواء السادس)  - استلام نقدي رقم 100-105  سند استلام - مصاريف سفر توجيهات المستشار المالي بامرالمستشار المالي</v>
      </c>
      <c r="AB723" s="197" t="str">
        <f>INDEX(Tabledaily[جهة الامر],MATCH(TableDailyJournal[[#This Row],[رقم العملية]],Tabledaily[رقم العملية],0))</f>
        <v>المستشار المالي</v>
      </c>
    </row>
    <row r="724" spans="2:28" ht="45.75" x14ac:dyDescent="0.55000000000000004">
      <c r="B724" s="194">
        <f>ROW()-4</f>
        <v>720</v>
      </c>
      <c r="C724" s="59" t="s">
        <v>1233</v>
      </c>
      <c r="D724" s="60">
        <f>INDEX(Tabledaily[date],MATCH(TableDailyJournal[[#This Row],[رقم العملية]],Tabledaily[رقم العملية],0))</f>
        <v>46194</v>
      </c>
      <c r="E724" s="194" t="str">
        <f>INDEX(Tabledaily[نوع العمليــة],MATCH(TableDailyJournal[[#This Row],[رقم العملية]],Tabledaily[رقم العملية],0))</f>
        <v>قيد عهده</v>
      </c>
      <c r="F724" s="194">
        <f>IFERROR(INDEX(TableJudje[رقم الحساب],MATCH(TableDailyJournal[[#This Row],[الحساب]],TableJudje[اسم الحساب],0)),0)</f>
        <v>31010115</v>
      </c>
      <c r="G724" s="58" t="s">
        <v>486</v>
      </c>
      <c r="H724" s="195" t="str">
        <f>INDEX(Tabledaily[المرجع البياني],MATCH(TableDailyJournal[[#This Row],[رقم العملية]],Tabledaily[رقم العملية],0))</f>
        <v>قيـد مقابـل:- (مصاريف مياة - وايت الماء - الفرقة الثالثة)  - استلام نقدي رقم 100-109  سند استلام - تعبئة القاطرة ماء من الخشعة والعودة بامرالأركان جمال مسدوس</v>
      </c>
      <c r="I724" s="60" t="str">
        <f>INDEX(Tabledaily[العملـــة],MATCH(TableDailyJournal[[#This Row],[رقم العملية]],Tabledaily[رقم العملية],0))</f>
        <v>ريال يمني</v>
      </c>
      <c r="J724" s="196">
        <f>IFERROR(INDEX(Tabledaily[سعــــــر
الصـــــرف],MATCH(C724,Tabledaily[رقم العملية],0)),1)</f>
        <v>405</v>
      </c>
      <c r="K724" s="123" cm="1">
        <f t="array" ref="K724">IFERROR(INDEX(Tabledaily[المبلـــــــغ],MATCH(1,(TableDailyJournal[[#This Row],[رقم العملية]]=Tabledaily[رقم العملية])*(TableDailyJournal[[#This Row],[الحساب]]=Tabledaily[الحســاب المديــــن]),0)),0)</f>
        <v>100000</v>
      </c>
      <c r="L724" s="123" cm="1">
        <f t="array" ref="L724">IFERROR(INDEX(Tabledaily[المبلـــــــغ],MATCH(1,(TableDailyJournal[[#This Row],[رقم العملية]]=Tabledaily[رقم العملية])*(TableDailyJournal[[#This Row],[الحساب]]=Tabledaily[الحســاب الدئـــن]),0)),0)</f>
        <v>0</v>
      </c>
      <c r="M724" s="119">
        <f>IFERROR(TableDailyJournal[[#This Row],[المبلغ مدين]]/TableDailyJournal[[#This Row],[سعــــــر
الصـــــرف]],0)</f>
        <v>246.91358024691357</v>
      </c>
      <c r="N724" s="119">
        <f>IFERROR(TableDailyJournal[[#This Row],[المبلغ دائن]]/TableDailyJournal[[#This Row],[سعــــــر
الصـــــرف]],0)</f>
        <v>0</v>
      </c>
      <c r="O724" s="197" t="str">
        <f>INDEX(Tabledaily[المستفيــــــــد],MATCH(TableDailyJournal[[#This Row],[رقم العملية]],Tabledaily[رقم العملية],0))</f>
        <v>وايت الماء</v>
      </c>
      <c r="P724" s="197" t="str">
        <f>INDEX(Tabledaily[المــــرجـــــــــع],MATCH(TableDailyJournal[[#This Row],[رقم العملية]],Tabledaily[رقم العملية],0))</f>
        <v>استلام نقدي</v>
      </c>
      <c r="Q724" s="197" t="str">
        <f>INDEX(Tabledaily[اســـــــم المــــرجــــع],MATCH(TableDailyJournal[[#This Row],[رقم العملية]],Tabledaily[رقم العملية],0))</f>
        <v>سند استلام</v>
      </c>
      <c r="R724" s="197" t="str">
        <f>INDEX(Tabledaily[رقم المـــــرجـــع],MATCH(TableDailyJournal[[#This Row],[رقم العملية]],Tabledaily[رقم العملية],0))</f>
        <v>100-109</v>
      </c>
      <c r="S724" s="197" t="str">
        <f>INDEX(Tabledaily[مركـــــــزالتكلفــــــة],MATCH(TableDailyJournal[[#This Row],[رقم العملية]],Tabledaily[رقم العملية],0))</f>
        <v>الفرقة الثالثة</v>
      </c>
      <c r="T724" s="197">
        <f>IFERROR(INDEX(tablecost[رقم المركز],MATCH(TableDailyJournal[[#This Row],[مركـــــــزالتكلفــــــة]],tablecost[الاسم],0)),0)</f>
        <v>1</v>
      </c>
      <c r="U724" s="122">
        <f>IFERROR(DATE(TableDailyJournal[[#This Row],[السنــــة]],TableDailyJournal[[#This Row],[الشهــــر]],TableDailyJournal[[#This Row],[الـــــيوم]]),"01-01-2026")</f>
        <v>46194</v>
      </c>
      <c r="V724" s="126"/>
      <c r="W724" s="194"/>
      <c r="X724" s="194">
        <f>IFERROR(YEAR(TableDailyJournal[[#This Row],[التاريخ]]),"")</f>
        <v>2026</v>
      </c>
      <c r="Y724" s="194">
        <f>IFERROR(MONTH(TableDailyJournal[[#This Row],[التاريخ]]),"")</f>
        <v>6</v>
      </c>
      <c r="Z724" s="194">
        <f>IFERROR(DAY(TableDailyJournal[[#This Row],[التاريخ]]),"")</f>
        <v>21</v>
      </c>
      <c r="AA724" s="126" t="str">
        <f>INDEX(Tabledaily[المرجع البياني],MATCH(TableDailyJournal[[#This Row],[رقم العملية]],Tabledaily[رقم العملية],0))</f>
        <v>قيـد مقابـل:- (مصاريف مياة - وايت الماء - الفرقة الثالثة)  - استلام نقدي رقم 100-109  سند استلام - تعبئة القاطرة ماء من الخشعة والعودة بامرالأركان جمال مسدوس</v>
      </c>
      <c r="AB724" s="197" t="str">
        <f>INDEX(Tabledaily[جهة الامر],MATCH(TableDailyJournal[[#This Row],[رقم العملية]],Tabledaily[رقم العملية],0))</f>
        <v>الأركان جمال مسدوس</v>
      </c>
    </row>
    <row r="725" spans="2:28" ht="45.75" x14ac:dyDescent="0.55000000000000004">
      <c r="B725" s="194">
        <f>ROW()-4</f>
        <v>721</v>
      </c>
      <c r="C725" s="59" t="s">
        <v>1233</v>
      </c>
      <c r="D725" s="60">
        <f>INDEX(Tabledaily[date],MATCH(TableDailyJournal[[#This Row],[رقم العملية]],Tabledaily[رقم العملية],0))</f>
        <v>46194</v>
      </c>
      <c r="E725" s="194" t="str">
        <f>INDEX(Tabledaily[نوع العمليــة],MATCH(TableDailyJournal[[#This Row],[رقم العملية]],Tabledaily[رقم العملية],0))</f>
        <v>قيد عهده</v>
      </c>
      <c r="F725" s="194">
        <f>IFERROR(INDEX(TableJudje[رقم الحساب],MATCH(TableDailyJournal[[#This Row],[الحساب]],TableJudje[اسم الحساب],0)),0)</f>
        <v>11060205</v>
      </c>
      <c r="G725" s="58" t="s">
        <v>513</v>
      </c>
      <c r="H725" s="195" t="str">
        <f>INDEX(Tabledaily[المرجع البياني],MATCH(TableDailyJournal[[#This Row],[رقم العملية]],Tabledaily[رقم العملية],0))</f>
        <v>قيـد مقابـل:- (مصاريف مياة - وايت الماء - الفرقة الثالثة)  - استلام نقدي رقم 100-109  سند استلام - تعبئة القاطرة ماء من الخشعة والعودة بامرالأركان جمال مسدوس</v>
      </c>
      <c r="I725" s="60" t="str">
        <f>INDEX(Tabledaily[العملـــة],MATCH(TableDailyJournal[[#This Row],[رقم العملية]],Tabledaily[رقم العملية],0))</f>
        <v>ريال يمني</v>
      </c>
      <c r="J725" s="196">
        <f>IFERROR(INDEX(Tabledaily[سعــــــر
الصـــــرف],MATCH(C725,Tabledaily[رقم العملية],0)),1)</f>
        <v>405</v>
      </c>
      <c r="K725" s="123" cm="1">
        <f t="array" ref="K725">IFERROR(INDEX(Tabledaily[المبلـــــــغ],MATCH(1,(TableDailyJournal[[#This Row],[رقم العملية]]=Tabledaily[رقم العملية])*(TableDailyJournal[[#This Row],[الحساب]]=Tabledaily[الحســاب المديــــن]),0)),0)</f>
        <v>0</v>
      </c>
      <c r="L725" s="123" cm="1">
        <f t="array" ref="L725">IFERROR(INDEX(Tabledaily[المبلـــــــغ],MATCH(1,(TableDailyJournal[[#This Row],[رقم العملية]]=Tabledaily[رقم العملية])*(TableDailyJournal[[#This Row],[الحساب]]=Tabledaily[الحســاب الدئـــن]),0)),0)</f>
        <v>100000</v>
      </c>
      <c r="M725" s="119">
        <f>IFERROR(TableDailyJournal[[#This Row],[المبلغ مدين]]/TableDailyJournal[[#This Row],[سعــــــر
الصـــــرف]],0)</f>
        <v>0</v>
      </c>
      <c r="N725" s="119">
        <f>IFERROR(TableDailyJournal[[#This Row],[المبلغ دائن]]/TableDailyJournal[[#This Row],[سعــــــر
الصـــــرف]],0)</f>
        <v>246.91358024691357</v>
      </c>
      <c r="O725" s="197" t="str">
        <f>INDEX(Tabledaily[المستفيــــــــد],MATCH(TableDailyJournal[[#This Row],[رقم العملية]],Tabledaily[رقم العملية],0))</f>
        <v>وايت الماء</v>
      </c>
      <c r="P725" s="197" t="str">
        <f>INDEX(Tabledaily[المــــرجـــــــــع],MATCH(TableDailyJournal[[#This Row],[رقم العملية]],Tabledaily[رقم العملية],0))</f>
        <v>استلام نقدي</v>
      </c>
      <c r="Q725" s="197" t="str">
        <f>INDEX(Tabledaily[اســـــــم المــــرجــــع],MATCH(TableDailyJournal[[#This Row],[رقم العملية]],Tabledaily[رقم العملية],0))</f>
        <v>سند استلام</v>
      </c>
      <c r="R725" s="197" t="str">
        <f>INDEX(Tabledaily[رقم المـــــرجـــع],MATCH(TableDailyJournal[[#This Row],[رقم العملية]],Tabledaily[رقم العملية],0))</f>
        <v>100-109</v>
      </c>
      <c r="S725" s="197" t="str">
        <f>INDEX(Tabledaily[مركـــــــزالتكلفــــــة],MATCH(TableDailyJournal[[#This Row],[رقم العملية]],Tabledaily[رقم العملية],0))</f>
        <v>الفرقة الثالثة</v>
      </c>
      <c r="T725" s="197">
        <f>IFERROR(INDEX(tablecost[رقم المركز],MATCH(TableDailyJournal[[#This Row],[مركـــــــزالتكلفــــــة]],tablecost[الاسم],0)),0)</f>
        <v>1</v>
      </c>
      <c r="U725" s="122">
        <f>IFERROR(DATE(TableDailyJournal[[#This Row],[السنــــة]],TableDailyJournal[[#This Row],[الشهــــر]],TableDailyJournal[[#This Row],[الـــــيوم]]),"01-01-2026")</f>
        <v>46194</v>
      </c>
      <c r="V725" s="126"/>
      <c r="W725" s="194"/>
      <c r="X725" s="194">
        <f>IFERROR(YEAR(TableDailyJournal[[#This Row],[التاريخ]]),"")</f>
        <v>2026</v>
      </c>
      <c r="Y725" s="194">
        <f>IFERROR(MONTH(TableDailyJournal[[#This Row],[التاريخ]]),"")</f>
        <v>6</v>
      </c>
      <c r="Z725" s="194">
        <f>IFERROR(DAY(TableDailyJournal[[#This Row],[التاريخ]]),"")</f>
        <v>21</v>
      </c>
      <c r="AA725" s="126" t="str">
        <f>INDEX(Tabledaily[المرجع البياني],MATCH(TableDailyJournal[[#This Row],[رقم العملية]],Tabledaily[رقم العملية],0))</f>
        <v>قيـد مقابـل:- (مصاريف مياة - وايت الماء - الفرقة الثالثة)  - استلام نقدي رقم 100-109  سند استلام - تعبئة القاطرة ماء من الخشعة والعودة بامرالأركان جمال مسدوس</v>
      </c>
      <c r="AB725" s="197" t="str">
        <f>INDEX(Tabledaily[جهة الامر],MATCH(TableDailyJournal[[#This Row],[رقم العملية]],Tabledaily[رقم العملية],0))</f>
        <v>الأركان جمال مسدوس</v>
      </c>
    </row>
    <row r="726" spans="2:28" ht="67.5" x14ac:dyDescent="0.55000000000000004">
      <c r="B726" s="194">
        <f>ROW()-4</f>
        <v>722</v>
      </c>
      <c r="C726" s="59" t="s">
        <v>1236</v>
      </c>
      <c r="D726" s="60">
        <f>INDEX(Tabledaily[date],MATCH(TableDailyJournal[[#This Row],[رقم العملية]],Tabledaily[رقم العملية],0))</f>
        <v>46194</v>
      </c>
      <c r="E726" s="194" t="str">
        <f>INDEX(Tabledaily[نوع العمليــة],MATCH(TableDailyJournal[[#This Row],[رقم العملية]],Tabledaily[رقم العملية],0))</f>
        <v>قيد عهده</v>
      </c>
      <c r="F726" s="194">
        <f>IFERROR(INDEX(TableJudje[رقم الحساب],MATCH(TableDailyJournal[[#This Row],[الحساب]],TableJudje[اسم الحساب],0)),0)</f>
        <v>31010122</v>
      </c>
      <c r="G726" s="58" t="s">
        <v>487</v>
      </c>
      <c r="H726" s="195" t="str">
        <f>INDEX(Tabledaily[المرجع البياني],MATCH(TableDailyJournal[[#This Row],[رقم العملية]],Tabledaily[رقم العملية],0))</f>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v>
      </c>
      <c r="I726" s="60" t="str">
        <f>INDEX(Tabledaily[العملـــة],MATCH(TableDailyJournal[[#This Row],[رقم العملية]],Tabledaily[رقم العملية],0))</f>
        <v>ريال يمني</v>
      </c>
      <c r="J726" s="196">
        <f>IFERROR(INDEX(Tabledaily[سعــــــر
الصـــــرف],MATCH(C726,Tabledaily[رقم العملية],0)),1)</f>
        <v>405</v>
      </c>
      <c r="K726" s="123" cm="1">
        <f t="array" ref="K726">IFERROR(INDEX(Tabledaily[المبلـــــــغ],MATCH(1,(TableDailyJournal[[#This Row],[رقم العملية]]=Tabledaily[رقم العملية])*(TableDailyJournal[[#This Row],[الحساب]]=Tabledaily[الحســاب المديــــن]),0)),0)</f>
        <v>80000</v>
      </c>
      <c r="L726" s="123" cm="1">
        <f t="array" ref="L726">IFERROR(INDEX(Tabledaily[المبلـــــــغ],MATCH(1,(TableDailyJournal[[#This Row],[رقم العملية]]=Tabledaily[رقم العملية])*(TableDailyJournal[[#This Row],[الحساب]]=Tabledaily[الحســاب الدئـــن]),0)),0)</f>
        <v>0</v>
      </c>
      <c r="M726" s="119">
        <f>IFERROR(TableDailyJournal[[#This Row],[المبلغ مدين]]/TableDailyJournal[[#This Row],[سعــــــر
الصـــــرف]],0)</f>
        <v>197.53086419753086</v>
      </c>
      <c r="N726" s="119">
        <f>IFERROR(TableDailyJournal[[#This Row],[المبلغ دائن]]/TableDailyJournal[[#This Row],[سعــــــر
الصـــــرف]],0)</f>
        <v>0</v>
      </c>
      <c r="O726" s="197" t="str">
        <f>INDEX(Tabledaily[المستفيــــــــد],MATCH(TableDailyJournal[[#This Row],[رقم العملية]],Tabledaily[رقم العملية],0))</f>
        <v>احمد عبدالولي احمد عبده الزبير</v>
      </c>
      <c r="P726" s="197" t="str">
        <f>INDEX(Tabledaily[المــــرجـــــــــع],MATCH(TableDailyJournal[[#This Row],[رقم العملية]],Tabledaily[رقم العملية],0))</f>
        <v>استلام نقدي</v>
      </c>
      <c r="Q726" s="197" t="str">
        <f>INDEX(Tabledaily[اســـــــم المــــرجــــع],MATCH(TableDailyJournal[[#This Row],[رقم العملية]],Tabledaily[رقم العملية],0))</f>
        <v>سند استلام</v>
      </c>
      <c r="R726" s="197" t="str">
        <f>INDEX(Tabledaily[رقم المـــــرجـــع],MATCH(TableDailyJournal[[#This Row],[رقم العملية]],Tabledaily[رقم العملية],0))</f>
        <v>100-106</v>
      </c>
      <c r="S726" s="197" t="str">
        <f>INDEX(Tabledaily[مركـــــــزالتكلفــــــة],MATCH(TableDailyJournal[[#This Row],[رقم العملية]],Tabledaily[رقم العملية],0))</f>
        <v>اللواء السادس</v>
      </c>
      <c r="T726" s="197">
        <f>IFERROR(INDEX(tablecost[رقم المركز],MATCH(TableDailyJournal[[#This Row],[مركـــــــزالتكلفــــــة]],tablecost[الاسم],0)),0)</f>
        <v>7</v>
      </c>
      <c r="U726" s="122">
        <f>IFERROR(DATE(TableDailyJournal[[#This Row],[السنــــة]],TableDailyJournal[[#This Row],[الشهــــر]],TableDailyJournal[[#This Row],[الـــــيوم]]),"01-01-2026")</f>
        <v>46194</v>
      </c>
      <c r="V726" s="126"/>
      <c r="W726" s="194"/>
      <c r="X726" s="194">
        <f>IFERROR(YEAR(TableDailyJournal[[#This Row],[التاريخ]]),"")</f>
        <v>2026</v>
      </c>
      <c r="Y726" s="194">
        <f>IFERROR(MONTH(TableDailyJournal[[#This Row],[التاريخ]]),"")</f>
        <v>6</v>
      </c>
      <c r="Z726" s="194">
        <f>IFERROR(DAY(TableDailyJournal[[#This Row],[التاريخ]]),"")</f>
        <v>21</v>
      </c>
      <c r="AA726" s="126" t="str">
        <f>INDEX(Tabledaily[المرجع البياني],MATCH(TableDailyJournal[[#This Row],[رقم العملية]],Tabledaily[رقم العملية],0))</f>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v>
      </c>
      <c r="AB726" s="197" t="str">
        <f>INDEX(Tabledaily[جهة الامر],MATCH(TableDailyJournal[[#This Row],[رقم العملية]],Tabledaily[رقم العملية],0))</f>
        <v>المستشار المالي</v>
      </c>
    </row>
    <row r="727" spans="2:28" ht="67.5" x14ac:dyDescent="0.55000000000000004">
      <c r="B727" s="194">
        <f>ROW()-4</f>
        <v>723</v>
      </c>
      <c r="C727" s="59" t="s">
        <v>1236</v>
      </c>
      <c r="D727" s="60">
        <f>INDEX(Tabledaily[date],MATCH(TableDailyJournal[[#This Row],[رقم العملية]],Tabledaily[رقم العملية],0))</f>
        <v>46194</v>
      </c>
      <c r="E727" s="194" t="str">
        <f>INDEX(Tabledaily[نوع العمليــة],MATCH(TableDailyJournal[[#This Row],[رقم العملية]],Tabledaily[رقم العملية],0))</f>
        <v>قيد عهده</v>
      </c>
      <c r="F727" s="194">
        <f>IFERROR(INDEX(TableJudje[رقم الحساب],MATCH(TableDailyJournal[[#This Row],[الحساب]],TableJudje[اسم الحساب],0)),0)</f>
        <v>11060205</v>
      </c>
      <c r="G727" s="58" t="s">
        <v>513</v>
      </c>
      <c r="H727" s="195" t="str">
        <f>INDEX(Tabledaily[المرجع البياني],MATCH(TableDailyJournal[[#This Row],[رقم العملية]],Tabledaily[رقم العملية],0))</f>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v>
      </c>
      <c r="I727" s="60" t="str">
        <f>INDEX(Tabledaily[العملـــة],MATCH(TableDailyJournal[[#This Row],[رقم العملية]],Tabledaily[رقم العملية],0))</f>
        <v>ريال يمني</v>
      </c>
      <c r="J727" s="196">
        <f>IFERROR(INDEX(Tabledaily[سعــــــر
الصـــــرف],MATCH(C727,Tabledaily[رقم العملية],0)),1)</f>
        <v>405</v>
      </c>
      <c r="K727" s="123" cm="1">
        <f t="array" ref="K727">IFERROR(INDEX(Tabledaily[المبلـــــــغ],MATCH(1,(TableDailyJournal[[#This Row],[رقم العملية]]=Tabledaily[رقم العملية])*(TableDailyJournal[[#This Row],[الحساب]]=Tabledaily[الحســاب المديــــن]),0)),0)</f>
        <v>0</v>
      </c>
      <c r="L727" s="123" cm="1">
        <f t="array" ref="L727">IFERROR(INDEX(Tabledaily[المبلـــــــغ],MATCH(1,(TableDailyJournal[[#This Row],[رقم العملية]]=Tabledaily[رقم العملية])*(TableDailyJournal[[#This Row],[الحساب]]=Tabledaily[الحســاب الدئـــن]),0)),0)</f>
        <v>80000</v>
      </c>
      <c r="M727" s="119">
        <f>IFERROR(TableDailyJournal[[#This Row],[المبلغ مدين]]/TableDailyJournal[[#This Row],[سعــــــر
الصـــــرف]],0)</f>
        <v>0</v>
      </c>
      <c r="N727" s="119">
        <f>IFERROR(TableDailyJournal[[#This Row],[المبلغ دائن]]/TableDailyJournal[[#This Row],[سعــــــر
الصـــــرف]],0)</f>
        <v>197.53086419753086</v>
      </c>
      <c r="O727" s="197" t="str">
        <f>INDEX(Tabledaily[المستفيــــــــد],MATCH(TableDailyJournal[[#This Row],[رقم العملية]],Tabledaily[رقم العملية],0))</f>
        <v>احمد عبدالولي احمد عبده الزبير</v>
      </c>
      <c r="P727" s="197" t="str">
        <f>INDEX(Tabledaily[المــــرجـــــــــع],MATCH(TableDailyJournal[[#This Row],[رقم العملية]],Tabledaily[رقم العملية],0))</f>
        <v>استلام نقدي</v>
      </c>
      <c r="Q727" s="197" t="str">
        <f>INDEX(Tabledaily[اســـــــم المــــرجــــع],MATCH(TableDailyJournal[[#This Row],[رقم العملية]],Tabledaily[رقم العملية],0))</f>
        <v>سند استلام</v>
      </c>
      <c r="R727" s="197" t="str">
        <f>INDEX(Tabledaily[رقم المـــــرجـــع],MATCH(TableDailyJournal[[#This Row],[رقم العملية]],Tabledaily[رقم العملية],0))</f>
        <v>100-106</v>
      </c>
      <c r="S727" s="197" t="str">
        <f>INDEX(Tabledaily[مركـــــــزالتكلفــــــة],MATCH(TableDailyJournal[[#This Row],[رقم العملية]],Tabledaily[رقم العملية],0))</f>
        <v>اللواء السادس</v>
      </c>
      <c r="T727" s="197">
        <f>IFERROR(INDEX(tablecost[رقم المركز],MATCH(TableDailyJournal[[#This Row],[مركـــــــزالتكلفــــــة]],tablecost[الاسم],0)),0)</f>
        <v>7</v>
      </c>
      <c r="U727" s="122">
        <f>IFERROR(DATE(TableDailyJournal[[#This Row],[السنــــة]],TableDailyJournal[[#This Row],[الشهــــر]],TableDailyJournal[[#This Row],[الـــــيوم]]),"01-01-2026")</f>
        <v>46194</v>
      </c>
      <c r="V727" s="126"/>
      <c r="W727" s="194"/>
      <c r="X727" s="194">
        <f>IFERROR(YEAR(TableDailyJournal[[#This Row],[التاريخ]]),"")</f>
        <v>2026</v>
      </c>
      <c r="Y727" s="194">
        <f>IFERROR(MONTH(TableDailyJournal[[#This Row],[التاريخ]]),"")</f>
        <v>6</v>
      </c>
      <c r="Z727" s="194">
        <f>IFERROR(DAY(TableDailyJournal[[#This Row],[التاريخ]]),"")</f>
        <v>21</v>
      </c>
      <c r="AA727" s="126" t="str">
        <f>INDEX(Tabledaily[المرجع البياني],MATCH(TableDailyJournal[[#This Row],[رقم العملية]],Tabledaily[رقم العملية],0))</f>
        <v>قيـد مقابـل:- (مصاريف سفر وتنقلات  - احمد عبدالولي احمد عبده الزبير - اللواء السادس)  - استلام نقدي رقم 100-106  سند استلام - مصاريف سفر توجيهات المستشار المالي بامرالمستشار المالي</v>
      </c>
      <c r="AB727" s="197" t="str">
        <f>INDEX(Tabledaily[جهة الامر],MATCH(TableDailyJournal[[#This Row],[رقم العملية]],Tabledaily[رقم العملية],0))</f>
        <v>المستشار المالي</v>
      </c>
    </row>
    <row r="728" spans="2:28" ht="67.5" x14ac:dyDescent="0.55000000000000004">
      <c r="B728" s="194">
        <f>ROW()-4</f>
        <v>724</v>
      </c>
      <c r="C728" s="59" t="s">
        <v>1239</v>
      </c>
      <c r="D728" s="60">
        <f>INDEX(Tabledaily[date],MATCH(TableDailyJournal[[#This Row],[رقم العملية]],Tabledaily[رقم العملية],0))</f>
        <v>46194</v>
      </c>
      <c r="E728" s="194" t="str">
        <f>INDEX(Tabledaily[نوع العمليــة],MATCH(TableDailyJournal[[#This Row],[رقم العملية]],Tabledaily[رقم العملية],0))</f>
        <v>قيد عهده</v>
      </c>
      <c r="F728" s="194">
        <f>IFERROR(INDEX(TableJudje[رقم الحساب],MATCH(TableDailyJournal[[#This Row],[الحساب]],TableJudje[اسم الحساب],0)),0)</f>
        <v>31010114</v>
      </c>
      <c r="G728" s="58" t="s">
        <v>121</v>
      </c>
      <c r="H728" s="195" t="str">
        <f>INDEX(Tabledaily[المرجع البياني],MATCH(TableDailyJournal[[#This Row],[رقم العملية]],Tabledaily[رقم العملية],0))</f>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v>
      </c>
      <c r="I728" s="60" t="str">
        <f>INDEX(Tabledaily[العملـــة],MATCH(TableDailyJournal[[#This Row],[رقم العملية]],Tabledaily[رقم العملية],0))</f>
        <v>ريال يمني</v>
      </c>
      <c r="J728" s="196">
        <f>IFERROR(INDEX(Tabledaily[سعــــــر
الصـــــرف],MATCH(C728,Tabledaily[رقم العملية],0)),1)</f>
        <v>405</v>
      </c>
      <c r="K728" s="123" cm="1">
        <f t="array" ref="K728">IFERROR(INDEX(Tabledaily[المبلـــــــغ],MATCH(1,(TableDailyJournal[[#This Row],[رقم العملية]]=Tabledaily[رقم العملية])*(TableDailyJournal[[#This Row],[الحساب]]=Tabledaily[الحســاب المديــــن]),0)),0)</f>
        <v>560000</v>
      </c>
      <c r="L728" s="123" cm="1">
        <f t="array" ref="L728">IFERROR(INDEX(Tabledaily[المبلـــــــغ],MATCH(1,(TableDailyJournal[[#This Row],[رقم العملية]]=Tabledaily[رقم العملية])*(TableDailyJournal[[#This Row],[الحساب]]=Tabledaily[الحســاب الدئـــن]),0)),0)</f>
        <v>0</v>
      </c>
      <c r="M728" s="119">
        <f>IFERROR(TableDailyJournal[[#This Row],[المبلغ مدين]]/TableDailyJournal[[#This Row],[سعــــــر
الصـــــرف]],0)</f>
        <v>1382.7160493827159</v>
      </c>
      <c r="N728" s="119">
        <f>IFERROR(TableDailyJournal[[#This Row],[المبلغ دائن]]/TableDailyJournal[[#This Row],[سعــــــر
الصـــــرف]],0)</f>
        <v>0</v>
      </c>
      <c r="O728" s="197" t="str">
        <f>INDEX(Tabledaily[المستفيــــــــد],MATCH(TableDailyJournal[[#This Row],[رقم العملية]],Tabledaily[رقم العملية],0))</f>
        <v>اطقم اللواء السابع مهمة معسكر العفاريت</v>
      </c>
      <c r="P728" s="197" t="str">
        <f>INDEX(Tabledaily[المــــرجـــــــــع],MATCH(TableDailyJournal[[#This Row],[رقم العملية]],Tabledaily[رقم العملية],0))</f>
        <v>استلام نقدي</v>
      </c>
      <c r="Q728" s="197" t="str">
        <f>INDEX(Tabledaily[اســـــــم المــــرجــــع],MATCH(TableDailyJournal[[#This Row],[رقم العملية]],Tabledaily[رقم العملية],0))</f>
        <v>سند استلام</v>
      </c>
      <c r="R728" s="197" t="str">
        <f>INDEX(Tabledaily[رقم المـــــرجـــع],MATCH(TableDailyJournal[[#This Row],[رقم العملية]],Tabledaily[رقم العملية],0))</f>
        <v>100-103</v>
      </c>
      <c r="S728" s="197" t="str">
        <f>INDEX(Tabledaily[مركـــــــزالتكلفــــــة],MATCH(TableDailyJournal[[#This Row],[رقم العملية]],Tabledaily[رقم العملية],0))</f>
        <v>الفرقة الثالثة</v>
      </c>
      <c r="T728" s="197">
        <f>IFERROR(INDEX(tablecost[رقم المركز],MATCH(TableDailyJournal[[#This Row],[مركـــــــزالتكلفــــــة]],tablecost[الاسم],0)),0)</f>
        <v>1</v>
      </c>
      <c r="U728" s="122">
        <f>IFERROR(DATE(TableDailyJournal[[#This Row],[السنــــة]],TableDailyJournal[[#This Row],[الشهــــر]],TableDailyJournal[[#This Row],[الـــــيوم]]),"01-01-2026")</f>
        <v>46194</v>
      </c>
      <c r="V728" s="126"/>
      <c r="W728" s="194"/>
      <c r="X728" s="194">
        <f>IFERROR(YEAR(TableDailyJournal[[#This Row],[التاريخ]]),"")</f>
        <v>2026</v>
      </c>
      <c r="Y728" s="194">
        <f>IFERROR(MONTH(TableDailyJournal[[#This Row],[التاريخ]]),"")</f>
        <v>6</v>
      </c>
      <c r="Z728" s="194">
        <f>IFERROR(DAY(TableDailyJournal[[#This Row],[التاريخ]]),"")</f>
        <v>21</v>
      </c>
      <c r="AA728" s="126" t="str">
        <f>INDEX(Tabledaily[المرجع البياني],MATCH(TableDailyJournal[[#This Row],[رقم العملية]],Tabledaily[رقم العملية],0))</f>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v>
      </c>
      <c r="AB728" s="197" t="str">
        <f>INDEX(Tabledaily[جهة الامر],MATCH(TableDailyJournal[[#This Row],[رقم العملية]],Tabledaily[رقم العملية],0))</f>
        <v>القائد</v>
      </c>
    </row>
    <row r="729" spans="2:28" ht="67.5" x14ac:dyDescent="0.55000000000000004">
      <c r="B729" s="194">
        <f>ROW()-4</f>
        <v>725</v>
      </c>
      <c r="C729" s="59" t="s">
        <v>1239</v>
      </c>
      <c r="D729" s="60">
        <f>INDEX(Tabledaily[date],MATCH(TableDailyJournal[[#This Row],[رقم العملية]],Tabledaily[رقم العملية],0))</f>
        <v>46194</v>
      </c>
      <c r="E729" s="194" t="str">
        <f>INDEX(Tabledaily[نوع العمليــة],MATCH(TableDailyJournal[[#This Row],[رقم العملية]],Tabledaily[رقم العملية],0))</f>
        <v>قيد عهده</v>
      </c>
      <c r="F729" s="194">
        <f>IFERROR(INDEX(TableJudje[رقم الحساب],MATCH(TableDailyJournal[[#This Row],[الحساب]],TableJudje[اسم الحساب],0)),0)</f>
        <v>11060205</v>
      </c>
      <c r="G729" s="58" t="s">
        <v>513</v>
      </c>
      <c r="H729" s="195" t="str">
        <f>INDEX(Tabledaily[المرجع البياني],MATCH(TableDailyJournal[[#This Row],[رقم العملية]],Tabledaily[رقم العملية],0))</f>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v>
      </c>
      <c r="I729" s="60" t="str">
        <f>INDEX(Tabledaily[العملـــة],MATCH(TableDailyJournal[[#This Row],[رقم العملية]],Tabledaily[رقم العملية],0))</f>
        <v>ريال يمني</v>
      </c>
      <c r="J729" s="196">
        <f>IFERROR(INDEX(Tabledaily[سعــــــر
الصـــــرف],MATCH(C729,Tabledaily[رقم العملية],0)),1)</f>
        <v>405</v>
      </c>
      <c r="K729" s="123" cm="1">
        <f t="array" ref="K729">IFERROR(INDEX(Tabledaily[المبلـــــــغ],MATCH(1,(TableDailyJournal[[#This Row],[رقم العملية]]=Tabledaily[رقم العملية])*(TableDailyJournal[[#This Row],[الحساب]]=Tabledaily[الحســاب المديــــن]),0)),0)</f>
        <v>0</v>
      </c>
      <c r="L729" s="123" cm="1">
        <f t="array" ref="L729">IFERROR(INDEX(Tabledaily[المبلـــــــغ],MATCH(1,(TableDailyJournal[[#This Row],[رقم العملية]]=Tabledaily[رقم العملية])*(TableDailyJournal[[#This Row],[الحساب]]=Tabledaily[الحســاب الدئـــن]),0)),0)</f>
        <v>560000</v>
      </c>
      <c r="M729" s="119">
        <f>IFERROR(TableDailyJournal[[#This Row],[المبلغ مدين]]/TableDailyJournal[[#This Row],[سعــــــر
الصـــــرف]],0)</f>
        <v>0</v>
      </c>
      <c r="N729" s="119">
        <f>IFERROR(TableDailyJournal[[#This Row],[المبلغ دائن]]/TableDailyJournal[[#This Row],[سعــــــر
الصـــــرف]],0)</f>
        <v>1382.7160493827159</v>
      </c>
      <c r="O729" s="197" t="str">
        <f>INDEX(Tabledaily[المستفيــــــــد],MATCH(TableDailyJournal[[#This Row],[رقم العملية]],Tabledaily[رقم العملية],0))</f>
        <v>اطقم اللواء السابع مهمة معسكر العفاريت</v>
      </c>
      <c r="P729" s="197" t="str">
        <f>INDEX(Tabledaily[المــــرجـــــــــع],MATCH(TableDailyJournal[[#This Row],[رقم العملية]],Tabledaily[رقم العملية],0))</f>
        <v>استلام نقدي</v>
      </c>
      <c r="Q729" s="197" t="str">
        <f>INDEX(Tabledaily[اســـــــم المــــرجــــع],MATCH(TableDailyJournal[[#This Row],[رقم العملية]],Tabledaily[رقم العملية],0))</f>
        <v>سند استلام</v>
      </c>
      <c r="R729" s="197" t="str">
        <f>INDEX(Tabledaily[رقم المـــــرجـــع],MATCH(TableDailyJournal[[#This Row],[رقم العملية]],Tabledaily[رقم العملية],0))</f>
        <v>100-103</v>
      </c>
      <c r="S729" s="197" t="str">
        <f>INDEX(Tabledaily[مركـــــــزالتكلفــــــة],MATCH(TableDailyJournal[[#This Row],[رقم العملية]],Tabledaily[رقم العملية],0))</f>
        <v>الفرقة الثالثة</v>
      </c>
      <c r="T729" s="197">
        <f>IFERROR(INDEX(tablecost[رقم المركز],MATCH(TableDailyJournal[[#This Row],[مركـــــــزالتكلفــــــة]],tablecost[الاسم],0)),0)</f>
        <v>1</v>
      </c>
      <c r="U729" s="122">
        <f>IFERROR(DATE(TableDailyJournal[[#This Row],[السنــــة]],TableDailyJournal[[#This Row],[الشهــــر]],TableDailyJournal[[#This Row],[الـــــيوم]]),"01-01-2026")</f>
        <v>46194</v>
      </c>
      <c r="V729" s="126"/>
      <c r="W729" s="194"/>
      <c r="X729" s="194">
        <f>IFERROR(YEAR(TableDailyJournal[[#This Row],[التاريخ]]),"")</f>
        <v>2026</v>
      </c>
      <c r="Y729" s="194">
        <f>IFERROR(MONTH(TableDailyJournal[[#This Row],[التاريخ]]),"")</f>
        <v>6</v>
      </c>
      <c r="Z729" s="194">
        <f>IFERROR(DAY(TableDailyJournal[[#This Row],[التاريخ]]),"")</f>
        <v>21</v>
      </c>
      <c r="AA729" s="126" t="str">
        <f>INDEX(Tabledaily[المرجع البياني],MATCH(TableDailyJournal[[#This Row],[رقم العملية]],Tabledaily[رقم العملية],0))</f>
        <v>قيـد مقابـل:- (مصاريف حوافز ومكافئات  - اطقم اللواء السابع مهمة معسكر العفاريت - الفرقة الثالثة)  - استلام نقدي رقم 100-103  سند استلام - مصاريف لافراد اللواء السابع المكلفين مهمة في معسكر العفاريت عدد 28 فرد بامرالقائد</v>
      </c>
      <c r="AB729" s="197" t="str">
        <f>INDEX(Tabledaily[جهة الامر],MATCH(TableDailyJournal[[#This Row],[رقم العملية]],Tabledaily[رقم العملية],0))</f>
        <v>القائد</v>
      </c>
    </row>
    <row r="730" spans="2:28" ht="67.5" x14ac:dyDescent="0.55000000000000004">
      <c r="B730" s="194">
        <f>ROW()-4</f>
        <v>726</v>
      </c>
      <c r="C730" s="59" t="s">
        <v>1241</v>
      </c>
      <c r="D730" s="60">
        <f>INDEX(Tabledaily[date],MATCH(TableDailyJournal[[#This Row],[رقم العملية]],Tabledaily[رقم العملية],0))</f>
        <v>46194</v>
      </c>
      <c r="E730" s="194" t="str">
        <f>INDEX(Tabledaily[نوع العمليــة],MATCH(TableDailyJournal[[#This Row],[رقم العملية]],Tabledaily[رقم العملية],0))</f>
        <v>قيد عهده</v>
      </c>
      <c r="F730" s="194">
        <f>IFERROR(INDEX(TableJudje[رقم الحساب],MATCH(TableDailyJournal[[#This Row],[الحساب]],TableJudje[اسم الحساب],0)),0)</f>
        <v>31010101</v>
      </c>
      <c r="G730" s="58" t="s">
        <v>111</v>
      </c>
      <c r="H730" s="195"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v>
      </c>
      <c r="I730" s="60" t="str">
        <f>INDEX(Tabledaily[العملـــة],MATCH(TableDailyJournal[[#This Row],[رقم العملية]],Tabledaily[رقم العملية],0))</f>
        <v>ريال يمني</v>
      </c>
      <c r="J730" s="196">
        <f>IFERROR(INDEX(Tabledaily[سعــــــر
الصـــــرف],MATCH(C730,Tabledaily[رقم العملية],0)),1)</f>
        <v>405</v>
      </c>
      <c r="K730" s="123" cm="1">
        <f t="array" ref="K730">IFERROR(INDEX(Tabledaily[المبلـــــــغ],MATCH(1,(TableDailyJournal[[#This Row],[رقم العملية]]=Tabledaily[رقم العملية])*(TableDailyJournal[[#This Row],[الحساب]]=Tabledaily[الحســاب المديــــن]),0)),0)</f>
        <v>196000</v>
      </c>
      <c r="L730" s="123" cm="1">
        <f t="array" ref="L730">IFERROR(INDEX(Tabledaily[المبلـــــــغ],MATCH(1,(TableDailyJournal[[#This Row],[رقم العملية]]=Tabledaily[رقم العملية])*(TableDailyJournal[[#This Row],[الحساب]]=Tabledaily[الحســاب الدئـــن]),0)),0)</f>
        <v>0</v>
      </c>
      <c r="M730" s="119">
        <f>IFERROR(TableDailyJournal[[#This Row],[المبلغ مدين]]/TableDailyJournal[[#This Row],[سعــــــر
الصـــــرف]],0)</f>
        <v>483.95061728395063</v>
      </c>
      <c r="N730" s="119">
        <f>IFERROR(TableDailyJournal[[#This Row],[المبلغ دائن]]/TableDailyJournal[[#This Row],[سعــــــر
الصـــــرف]],0)</f>
        <v>0</v>
      </c>
      <c r="O730" s="197" t="str">
        <f>INDEX(Tabledaily[المستفيــــــــد],MATCH(TableDailyJournal[[#This Row],[رقم العملية]],Tabledaily[رقم العملية],0))</f>
        <v>سرية الآمن اللواء السادس</v>
      </c>
      <c r="P730" s="197" t="str">
        <f>INDEX(Tabledaily[المــــرجـــــــــع],MATCH(TableDailyJournal[[#This Row],[رقم العملية]],Tabledaily[رقم العملية],0))</f>
        <v>كشف صرف</v>
      </c>
      <c r="Q730" s="197" t="str">
        <f>INDEX(Tabledaily[اســـــــم المــــرجــــع],MATCH(TableDailyJournal[[#This Row],[رقم العملية]],Tabledaily[رقم العملية],0))</f>
        <v>كشف صرف</v>
      </c>
      <c r="R730" s="197">
        <f>INDEX(Tabledaily[رقم المـــــرجـــع],MATCH(TableDailyJournal[[#This Row],[رقم العملية]],Tabledaily[رقم العملية],0))</f>
        <v>0</v>
      </c>
      <c r="S730" s="197" t="str">
        <f>INDEX(Tabledaily[مركـــــــزالتكلفــــــة],MATCH(TableDailyJournal[[#This Row],[رقم العملية]],Tabledaily[رقم العملية],0))</f>
        <v>اللواء السادس</v>
      </c>
      <c r="T730" s="197">
        <f>IFERROR(INDEX(tablecost[رقم المركز],MATCH(TableDailyJournal[[#This Row],[مركـــــــزالتكلفــــــة]],tablecost[الاسم],0)),0)</f>
        <v>7</v>
      </c>
      <c r="U730" s="122">
        <f>IFERROR(DATE(TableDailyJournal[[#This Row],[السنــــة]],TableDailyJournal[[#This Row],[الشهــــر]],TableDailyJournal[[#This Row],[الـــــيوم]]),"01-01-2026")</f>
        <v>46194</v>
      </c>
      <c r="V730" s="126"/>
      <c r="W730" s="194"/>
      <c r="X730" s="194">
        <f>IFERROR(YEAR(TableDailyJournal[[#This Row],[التاريخ]]),"")</f>
        <v>2026</v>
      </c>
      <c r="Y730" s="194">
        <f>IFERROR(MONTH(TableDailyJournal[[#This Row],[التاريخ]]),"")</f>
        <v>6</v>
      </c>
      <c r="Z730" s="194">
        <f>IFERROR(DAY(TableDailyJournal[[#This Row],[التاريخ]]),"")</f>
        <v>21</v>
      </c>
      <c r="AA730" s="126"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v>
      </c>
      <c r="AB730" s="197" t="str">
        <f>INDEX(Tabledaily[جهة الامر],MATCH(TableDailyJournal[[#This Row],[رقم العملية]],Tabledaily[رقم العملية],0))</f>
        <v>المستشار المالي</v>
      </c>
    </row>
    <row r="731" spans="2:28" ht="67.5" x14ac:dyDescent="0.55000000000000004">
      <c r="B731" s="194">
        <f>ROW()-4</f>
        <v>727</v>
      </c>
      <c r="C731" s="59" t="s">
        <v>1241</v>
      </c>
      <c r="D731" s="60">
        <f>INDEX(Tabledaily[date],MATCH(TableDailyJournal[[#This Row],[رقم العملية]],Tabledaily[رقم العملية],0))</f>
        <v>46194</v>
      </c>
      <c r="E731" s="194" t="str">
        <f>INDEX(Tabledaily[نوع العمليــة],MATCH(TableDailyJournal[[#This Row],[رقم العملية]],Tabledaily[رقم العملية],0))</f>
        <v>قيد عهده</v>
      </c>
      <c r="F731" s="194">
        <f>IFERROR(INDEX(TableJudje[رقم الحساب],MATCH(TableDailyJournal[[#This Row],[الحساب]],TableJudje[اسم الحساب],0)),0)</f>
        <v>11060205</v>
      </c>
      <c r="G731" s="58" t="s">
        <v>513</v>
      </c>
      <c r="H731" s="195"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v>
      </c>
      <c r="I731" s="60" t="str">
        <f>INDEX(Tabledaily[العملـــة],MATCH(TableDailyJournal[[#This Row],[رقم العملية]],Tabledaily[رقم العملية],0))</f>
        <v>ريال يمني</v>
      </c>
      <c r="J731" s="196">
        <f>IFERROR(INDEX(Tabledaily[سعــــــر
الصـــــرف],MATCH(C731,Tabledaily[رقم العملية],0)),1)</f>
        <v>405</v>
      </c>
      <c r="K731" s="123" cm="1">
        <f t="array" ref="K731">IFERROR(INDEX(Tabledaily[المبلـــــــغ],MATCH(1,(TableDailyJournal[[#This Row],[رقم العملية]]=Tabledaily[رقم العملية])*(TableDailyJournal[[#This Row],[الحساب]]=Tabledaily[الحســاب المديــــن]),0)),0)</f>
        <v>0</v>
      </c>
      <c r="L731" s="123" cm="1">
        <f t="array" ref="L731">IFERROR(INDEX(Tabledaily[المبلـــــــغ],MATCH(1,(TableDailyJournal[[#This Row],[رقم العملية]]=Tabledaily[رقم العملية])*(TableDailyJournal[[#This Row],[الحساب]]=Tabledaily[الحســاب الدئـــن]),0)),0)</f>
        <v>196000</v>
      </c>
      <c r="M731" s="119">
        <f>IFERROR(TableDailyJournal[[#This Row],[المبلغ مدين]]/TableDailyJournal[[#This Row],[سعــــــر
الصـــــرف]],0)</f>
        <v>0</v>
      </c>
      <c r="N731" s="119">
        <f>IFERROR(TableDailyJournal[[#This Row],[المبلغ دائن]]/TableDailyJournal[[#This Row],[سعــــــر
الصـــــرف]],0)</f>
        <v>483.95061728395063</v>
      </c>
      <c r="O731" s="197" t="str">
        <f>INDEX(Tabledaily[المستفيــــــــد],MATCH(TableDailyJournal[[#This Row],[رقم العملية]],Tabledaily[رقم العملية],0))</f>
        <v>سرية الآمن اللواء السادس</v>
      </c>
      <c r="P731" s="197" t="str">
        <f>INDEX(Tabledaily[المــــرجـــــــــع],MATCH(TableDailyJournal[[#This Row],[رقم العملية]],Tabledaily[رقم العملية],0))</f>
        <v>كشف صرف</v>
      </c>
      <c r="Q731" s="197" t="str">
        <f>INDEX(Tabledaily[اســـــــم المــــرجــــع],MATCH(TableDailyJournal[[#This Row],[رقم العملية]],Tabledaily[رقم العملية],0))</f>
        <v>كشف صرف</v>
      </c>
      <c r="R731" s="197">
        <f>INDEX(Tabledaily[رقم المـــــرجـــع],MATCH(TableDailyJournal[[#This Row],[رقم العملية]],Tabledaily[رقم العملية],0))</f>
        <v>0</v>
      </c>
      <c r="S731" s="197" t="str">
        <f>INDEX(Tabledaily[مركـــــــزالتكلفــــــة],MATCH(TableDailyJournal[[#This Row],[رقم العملية]],Tabledaily[رقم العملية],0))</f>
        <v>اللواء السادس</v>
      </c>
      <c r="T731" s="197">
        <f>IFERROR(INDEX(tablecost[رقم المركز],MATCH(TableDailyJournal[[#This Row],[مركـــــــزالتكلفــــــة]],tablecost[الاسم],0)),0)</f>
        <v>7</v>
      </c>
      <c r="U731" s="122">
        <f>IFERROR(DATE(TableDailyJournal[[#This Row],[السنــــة]],TableDailyJournal[[#This Row],[الشهــــر]],TableDailyJournal[[#This Row],[الـــــيوم]]),"01-01-2026")</f>
        <v>46194</v>
      </c>
      <c r="V731" s="126"/>
      <c r="W731" s="194"/>
      <c r="X731" s="194">
        <f>IFERROR(YEAR(TableDailyJournal[[#This Row],[التاريخ]]),"")</f>
        <v>2026</v>
      </c>
      <c r="Y731" s="194">
        <f>IFERROR(MONTH(TableDailyJournal[[#This Row],[التاريخ]]),"")</f>
        <v>6</v>
      </c>
      <c r="Z731" s="194">
        <f>IFERROR(DAY(TableDailyJournal[[#This Row],[التاريخ]]),"")</f>
        <v>21</v>
      </c>
      <c r="AA731" s="126"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عدد49 فرد بامرالمستشار المالي</v>
      </c>
      <c r="AB731" s="197" t="str">
        <f>INDEX(Tabledaily[جهة الامر],MATCH(TableDailyJournal[[#This Row],[رقم العملية]],Tabledaily[رقم العملية],0))</f>
        <v>المستشار المالي</v>
      </c>
    </row>
    <row r="732" spans="2:28" ht="67.5" x14ac:dyDescent="0.55000000000000004">
      <c r="B732" s="194">
        <f>ROW()-4</f>
        <v>728</v>
      </c>
      <c r="C732" s="59" t="s">
        <v>1252</v>
      </c>
      <c r="D732" s="60">
        <f>INDEX(Tabledaily[date],MATCH(TableDailyJournal[[#This Row],[رقم العملية]],Tabledaily[رقم العملية],0))</f>
        <v>46195</v>
      </c>
      <c r="E732" s="194" t="str">
        <f>INDEX(Tabledaily[نوع العمليــة],MATCH(TableDailyJournal[[#This Row],[رقم العملية]],Tabledaily[رقم العملية],0))</f>
        <v>قيد عهده</v>
      </c>
      <c r="F732" s="194">
        <f>IFERROR(INDEX(TableJudje[رقم الحساب],MATCH(TableDailyJournal[[#This Row],[الحساب]],TableJudje[اسم الحساب],0)),0)</f>
        <v>31010101</v>
      </c>
      <c r="G732" s="58" t="s">
        <v>111</v>
      </c>
      <c r="H732" s="195" t="str">
        <f>INDEX(Tabledaily[المرجع البياني],MATCH(TableDailyJournal[[#This Row],[رقم العملية]],Tabledaily[رقم العملية],0))</f>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v>
      </c>
      <c r="I732" s="60" t="str">
        <f>INDEX(Tabledaily[العملـــة],MATCH(TableDailyJournal[[#This Row],[رقم العملية]],Tabledaily[رقم العملية],0))</f>
        <v>ريال يمني</v>
      </c>
      <c r="J732" s="196">
        <f>IFERROR(INDEX(Tabledaily[سعــــــر
الصـــــرف],MATCH(C732,Tabledaily[رقم العملية],0)),1)</f>
        <v>405</v>
      </c>
      <c r="K732" s="123" cm="1">
        <f t="array" ref="K732">IFERROR(INDEX(Tabledaily[المبلـــــــغ],MATCH(1,(TableDailyJournal[[#This Row],[رقم العملية]]=Tabledaily[رقم العملية])*(TableDailyJournal[[#This Row],[الحساب]]=Tabledaily[الحســاب المديــــن]),0)),0)</f>
        <v>112000</v>
      </c>
      <c r="L732" s="123" cm="1">
        <f t="array" ref="L732">IFERROR(INDEX(Tabledaily[المبلـــــــغ],MATCH(1,(TableDailyJournal[[#This Row],[رقم العملية]]=Tabledaily[رقم العملية])*(TableDailyJournal[[#This Row],[الحساب]]=Tabledaily[الحســاب الدئـــن]),0)),0)</f>
        <v>0</v>
      </c>
      <c r="M732" s="119">
        <f>IFERROR(TableDailyJournal[[#This Row],[المبلغ مدين]]/TableDailyJournal[[#This Row],[سعــــــر
الصـــــرف]],0)</f>
        <v>276.54320987654319</v>
      </c>
      <c r="N732" s="119">
        <f>IFERROR(TableDailyJournal[[#This Row],[المبلغ دائن]]/TableDailyJournal[[#This Row],[سعــــــر
الصـــــرف]],0)</f>
        <v>0</v>
      </c>
      <c r="O732" s="197" t="str">
        <f>INDEX(Tabledaily[المستفيــــــــد],MATCH(TableDailyJournal[[#This Row],[رقم العملية]],Tabledaily[رقم العملية],0))</f>
        <v>اطقم اللواء السابع مهمة معسكر العفاريت</v>
      </c>
      <c r="P732" s="197" t="str">
        <f>INDEX(Tabledaily[المــــرجـــــــــع],MATCH(TableDailyJournal[[#This Row],[رقم العملية]],Tabledaily[رقم العملية],0))</f>
        <v>استلام نقدي</v>
      </c>
      <c r="Q732" s="197" t="str">
        <f>INDEX(Tabledaily[اســـــــم المــــرجــــع],MATCH(TableDailyJournal[[#This Row],[رقم العملية]],Tabledaily[رقم العملية],0))</f>
        <v>سند استلام</v>
      </c>
      <c r="R732" s="197" t="str">
        <f>INDEX(Tabledaily[رقم المـــــرجـــع],MATCH(TableDailyJournal[[#This Row],[رقم العملية]],Tabledaily[رقم العملية],0))</f>
        <v>100-100</v>
      </c>
      <c r="S732" s="197" t="str">
        <f>INDEX(Tabledaily[مركـــــــزالتكلفــــــة],MATCH(TableDailyJournal[[#This Row],[رقم العملية]],Tabledaily[رقم العملية],0))</f>
        <v>الفرقة الثالثة</v>
      </c>
      <c r="T732" s="197">
        <f>IFERROR(INDEX(tablecost[رقم المركز],MATCH(TableDailyJournal[[#This Row],[مركـــــــزالتكلفــــــة]],tablecost[الاسم],0)),0)</f>
        <v>1</v>
      </c>
      <c r="U732" s="122">
        <f>IFERROR(DATE(TableDailyJournal[[#This Row],[السنــــة]],TableDailyJournal[[#This Row],[الشهــــر]],TableDailyJournal[[#This Row],[الـــــيوم]]),"01-01-2026")</f>
        <v>46195</v>
      </c>
      <c r="V732" s="126"/>
      <c r="W732" s="194"/>
      <c r="X732" s="194">
        <f>IFERROR(YEAR(TableDailyJournal[[#This Row],[التاريخ]]),"")</f>
        <v>2026</v>
      </c>
      <c r="Y732" s="194">
        <f>IFERROR(MONTH(TableDailyJournal[[#This Row],[التاريخ]]),"")</f>
        <v>6</v>
      </c>
      <c r="Z732" s="194">
        <f>IFERROR(DAY(TableDailyJournal[[#This Row],[التاريخ]]),"")</f>
        <v>22</v>
      </c>
      <c r="AA732" s="126" t="str">
        <f>INDEX(Tabledaily[المرجع البياني],MATCH(TableDailyJournal[[#This Row],[رقم العملية]],Tabledaily[رقم العملية],0))</f>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v>
      </c>
      <c r="AB732" s="197" t="str">
        <f>INDEX(Tabledaily[جهة الامر],MATCH(TableDailyJournal[[#This Row],[رقم العملية]],Tabledaily[رقم العملية],0))</f>
        <v>القائد</v>
      </c>
    </row>
    <row r="733" spans="2:28" ht="67.5" x14ac:dyDescent="0.55000000000000004">
      <c r="B733" s="194">
        <f>ROW()-4</f>
        <v>729</v>
      </c>
      <c r="C733" s="59" t="s">
        <v>1252</v>
      </c>
      <c r="D733" s="60">
        <f>INDEX(Tabledaily[date],MATCH(TableDailyJournal[[#This Row],[رقم العملية]],Tabledaily[رقم العملية],0))</f>
        <v>46195</v>
      </c>
      <c r="E733" s="194" t="str">
        <f>INDEX(Tabledaily[نوع العمليــة],MATCH(TableDailyJournal[[#This Row],[رقم العملية]],Tabledaily[رقم العملية],0))</f>
        <v>قيد عهده</v>
      </c>
      <c r="F733" s="194">
        <f>IFERROR(INDEX(TableJudje[رقم الحساب],MATCH(TableDailyJournal[[#This Row],[الحساب]],TableJudje[اسم الحساب],0)),0)</f>
        <v>11060205</v>
      </c>
      <c r="G733" s="58" t="s">
        <v>513</v>
      </c>
      <c r="H733" s="195" t="str">
        <f>INDEX(Tabledaily[المرجع البياني],MATCH(TableDailyJournal[[#This Row],[رقم العملية]],Tabledaily[رقم العملية],0))</f>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v>
      </c>
      <c r="I733" s="60" t="str">
        <f>INDEX(Tabledaily[العملـــة],MATCH(TableDailyJournal[[#This Row],[رقم العملية]],Tabledaily[رقم العملية],0))</f>
        <v>ريال يمني</v>
      </c>
      <c r="J733" s="196">
        <f>IFERROR(INDEX(Tabledaily[سعــــــر
الصـــــرف],MATCH(C733,Tabledaily[رقم العملية],0)),1)</f>
        <v>405</v>
      </c>
      <c r="K733" s="123" cm="1">
        <f t="array" ref="K733">IFERROR(INDEX(Tabledaily[المبلـــــــغ],MATCH(1,(TableDailyJournal[[#This Row],[رقم العملية]]=Tabledaily[رقم العملية])*(TableDailyJournal[[#This Row],[الحساب]]=Tabledaily[الحســاب المديــــن]),0)),0)</f>
        <v>0</v>
      </c>
      <c r="L733" s="123" cm="1">
        <f t="array" ref="L733">IFERROR(INDEX(Tabledaily[المبلـــــــغ],MATCH(1,(TableDailyJournal[[#This Row],[رقم العملية]]=Tabledaily[رقم العملية])*(TableDailyJournal[[#This Row],[الحساب]]=Tabledaily[الحســاب الدئـــن]),0)),0)</f>
        <v>112000</v>
      </c>
      <c r="M733" s="119">
        <f>IFERROR(TableDailyJournal[[#This Row],[المبلغ مدين]]/TableDailyJournal[[#This Row],[سعــــــر
الصـــــرف]],0)</f>
        <v>0</v>
      </c>
      <c r="N733" s="119">
        <f>IFERROR(TableDailyJournal[[#This Row],[المبلغ دائن]]/TableDailyJournal[[#This Row],[سعــــــر
الصـــــرف]],0)</f>
        <v>276.54320987654319</v>
      </c>
      <c r="O733" s="197" t="str">
        <f>INDEX(Tabledaily[المستفيــــــــد],MATCH(TableDailyJournal[[#This Row],[رقم العملية]],Tabledaily[رقم العملية],0))</f>
        <v>اطقم اللواء السابع مهمة معسكر العفاريت</v>
      </c>
      <c r="P733" s="197" t="str">
        <f>INDEX(Tabledaily[المــــرجـــــــــع],MATCH(TableDailyJournal[[#This Row],[رقم العملية]],Tabledaily[رقم العملية],0))</f>
        <v>استلام نقدي</v>
      </c>
      <c r="Q733" s="197" t="str">
        <f>INDEX(Tabledaily[اســـــــم المــــرجــــع],MATCH(TableDailyJournal[[#This Row],[رقم العملية]],Tabledaily[رقم العملية],0))</f>
        <v>سند استلام</v>
      </c>
      <c r="R733" s="197" t="str">
        <f>INDEX(Tabledaily[رقم المـــــرجـــع],MATCH(TableDailyJournal[[#This Row],[رقم العملية]],Tabledaily[رقم العملية],0))</f>
        <v>100-100</v>
      </c>
      <c r="S733" s="197" t="str">
        <f>INDEX(Tabledaily[مركـــــــزالتكلفــــــة],MATCH(TableDailyJournal[[#This Row],[رقم العملية]],Tabledaily[رقم العملية],0))</f>
        <v>الفرقة الثالثة</v>
      </c>
      <c r="T733" s="197">
        <f>IFERROR(INDEX(tablecost[رقم المركز],MATCH(TableDailyJournal[[#This Row],[مركـــــــزالتكلفــــــة]],tablecost[الاسم],0)),0)</f>
        <v>1</v>
      </c>
      <c r="U733" s="122">
        <f>IFERROR(DATE(TableDailyJournal[[#This Row],[السنــــة]],TableDailyJournal[[#This Row],[الشهــــر]],TableDailyJournal[[#This Row],[الـــــيوم]]),"01-01-2026")</f>
        <v>46195</v>
      </c>
      <c r="V733" s="126"/>
      <c r="W733" s="194"/>
      <c r="X733" s="194">
        <f>IFERROR(YEAR(TableDailyJournal[[#This Row],[التاريخ]]),"")</f>
        <v>2026</v>
      </c>
      <c r="Y733" s="194">
        <f>IFERROR(MONTH(TableDailyJournal[[#This Row],[التاريخ]]),"")</f>
        <v>6</v>
      </c>
      <c r="Z733" s="194">
        <f>IFERROR(DAY(TableDailyJournal[[#This Row],[التاريخ]]),"")</f>
        <v>22</v>
      </c>
      <c r="AA733" s="126" t="str">
        <f>INDEX(Tabledaily[المرجع البياني],MATCH(TableDailyJournal[[#This Row],[رقم العملية]],Tabledaily[رقم العملية],0))</f>
        <v>قيـد مقابـل:- (مصاريف  صرفة يومية للافراد  - اطقم اللواء السابع مهمة معسكر العفاريت - الفرقة الثالثة)  - استلام نقدي رقم 100-100  سند استلام - مصاريف لافراد اللواء السابع المكلفين مهمة في معسكر العفاريت عدد 28 فرد بامرالقائد</v>
      </c>
      <c r="AB733" s="197" t="str">
        <f>INDEX(Tabledaily[جهة الامر],MATCH(TableDailyJournal[[#This Row],[رقم العملية]],Tabledaily[رقم العملية],0))</f>
        <v>القائد</v>
      </c>
    </row>
    <row r="734" spans="2:28" ht="67.5" x14ac:dyDescent="0.55000000000000004">
      <c r="B734" s="194">
        <f>ROW()-4</f>
        <v>730</v>
      </c>
      <c r="C734" s="59" t="s">
        <v>1255</v>
      </c>
      <c r="D734" s="60">
        <f>INDEX(Tabledaily[date],MATCH(TableDailyJournal[[#This Row],[رقم العملية]],Tabledaily[رقم العملية],0))</f>
        <v>46195</v>
      </c>
      <c r="E734" s="194" t="str">
        <f>INDEX(Tabledaily[نوع العمليــة],MATCH(TableDailyJournal[[#This Row],[رقم العملية]],Tabledaily[رقم العملية],0))</f>
        <v>قيد عهده</v>
      </c>
      <c r="F734" s="194">
        <f>IFERROR(INDEX(TableJudje[رقم الحساب],MATCH(TableDailyJournal[[#This Row],[الحساب]],TableJudje[اسم الحساب],0)),0)</f>
        <v>11010202</v>
      </c>
      <c r="G734" s="58" t="s">
        <v>27</v>
      </c>
      <c r="H734" s="195" t="str">
        <f>INDEX(Tabledaily[المرجع البياني],MATCH(TableDailyJournal[[#This Row],[رقم العملية]],Tabledaily[رقم العملية],0))</f>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v>
      </c>
      <c r="I734" s="60" t="str">
        <f>INDEX(Tabledaily[العملـــة],MATCH(TableDailyJournal[[#This Row],[رقم العملية]],Tabledaily[رقم العملية],0))</f>
        <v>ريال يمني</v>
      </c>
      <c r="J734" s="196">
        <f>IFERROR(INDEX(Tabledaily[سعــــــر
الصـــــرف],MATCH(C734,Tabledaily[رقم العملية],0)),1)</f>
        <v>405</v>
      </c>
      <c r="K734" s="123" cm="1">
        <f t="array" ref="K734">IFERROR(INDEX(Tabledaily[المبلـــــــغ],MATCH(1,(TableDailyJournal[[#This Row],[رقم العملية]]=Tabledaily[رقم العملية])*(TableDailyJournal[[#This Row],[الحساب]]=Tabledaily[الحســاب المديــــن]),0)),0)</f>
        <v>200000</v>
      </c>
      <c r="L734" s="123" cm="1">
        <f t="array" ref="L734">IFERROR(INDEX(Tabledaily[المبلـــــــغ],MATCH(1,(TableDailyJournal[[#This Row],[رقم العملية]]=Tabledaily[رقم العملية])*(TableDailyJournal[[#This Row],[الحساب]]=Tabledaily[الحســاب الدئـــن]),0)),0)</f>
        <v>0</v>
      </c>
      <c r="M734" s="119">
        <f>IFERROR(TableDailyJournal[[#This Row],[المبلغ مدين]]/TableDailyJournal[[#This Row],[سعــــــر
الصـــــرف]],0)</f>
        <v>493.82716049382714</v>
      </c>
      <c r="N734" s="119">
        <f>IFERROR(TableDailyJournal[[#This Row],[المبلغ دائن]]/TableDailyJournal[[#This Row],[سعــــــر
الصـــــرف]],0)</f>
        <v>0</v>
      </c>
      <c r="O734" s="197" t="str">
        <f>INDEX(Tabledaily[المستفيــــــــد],MATCH(TableDailyJournal[[#This Row],[رقم العملية]],Tabledaily[رقم العملية],0))</f>
        <v>عبدالمجيد لبيب يحيى صالح</v>
      </c>
      <c r="P734" s="197" t="str">
        <f>INDEX(Tabledaily[المــــرجـــــــــع],MATCH(TableDailyJournal[[#This Row],[رقم العملية]],Tabledaily[رقم العملية],0))</f>
        <v>استلام نقدي</v>
      </c>
      <c r="Q734" s="197" t="str">
        <f>INDEX(Tabledaily[اســـــــم المــــرجــــع],MATCH(TableDailyJournal[[#This Row],[رقم العملية]],Tabledaily[رقم العملية],0))</f>
        <v>سند استلام</v>
      </c>
      <c r="R734" s="197" t="str">
        <f>INDEX(Tabledaily[رقم المـــــرجـــع],MATCH(TableDailyJournal[[#This Row],[رقم العملية]],Tabledaily[رقم العملية],0))</f>
        <v>100-2</v>
      </c>
      <c r="S734" s="197" t="str">
        <f>INDEX(Tabledaily[مركـــــــزالتكلفــــــة],MATCH(TableDailyJournal[[#This Row],[رقم العملية]],Tabledaily[رقم العملية],0))</f>
        <v>اللواء الثاني</v>
      </c>
      <c r="T734" s="197">
        <f>IFERROR(INDEX(tablecost[رقم المركز],MATCH(TableDailyJournal[[#This Row],[مركـــــــزالتكلفــــــة]],tablecost[الاسم],0)),0)</f>
        <v>3</v>
      </c>
      <c r="U734" s="122">
        <f>IFERROR(DATE(TableDailyJournal[[#This Row],[السنــــة]],TableDailyJournal[[#This Row],[الشهــــر]],TableDailyJournal[[#This Row],[الـــــيوم]]),"01-01-2026")</f>
        <v>46195</v>
      </c>
      <c r="V734" s="126"/>
      <c r="W734" s="194"/>
      <c r="X734" s="194">
        <f>IFERROR(YEAR(TableDailyJournal[[#This Row],[التاريخ]]),"")</f>
        <v>2026</v>
      </c>
      <c r="Y734" s="194">
        <f>IFERROR(MONTH(TableDailyJournal[[#This Row],[التاريخ]]),"")</f>
        <v>6</v>
      </c>
      <c r="Z734" s="194">
        <f>IFERROR(DAY(TableDailyJournal[[#This Row],[التاريخ]]),"")</f>
        <v>22</v>
      </c>
      <c r="AA734" s="126" t="str">
        <f>INDEX(Tabledaily[المرجع البياني],MATCH(TableDailyJournal[[#This Row],[رقم العملية]],Tabledaily[رقم العملية],0))</f>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v>
      </c>
      <c r="AB734" s="197" t="str">
        <f>INDEX(Tabledaily[جهة الامر],MATCH(TableDailyJournal[[#This Row],[رقم العملية]],Tabledaily[رقم العملية],0))</f>
        <v>القائد</v>
      </c>
    </row>
    <row r="735" spans="2:28" ht="67.5" x14ac:dyDescent="0.55000000000000004">
      <c r="B735" s="194">
        <f>ROW()-4</f>
        <v>731</v>
      </c>
      <c r="C735" s="59" t="s">
        <v>1255</v>
      </c>
      <c r="D735" s="60">
        <f>INDEX(Tabledaily[date],MATCH(TableDailyJournal[[#This Row],[رقم العملية]],Tabledaily[رقم العملية],0))</f>
        <v>46195</v>
      </c>
      <c r="E735" s="194" t="str">
        <f>INDEX(Tabledaily[نوع العمليــة],MATCH(TableDailyJournal[[#This Row],[رقم العملية]],Tabledaily[رقم العملية],0))</f>
        <v>قيد عهده</v>
      </c>
      <c r="F735" s="194">
        <f>IFERROR(INDEX(TableJudje[رقم الحساب],MATCH(TableDailyJournal[[#This Row],[الحساب]],TableJudje[اسم الحساب],0)),0)</f>
        <v>11060205</v>
      </c>
      <c r="G735" s="58" t="s">
        <v>513</v>
      </c>
      <c r="H735" s="195" t="str">
        <f>INDEX(Tabledaily[المرجع البياني],MATCH(TableDailyJournal[[#This Row],[رقم العملية]],Tabledaily[رقم العملية],0))</f>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v>
      </c>
      <c r="I735" s="60" t="str">
        <f>INDEX(Tabledaily[العملـــة],MATCH(TableDailyJournal[[#This Row],[رقم العملية]],Tabledaily[رقم العملية],0))</f>
        <v>ريال يمني</v>
      </c>
      <c r="J735" s="196">
        <f>IFERROR(INDEX(Tabledaily[سعــــــر
الصـــــرف],MATCH(C735,Tabledaily[رقم العملية],0)),1)</f>
        <v>405</v>
      </c>
      <c r="K735" s="123" cm="1">
        <f t="array" ref="K735">IFERROR(INDEX(Tabledaily[المبلـــــــغ],MATCH(1,(TableDailyJournal[[#This Row],[رقم العملية]]=Tabledaily[رقم العملية])*(TableDailyJournal[[#This Row],[الحساب]]=Tabledaily[الحســاب المديــــن]),0)),0)</f>
        <v>0</v>
      </c>
      <c r="L735" s="123" cm="1">
        <f t="array" ref="L735">IFERROR(INDEX(Tabledaily[المبلـــــــغ],MATCH(1,(TableDailyJournal[[#This Row],[رقم العملية]]=Tabledaily[رقم العملية])*(TableDailyJournal[[#This Row],[الحساب]]=Tabledaily[الحســاب الدئـــن]),0)),0)</f>
        <v>200000</v>
      </c>
      <c r="M735" s="119">
        <f>IFERROR(TableDailyJournal[[#This Row],[المبلغ مدين]]/TableDailyJournal[[#This Row],[سعــــــر
الصـــــرف]],0)</f>
        <v>0</v>
      </c>
      <c r="N735" s="119">
        <f>IFERROR(TableDailyJournal[[#This Row],[المبلغ دائن]]/TableDailyJournal[[#This Row],[سعــــــر
الصـــــرف]],0)</f>
        <v>493.82716049382714</v>
      </c>
      <c r="O735" s="197" t="str">
        <f>INDEX(Tabledaily[المستفيــــــــد],MATCH(TableDailyJournal[[#This Row],[رقم العملية]],Tabledaily[رقم العملية],0))</f>
        <v>عبدالمجيد لبيب يحيى صالح</v>
      </c>
      <c r="P735" s="197" t="str">
        <f>INDEX(Tabledaily[المــــرجـــــــــع],MATCH(TableDailyJournal[[#This Row],[رقم العملية]],Tabledaily[رقم العملية],0))</f>
        <v>استلام نقدي</v>
      </c>
      <c r="Q735" s="197" t="str">
        <f>INDEX(Tabledaily[اســـــــم المــــرجــــع],MATCH(TableDailyJournal[[#This Row],[رقم العملية]],Tabledaily[رقم العملية],0))</f>
        <v>سند استلام</v>
      </c>
      <c r="R735" s="197" t="str">
        <f>INDEX(Tabledaily[رقم المـــــرجـــع],MATCH(TableDailyJournal[[#This Row],[رقم العملية]],Tabledaily[رقم العملية],0))</f>
        <v>100-2</v>
      </c>
      <c r="S735" s="197" t="str">
        <f>INDEX(Tabledaily[مركـــــــزالتكلفــــــة],MATCH(TableDailyJournal[[#This Row],[رقم العملية]],Tabledaily[رقم العملية],0))</f>
        <v>اللواء الثاني</v>
      </c>
      <c r="T735" s="197">
        <f>IFERROR(INDEX(tablecost[رقم المركز],MATCH(TableDailyJournal[[#This Row],[مركـــــــزالتكلفــــــة]],tablecost[الاسم],0)),0)</f>
        <v>3</v>
      </c>
      <c r="U735" s="122">
        <f>IFERROR(DATE(TableDailyJournal[[#This Row],[السنــــة]],TableDailyJournal[[#This Row],[الشهــــر]],TableDailyJournal[[#This Row],[الـــــيوم]]),"01-01-2026")</f>
        <v>46195</v>
      </c>
      <c r="V735" s="126"/>
      <c r="W735" s="194"/>
      <c r="X735" s="194">
        <f>IFERROR(YEAR(TableDailyJournal[[#This Row],[التاريخ]]),"")</f>
        <v>2026</v>
      </c>
      <c r="Y735" s="194">
        <f>IFERROR(MONTH(TableDailyJournal[[#This Row],[التاريخ]]),"")</f>
        <v>6</v>
      </c>
      <c r="Z735" s="194">
        <f>IFERROR(DAY(TableDailyJournal[[#This Row],[التاريخ]]),"")</f>
        <v>22</v>
      </c>
      <c r="AA735" s="126" t="str">
        <f>INDEX(Tabledaily[المرجع البياني],MATCH(TableDailyJournal[[#This Row],[رقم العملية]],Tabledaily[رقم العملية],0))</f>
        <v>قيـد مقابـل:- (صندوق اللواء الثاني - عبدالمجيد لبيب يحيى صالح - اللواء الثاني)  - استلام نقدي رقم 100-2  سند استلام - لسائق السطحة مقابل تحميل الطقم التابع للواء الثاني العائد من المهمةمن عتق إلى مقر اللواء  بامرالقائد</v>
      </c>
      <c r="AB735" s="197" t="str">
        <f>INDEX(Tabledaily[جهة الامر],MATCH(TableDailyJournal[[#This Row],[رقم العملية]],Tabledaily[رقم العملية],0))</f>
        <v>القائد</v>
      </c>
    </row>
    <row r="736" spans="2:28" ht="67.5" x14ac:dyDescent="0.55000000000000004">
      <c r="B736" s="194">
        <f>ROW()-4</f>
        <v>732</v>
      </c>
      <c r="C736" s="59" t="s">
        <v>1259</v>
      </c>
      <c r="D736" s="60">
        <f>INDEX(Tabledaily[date],MATCH(TableDailyJournal[[#This Row],[رقم العملية]],Tabledaily[رقم العملية],0))</f>
        <v>46195</v>
      </c>
      <c r="E736" s="194" t="str">
        <f>INDEX(Tabledaily[نوع العمليــة],MATCH(TableDailyJournal[[#This Row],[رقم العملية]],Tabledaily[رقم العملية],0))</f>
        <v>قيد عهده</v>
      </c>
      <c r="F736" s="194">
        <f>IFERROR(INDEX(TableJudje[رقم الحساب],MATCH(TableDailyJournal[[#This Row],[الحساب]],TableJudje[اسم الحساب],0)),0)</f>
        <v>31010101</v>
      </c>
      <c r="G736" s="58" t="s">
        <v>111</v>
      </c>
      <c r="H736" s="195"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v>
      </c>
      <c r="I736" s="60" t="str">
        <f>INDEX(Tabledaily[العملـــة],MATCH(TableDailyJournal[[#This Row],[رقم العملية]],Tabledaily[رقم العملية],0))</f>
        <v>ريال يمني</v>
      </c>
      <c r="J736" s="196">
        <f>IFERROR(INDEX(Tabledaily[سعــــــر
الصـــــرف],MATCH(C736,Tabledaily[رقم العملية],0)),1)</f>
        <v>405</v>
      </c>
      <c r="K736" s="123" cm="1">
        <f t="array" ref="K736">IFERROR(INDEX(Tabledaily[المبلـــــــغ],MATCH(1,(TableDailyJournal[[#This Row],[رقم العملية]]=Tabledaily[رقم العملية])*(TableDailyJournal[[#This Row],[الحساب]]=Tabledaily[الحســاب المديــــن]),0)),0)</f>
        <v>200000</v>
      </c>
      <c r="L736" s="123" cm="1">
        <f t="array" ref="L736">IFERROR(INDEX(Tabledaily[المبلـــــــغ],MATCH(1,(TableDailyJournal[[#This Row],[رقم العملية]]=Tabledaily[رقم العملية])*(TableDailyJournal[[#This Row],[الحساب]]=Tabledaily[الحســاب الدئـــن]),0)),0)</f>
        <v>0</v>
      </c>
      <c r="M736" s="119">
        <f>IFERROR(TableDailyJournal[[#This Row],[المبلغ مدين]]/TableDailyJournal[[#This Row],[سعــــــر
الصـــــرف]],0)</f>
        <v>493.82716049382714</v>
      </c>
      <c r="N736" s="119">
        <f>IFERROR(TableDailyJournal[[#This Row],[المبلغ دائن]]/TableDailyJournal[[#This Row],[سعــــــر
الصـــــرف]],0)</f>
        <v>0</v>
      </c>
      <c r="O736" s="197" t="str">
        <f>INDEX(Tabledaily[المستفيــــــــد],MATCH(TableDailyJournal[[#This Row],[رقم العملية]],Tabledaily[رقم العملية],0))</f>
        <v>سرية الآمن اللواء السادس</v>
      </c>
      <c r="P736" s="197" t="str">
        <f>INDEX(Tabledaily[المــــرجـــــــــع],MATCH(TableDailyJournal[[#This Row],[رقم العملية]],Tabledaily[رقم العملية],0))</f>
        <v>كشف صرف</v>
      </c>
      <c r="Q736" s="197" t="str">
        <f>INDEX(Tabledaily[اســـــــم المــــرجــــع],MATCH(TableDailyJournal[[#This Row],[رقم العملية]],Tabledaily[رقم العملية],0))</f>
        <v>كشف صرف</v>
      </c>
      <c r="R736" s="197">
        <f>INDEX(Tabledaily[رقم المـــــرجـــع],MATCH(TableDailyJournal[[#This Row],[رقم العملية]],Tabledaily[رقم العملية],0))</f>
        <v>0</v>
      </c>
      <c r="S736" s="197" t="str">
        <f>INDEX(Tabledaily[مركـــــــزالتكلفــــــة],MATCH(TableDailyJournal[[#This Row],[رقم العملية]],Tabledaily[رقم العملية],0))</f>
        <v>اللواء السادس</v>
      </c>
      <c r="T736" s="197">
        <f>IFERROR(INDEX(tablecost[رقم المركز],MATCH(TableDailyJournal[[#This Row],[مركـــــــزالتكلفــــــة]],tablecost[الاسم],0)),0)</f>
        <v>7</v>
      </c>
      <c r="U736" s="122">
        <f>IFERROR(DATE(TableDailyJournal[[#This Row],[السنــــة]],TableDailyJournal[[#This Row],[الشهــــر]],TableDailyJournal[[#This Row],[الـــــيوم]]),"01-01-2026")</f>
        <v>46195</v>
      </c>
      <c r="V736" s="126"/>
      <c r="W736" s="194"/>
      <c r="X736" s="194">
        <f>IFERROR(YEAR(TableDailyJournal[[#This Row],[التاريخ]]),"")</f>
        <v>2026</v>
      </c>
      <c r="Y736" s="194">
        <f>IFERROR(MONTH(TableDailyJournal[[#This Row],[التاريخ]]),"")</f>
        <v>6</v>
      </c>
      <c r="Z736" s="194">
        <f>IFERROR(DAY(TableDailyJournal[[#This Row],[التاريخ]]),"")</f>
        <v>22</v>
      </c>
      <c r="AA736" s="126"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v>
      </c>
      <c r="AB736" s="197" t="str">
        <f>INDEX(Tabledaily[جهة الامر],MATCH(TableDailyJournal[[#This Row],[رقم العملية]],Tabledaily[رقم العملية],0))</f>
        <v>المستشار المالي</v>
      </c>
    </row>
    <row r="737" spans="2:28" ht="67.5" x14ac:dyDescent="0.55000000000000004">
      <c r="B737" s="194">
        <f>ROW()-4</f>
        <v>733</v>
      </c>
      <c r="C737" s="59" t="s">
        <v>1259</v>
      </c>
      <c r="D737" s="60">
        <f>INDEX(Tabledaily[date],MATCH(TableDailyJournal[[#This Row],[رقم العملية]],Tabledaily[رقم العملية],0))</f>
        <v>46195</v>
      </c>
      <c r="E737" s="194" t="str">
        <f>INDEX(Tabledaily[نوع العمليــة],MATCH(TableDailyJournal[[#This Row],[رقم العملية]],Tabledaily[رقم العملية],0))</f>
        <v>قيد عهده</v>
      </c>
      <c r="F737" s="194">
        <f>IFERROR(INDEX(TableJudje[رقم الحساب],MATCH(TableDailyJournal[[#This Row],[الحساب]],TableJudje[اسم الحساب],0)),0)</f>
        <v>11060205</v>
      </c>
      <c r="G737" s="58" t="s">
        <v>513</v>
      </c>
      <c r="H737" s="195"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v>
      </c>
      <c r="I737" s="60" t="str">
        <f>INDEX(Tabledaily[العملـــة],MATCH(TableDailyJournal[[#This Row],[رقم العملية]],Tabledaily[رقم العملية],0))</f>
        <v>ريال يمني</v>
      </c>
      <c r="J737" s="196">
        <f>IFERROR(INDEX(Tabledaily[سعــــــر
الصـــــرف],MATCH(C737,Tabledaily[رقم العملية],0)),1)</f>
        <v>405</v>
      </c>
      <c r="K737" s="123" cm="1">
        <f t="array" ref="K737">IFERROR(INDEX(Tabledaily[المبلـــــــغ],MATCH(1,(TableDailyJournal[[#This Row],[رقم العملية]]=Tabledaily[رقم العملية])*(TableDailyJournal[[#This Row],[الحساب]]=Tabledaily[الحســاب المديــــن]),0)),0)</f>
        <v>0</v>
      </c>
      <c r="L737" s="123" cm="1">
        <f t="array" ref="L737">IFERROR(INDEX(Tabledaily[المبلـــــــغ],MATCH(1,(TableDailyJournal[[#This Row],[رقم العملية]]=Tabledaily[رقم العملية])*(TableDailyJournal[[#This Row],[الحساب]]=Tabledaily[الحســاب الدئـــن]),0)),0)</f>
        <v>200000</v>
      </c>
      <c r="M737" s="119">
        <f>IFERROR(TableDailyJournal[[#This Row],[المبلغ مدين]]/TableDailyJournal[[#This Row],[سعــــــر
الصـــــرف]],0)</f>
        <v>0</v>
      </c>
      <c r="N737" s="119">
        <f>IFERROR(TableDailyJournal[[#This Row],[المبلغ دائن]]/TableDailyJournal[[#This Row],[سعــــــر
الصـــــرف]],0)</f>
        <v>493.82716049382714</v>
      </c>
      <c r="O737" s="197" t="str">
        <f>INDEX(Tabledaily[المستفيــــــــد],MATCH(TableDailyJournal[[#This Row],[رقم العملية]],Tabledaily[رقم العملية],0))</f>
        <v>سرية الآمن اللواء السادس</v>
      </c>
      <c r="P737" s="197" t="str">
        <f>INDEX(Tabledaily[المــــرجـــــــــع],MATCH(TableDailyJournal[[#This Row],[رقم العملية]],Tabledaily[رقم العملية],0))</f>
        <v>كشف صرف</v>
      </c>
      <c r="Q737" s="197" t="str">
        <f>INDEX(Tabledaily[اســـــــم المــــرجــــع],MATCH(TableDailyJournal[[#This Row],[رقم العملية]],Tabledaily[رقم العملية],0))</f>
        <v>كشف صرف</v>
      </c>
      <c r="R737" s="197">
        <f>INDEX(Tabledaily[رقم المـــــرجـــع],MATCH(TableDailyJournal[[#This Row],[رقم العملية]],Tabledaily[رقم العملية],0))</f>
        <v>0</v>
      </c>
      <c r="S737" s="197" t="str">
        <f>INDEX(Tabledaily[مركـــــــزالتكلفــــــة],MATCH(TableDailyJournal[[#This Row],[رقم العملية]],Tabledaily[رقم العملية],0))</f>
        <v>اللواء السادس</v>
      </c>
      <c r="T737" s="197">
        <f>IFERROR(INDEX(tablecost[رقم المركز],MATCH(TableDailyJournal[[#This Row],[مركـــــــزالتكلفــــــة]],tablecost[الاسم],0)),0)</f>
        <v>7</v>
      </c>
      <c r="U737" s="122">
        <f>IFERROR(DATE(TableDailyJournal[[#This Row],[السنــــة]],TableDailyJournal[[#This Row],[الشهــــر]],TableDailyJournal[[#This Row],[الـــــيوم]]),"01-01-2026")</f>
        <v>46195</v>
      </c>
      <c r="V737" s="126"/>
      <c r="W737" s="194"/>
      <c r="X737" s="194">
        <f>IFERROR(YEAR(TableDailyJournal[[#This Row],[التاريخ]]),"")</f>
        <v>2026</v>
      </c>
      <c r="Y737" s="194">
        <f>IFERROR(MONTH(TableDailyJournal[[#This Row],[التاريخ]]),"")</f>
        <v>6</v>
      </c>
      <c r="Z737" s="194">
        <f>IFERROR(DAY(TableDailyJournal[[#This Row],[التاريخ]]),"")</f>
        <v>22</v>
      </c>
      <c r="AA737" s="126" t="str">
        <f>INDEX(Tabledaily[المرجع البياني],MATCH(TableDailyJournal[[#This Row],[رقم العملية]],Tabledaily[رقم العملية],0))</f>
        <v>قيـد مقابـل:- (مصاريف  صرفة يومية للافراد  - سرية الآمن اللواء السادس - اللواء السادس)  - كشف صرف رقم   كشف صرف - صرف الصرفة اليومية سرية الآمن اللواء السادس عدد 50 فرد بامرالمستشار المالي</v>
      </c>
      <c r="AB737" s="197" t="str">
        <f>INDEX(Tabledaily[جهة الامر],MATCH(TableDailyJournal[[#This Row],[رقم العملية]],Tabledaily[رقم العملية],0))</f>
        <v>المستشار المالي</v>
      </c>
    </row>
  </sheetData>
  <mergeCells count="2">
    <mergeCell ref="G2:L2"/>
    <mergeCell ref="M2:N2"/>
  </mergeCells>
  <hyperlinks>
    <hyperlink ref="B2" location="Home!A1" display="Home!A1" xr:uid="{A77F1382-D4BF-4C6B-B25D-9999FFCE4CD8}"/>
  </hyperlink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209BC-7197-4FC7-8C15-AAAB758409F7}">
  <sheetPr>
    <pageSetUpPr fitToPage="1"/>
  </sheetPr>
  <dimension ref="B2:J102"/>
  <sheetViews>
    <sheetView rightToLeft="1" topLeftCell="A7" zoomScale="70" zoomScaleNormal="70" zoomScaleSheetLayoutView="55" workbookViewId="0">
      <selection activeCell="F21" sqref="F21"/>
    </sheetView>
  </sheetViews>
  <sheetFormatPr defaultRowHeight="22.5" x14ac:dyDescent="0.5"/>
  <cols>
    <col min="1" max="1" width="5.68359375" customWidth="1"/>
    <col min="2" max="2" width="24.0546875" customWidth="1"/>
    <col min="3" max="3" width="152.01171875" customWidth="1"/>
    <col min="4" max="5" width="23.12890625" customWidth="1"/>
    <col min="6" max="7" width="23.66015625" customWidth="1"/>
    <col min="8" max="8" width="16.51953125" bestFit="1" customWidth="1"/>
    <col min="9" max="9" width="23.39453125" bestFit="1" customWidth="1"/>
    <col min="10" max="10" width="22.734375" bestFit="1" customWidth="1"/>
  </cols>
  <sheetData>
    <row r="2" spans="2:10" x14ac:dyDescent="0.5">
      <c r="G2" s="238" t="e" vm="1">
        <v>#VALUE!</v>
      </c>
    </row>
    <row r="3" spans="2:10" x14ac:dyDescent="0.5">
      <c r="G3" s="238"/>
    </row>
    <row r="4" spans="2:10" x14ac:dyDescent="0.5">
      <c r="G4" s="238"/>
    </row>
    <row r="6" spans="2:10" ht="78" customHeight="1" x14ac:dyDescent="0.5">
      <c r="B6" s="135" t="s">
        <v>415</v>
      </c>
      <c r="C6" s="136" t="s">
        <v>513</v>
      </c>
    </row>
    <row r="7" spans="2:10" ht="62.45" customHeight="1" x14ac:dyDescent="0.5">
      <c r="B7" s="239" t="str">
        <f>C6</f>
        <v>عهدة عبدالحفيظ</v>
      </c>
      <c r="C7" s="239"/>
      <c r="D7" s="239"/>
    </row>
    <row r="8" spans="2:10" hidden="1" x14ac:dyDescent="0.5">
      <c r="B8" s="137"/>
      <c r="C8" s="137"/>
      <c r="D8" s="138" t="s">
        <v>263</v>
      </c>
      <c r="E8" s="138" t="s">
        <v>512</v>
      </c>
      <c r="F8" s="137"/>
      <c r="G8" s="137"/>
    </row>
    <row r="9" spans="2:10" x14ac:dyDescent="0.5">
      <c r="B9" s="137"/>
      <c r="C9" s="137"/>
      <c r="D9" s="230" t="s">
        <v>238</v>
      </c>
      <c r="E9" s="231" t="s">
        <v>238</v>
      </c>
      <c r="F9" s="230" t="s">
        <v>241</v>
      </c>
      <c r="G9" s="231" t="s">
        <v>241</v>
      </c>
    </row>
    <row r="10" spans="2:10" ht="31.5" x14ac:dyDescent="0.7">
      <c r="B10" s="163" t="s">
        <v>257</v>
      </c>
      <c r="C10" s="163" t="s">
        <v>416</v>
      </c>
      <c r="D10" s="164" t="s">
        <v>20</v>
      </c>
      <c r="E10" s="164" t="s">
        <v>85</v>
      </c>
      <c r="F10" s="164" t="s">
        <v>20</v>
      </c>
      <c r="G10" s="164" t="s">
        <v>85</v>
      </c>
    </row>
    <row r="11" spans="2:10" s="168" customFormat="1" ht="40.5" x14ac:dyDescent="0.9">
      <c r="B11" s="234">
        <v>46180</v>
      </c>
      <c r="C11" s="231"/>
      <c r="D11" s="169">
        <v>1006500</v>
      </c>
      <c r="E11" s="169">
        <v>1136000</v>
      </c>
      <c r="F11" s="169">
        <v>9980</v>
      </c>
      <c r="G11" s="169">
        <v>0</v>
      </c>
      <c r="H11"/>
      <c r="I11"/>
      <c r="J11"/>
    </row>
    <row r="12" spans="2:10" s="168" customFormat="1" ht="40.5" x14ac:dyDescent="0.9">
      <c r="B12" s="234">
        <v>46181</v>
      </c>
      <c r="C12" s="231"/>
      <c r="D12" s="169">
        <v>0</v>
      </c>
      <c r="E12" s="169">
        <v>1124000</v>
      </c>
      <c r="F12" s="169">
        <v>3000</v>
      </c>
      <c r="G12" s="169">
        <v>0</v>
      </c>
      <c r="H12"/>
      <c r="I12"/>
      <c r="J12"/>
    </row>
    <row r="13" spans="2:10" s="168" customFormat="1" ht="40.5" x14ac:dyDescent="0.9">
      <c r="B13" s="234">
        <v>46182</v>
      </c>
      <c r="C13" s="231"/>
      <c r="D13" s="169">
        <v>0</v>
      </c>
      <c r="E13" s="169">
        <v>1058000</v>
      </c>
      <c r="F13" s="169">
        <v>0</v>
      </c>
      <c r="G13" s="169">
        <v>2600</v>
      </c>
      <c r="H13"/>
      <c r="I13"/>
      <c r="J13"/>
    </row>
    <row r="14" spans="2:10" s="168" customFormat="1" ht="40.5" x14ac:dyDescent="0.9">
      <c r="B14" s="234">
        <v>46183</v>
      </c>
      <c r="C14" s="231"/>
      <c r="D14" s="169">
        <v>0</v>
      </c>
      <c r="E14" s="169">
        <v>853000</v>
      </c>
      <c r="F14" s="169">
        <v>0</v>
      </c>
      <c r="G14" s="169">
        <v>0</v>
      </c>
      <c r="H14"/>
      <c r="I14"/>
      <c r="J14"/>
    </row>
    <row r="15" spans="2:10" s="168" customFormat="1" ht="40.5" x14ac:dyDescent="0.9">
      <c r="B15" s="234">
        <v>46184</v>
      </c>
      <c r="C15" s="231"/>
      <c r="D15" s="169">
        <v>0</v>
      </c>
      <c r="E15" s="169">
        <v>2043000</v>
      </c>
      <c r="F15" s="169">
        <v>9980</v>
      </c>
      <c r="G15" s="169">
        <v>0</v>
      </c>
      <c r="H15"/>
      <c r="I15"/>
      <c r="J15"/>
    </row>
    <row r="16" spans="2:10" s="168" customFormat="1" ht="40.5" x14ac:dyDescent="0.9">
      <c r="B16" s="234">
        <v>46185</v>
      </c>
      <c r="C16" s="231"/>
      <c r="D16" s="169">
        <v>0</v>
      </c>
      <c r="E16" s="169">
        <v>861000</v>
      </c>
      <c r="F16" s="169">
        <v>0</v>
      </c>
      <c r="G16" s="169">
        <v>0</v>
      </c>
      <c r="H16"/>
      <c r="I16"/>
      <c r="J16"/>
    </row>
    <row r="17" spans="2:10" s="168" customFormat="1" ht="40.5" x14ac:dyDescent="0.9">
      <c r="B17" s="234">
        <v>46186</v>
      </c>
      <c r="C17" s="231"/>
      <c r="D17" s="169">
        <v>0</v>
      </c>
      <c r="E17" s="169">
        <v>1193000</v>
      </c>
      <c r="F17" s="169">
        <v>14970</v>
      </c>
      <c r="G17" s="169">
        <v>0</v>
      </c>
      <c r="H17"/>
      <c r="I17"/>
      <c r="J17"/>
    </row>
    <row r="18" spans="2:10" s="168" customFormat="1" ht="40.5" x14ac:dyDescent="0.9">
      <c r="B18" s="234">
        <v>46187</v>
      </c>
      <c r="C18" s="231"/>
      <c r="D18" s="169">
        <v>0</v>
      </c>
      <c r="E18" s="169">
        <v>1331000</v>
      </c>
      <c r="F18" s="169">
        <v>0</v>
      </c>
      <c r="G18" s="169">
        <v>3500</v>
      </c>
      <c r="H18"/>
      <c r="I18"/>
      <c r="J18"/>
    </row>
    <row r="19" spans="2:10" s="168" customFormat="1" ht="40.5" x14ac:dyDescent="0.9">
      <c r="B19" s="234">
        <v>46188</v>
      </c>
      <c r="C19" s="231"/>
      <c r="D19" s="169">
        <v>0</v>
      </c>
      <c r="E19" s="169">
        <v>888000</v>
      </c>
      <c r="F19" s="169">
        <v>19960</v>
      </c>
      <c r="G19" s="169">
        <v>1140</v>
      </c>
      <c r="H19"/>
      <c r="I19"/>
      <c r="J19"/>
    </row>
    <row r="20" spans="2:10" s="168" customFormat="1" ht="40.5" x14ac:dyDescent="0.9">
      <c r="B20" s="234">
        <v>46189</v>
      </c>
      <c r="C20" s="231"/>
      <c r="D20" s="169">
        <v>0</v>
      </c>
      <c r="E20" s="169">
        <v>735000</v>
      </c>
      <c r="F20" s="169">
        <v>0</v>
      </c>
      <c r="G20" s="169">
        <v>2000</v>
      </c>
      <c r="H20"/>
      <c r="I20"/>
      <c r="J20"/>
    </row>
    <row r="21" spans="2:10" s="168" customFormat="1" ht="40.5" x14ac:dyDescent="0.9">
      <c r="B21" s="234">
        <v>46190</v>
      </c>
      <c r="C21" s="231"/>
      <c r="D21" s="169">
        <v>0</v>
      </c>
      <c r="E21" s="169">
        <v>8129000</v>
      </c>
      <c r="F21" s="169">
        <v>34940</v>
      </c>
      <c r="G21" s="169">
        <v>200</v>
      </c>
      <c r="H21"/>
      <c r="I21"/>
      <c r="J21"/>
    </row>
    <row r="22" spans="2:10" s="168" customFormat="1" ht="40.5" x14ac:dyDescent="0.9">
      <c r="B22" s="234">
        <v>46191</v>
      </c>
      <c r="C22" s="231"/>
      <c r="D22" s="169">
        <v>0</v>
      </c>
      <c r="E22" s="169">
        <v>2151500</v>
      </c>
      <c r="F22" s="169">
        <v>0</v>
      </c>
      <c r="G22" s="169">
        <v>0</v>
      </c>
      <c r="H22"/>
      <c r="I22"/>
      <c r="J22"/>
    </row>
    <row r="23" spans="2:10" s="168" customFormat="1" ht="40.5" x14ac:dyDescent="0.9">
      <c r="B23" s="234">
        <v>46192</v>
      </c>
      <c r="C23" s="231"/>
      <c r="D23" s="169">
        <v>0</v>
      </c>
      <c r="E23" s="169">
        <v>2114000</v>
      </c>
      <c r="F23" s="169">
        <v>0</v>
      </c>
      <c r="G23" s="169">
        <v>13500</v>
      </c>
      <c r="H23"/>
      <c r="I23"/>
      <c r="J23"/>
    </row>
    <row r="24" spans="2:10" s="168" customFormat="1" ht="40.5" x14ac:dyDescent="0.9">
      <c r="B24" s="234">
        <v>46193</v>
      </c>
      <c r="C24" s="231"/>
      <c r="D24" s="169">
        <v>0</v>
      </c>
      <c r="E24" s="169">
        <v>844000</v>
      </c>
      <c r="F24" s="169">
        <v>0</v>
      </c>
      <c r="G24" s="169">
        <v>0</v>
      </c>
      <c r="H24"/>
      <c r="I24"/>
      <c r="J24"/>
    </row>
    <row r="25" spans="2:10" s="168" customFormat="1" ht="40.5" x14ac:dyDescent="0.9">
      <c r="B25" s="234">
        <v>46194</v>
      </c>
      <c r="C25" s="231"/>
      <c r="D25" s="169">
        <v>0</v>
      </c>
      <c r="E25" s="169">
        <v>1942000</v>
      </c>
      <c r="F25" s="169">
        <v>0</v>
      </c>
      <c r="G25" s="169">
        <v>0</v>
      </c>
      <c r="H25"/>
      <c r="I25"/>
      <c r="J25"/>
    </row>
    <row r="26" spans="2:10" s="168" customFormat="1" ht="45.75" x14ac:dyDescent="0.9">
      <c r="B26" s="234">
        <v>46195</v>
      </c>
      <c r="C26" s="165" t="s">
        <v>1261</v>
      </c>
      <c r="D26" s="169">
        <v>0</v>
      </c>
      <c r="E26" s="169">
        <v>112000</v>
      </c>
      <c r="F26" s="169">
        <v>0</v>
      </c>
      <c r="G26" s="169">
        <v>0</v>
      </c>
      <c r="H26"/>
      <c r="I26"/>
      <c r="J26"/>
    </row>
    <row r="27" spans="2:10" s="168" customFormat="1" ht="45.75" x14ac:dyDescent="0.9">
      <c r="B27" s="237">
        <v>46195</v>
      </c>
      <c r="C27" s="165" t="s">
        <v>1262</v>
      </c>
      <c r="D27" s="169">
        <v>0</v>
      </c>
      <c r="E27" s="169">
        <v>200000</v>
      </c>
      <c r="F27" s="169">
        <v>0</v>
      </c>
      <c r="G27" s="169">
        <v>0</v>
      </c>
      <c r="H27"/>
      <c r="I27"/>
      <c r="J27"/>
    </row>
    <row r="28" spans="2:10" s="168" customFormat="1" ht="40.5" x14ac:dyDescent="0.9">
      <c r="B28" s="237">
        <v>46195</v>
      </c>
      <c r="C28" s="165" t="s">
        <v>1263</v>
      </c>
      <c r="D28" s="169">
        <v>0</v>
      </c>
      <c r="E28" s="169">
        <v>200000</v>
      </c>
      <c r="F28" s="169">
        <v>0</v>
      </c>
      <c r="G28" s="169">
        <v>0</v>
      </c>
      <c r="H28"/>
      <c r="I28"/>
      <c r="J28"/>
    </row>
    <row r="29" spans="2:10" s="168" customFormat="1" ht="40.5" x14ac:dyDescent="0.9">
      <c r="B29" s="234" t="s">
        <v>1264</v>
      </c>
      <c r="C29" s="231"/>
      <c r="D29" s="169">
        <v>0</v>
      </c>
      <c r="E29" s="169">
        <v>512000</v>
      </c>
      <c r="F29" s="169">
        <v>0</v>
      </c>
      <c r="G29" s="169">
        <v>0</v>
      </c>
      <c r="H29"/>
      <c r="I29"/>
      <c r="J29"/>
    </row>
    <row r="30" spans="2:10" s="168" customFormat="1" ht="40.5" x14ac:dyDescent="0.9">
      <c r="B30" s="235" t="s">
        <v>509</v>
      </c>
      <c r="C30" s="236"/>
      <c r="D30" s="169">
        <v>1006500</v>
      </c>
      <c r="E30" s="169">
        <v>26914500</v>
      </c>
      <c r="F30" s="169">
        <v>92830</v>
      </c>
      <c r="G30" s="169">
        <v>22940</v>
      </c>
      <c r="H30"/>
      <c r="I30"/>
      <c r="J30"/>
    </row>
    <row r="31" spans="2:10" s="168" customFormat="1" ht="40.5" x14ac:dyDescent="0.9">
      <c r="B31"/>
      <c r="C31"/>
      <c r="D31"/>
      <c r="E31"/>
      <c r="F31"/>
      <c r="G31"/>
      <c r="H31"/>
      <c r="I31"/>
      <c r="J31"/>
    </row>
    <row r="32" spans="2:10" s="168" customFormat="1" ht="40.5" x14ac:dyDescent="0.9">
      <c r="B32"/>
      <c r="C32"/>
      <c r="D32"/>
      <c r="E32"/>
      <c r="F32"/>
      <c r="G32"/>
      <c r="H32"/>
      <c r="I32"/>
      <c r="J32"/>
    </row>
    <row r="33" spans="2:10" s="168" customFormat="1" ht="40.5" x14ac:dyDescent="0.9">
      <c r="B33"/>
      <c r="C33"/>
      <c r="D33"/>
      <c r="E33"/>
      <c r="F33"/>
      <c r="G33"/>
      <c r="H33"/>
      <c r="I33"/>
      <c r="J33"/>
    </row>
    <row r="34" spans="2:10" s="168" customFormat="1" ht="40.5" x14ac:dyDescent="0.9">
      <c r="B34"/>
      <c r="C34"/>
      <c r="D34"/>
      <c r="E34"/>
      <c r="F34"/>
      <c r="G34"/>
      <c r="H34"/>
      <c r="I34"/>
      <c r="J34"/>
    </row>
    <row r="35" spans="2:10" s="168" customFormat="1" ht="40.5" x14ac:dyDescent="0.9">
      <c r="B35"/>
      <c r="C35"/>
      <c r="D35"/>
      <c r="E35"/>
      <c r="F35"/>
      <c r="G35"/>
      <c r="H35"/>
      <c r="I35"/>
      <c r="J35"/>
    </row>
    <row r="36" spans="2:10" s="168" customFormat="1" ht="40.5" x14ac:dyDescent="0.9">
      <c r="B36"/>
      <c r="C36"/>
      <c r="D36"/>
      <c r="E36"/>
      <c r="F36"/>
      <c r="G36"/>
      <c r="H36"/>
      <c r="I36"/>
      <c r="J36"/>
    </row>
    <row r="37" spans="2:10" s="168" customFormat="1" ht="40.5" x14ac:dyDescent="0.9">
      <c r="B37"/>
      <c r="C37"/>
      <c r="D37"/>
      <c r="E37"/>
      <c r="F37"/>
      <c r="G37"/>
      <c r="H37"/>
      <c r="I37"/>
      <c r="J37"/>
    </row>
    <row r="38" spans="2:10" s="168" customFormat="1" ht="40.5" x14ac:dyDescent="0.9">
      <c r="B38"/>
      <c r="C38"/>
      <c r="D38"/>
      <c r="E38"/>
      <c r="F38"/>
      <c r="G38"/>
      <c r="H38"/>
      <c r="I38"/>
      <c r="J38"/>
    </row>
    <row r="39" spans="2:10" s="168" customFormat="1" ht="40.5" x14ac:dyDescent="0.9">
      <c r="B39"/>
      <c r="C39"/>
      <c r="D39"/>
      <c r="E39"/>
      <c r="F39"/>
      <c r="G39"/>
      <c r="H39"/>
      <c r="I39"/>
      <c r="J39"/>
    </row>
    <row r="40" spans="2:10" s="168" customFormat="1" ht="40.5" x14ac:dyDescent="0.9">
      <c r="B40"/>
      <c r="C40"/>
      <c r="D40"/>
      <c r="E40"/>
      <c r="F40"/>
      <c r="G40"/>
      <c r="H40"/>
      <c r="I40"/>
      <c r="J40"/>
    </row>
    <row r="41" spans="2:10" s="168" customFormat="1" ht="40.5" x14ac:dyDescent="0.9">
      <c r="B41"/>
      <c r="C41"/>
      <c r="D41"/>
      <c r="E41"/>
      <c r="F41"/>
      <c r="G41"/>
      <c r="H41"/>
      <c r="I41"/>
      <c r="J41"/>
    </row>
    <row r="42" spans="2:10" s="168" customFormat="1" ht="40.5" x14ac:dyDescent="0.9">
      <c r="B42"/>
      <c r="C42"/>
      <c r="D42"/>
      <c r="E42"/>
      <c r="F42"/>
      <c r="G42"/>
      <c r="H42"/>
      <c r="I42"/>
      <c r="J42"/>
    </row>
    <row r="43" spans="2:10" s="168" customFormat="1" ht="40.5" x14ac:dyDescent="0.9">
      <c r="B43"/>
      <c r="C43"/>
      <c r="D43"/>
      <c r="E43"/>
      <c r="F43"/>
      <c r="G43"/>
      <c r="H43"/>
      <c r="I43"/>
      <c r="J43"/>
    </row>
    <row r="44" spans="2:10" s="168" customFormat="1" ht="40.5" x14ac:dyDescent="0.9">
      <c r="B44"/>
      <c r="C44"/>
      <c r="D44"/>
      <c r="E44"/>
      <c r="F44"/>
      <c r="G44"/>
      <c r="H44"/>
      <c r="I44"/>
      <c r="J44"/>
    </row>
    <row r="45" spans="2:10" s="168" customFormat="1" ht="40.5" x14ac:dyDescent="0.9">
      <c r="B45"/>
      <c r="C45"/>
      <c r="D45"/>
      <c r="E45"/>
      <c r="F45"/>
      <c r="G45"/>
      <c r="H45"/>
      <c r="I45"/>
      <c r="J45"/>
    </row>
    <row r="46" spans="2:10" s="168" customFormat="1" ht="40.5" x14ac:dyDescent="0.9">
      <c r="B46"/>
      <c r="C46"/>
      <c r="D46"/>
      <c r="E46"/>
      <c r="F46"/>
      <c r="G46"/>
      <c r="H46"/>
      <c r="I46"/>
      <c r="J46"/>
    </row>
    <row r="47" spans="2:10" s="168" customFormat="1" ht="40.5" x14ac:dyDescent="0.9">
      <c r="B47"/>
      <c r="C47"/>
      <c r="D47"/>
      <c r="E47"/>
      <c r="F47"/>
      <c r="G47"/>
      <c r="H47"/>
      <c r="I47"/>
      <c r="J47"/>
    </row>
    <row r="48" spans="2:10" s="168" customFormat="1" ht="40.5" x14ac:dyDescent="0.9">
      <c r="B48"/>
      <c r="C48"/>
      <c r="D48"/>
      <c r="E48"/>
      <c r="F48"/>
      <c r="G48"/>
      <c r="H48"/>
      <c r="I48"/>
      <c r="J48"/>
    </row>
    <row r="49" spans="2:10" s="168" customFormat="1" ht="40.5" x14ac:dyDescent="0.9">
      <c r="B49"/>
      <c r="C49"/>
      <c r="D49"/>
      <c r="E49"/>
      <c r="F49"/>
      <c r="G49"/>
      <c r="H49"/>
      <c r="I49"/>
      <c r="J49"/>
    </row>
    <row r="50" spans="2:10" s="168" customFormat="1" ht="40.5" x14ac:dyDescent="0.9">
      <c r="B50"/>
      <c r="C50"/>
      <c r="D50"/>
      <c r="E50"/>
      <c r="F50"/>
      <c r="G50"/>
      <c r="H50"/>
      <c r="I50"/>
      <c r="J50"/>
    </row>
    <row r="51" spans="2:10" s="168" customFormat="1" ht="40.5" x14ac:dyDescent="0.9">
      <c r="B51"/>
      <c r="C51"/>
      <c r="D51"/>
      <c r="E51"/>
      <c r="F51"/>
      <c r="G51"/>
      <c r="H51"/>
      <c r="I51"/>
      <c r="J51"/>
    </row>
    <row r="52" spans="2:10" s="168" customFormat="1" ht="40.5" x14ac:dyDescent="0.9">
      <c r="B52"/>
      <c r="C52"/>
      <c r="D52"/>
      <c r="E52"/>
      <c r="F52"/>
      <c r="G52"/>
      <c r="H52"/>
      <c r="I52"/>
      <c r="J52"/>
    </row>
    <row r="53" spans="2:10" s="168" customFormat="1" ht="40.5" x14ac:dyDescent="0.9">
      <c r="B53"/>
      <c r="C53"/>
      <c r="D53"/>
      <c r="E53"/>
      <c r="F53"/>
      <c r="G53"/>
      <c r="H53"/>
      <c r="I53"/>
      <c r="J53"/>
    </row>
    <row r="54" spans="2:10" s="168" customFormat="1" ht="40.5" x14ac:dyDescent="0.9">
      <c r="B54"/>
      <c r="C54"/>
      <c r="D54"/>
      <c r="E54"/>
      <c r="F54"/>
      <c r="G54"/>
      <c r="H54"/>
      <c r="I54"/>
      <c r="J54"/>
    </row>
    <row r="55" spans="2:10" s="168" customFormat="1" ht="40.5" x14ac:dyDescent="0.9">
      <c r="B55"/>
      <c r="C55"/>
      <c r="D55"/>
      <c r="E55"/>
      <c r="F55"/>
      <c r="G55"/>
      <c r="H55"/>
      <c r="I55"/>
      <c r="J55"/>
    </row>
    <row r="56" spans="2:10" s="168" customFormat="1" ht="40.5" x14ac:dyDescent="0.9">
      <c r="B56"/>
      <c r="C56"/>
      <c r="D56"/>
      <c r="E56"/>
      <c r="F56"/>
      <c r="G56"/>
      <c r="H56"/>
      <c r="I56"/>
      <c r="J56"/>
    </row>
    <row r="57" spans="2:10" s="168" customFormat="1" ht="40.5" x14ac:dyDescent="0.9">
      <c r="B57"/>
      <c r="C57"/>
      <c r="D57"/>
      <c r="E57"/>
      <c r="F57"/>
      <c r="G57"/>
      <c r="H57"/>
      <c r="I57"/>
      <c r="J57"/>
    </row>
    <row r="58" spans="2:10" s="168" customFormat="1" ht="40.5" x14ac:dyDescent="0.9">
      <c r="B58"/>
      <c r="C58"/>
      <c r="D58"/>
      <c r="E58"/>
      <c r="F58"/>
      <c r="G58"/>
      <c r="H58"/>
      <c r="I58"/>
      <c r="J58"/>
    </row>
    <row r="59" spans="2:10" s="168" customFormat="1" ht="40.5" x14ac:dyDescent="0.9">
      <c r="B59"/>
      <c r="C59"/>
      <c r="D59"/>
      <c r="E59"/>
      <c r="F59"/>
      <c r="G59"/>
      <c r="H59"/>
      <c r="I59"/>
      <c r="J59"/>
    </row>
    <row r="60" spans="2:10" s="168" customFormat="1" ht="40.5" x14ac:dyDescent="0.9">
      <c r="B60"/>
      <c r="C60"/>
      <c r="D60"/>
      <c r="E60"/>
      <c r="F60"/>
      <c r="G60"/>
      <c r="H60"/>
      <c r="I60"/>
      <c r="J60"/>
    </row>
    <row r="61" spans="2:10" s="168" customFormat="1" ht="40.5" x14ac:dyDescent="0.9">
      <c r="B61"/>
      <c r="C61"/>
      <c r="D61"/>
      <c r="E61"/>
      <c r="F61"/>
      <c r="G61"/>
      <c r="H61"/>
      <c r="I61"/>
      <c r="J61"/>
    </row>
    <row r="62" spans="2:10" s="168" customFormat="1" ht="40.5" x14ac:dyDescent="0.9">
      <c r="B62"/>
      <c r="C62"/>
      <c r="D62"/>
      <c r="E62"/>
      <c r="F62"/>
      <c r="G62"/>
      <c r="H62"/>
      <c r="I62"/>
      <c r="J62"/>
    </row>
    <row r="63" spans="2:10" s="168" customFormat="1" ht="40.5" x14ac:dyDescent="0.9">
      <c r="B63"/>
      <c r="C63"/>
      <c r="D63"/>
      <c r="E63"/>
      <c r="F63"/>
      <c r="G63"/>
      <c r="H63"/>
      <c r="I63"/>
      <c r="J63"/>
    </row>
    <row r="64" spans="2:10" s="168" customFormat="1" ht="40.5" x14ac:dyDescent="0.9">
      <c r="B64"/>
      <c r="C64"/>
      <c r="D64"/>
      <c r="E64"/>
      <c r="F64"/>
      <c r="G64"/>
      <c r="H64"/>
      <c r="I64"/>
      <c r="J64"/>
    </row>
    <row r="65" spans="2:10" s="168" customFormat="1" ht="40.5" x14ac:dyDescent="0.9">
      <c r="B65"/>
      <c r="C65"/>
      <c r="D65"/>
      <c r="E65"/>
      <c r="F65"/>
      <c r="G65"/>
      <c r="H65"/>
      <c r="I65"/>
      <c r="J65"/>
    </row>
    <row r="66" spans="2:10" s="168" customFormat="1" ht="40.5" x14ac:dyDescent="0.9">
      <c r="B66"/>
      <c r="C66"/>
      <c r="D66"/>
      <c r="E66"/>
      <c r="F66"/>
      <c r="G66"/>
      <c r="H66"/>
      <c r="I66"/>
      <c r="J66"/>
    </row>
    <row r="67" spans="2:10" s="168" customFormat="1" ht="40.5" x14ac:dyDescent="0.9">
      <c r="B67"/>
      <c r="C67"/>
      <c r="D67"/>
      <c r="E67"/>
      <c r="F67"/>
      <c r="G67"/>
      <c r="H67"/>
      <c r="I67"/>
      <c r="J67"/>
    </row>
    <row r="68" spans="2:10" s="168" customFormat="1" ht="40.5" x14ac:dyDescent="0.9">
      <c r="B68"/>
      <c r="C68"/>
      <c r="D68"/>
      <c r="E68"/>
      <c r="F68"/>
      <c r="G68"/>
      <c r="H68"/>
      <c r="I68"/>
      <c r="J68"/>
    </row>
    <row r="69" spans="2:10" s="168" customFormat="1" ht="40.5" x14ac:dyDescent="0.9">
      <c r="B69"/>
      <c r="C69"/>
      <c r="D69"/>
      <c r="E69"/>
      <c r="F69"/>
      <c r="G69"/>
      <c r="H69"/>
      <c r="I69"/>
      <c r="J69"/>
    </row>
    <row r="70" spans="2:10" s="168" customFormat="1" ht="40.5" x14ac:dyDescent="0.9">
      <c r="B70"/>
      <c r="C70"/>
      <c r="D70"/>
      <c r="E70"/>
      <c r="F70"/>
      <c r="G70"/>
      <c r="H70"/>
      <c r="I70"/>
      <c r="J70"/>
    </row>
    <row r="71" spans="2:10" s="168" customFormat="1" ht="40.5" x14ac:dyDescent="0.9">
      <c r="B71"/>
      <c r="C71"/>
      <c r="D71"/>
      <c r="E71"/>
      <c r="F71"/>
      <c r="G71"/>
      <c r="H71"/>
      <c r="I71"/>
      <c r="J71"/>
    </row>
    <row r="72" spans="2:10" s="168" customFormat="1" ht="40.5" x14ac:dyDescent="0.9">
      <c r="B72"/>
      <c r="C72"/>
      <c r="D72"/>
      <c r="E72"/>
      <c r="F72"/>
      <c r="G72"/>
      <c r="H72"/>
      <c r="I72"/>
      <c r="J72"/>
    </row>
    <row r="73" spans="2:10" s="168" customFormat="1" ht="40.5" x14ac:dyDescent="0.9">
      <c r="B73"/>
      <c r="C73"/>
      <c r="D73"/>
      <c r="E73"/>
      <c r="F73"/>
      <c r="G73"/>
      <c r="H73"/>
      <c r="I73"/>
      <c r="J73"/>
    </row>
    <row r="74" spans="2:10" s="168" customFormat="1" ht="40.5" x14ac:dyDescent="0.9">
      <c r="B74"/>
      <c r="C74"/>
      <c r="D74"/>
      <c r="E74"/>
      <c r="F74"/>
      <c r="G74"/>
      <c r="H74"/>
      <c r="I74"/>
      <c r="J74"/>
    </row>
    <row r="75" spans="2:10" s="168" customFormat="1" ht="40.5" x14ac:dyDescent="0.9">
      <c r="B75"/>
      <c r="C75"/>
      <c r="D75"/>
      <c r="E75"/>
      <c r="F75"/>
      <c r="G75"/>
      <c r="H75"/>
      <c r="I75"/>
      <c r="J75"/>
    </row>
    <row r="76" spans="2:10" s="168" customFormat="1" ht="40.5" x14ac:dyDescent="0.9">
      <c r="B76"/>
      <c r="C76"/>
      <c r="D76"/>
      <c r="E76"/>
      <c r="F76"/>
      <c r="G76"/>
      <c r="H76"/>
      <c r="I76"/>
      <c r="J76"/>
    </row>
    <row r="77" spans="2:10" s="168" customFormat="1" ht="40.5" x14ac:dyDescent="0.9">
      <c r="B77"/>
      <c r="C77"/>
      <c r="D77"/>
      <c r="E77"/>
      <c r="F77"/>
      <c r="G77"/>
      <c r="H77"/>
      <c r="I77"/>
      <c r="J77"/>
    </row>
    <row r="78" spans="2:10" s="168" customFormat="1" ht="40.5" x14ac:dyDescent="0.9">
      <c r="B78"/>
      <c r="C78"/>
      <c r="D78"/>
      <c r="E78"/>
      <c r="F78"/>
      <c r="G78"/>
      <c r="H78"/>
      <c r="I78"/>
      <c r="J78"/>
    </row>
    <row r="79" spans="2:10" s="168" customFormat="1" ht="40.5" x14ac:dyDescent="0.9">
      <c r="B79"/>
      <c r="C79"/>
      <c r="D79"/>
      <c r="E79"/>
      <c r="F79"/>
      <c r="G79"/>
      <c r="H79"/>
      <c r="I79"/>
      <c r="J79"/>
    </row>
    <row r="80" spans="2:10" s="168" customFormat="1" ht="40.5" x14ac:dyDescent="0.9">
      <c r="B80"/>
      <c r="C80"/>
      <c r="D80"/>
      <c r="E80"/>
      <c r="F80"/>
      <c r="G80"/>
      <c r="H80"/>
      <c r="I80"/>
      <c r="J80"/>
    </row>
    <row r="81" spans="2:10" s="168" customFormat="1" ht="40.5" x14ac:dyDescent="0.9">
      <c r="B81"/>
      <c r="C81"/>
      <c r="D81"/>
      <c r="E81"/>
      <c r="F81"/>
      <c r="G81"/>
      <c r="H81"/>
      <c r="I81"/>
      <c r="J81"/>
    </row>
    <row r="82" spans="2:10" s="168" customFormat="1" ht="40.5" x14ac:dyDescent="0.9">
      <c r="B82"/>
      <c r="C82"/>
      <c r="D82"/>
      <c r="E82"/>
      <c r="F82"/>
      <c r="G82"/>
      <c r="H82"/>
      <c r="I82"/>
      <c r="J82"/>
    </row>
    <row r="83" spans="2:10" s="168" customFormat="1" ht="40.5" x14ac:dyDescent="0.9">
      <c r="B83"/>
      <c r="C83"/>
      <c r="D83"/>
      <c r="E83"/>
      <c r="F83"/>
      <c r="G83"/>
      <c r="H83"/>
      <c r="I83"/>
      <c r="J83"/>
    </row>
    <row r="84" spans="2:10" s="168" customFormat="1" ht="40.5" x14ac:dyDescent="0.9">
      <c r="B84"/>
      <c r="C84"/>
      <c r="D84"/>
      <c r="E84"/>
      <c r="F84"/>
      <c r="G84"/>
      <c r="H84"/>
      <c r="I84"/>
      <c r="J84"/>
    </row>
    <row r="85" spans="2:10" s="168" customFormat="1" ht="40.5" x14ac:dyDescent="0.9">
      <c r="B85"/>
      <c r="C85"/>
      <c r="D85"/>
      <c r="E85"/>
      <c r="F85"/>
      <c r="G85"/>
      <c r="H85"/>
      <c r="I85"/>
      <c r="J85"/>
    </row>
    <row r="86" spans="2:10" s="168" customFormat="1" ht="40.5" x14ac:dyDescent="0.9">
      <c r="B86"/>
      <c r="C86"/>
      <c r="D86"/>
      <c r="E86"/>
      <c r="F86"/>
      <c r="G86"/>
      <c r="H86"/>
      <c r="I86"/>
      <c r="J86"/>
    </row>
    <row r="87" spans="2:10" s="168" customFormat="1" ht="40.5" x14ac:dyDescent="0.9">
      <c r="B87"/>
      <c r="C87"/>
      <c r="D87"/>
      <c r="E87"/>
      <c r="F87"/>
      <c r="G87"/>
      <c r="H87"/>
      <c r="I87"/>
      <c r="J87"/>
    </row>
    <row r="88" spans="2:10" s="168" customFormat="1" ht="40.5" x14ac:dyDescent="0.9">
      <c r="B88"/>
      <c r="C88"/>
      <c r="D88"/>
      <c r="E88"/>
      <c r="F88"/>
      <c r="G88"/>
      <c r="H88"/>
      <c r="I88"/>
      <c r="J88"/>
    </row>
    <row r="89" spans="2:10" s="168" customFormat="1" ht="40.5" x14ac:dyDescent="0.9">
      <c r="B89"/>
      <c r="C89"/>
      <c r="D89"/>
      <c r="E89"/>
      <c r="F89"/>
      <c r="G89"/>
      <c r="H89"/>
      <c r="I89"/>
      <c r="J89"/>
    </row>
    <row r="90" spans="2:10" s="168" customFormat="1" ht="40.5" x14ac:dyDescent="0.9">
      <c r="B90"/>
      <c r="C90"/>
      <c r="D90"/>
      <c r="E90"/>
      <c r="F90"/>
      <c r="G90"/>
      <c r="H90"/>
      <c r="I90"/>
      <c r="J90"/>
    </row>
    <row r="91" spans="2:10" s="168" customFormat="1" ht="40.5" x14ac:dyDescent="0.9">
      <c r="B91"/>
      <c r="C91"/>
      <c r="D91"/>
      <c r="E91"/>
      <c r="F91"/>
      <c r="G91"/>
      <c r="H91"/>
      <c r="I91"/>
      <c r="J91"/>
    </row>
    <row r="92" spans="2:10" s="168" customFormat="1" ht="40.5" x14ac:dyDescent="0.9">
      <c r="B92"/>
      <c r="C92"/>
      <c r="D92"/>
      <c r="E92"/>
      <c r="F92"/>
      <c r="G92"/>
      <c r="H92"/>
      <c r="I92"/>
      <c r="J92"/>
    </row>
    <row r="93" spans="2:10" s="168" customFormat="1" ht="40.5" x14ac:dyDescent="0.9">
      <c r="B93"/>
      <c r="C93"/>
      <c r="D93"/>
      <c r="E93"/>
      <c r="F93"/>
      <c r="G93"/>
      <c r="H93"/>
      <c r="I93"/>
      <c r="J93"/>
    </row>
    <row r="94" spans="2:10" s="168" customFormat="1" ht="40.5" x14ac:dyDescent="0.9">
      <c r="B94"/>
      <c r="C94"/>
      <c r="D94"/>
      <c r="E94"/>
      <c r="F94"/>
      <c r="G94"/>
      <c r="H94"/>
      <c r="I94"/>
      <c r="J94"/>
    </row>
    <row r="95" spans="2:10" s="168" customFormat="1" ht="40.5" x14ac:dyDescent="0.9">
      <c r="B95"/>
      <c r="C95"/>
      <c r="D95"/>
      <c r="E95"/>
      <c r="F95"/>
      <c r="G95"/>
      <c r="H95"/>
      <c r="I95"/>
      <c r="J95"/>
    </row>
    <row r="96" spans="2:10" s="168" customFormat="1" ht="40.5" x14ac:dyDescent="0.9">
      <c r="B96"/>
      <c r="C96"/>
      <c r="D96"/>
      <c r="E96"/>
      <c r="F96"/>
      <c r="G96"/>
      <c r="H96"/>
      <c r="I96"/>
      <c r="J96"/>
    </row>
    <row r="97" spans="2:10" s="168" customFormat="1" ht="40.5" x14ac:dyDescent="0.9">
      <c r="B97"/>
      <c r="C97"/>
      <c r="D97"/>
      <c r="E97"/>
      <c r="F97"/>
      <c r="G97"/>
      <c r="H97"/>
      <c r="I97"/>
      <c r="J97"/>
    </row>
    <row r="98" spans="2:10" s="168" customFormat="1" ht="40.5" x14ac:dyDescent="0.9">
      <c r="B98"/>
      <c r="C98"/>
      <c r="D98"/>
      <c r="E98"/>
      <c r="F98"/>
      <c r="G98"/>
      <c r="H98"/>
      <c r="I98"/>
      <c r="J98"/>
    </row>
    <row r="99" spans="2:10" s="168" customFormat="1" ht="40.5" x14ac:dyDescent="0.9">
      <c r="B99"/>
      <c r="C99"/>
      <c r="D99"/>
      <c r="E99"/>
      <c r="F99"/>
      <c r="G99"/>
      <c r="H99"/>
      <c r="I99"/>
      <c r="J99"/>
    </row>
    <row r="100" spans="2:10" s="168" customFormat="1" ht="40.5" x14ac:dyDescent="0.9">
      <c r="B100"/>
      <c r="C100"/>
      <c r="D100"/>
      <c r="E100"/>
      <c r="F100"/>
      <c r="G100"/>
      <c r="H100"/>
      <c r="I100"/>
      <c r="J100"/>
    </row>
    <row r="101" spans="2:10" s="168" customFormat="1" ht="40.5" x14ac:dyDescent="0.9">
      <c r="B101"/>
      <c r="C101"/>
      <c r="D101"/>
      <c r="E101"/>
      <c r="F101"/>
      <c r="G101"/>
      <c r="H101"/>
      <c r="I101"/>
      <c r="J101"/>
    </row>
    <row r="102" spans="2:10" s="168" customFormat="1" ht="40.5" x14ac:dyDescent="0.9">
      <c r="B102"/>
      <c r="C102"/>
      <c r="D102"/>
      <c r="E102"/>
      <c r="F102"/>
      <c r="G102"/>
      <c r="H102"/>
      <c r="I102"/>
      <c r="J102"/>
    </row>
  </sheetData>
  <mergeCells count="22">
    <mergeCell ref="B23:C23"/>
    <mergeCell ref="B24:C24"/>
    <mergeCell ref="B25:C25"/>
    <mergeCell ref="B26:B28"/>
    <mergeCell ref="G2:G4"/>
    <mergeCell ref="B7:D7"/>
    <mergeCell ref="B29:C29"/>
    <mergeCell ref="B30:C30"/>
    <mergeCell ref="D9:E9"/>
    <mergeCell ref="F9:G9"/>
    <mergeCell ref="B11:C11"/>
    <mergeCell ref="B12:C12"/>
    <mergeCell ref="B13:C13"/>
    <mergeCell ref="B14:C14"/>
    <mergeCell ref="B15:C15"/>
    <mergeCell ref="B16:C16"/>
    <mergeCell ref="B17:C17"/>
    <mergeCell ref="B18:C18"/>
    <mergeCell ref="B19:C19"/>
    <mergeCell ref="B20:C20"/>
    <mergeCell ref="B21:C21"/>
    <mergeCell ref="B22:C22"/>
  </mergeCells>
  <hyperlinks>
    <hyperlink ref="G2" location="Home!A1" display="Home!A1" xr:uid="{A6B0DC55-EF81-4226-891A-FE841DFB41E7}"/>
  </hyperlinks>
  <pageMargins left="0.7" right="0.7" top="0.75" bottom="0.75" header="0.3" footer="0.3"/>
  <pageSetup paperSize="9" scale="36" fitToHeight="0" orientation="landscape" r:id="rId2"/>
  <rowBreaks count="5" manualBreakCount="5">
    <brk id="30" min="1" max="6" man="1"/>
    <brk id="49" min="1" max="6" man="1"/>
    <brk id="68" max="16383" man="1"/>
    <brk id="184" min="1" max="6" man="1"/>
    <brk id="223" min="1" max="6" man="1"/>
  </rowBreaks>
  <colBreaks count="2" manualBreakCount="2">
    <brk id="1" max="1048575" man="1"/>
    <brk id="2" max="1048575" man="1"/>
  </colBreaks>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B0255-904C-4E16-83FC-E567F633139F}">
  <sheetPr codeName="report">
    <pageSetUpPr fitToPage="1"/>
  </sheetPr>
  <dimension ref="A1:U173"/>
  <sheetViews>
    <sheetView rightToLeft="1" view="pageBreakPreview" topLeftCell="C1" zoomScale="63" zoomScaleNormal="70" zoomScaleSheetLayoutView="52" zoomScalePageLayoutView="68" workbookViewId="0">
      <selection activeCell="K7" sqref="K7"/>
    </sheetView>
  </sheetViews>
  <sheetFormatPr defaultColWidth="0" defaultRowHeight="78.599999999999994" customHeight="1" x14ac:dyDescent="0.5"/>
  <cols>
    <col min="1" max="1" width="30.00390625" style="104" customWidth="1"/>
    <col min="2" max="2" width="4.2265625" style="104" customWidth="1"/>
    <col min="3" max="3" width="22.8671875" style="105" customWidth="1"/>
    <col min="4" max="4" width="14.5390625" style="12" bestFit="1" customWidth="1"/>
    <col min="5" max="5" width="18.23828125" style="12" bestFit="1" customWidth="1"/>
    <col min="6" max="6" width="106.8046875" style="106" customWidth="1"/>
    <col min="7" max="7" width="28.41796875" style="12" customWidth="1"/>
    <col min="8" max="9" width="21.015625" style="107" customWidth="1"/>
    <col min="10" max="10" width="15.46484375" style="107" customWidth="1"/>
    <col min="11" max="11" width="23.79296875" style="108" customWidth="1"/>
    <col min="12" max="12" width="24.3203125" style="108" customWidth="1"/>
    <col min="13" max="13" width="43.22265625" customWidth="1"/>
    <col min="14" max="14" width="21.67578125" style="104" customWidth="1"/>
    <col min="15" max="17" width="9.78125" style="104" customWidth="1"/>
    <col min="18" max="18" width="16.125" style="104" customWidth="1"/>
    <col min="19" max="19" width="20.35546875" style="104" customWidth="1"/>
    <col min="20" max="20" width="24.5859375" style="109" customWidth="1"/>
    <col min="21" max="21" width="9.78125" style="104" customWidth="1"/>
    <col min="22" max="16384" width="16.125" style="104" hidden="1"/>
  </cols>
  <sheetData>
    <row r="1" spans="1:20" s="114" customFormat="1" ht="45" customHeight="1" x14ac:dyDescent="1.25">
      <c r="A1" s="63" t="e" vm="3">
        <v>#VALUE!</v>
      </c>
      <c r="B1" s="64"/>
      <c r="C1" s="64"/>
      <c r="D1" s="64"/>
      <c r="E1" s="64"/>
      <c r="F1" s="65"/>
      <c r="G1" s="65"/>
      <c r="H1" s="65"/>
      <c r="I1" s="65"/>
      <c r="J1" s="65"/>
      <c r="K1" s="64"/>
      <c r="L1" s="66">
        <f ca="1">TODAY()</f>
        <v>46292</v>
      </c>
      <c r="M1" s="67" t="s">
        <v>0</v>
      </c>
      <c r="N1" s="64"/>
      <c r="O1" s="69"/>
      <c r="P1" s="130">
        <f>DAY(T2)</f>
        <v>7</v>
      </c>
      <c r="Q1" s="130">
        <f>MONTH(T2)</f>
        <v>1</v>
      </c>
      <c r="R1" s="130">
        <f>YEAR(T2)</f>
        <v>2026</v>
      </c>
      <c r="S1" s="131"/>
      <c r="T1" s="65"/>
    </row>
    <row r="2" spans="1:20" s="114" customFormat="1" ht="42.75" x14ac:dyDescent="0.95">
      <c r="A2" s="68"/>
      <c r="B2" s="64"/>
      <c r="C2" s="64"/>
      <c r="D2" s="64"/>
      <c r="E2" s="69" t="s">
        <v>2</v>
      </c>
      <c r="F2" s="70" t="s">
        <v>513</v>
      </c>
      <c r="G2" s="71" t="s">
        <v>1</v>
      </c>
      <c r="H2" s="72">
        <v>11060205</v>
      </c>
      <c r="I2" s="70" t="s">
        <v>8</v>
      </c>
      <c r="J2" s="70"/>
      <c r="K2" s="64"/>
      <c r="L2" s="73" t="s">
        <v>424</v>
      </c>
      <c r="M2" s="67" t="s">
        <v>425</v>
      </c>
      <c r="N2" s="64"/>
      <c r="O2" s="69"/>
      <c r="P2" s="132">
        <f>DAY(T3)</f>
        <v>21</v>
      </c>
      <c r="Q2" s="132">
        <f>MONTH(T3)</f>
        <v>6</v>
      </c>
      <c r="R2" s="132">
        <f>YEAR(T3)</f>
        <v>2026</v>
      </c>
      <c r="S2" s="133">
        <v>46023</v>
      </c>
      <c r="T2" s="133">
        <v>46029</v>
      </c>
    </row>
    <row r="3" spans="1:20" s="114" customFormat="1" ht="84.6" customHeight="1" x14ac:dyDescent="0.8">
      <c r="A3" s="68"/>
      <c r="B3" s="64"/>
      <c r="C3" s="64"/>
      <c r="D3" s="64"/>
      <c r="E3" s="70" t="s">
        <v>426</v>
      </c>
      <c r="F3" s="74">
        <f ca="1">DATE(CR41,C4,P1)</f>
        <v>0</v>
      </c>
      <c r="G3" s="70" t="s">
        <v>427</v>
      </c>
      <c r="H3" s="74">
        <f ca="1">IF(T2=0,TODAY(),DATE(R2,Q2,P2))</f>
        <v>46194</v>
      </c>
      <c r="I3" s="70"/>
      <c r="J3" s="70"/>
      <c r="K3" s="75"/>
      <c r="L3" s="70"/>
      <c r="M3" s="65"/>
      <c r="N3" s="64"/>
      <c r="O3" s="65"/>
      <c r="P3" s="65"/>
      <c r="Q3" s="65"/>
      <c r="R3" s="65"/>
      <c r="S3" s="133">
        <f ca="1">TODAY()</f>
        <v>46292</v>
      </c>
      <c r="T3" s="133">
        <v>46194</v>
      </c>
    </row>
    <row r="4" spans="1:20" s="115" customFormat="1" ht="59.45" customHeight="1" x14ac:dyDescent="0.5">
      <c r="A4" s="76"/>
      <c r="B4" s="77"/>
      <c r="C4" s="240" t="str">
        <f ca="1">"كشف حساب "&amp;"/"&amp;F2&amp;" "&amp;"من تاريخ"&amp;" "&amp;TEXT(F3,"dd-mm-yyyy")&amp;" "&amp;"الى تاريخ"&amp;" "&amp;TEXT(H3,"dd-mm-yyyy")</f>
        <v>كشف حساب /عهدة عبدالحفيظ من تاريخ 07-01-2026 الى تاريخ 21-06-2026</v>
      </c>
      <c r="D4" s="240"/>
      <c r="E4" s="240"/>
      <c r="F4" s="240"/>
      <c r="G4" s="240"/>
      <c r="H4" s="240"/>
      <c r="I4" s="240"/>
      <c r="J4" s="240"/>
      <c r="K4" s="240"/>
      <c r="L4" s="240"/>
      <c r="M4" s="240"/>
      <c r="N4" s="77"/>
      <c r="O4" s="134"/>
      <c r="P4" s="134"/>
      <c r="Q4" s="134"/>
      <c r="R4" s="134"/>
      <c r="S4" s="134"/>
      <c r="T4" s="134"/>
    </row>
    <row r="5" spans="1:20" s="116" customFormat="1" ht="41.45" customHeight="1" x14ac:dyDescent="0.55000000000000004">
      <c r="A5" s="78"/>
      <c r="B5" s="14"/>
      <c r="C5" s="241" t="s">
        <v>257</v>
      </c>
      <c r="D5" s="241" t="s">
        <v>256</v>
      </c>
      <c r="E5" s="241" t="s">
        <v>428</v>
      </c>
      <c r="F5" s="241" t="s">
        <v>429</v>
      </c>
      <c r="G5" s="241" t="s">
        <v>430</v>
      </c>
      <c r="H5" s="241" t="s">
        <v>431</v>
      </c>
      <c r="I5" s="241"/>
      <c r="J5" s="242" t="s">
        <v>432</v>
      </c>
      <c r="K5" s="241" t="s">
        <v>433</v>
      </c>
      <c r="L5" s="241"/>
      <c r="M5" s="241" t="s">
        <v>434</v>
      </c>
      <c r="N5" s="14"/>
      <c r="O5" s="113"/>
      <c r="P5" s="113"/>
      <c r="Q5" s="113"/>
    </row>
    <row r="6" spans="1:20" s="14" customFormat="1" ht="35.450000000000003" customHeight="1" x14ac:dyDescent="0.55000000000000004">
      <c r="A6" s="78"/>
      <c r="C6" s="241"/>
      <c r="D6" s="241"/>
      <c r="E6" s="241"/>
      <c r="F6" s="241"/>
      <c r="G6" s="241"/>
      <c r="H6" s="79" t="s">
        <v>20</v>
      </c>
      <c r="I6" s="79" t="s">
        <v>85</v>
      </c>
      <c r="J6" s="242"/>
      <c r="K6" s="79" t="s">
        <v>435</v>
      </c>
      <c r="L6" s="79" t="s">
        <v>85</v>
      </c>
      <c r="M6" s="241"/>
    </row>
    <row r="7" spans="1:20" s="81" customFormat="1" ht="37.5" thickBot="1" x14ac:dyDescent="0.95">
      <c r="A7" s="80"/>
      <c r="C7" s="82">
        <f ca="1">F3</f>
        <v>46029</v>
      </c>
      <c r="D7" s="83">
        <v>0</v>
      </c>
      <c r="E7" s="83"/>
      <c r="F7" s="84" t="s">
        <v>436</v>
      </c>
      <c r="G7" s="83" t="s">
        <v>241</v>
      </c>
      <c r="H7" s="85">
        <v>0</v>
      </c>
      <c r="I7" s="85">
        <v>0</v>
      </c>
      <c r="J7" s="85">
        <v>1</v>
      </c>
      <c r="K7" s="127">
        <f ca="1">SUMIFS(TableDailyJournal[اجمالي مدين ريال سعودي],TableDailyJournal[رقم الحساب],"="&amp;$H$2,TableDailyJournal[التاريخ],"&lt;"&amp;$F$3)</f>
        <v>0</v>
      </c>
      <c r="L7" s="129">
        <f ca="1">SUMIFS(TableDailyJournal[اجمالي دائن ريال سعودي],TableDailyJournal[رقم الحساب],"="&amp;$H$2,TableDailyJournal[التاريخ],"&lt;"&amp;$F$3)</f>
        <v>0</v>
      </c>
      <c r="M7" s="170">
        <f ca="1">K7-L7</f>
        <v>0</v>
      </c>
      <c r="S7" s="127"/>
    </row>
    <row r="8" spans="1:20" s="87" customFormat="1" ht="36.75" x14ac:dyDescent="0.9">
      <c r="C8" s="82" t="e" cm="1">
        <f t="array" aca="1" ref="C8" ca="1">_xlfn._xlws.FILTER(_xludf.CHOOSECOLS(TableDailyJournal[],3,2,17,7,8,10,11,9,12,13),(TableDailyJournal[رقم الحساب]=H2)*(TableDailyJournal[التاريخ] &gt;=F3)*(TableDailyJournal[التاريخ] &lt;=H3)," no data")</f>
        <v>#NAME?</v>
      </c>
      <c r="D8" s="83"/>
      <c r="E8" s="83"/>
      <c r="F8" s="88"/>
      <c r="G8" s="83"/>
      <c r="H8" s="85"/>
      <c r="I8" s="89"/>
      <c r="J8" s="89"/>
      <c r="K8" s="90"/>
      <c r="L8" s="86"/>
      <c r="M8" s="171">
        <f ca="1">M7+K8-L8</f>
        <v>0</v>
      </c>
      <c r="S8" s="127"/>
    </row>
    <row r="9" spans="1:20" s="87" customFormat="1" ht="40.5" x14ac:dyDescent="0.9">
      <c r="D9" s="92"/>
      <c r="E9" s="92"/>
      <c r="F9" s="93"/>
      <c r="G9" s="92"/>
      <c r="H9" s="94"/>
      <c r="I9" s="95"/>
      <c r="J9" s="95"/>
      <c r="K9" s="96"/>
      <c r="L9" s="97"/>
      <c r="M9" s="171"/>
      <c r="S9" s="128"/>
    </row>
    <row r="10" spans="1:20" s="98" customFormat="1" ht="40.5" x14ac:dyDescent="0.9">
      <c r="C10" s="99"/>
      <c r="D10" s="100"/>
      <c r="E10" s="100"/>
      <c r="F10" s="101"/>
      <c r="G10" s="100"/>
      <c r="H10" s="102"/>
      <c r="I10" s="102"/>
      <c r="J10" s="102"/>
      <c r="K10" s="103"/>
      <c r="L10" s="103"/>
      <c r="M10" s="171"/>
    </row>
    <row r="11" spans="1:20" s="98" customFormat="1" ht="40.5" x14ac:dyDescent="0.9">
      <c r="C11" s="91"/>
      <c r="D11" s="100"/>
      <c r="E11" s="100"/>
      <c r="F11" s="101"/>
      <c r="G11" s="100"/>
      <c r="H11" s="102"/>
      <c r="I11" s="102"/>
      <c r="J11" s="102"/>
      <c r="K11" s="103"/>
      <c r="L11" s="103"/>
      <c r="M11" s="171"/>
    </row>
    <row r="12" spans="1:20" s="98" customFormat="1" ht="40.5" x14ac:dyDescent="0.9">
      <c r="C12" s="99"/>
      <c r="D12" s="100"/>
      <c r="E12" s="100"/>
      <c r="F12" s="101"/>
      <c r="G12" s="92"/>
      <c r="H12" s="102"/>
      <c r="I12" s="102"/>
      <c r="J12" s="102"/>
      <c r="K12" s="103"/>
      <c r="L12" s="103"/>
      <c r="M12" s="171"/>
    </row>
    <row r="13" spans="1:20" s="98" customFormat="1" ht="40.5" x14ac:dyDescent="0.9">
      <c r="C13" s="99"/>
      <c r="D13" s="100"/>
      <c r="E13" s="100"/>
      <c r="F13" s="101"/>
      <c r="G13" s="100"/>
      <c r="H13" s="102"/>
      <c r="I13" s="102"/>
      <c r="J13" s="102"/>
      <c r="K13" s="103"/>
      <c r="L13" s="103"/>
      <c r="M13" s="171"/>
    </row>
    <row r="14" spans="1:20" s="98" customFormat="1" ht="40.5" x14ac:dyDescent="0.9">
      <c r="C14" s="99"/>
      <c r="D14" s="100"/>
      <c r="E14" s="100"/>
      <c r="F14" s="101"/>
      <c r="G14" s="100"/>
      <c r="H14" s="102"/>
      <c r="I14" s="102"/>
      <c r="J14" s="102"/>
      <c r="K14" s="103"/>
      <c r="L14" s="103"/>
      <c r="M14" s="171"/>
    </row>
    <row r="15" spans="1:20" s="98" customFormat="1" ht="40.5" x14ac:dyDescent="0.9">
      <c r="C15" s="99"/>
      <c r="D15" s="100"/>
      <c r="E15" s="100"/>
      <c r="F15" s="101"/>
      <c r="G15" s="100"/>
      <c r="H15" s="102"/>
      <c r="I15" s="102"/>
      <c r="J15" s="102"/>
      <c r="K15" s="103"/>
      <c r="L15" s="103"/>
      <c r="M15" s="171"/>
    </row>
    <row r="16" spans="1:20" s="98" customFormat="1" ht="40.5" x14ac:dyDescent="0.9">
      <c r="C16" s="99"/>
      <c r="D16" s="100"/>
      <c r="E16" s="100"/>
      <c r="F16" s="101"/>
      <c r="G16" s="100"/>
      <c r="H16" s="102"/>
      <c r="I16" s="102"/>
      <c r="J16" s="102"/>
      <c r="K16" s="103"/>
      <c r="L16" s="103"/>
      <c r="M16" s="171"/>
    </row>
    <row r="17" spans="3:13" s="98" customFormat="1" ht="40.5" x14ac:dyDescent="0.9">
      <c r="C17" s="99"/>
      <c r="D17" s="100"/>
      <c r="E17" s="100"/>
      <c r="F17" s="101"/>
      <c r="G17" s="100"/>
      <c r="H17" s="102"/>
      <c r="I17" s="102"/>
      <c r="J17" s="102"/>
      <c r="K17" s="103"/>
      <c r="L17" s="103"/>
      <c r="M17" s="171"/>
    </row>
    <row r="18" spans="3:13" s="98" customFormat="1" ht="40.5" x14ac:dyDescent="0.9">
      <c r="C18" s="99"/>
      <c r="D18" s="100"/>
      <c r="E18" s="100"/>
      <c r="F18" s="101"/>
      <c r="G18" s="100"/>
      <c r="H18" s="102"/>
      <c r="I18" s="102"/>
      <c r="J18" s="102"/>
      <c r="K18" s="103"/>
      <c r="L18" s="103"/>
      <c r="M18" s="171"/>
    </row>
    <row r="19" spans="3:13" s="98" customFormat="1" ht="40.5" x14ac:dyDescent="0.9">
      <c r="C19" s="99"/>
      <c r="D19" s="100"/>
      <c r="E19" s="100"/>
      <c r="F19" s="101"/>
      <c r="G19" s="100"/>
      <c r="H19" s="102"/>
      <c r="I19" s="102"/>
      <c r="J19" s="102"/>
      <c r="K19" s="103"/>
      <c r="L19" s="103"/>
      <c r="M19" s="171"/>
    </row>
    <row r="20" spans="3:13" s="98" customFormat="1" ht="40.5" x14ac:dyDescent="0.9">
      <c r="C20" s="99"/>
      <c r="D20" s="100"/>
      <c r="E20" s="100"/>
      <c r="F20" s="101"/>
      <c r="G20" s="100"/>
      <c r="H20" s="102"/>
      <c r="I20" s="102"/>
      <c r="J20" s="102"/>
      <c r="K20" s="103"/>
      <c r="L20" s="103"/>
      <c r="M20" s="171"/>
    </row>
    <row r="21" spans="3:13" s="98" customFormat="1" ht="40.5" x14ac:dyDescent="0.9">
      <c r="C21" s="99"/>
      <c r="D21" s="100"/>
      <c r="E21" s="100"/>
      <c r="F21" s="101"/>
      <c r="G21" s="100"/>
      <c r="H21" s="102"/>
      <c r="I21" s="102"/>
      <c r="J21" s="102"/>
      <c r="K21" s="103"/>
      <c r="L21" s="103"/>
      <c r="M21" s="171"/>
    </row>
    <row r="22" spans="3:13" s="98" customFormat="1" ht="40.5" x14ac:dyDescent="0.9">
      <c r="C22" s="99"/>
      <c r="D22" s="100"/>
      <c r="E22" s="100"/>
      <c r="F22" s="101"/>
      <c r="G22" s="100"/>
      <c r="H22" s="102"/>
      <c r="I22" s="102"/>
      <c r="J22" s="102"/>
      <c r="K22" s="103"/>
      <c r="L22" s="103"/>
      <c r="M22" s="171"/>
    </row>
    <row r="23" spans="3:13" s="98" customFormat="1" ht="40.5" x14ac:dyDescent="0.9">
      <c r="C23" s="99"/>
      <c r="D23" s="100"/>
      <c r="E23" s="100"/>
      <c r="F23" s="101"/>
      <c r="G23" s="100"/>
      <c r="H23" s="102"/>
      <c r="I23" s="102"/>
      <c r="J23" s="102"/>
      <c r="K23" s="103"/>
      <c r="L23" s="103"/>
      <c r="M23" s="171"/>
    </row>
    <row r="24" spans="3:13" s="98" customFormat="1" ht="40.5" x14ac:dyDescent="0.9">
      <c r="C24" s="99"/>
      <c r="D24" s="100"/>
      <c r="E24" s="100"/>
      <c r="F24" s="101"/>
      <c r="G24" s="100"/>
      <c r="H24" s="102"/>
      <c r="I24" s="102"/>
      <c r="J24" s="102"/>
      <c r="K24" s="103"/>
      <c r="L24" s="103"/>
      <c r="M24" s="171"/>
    </row>
    <row r="25" spans="3:13" s="98" customFormat="1" ht="40.5" x14ac:dyDescent="0.9">
      <c r="C25" s="99"/>
      <c r="D25" s="100"/>
      <c r="E25" s="100"/>
      <c r="F25" s="101"/>
      <c r="G25" s="100"/>
      <c r="H25" s="102"/>
      <c r="I25" s="102"/>
      <c r="J25" s="102"/>
      <c r="K25" s="103"/>
      <c r="L25" s="103"/>
      <c r="M25" s="171"/>
    </row>
    <row r="26" spans="3:13" s="98" customFormat="1" ht="40.5" x14ac:dyDescent="0.9">
      <c r="C26" s="99"/>
      <c r="D26" s="100"/>
      <c r="E26" s="100"/>
      <c r="F26" s="101"/>
      <c r="G26" s="100"/>
      <c r="H26" s="102"/>
      <c r="I26" s="102"/>
      <c r="J26" s="102"/>
      <c r="K26" s="103"/>
      <c r="L26" s="103"/>
      <c r="M26" s="171"/>
    </row>
    <row r="27" spans="3:13" s="98" customFormat="1" ht="40.5" x14ac:dyDescent="0.9">
      <c r="C27" s="99"/>
      <c r="D27" s="100"/>
      <c r="E27" s="100"/>
      <c r="F27" s="101"/>
      <c r="G27" s="100"/>
      <c r="H27" s="102"/>
      <c r="I27" s="102"/>
      <c r="J27" s="102"/>
      <c r="K27" s="103"/>
      <c r="L27" s="103"/>
      <c r="M27" s="171"/>
    </row>
    <row r="28" spans="3:13" s="98" customFormat="1" ht="40.5" x14ac:dyDescent="0.9">
      <c r="C28" s="99"/>
      <c r="D28" s="100"/>
      <c r="E28" s="100"/>
      <c r="F28" s="101"/>
      <c r="G28" s="100"/>
      <c r="H28" s="102"/>
      <c r="I28" s="102"/>
      <c r="J28" s="102"/>
      <c r="K28" s="103"/>
      <c r="L28" s="103"/>
      <c r="M28" s="171"/>
    </row>
    <row r="29" spans="3:13" s="98" customFormat="1" ht="40.5" x14ac:dyDescent="0.9">
      <c r="C29" s="99"/>
      <c r="D29" s="100"/>
      <c r="E29" s="100"/>
      <c r="F29" s="101"/>
      <c r="G29" s="100"/>
      <c r="H29" s="102"/>
      <c r="I29" s="102"/>
      <c r="J29" s="102"/>
      <c r="K29" s="103"/>
      <c r="L29" s="103"/>
      <c r="M29" s="171"/>
    </row>
    <row r="30" spans="3:13" s="98" customFormat="1" ht="40.5" x14ac:dyDescent="0.9">
      <c r="C30" s="99"/>
      <c r="D30" s="100"/>
      <c r="E30" s="100"/>
      <c r="F30" s="101"/>
      <c r="G30" s="100"/>
      <c r="H30" s="102"/>
      <c r="I30" s="102"/>
      <c r="J30" s="102"/>
      <c r="K30" s="103"/>
      <c r="L30" s="103"/>
      <c r="M30" s="171"/>
    </row>
    <row r="31" spans="3:13" s="98" customFormat="1" ht="40.5" x14ac:dyDescent="0.9">
      <c r="C31" s="99"/>
      <c r="D31" s="100"/>
      <c r="E31" s="100"/>
      <c r="F31" s="101"/>
      <c r="G31" s="100"/>
      <c r="H31" s="102"/>
      <c r="I31" s="102"/>
      <c r="J31" s="102"/>
      <c r="K31" s="103"/>
      <c r="L31" s="103"/>
      <c r="M31" s="171"/>
    </row>
    <row r="32" spans="3:13" s="98" customFormat="1" ht="40.5" x14ac:dyDescent="0.9">
      <c r="C32" s="99"/>
      <c r="D32" s="100"/>
      <c r="E32" s="100"/>
      <c r="F32" s="101"/>
      <c r="G32" s="100"/>
      <c r="H32" s="102"/>
      <c r="I32" s="102"/>
      <c r="J32" s="102"/>
      <c r="K32" s="103"/>
      <c r="L32" s="103"/>
      <c r="M32" s="171"/>
    </row>
    <row r="33" spans="3:13" s="98" customFormat="1" ht="40.5" x14ac:dyDescent="0.9">
      <c r="C33" s="99"/>
      <c r="D33" s="100"/>
      <c r="E33" s="100"/>
      <c r="F33" s="101"/>
      <c r="G33" s="100"/>
      <c r="H33" s="102"/>
      <c r="I33" s="102"/>
      <c r="J33" s="102"/>
      <c r="K33" s="103"/>
      <c r="L33" s="103"/>
      <c r="M33" s="171"/>
    </row>
    <row r="34" spans="3:13" s="98" customFormat="1" ht="40.5" x14ac:dyDescent="0.9">
      <c r="C34" s="99"/>
      <c r="D34" s="100"/>
      <c r="E34" s="100"/>
      <c r="F34" s="101"/>
      <c r="G34" s="100"/>
      <c r="H34" s="102"/>
      <c r="I34" s="102"/>
      <c r="J34" s="102"/>
      <c r="K34" s="103"/>
      <c r="L34" s="103"/>
      <c r="M34" s="171"/>
    </row>
    <row r="35" spans="3:13" s="98" customFormat="1" ht="40.5" x14ac:dyDescent="0.9">
      <c r="C35" s="99"/>
      <c r="D35" s="100"/>
      <c r="E35" s="100"/>
      <c r="F35" s="101"/>
      <c r="G35" s="100"/>
      <c r="H35" s="102"/>
      <c r="I35" s="102"/>
      <c r="J35" s="102"/>
      <c r="K35" s="103"/>
      <c r="L35" s="103"/>
      <c r="M35" s="171"/>
    </row>
    <row r="36" spans="3:13" s="98" customFormat="1" ht="40.5" x14ac:dyDescent="0.9">
      <c r="C36" s="99"/>
      <c r="D36" s="100"/>
      <c r="E36" s="100"/>
      <c r="F36" s="101"/>
      <c r="G36" s="100"/>
      <c r="H36" s="102"/>
      <c r="I36" s="102"/>
      <c r="J36" s="102"/>
      <c r="K36" s="103"/>
      <c r="L36" s="103"/>
      <c r="M36" s="171"/>
    </row>
    <row r="37" spans="3:13" s="98" customFormat="1" ht="40.5" x14ac:dyDescent="0.9">
      <c r="C37" s="99"/>
      <c r="D37" s="100"/>
      <c r="E37" s="100"/>
      <c r="F37" s="101"/>
      <c r="G37" s="100"/>
      <c r="H37" s="102"/>
      <c r="I37" s="102"/>
      <c r="J37" s="102"/>
      <c r="K37" s="103"/>
      <c r="L37" s="103"/>
      <c r="M37" s="171"/>
    </row>
    <row r="38" spans="3:13" s="98" customFormat="1" ht="40.5" x14ac:dyDescent="0.9">
      <c r="C38" s="99"/>
      <c r="D38" s="100"/>
      <c r="E38" s="100"/>
      <c r="F38" s="101"/>
      <c r="G38" s="100"/>
      <c r="H38" s="102"/>
      <c r="I38" s="102"/>
      <c r="J38" s="102"/>
      <c r="K38" s="103"/>
      <c r="L38" s="103"/>
      <c r="M38" s="171"/>
    </row>
    <row r="39" spans="3:13" s="98" customFormat="1" ht="40.5" x14ac:dyDescent="0.9">
      <c r="C39" s="99"/>
      <c r="D39" s="100"/>
      <c r="E39" s="100"/>
      <c r="F39" s="101"/>
      <c r="G39" s="100"/>
      <c r="H39" s="102"/>
      <c r="I39" s="102"/>
      <c r="J39" s="102"/>
      <c r="K39" s="103"/>
      <c r="L39" s="103"/>
      <c r="M39" s="171"/>
    </row>
    <row r="40" spans="3:13" s="98" customFormat="1" ht="40.5" x14ac:dyDescent="0.9">
      <c r="C40" s="99"/>
      <c r="D40" s="100"/>
      <c r="E40" s="100"/>
      <c r="F40" s="101"/>
      <c r="G40" s="100"/>
      <c r="H40" s="102"/>
      <c r="I40" s="102"/>
      <c r="J40" s="102"/>
      <c r="K40" s="103"/>
      <c r="L40" s="103"/>
      <c r="M40" s="171"/>
    </row>
    <row r="41" spans="3:13" s="98" customFormat="1" ht="40.5" x14ac:dyDescent="0.9">
      <c r="C41" s="99"/>
      <c r="D41" s="100"/>
      <c r="E41" s="100"/>
      <c r="F41" s="101"/>
      <c r="G41" s="100"/>
      <c r="H41" s="102"/>
      <c r="I41" s="102"/>
      <c r="J41" s="102"/>
      <c r="K41" s="103"/>
      <c r="L41" s="103"/>
      <c r="M41" s="171"/>
    </row>
    <row r="42" spans="3:13" s="98" customFormat="1" ht="40.5" x14ac:dyDescent="0.9">
      <c r="C42" s="99"/>
      <c r="D42" s="100"/>
      <c r="E42" s="100"/>
      <c r="F42" s="101"/>
      <c r="G42" s="100"/>
      <c r="H42" s="102"/>
      <c r="I42" s="102"/>
      <c r="J42" s="102"/>
      <c r="K42" s="103"/>
      <c r="L42" s="103"/>
      <c r="M42" s="171"/>
    </row>
    <row r="43" spans="3:13" s="98" customFormat="1" ht="40.5" x14ac:dyDescent="0.9">
      <c r="C43" s="99"/>
      <c r="D43" s="100"/>
      <c r="E43" s="100"/>
      <c r="F43" s="101"/>
      <c r="G43" s="100"/>
      <c r="H43" s="102"/>
      <c r="I43" s="102"/>
      <c r="J43" s="102"/>
      <c r="K43" s="103"/>
      <c r="L43" s="103"/>
      <c r="M43" s="171"/>
    </row>
    <row r="44" spans="3:13" s="98" customFormat="1" ht="40.5" x14ac:dyDescent="0.9">
      <c r="C44" s="99"/>
      <c r="D44" s="100"/>
      <c r="E44" s="100"/>
      <c r="F44" s="101"/>
      <c r="G44" s="100"/>
      <c r="H44" s="102"/>
      <c r="I44" s="102"/>
      <c r="J44" s="102"/>
      <c r="K44" s="103"/>
      <c r="L44" s="103"/>
      <c r="M44" s="171"/>
    </row>
    <row r="45" spans="3:13" s="98" customFormat="1" ht="40.5" x14ac:dyDescent="0.9">
      <c r="C45" s="99"/>
      <c r="D45" s="100"/>
      <c r="E45" s="100"/>
      <c r="F45" s="101"/>
      <c r="G45" s="100"/>
      <c r="H45" s="102"/>
      <c r="I45" s="102"/>
      <c r="J45" s="102"/>
      <c r="K45" s="103"/>
      <c r="L45" s="103"/>
      <c r="M45" s="171"/>
    </row>
    <row r="46" spans="3:13" s="98" customFormat="1" ht="40.5" x14ac:dyDescent="0.9">
      <c r="C46" s="99"/>
      <c r="D46" s="100"/>
      <c r="E46" s="100"/>
      <c r="F46" s="101"/>
      <c r="G46" s="100"/>
      <c r="H46" s="102"/>
      <c r="I46" s="102"/>
      <c r="J46" s="102"/>
      <c r="K46" s="103"/>
      <c r="L46" s="103"/>
      <c r="M46" s="171"/>
    </row>
    <row r="47" spans="3:13" s="98" customFormat="1" ht="40.5" x14ac:dyDescent="0.9">
      <c r="C47" s="99"/>
      <c r="D47" s="100"/>
      <c r="E47" s="100"/>
      <c r="F47" s="101"/>
      <c r="G47" s="100"/>
      <c r="H47" s="102"/>
      <c r="I47" s="102"/>
      <c r="J47" s="102"/>
      <c r="K47" s="103"/>
      <c r="L47" s="103"/>
      <c r="M47" s="171"/>
    </row>
    <row r="48" spans="3:13" s="98" customFormat="1" ht="40.5" x14ac:dyDescent="0.9">
      <c r="C48" s="99"/>
      <c r="D48" s="100"/>
      <c r="E48" s="100"/>
      <c r="F48" s="101"/>
      <c r="G48" s="100"/>
      <c r="H48" s="102"/>
      <c r="I48" s="102"/>
      <c r="J48" s="102"/>
      <c r="K48" s="103"/>
      <c r="L48" s="103"/>
      <c r="M48" s="171"/>
    </row>
    <row r="49" spans="3:13" s="98" customFormat="1" ht="40.5" x14ac:dyDescent="0.9">
      <c r="C49" s="99"/>
      <c r="D49" s="100"/>
      <c r="E49" s="100"/>
      <c r="F49" s="101"/>
      <c r="G49" s="100"/>
      <c r="H49" s="102"/>
      <c r="I49" s="102"/>
      <c r="J49" s="102"/>
      <c r="K49" s="103"/>
      <c r="L49" s="103"/>
      <c r="M49" s="171"/>
    </row>
    <row r="50" spans="3:13" s="98" customFormat="1" ht="40.5" x14ac:dyDescent="0.9">
      <c r="C50" s="99"/>
      <c r="D50" s="100"/>
      <c r="E50" s="100"/>
      <c r="F50" s="101"/>
      <c r="G50" s="100"/>
      <c r="H50" s="102"/>
      <c r="I50" s="102"/>
      <c r="J50" s="102"/>
      <c r="K50" s="103"/>
      <c r="L50" s="103"/>
      <c r="M50" s="171"/>
    </row>
    <row r="51" spans="3:13" s="98" customFormat="1" ht="40.5" x14ac:dyDescent="0.9">
      <c r="C51" s="99"/>
      <c r="D51" s="100"/>
      <c r="E51" s="100"/>
      <c r="F51" s="101"/>
      <c r="G51" s="100"/>
      <c r="H51" s="102"/>
      <c r="I51" s="102"/>
      <c r="J51" s="102"/>
      <c r="K51" s="103"/>
      <c r="L51" s="103"/>
      <c r="M51" s="171"/>
    </row>
    <row r="52" spans="3:13" s="98" customFormat="1" ht="40.5" x14ac:dyDescent="0.9">
      <c r="C52" s="99"/>
      <c r="D52" s="100"/>
      <c r="E52" s="100"/>
      <c r="F52" s="101"/>
      <c r="G52" s="100"/>
      <c r="H52" s="102"/>
      <c r="I52" s="102"/>
      <c r="J52" s="102"/>
      <c r="K52" s="103"/>
      <c r="L52" s="103"/>
      <c r="M52" s="171"/>
    </row>
    <row r="53" spans="3:13" s="98" customFormat="1" ht="40.5" x14ac:dyDescent="0.9">
      <c r="C53" s="99"/>
      <c r="D53" s="100"/>
      <c r="E53" s="100"/>
      <c r="F53" s="101"/>
      <c r="G53" s="100"/>
      <c r="H53" s="102"/>
      <c r="I53" s="102"/>
      <c r="J53" s="102"/>
      <c r="K53" s="103"/>
      <c r="L53" s="103"/>
      <c r="M53" s="171"/>
    </row>
    <row r="54" spans="3:13" s="98" customFormat="1" ht="40.5" x14ac:dyDescent="0.9">
      <c r="C54" s="99"/>
      <c r="D54" s="100"/>
      <c r="E54" s="100"/>
      <c r="F54" s="101"/>
      <c r="G54" s="100"/>
      <c r="H54" s="102"/>
      <c r="I54" s="102"/>
      <c r="J54" s="102"/>
      <c r="K54" s="103"/>
      <c r="L54" s="103"/>
      <c r="M54" s="171"/>
    </row>
    <row r="55" spans="3:13" s="98" customFormat="1" ht="40.5" x14ac:dyDescent="0.9">
      <c r="C55" s="99"/>
      <c r="D55" s="100"/>
      <c r="E55" s="100"/>
      <c r="F55" s="101"/>
      <c r="G55" s="100"/>
      <c r="H55" s="102"/>
      <c r="I55" s="102"/>
      <c r="J55" s="102"/>
      <c r="K55" s="103"/>
      <c r="L55" s="103"/>
      <c r="M55" s="171"/>
    </row>
    <row r="56" spans="3:13" s="98" customFormat="1" ht="40.5" x14ac:dyDescent="0.9">
      <c r="C56" s="99"/>
      <c r="D56" s="100"/>
      <c r="E56" s="100"/>
      <c r="F56" s="101"/>
      <c r="G56" s="100"/>
      <c r="H56" s="102"/>
      <c r="I56" s="102"/>
      <c r="J56" s="102"/>
      <c r="K56" s="103"/>
      <c r="L56" s="103"/>
      <c r="M56" s="171"/>
    </row>
    <row r="57" spans="3:13" s="98" customFormat="1" ht="40.5" x14ac:dyDescent="0.9">
      <c r="C57" s="99"/>
      <c r="D57" s="100"/>
      <c r="E57" s="100"/>
      <c r="F57" s="101"/>
      <c r="G57" s="100"/>
      <c r="H57" s="102"/>
      <c r="I57" s="102"/>
      <c r="J57" s="102"/>
      <c r="K57" s="103"/>
      <c r="L57" s="103"/>
      <c r="M57" s="171"/>
    </row>
    <row r="58" spans="3:13" ht="40.5" x14ac:dyDescent="0.9">
      <c r="M58" s="171"/>
    </row>
    <row r="59" spans="3:13" ht="40.5" x14ac:dyDescent="0.9">
      <c r="M59" s="171"/>
    </row>
    <row r="60" spans="3:13" ht="40.5" x14ac:dyDescent="0.9">
      <c r="M60" s="171"/>
    </row>
    <row r="61" spans="3:13" ht="40.5" x14ac:dyDescent="0.9">
      <c r="M61" s="171"/>
    </row>
    <row r="62" spans="3:13" ht="40.5" x14ac:dyDescent="0.9">
      <c r="M62" s="171"/>
    </row>
    <row r="63" spans="3:13" ht="40.5" x14ac:dyDescent="0.9">
      <c r="M63" s="171"/>
    </row>
    <row r="64" spans="3:13" ht="40.5" x14ac:dyDescent="0.9">
      <c r="M64" s="171"/>
    </row>
    <row r="65" spans="13:13" ht="40.5" x14ac:dyDescent="0.9">
      <c r="M65" s="171"/>
    </row>
    <row r="66" spans="13:13" ht="40.5" x14ac:dyDescent="0.9">
      <c r="M66" s="171"/>
    </row>
    <row r="67" spans="13:13" ht="40.5" x14ac:dyDescent="0.9">
      <c r="M67" s="171"/>
    </row>
    <row r="68" spans="13:13" ht="40.5" x14ac:dyDescent="0.9">
      <c r="M68" s="171"/>
    </row>
    <row r="69" spans="13:13" ht="40.5" x14ac:dyDescent="0.9">
      <c r="M69" s="171"/>
    </row>
    <row r="70" spans="13:13" ht="40.5" x14ac:dyDescent="0.9">
      <c r="M70" s="171"/>
    </row>
    <row r="71" spans="13:13" ht="40.5" x14ac:dyDescent="0.9">
      <c r="M71" s="171"/>
    </row>
    <row r="72" spans="13:13" ht="40.5" x14ac:dyDescent="0.9">
      <c r="M72" s="171"/>
    </row>
    <row r="73" spans="13:13" ht="40.5" x14ac:dyDescent="0.9">
      <c r="M73" s="171"/>
    </row>
    <row r="74" spans="13:13" ht="40.5" x14ac:dyDescent="0.9">
      <c r="M74" s="171"/>
    </row>
    <row r="75" spans="13:13" ht="40.5" x14ac:dyDescent="0.9">
      <c r="M75" s="171"/>
    </row>
    <row r="76" spans="13:13" ht="40.5" x14ac:dyDescent="0.9">
      <c r="M76" s="171"/>
    </row>
    <row r="77" spans="13:13" ht="40.5" x14ac:dyDescent="0.9">
      <c r="M77" s="171"/>
    </row>
    <row r="78" spans="13:13" ht="40.5" x14ac:dyDescent="0.9">
      <c r="M78" s="171"/>
    </row>
    <row r="79" spans="13:13" ht="40.5" x14ac:dyDescent="0.9">
      <c r="M79" s="172"/>
    </row>
    <row r="80" spans="13:13" ht="40.5" x14ac:dyDescent="0.9">
      <c r="M80" s="172"/>
    </row>
    <row r="81" spans="13:13" ht="40.5" x14ac:dyDescent="0.9">
      <c r="M81" s="172"/>
    </row>
    <row r="82" spans="13:13" ht="40.5" x14ac:dyDescent="0.9">
      <c r="M82" s="172"/>
    </row>
    <row r="83" spans="13:13" ht="40.5" x14ac:dyDescent="0.9">
      <c r="M83" s="172"/>
    </row>
    <row r="84" spans="13:13" ht="40.5" x14ac:dyDescent="0.9">
      <c r="M84" s="172"/>
    </row>
    <row r="85" spans="13:13" ht="40.5" x14ac:dyDescent="0.9">
      <c r="M85" s="172"/>
    </row>
    <row r="86" spans="13:13" ht="40.5" x14ac:dyDescent="0.9">
      <c r="M86" s="172"/>
    </row>
    <row r="87" spans="13:13" ht="40.5" x14ac:dyDescent="0.9">
      <c r="M87" s="172"/>
    </row>
    <row r="88" spans="13:13" ht="40.5" x14ac:dyDescent="0.9">
      <c r="M88" s="172"/>
    </row>
    <row r="89" spans="13:13" ht="40.5" x14ac:dyDescent="0.9">
      <c r="M89" s="172"/>
    </row>
    <row r="90" spans="13:13" ht="40.5" x14ac:dyDescent="0.9">
      <c r="M90" s="172"/>
    </row>
    <row r="91" spans="13:13" ht="40.5" x14ac:dyDescent="0.9">
      <c r="M91" s="172"/>
    </row>
    <row r="92" spans="13:13" ht="40.5" x14ac:dyDescent="0.9">
      <c r="M92" s="172"/>
    </row>
    <row r="93" spans="13:13" ht="40.5" x14ac:dyDescent="0.9">
      <c r="M93" s="172"/>
    </row>
    <row r="94" spans="13:13" ht="40.5" x14ac:dyDescent="0.9">
      <c r="M94" s="172"/>
    </row>
    <row r="95" spans="13:13" ht="40.5" x14ac:dyDescent="0.9">
      <c r="M95" s="172"/>
    </row>
    <row r="96" spans="13:13" ht="40.5" x14ac:dyDescent="0.9">
      <c r="M96" s="172"/>
    </row>
    <row r="97" spans="13:13" ht="40.5" x14ac:dyDescent="0.9">
      <c r="M97" s="172"/>
    </row>
    <row r="98" spans="13:13" ht="40.5" x14ac:dyDescent="0.9">
      <c r="M98" s="172"/>
    </row>
    <row r="99" spans="13:13" ht="40.5" x14ac:dyDescent="0.9">
      <c r="M99" s="172"/>
    </row>
    <row r="100" spans="13:13" ht="40.5" x14ac:dyDescent="0.9">
      <c r="M100" s="172"/>
    </row>
    <row r="101" spans="13:13" ht="40.5" x14ac:dyDescent="0.9">
      <c r="M101" s="172"/>
    </row>
    <row r="102" spans="13:13" ht="40.5" x14ac:dyDescent="0.9">
      <c r="M102" s="172"/>
    </row>
    <row r="103" spans="13:13" ht="40.5" x14ac:dyDescent="0.9">
      <c r="M103" s="172"/>
    </row>
    <row r="104" spans="13:13" ht="40.5" x14ac:dyDescent="0.9">
      <c r="M104" s="172"/>
    </row>
    <row r="105" spans="13:13" ht="40.5" x14ac:dyDescent="0.9">
      <c r="M105" s="172"/>
    </row>
    <row r="106" spans="13:13" ht="40.5" x14ac:dyDescent="0.9">
      <c r="M106" s="172"/>
    </row>
    <row r="107" spans="13:13" ht="40.5" x14ac:dyDescent="0.9">
      <c r="M107" s="172"/>
    </row>
    <row r="108" spans="13:13" ht="40.5" x14ac:dyDescent="0.9">
      <c r="M108" s="172"/>
    </row>
    <row r="109" spans="13:13" ht="40.5" x14ac:dyDescent="0.9">
      <c r="M109" s="172"/>
    </row>
    <row r="110" spans="13:13" ht="40.5" x14ac:dyDescent="0.9">
      <c r="M110" s="172"/>
    </row>
    <row r="111" spans="13:13" ht="40.5" x14ac:dyDescent="0.9">
      <c r="M111" s="172"/>
    </row>
    <row r="112" spans="13:13" ht="40.5" x14ac:dyDescent="0.9">
      <c r="M112" s="172"/>
    </row>
    <row r="113" spans="13:13" ht="40.5" x14ac:dyDescent="0.9">
      <c r="M113" s="172"/>
    </row>
    <row r="114" spans="13:13" ht="40.5" x14ac:dyDescent="0.9">
      <c r="M114" s="172"/>
    </row>
    <row r="115" spans="13:13" ht="40.5" x14ac:dyDescent="0.9">
      <c r="M115" s="172"/>
    </row>
    <row r="116" spans="13:13" ht="40.5" x14ac:dyDescent="0.9">
      <c r="M116" s="172"/>
    </row>
    <row r="117" spans="13:13" ht="40.5" x14ac:dyDescent="0.9">
      <c r="M117" s="172"/>
    </row>
    <row r="118" spans="13:13" ht="40.5" x14ac:dyDescent="0.9">
      <c r="M118" s="172"/>
    </row>
    <row r="119" spans="13:13" ht="40.5" x14ac:dyDescent="0.9">
      <c r="M119" s="172"/>
    </row>
    <row r="120" spans="13:13" ht="40.5" x14ac:dyDescent="0.9">
      <c r="M120" s="172"/>
    </row>
    <row r="121" spans="13:13" ht="40.5" x14ac:dyDescent="0.9">
      <c r="M121" s="172"/>
    </row>
    <row r="122" spans="13:13" ht="40.5" x14ac:dyDescent="0.9">
      <c r="M122" s="172"/>
    </row>
    <row r="123" spans="13:13" ht="40.5" x14ac:dyDescent="0.9">
      <c r="M123" s="172"/>
    </row>
    <row r="124" spans="13:13" ht="40.5" x14ac:dyDescent="0.9">
      <c r="M124" s="172"/>
    </row>
    <row r="125" spans="13:13" ht="40.5" x14ac:dyDescent="0.9">
      <c r="M125" s="172"/>
    </row>
    <row r="126" spans="13:13" ht="40.5" x14ac:dyDescent="0.9">
      <c r="M126" s="172"/>
    </row>
    <row r="127" spans="13:13" ht="40.5" x14ac:dyDescent="0.9">
      <c r="M127" s="172"/>
    </row>
    <row r="128" spans="13:13" ht="40.5" x14ac:dyDescent="0.9">
      <c r="M128" s="172"/>
    </row>
    <row r="129" spans="13:13" ht="40.5" x14ac:dyDescent="0.9">
      <c r="M129" s="172"/>
    </row>
    <row r="130" spans="13:13" ht="40.5" x14ac:dyDescent="0.9">
      <c r="M130" s="172"/>
    </row>
    <row r="131" spans="13:13" ht="40.5" x14ac:dyDescent="0.9">
      <c r="M131" s="172"/>
    </row>
    <row r="132" spans="13:13" ht="40.5" x14ac:dyDescent="0.9">
      <c r="M132" s="172"/>
    </row>
    <row r="133" spans="13:13" ht="40.5" x14ac:dyDescent="0.9">
      <c r="M133" s="172"/>
    </row>
    <row r="134" spans="13:13" ht="40.5" x14ac:dyDescent="0.9">
      <c r="M134" s="172"/>
    </row>
    <row r="135" spans="13:13" ht="40.5" x14ac:dyDescent="0.9">
      <c r="M135" s="172"/>
    </row>
    <row r="136" spans="13:13" ht="40.5" x14ac:dyDescent="0.9">
      <c r="M136" s="172"/>
    </row>
    <row r="137" spans="13:13" ht="40.5" x14ac:dyDescent="0.9">
      <c r="M137" s="172"/>
    </row>
    <row r="138" spans="13:13" ht="40.5" x14ac:dyDescent="0.9">
      <c r="M138" s="172"/>
    </row>
    <row r="139" spans="13:13" ht="40.5" x14ac:dyDescent="0.9">
      <c r="M139" s="172"/>
    </row>
    <row r="140" spans="13:13" ht="40.5" x14ac:dyDescent="0.9">
      <c r="M140" s="172"/>
    </row>
    <row r="141" spans="13:13" ht="40.5" x14ac:dyDescent="0.9">
      <c r="M141" s="172"/>
    </row>
    <row r="142" spans="13:13" ht="40.5" x14ac:dyDescent="0.9">
      <c r="M142" s="172"/>
    </row>
    <row r="143" spans="13:13" ht="40.5" x14ac:dyDescent="0.9">
      <c r="M143" s="172"/>
    </row>
    <row r="144" spans="13:13" ht="40.5" x14ac:dyDescent="0.9">
      <c r="M144" s="172"/>
    </row>
    <row r="145" spans="13:13" ht="40.5" x14ac:dyDescent="0.9">
      <c r="M145" s="172"/>
    </row>
    <row r="146" spans="13:13" ht="40.5" x14ac:dyDescent="0.9">
      <c r="M146" s="172"/>
    </row>
    <row r="147" spans="13:13" ht="40.5" x14ac:dyDescent="0.9">
      <c r="M147" s="172"/>
    </row>
    <row r="148" spans="13:13" ht="40.5" x14ac:dyDescent="0.9">
      <c r="M148" s="172"/>
    </row>
    <row r="149" spans="13:13" ht="40.5" x14ac:dyDescent="0.9">
      <c r="M149" s="172"/>
    </row>
    <row r="150" spans="13:13" ht="40.5" x14ac:dyDescent="0.9">
      <c r="M150" s="172"/>
    </row>
    <row r="151" spans="13:13" ht="40.5" x14ac:dyDescent="0.9">
      <c r="M151" s="172"/>
    </row>
    <row r="152" spans="13:13" ht="40.5" x14ac:dyDescent="0.9">
      <c r="M152" s="172"/>
    </row>
    <row r="153" spans="13:13" ht="40.5" x14ac:dyDescent="0.9">
      <c r="M153" s="172"/>
    </row>
    <row r="154" spans="13:13" ht="40.5" x14ac:dyDescent="0.9">
      <c r="M154" s="172"/>
    </row>
    <row r="155" spans="13:13" ht="40.5" x14ac:dyDescent="0.9">
      <c r="M155" s="172"/>
    </row>
    <row r="156" spans="13:13" ht="40.5" x14ac:dyDescent="0.9">
      <c r="M156" s="172"/>
    </row>
    <row r="157" spans="13:13" ht="40.5" x14ac:dyDescent="0.9">
      <c r="M157" s="172"/>
    </row>
    <row r="158" spans="13:13" ht="40.5" x14ac:dyDescent="0.9">
      <c r="M158" s="172"/>
    </row>
    <row r="159" spans="13:13" ht="40.5" x14ac:dyDescent="0.9">
      <c r="M159" s="172"/>
    </row>
    <row r="160" spans="13:13" ht="40.5" x14ac:dyDescent="0.9">
      <c r="M160" s="172"/>
    </row>
    <row r="161" spans="13:13" ht="40.5" x14ac:dyDescent="0.9">
      <c r="M161" s="172"/>
    </row>
    <row r="162" spans="13:13" ht="40.5" x14ac:dyDescent="0.9">
      <c r="M162" s="172"/>
    </row>
    <row r="163" spans="13:13" ht="40.5" x14ac:dyDescent="0.9">
      <c r="M163" s="172"/>
    </row>
    <row r="164" spans="13:13" ht="40.5" x14ac:dyDescent="0.9">
      <c r="M164" s="172"/>
    </row>
    <row r="165" spans="13:13" ht="40.5" x14ac:dyDescent="0.9">
      <c r="M165" s="172"/>
    </row>
    <row r="166" spans="13:13" ht="40.5" x14ac:dyDescent="0.9">
      <c r="M166" s="172"/>
    </row>
    <row r="167" spans="13:13" ht="40.5" x14ac:dyDescent="0.9">
      <c r="M167" s="172"/>
    </row>
    <row r="168" spans="13:13" ht="40.5" x14ac:dyDescent="0.9">
      <c r="M168" s="172"/>
    </row>
    <row r="169" spans="13:13" ht="40.5" x14ac:dyDescent="0.9">
      <c r="M169" s="172"/>
    </row>
    <row r="170" spans="13:13" ht="40.5" x14ac:dyDescent="0.9">
      <c r="M170" s="172"/>
    </row>
    <row r="171" spans="13:13" ht="40.5" x14ac:dyDescent="0.9">
      <c r="M171" s="172"/>
    </row>
    <row r="172" spans="13:13" ht="55.5" x14ac:dyDescent="1.25">
      <c r="M172" s="177"/>
    </row>
    <row r="173" spans="13:13" ht="33.75" x14ac:dyDescent="0.5">
      <c r="M173" s="176"/>
    </row>
  </sheetData>
  <mergeCells count="10">
    <mergeCell ref="C4:M4"/>
    <mergeCell ref="C5:C6"/>
    <mergeCell ref="D5:D6"/>
    <mergeCell ref="E5:E6"/>
    <mergeCell ref="F5:F6"/>
    <mergeCell ref="G5:G6"/>
    <mergeCell ref="H5:I5"/>
    <mergeCell ref="J5:J6"/>
    <mergeCell ref="K5:L5"/>
    <mergeCell ref="M5:M6"/>
  </mergeCells>
  <conditionalFormatting sqref="C7:J7 M7 C8:M1048576">
    <cfRule type="expression" dxfId="162" priority="1">
      <formula>$C7&lt;&gt;""</formula>
    </cfRule>
  </conditionalFormatting>
  <hyperlinks>
    <hyperlink ref="A1" location="Home!A1" display="Home!A1" xr:uid="{E419C42F-2438-4D4E-95F4-5AE66690DD85}"/>
  </hyperlinks>
  <printOptions horizontalCentered="1"/>
  <pageMargins left="0.23622047244094491" right="0.23622047244094491" top="0.27559055118110237" bottom="0.74803149606299213" header="0.19685039370078741" footer="0.31496062992125984"/>
  <pageSetup paperSize="9" scale="38" fitToHeight="0" orientation="landscape" useFirstPageNumber="1"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B5180-C78D-4ACB-95D5-EF9CB34869DD}">
  <dimension ref="B1:K655"/>
  <sheetViews>
    <sheetView rightToLeft="1" tabSelected="1" view="pageLayout" topLeftCell="C1" zoomScale="40" zoomScaleNormal="55" zoomScaleSheetLayoutView="70" zoomScalePageLayoutView="40" workbookViewId="0">
      <selection activeCell="B7" sqref="B7:D7"/>
    </sheetView>
  </sheetViews>
  <sheetFormatPr defaultRowHeight="40.5" x14ac:dyDescent="0.9"/>
  <cols>
    <col min="1" max="1" width="5.68359375" customWidth="1"/>
    <col min="2" max="2" width="39.91796875" style="168" customWidth="1"/>
    <col min="3" max="3" width="26.69921875" style="140" customWidth="1"/>
    <col min="4" max="4" width="228.9453125" style="173" customWidth="1"/>
    <col min="5" max="6" width="23.39453125" style="174" customWidth="1"/>
    <col min="7" max="7" width="23.66015625" style="174" customWidth="1"/>
    <col min="8" max="8" width="20.48828125" style="174" bestFit="1" customWidth="1"/>
    <col min="9" max="9" width="23.39453125" bestFit="1" customWidth="1"/>
    <col min="10" max="10" width="22.734375" bestFit="1" customWidth="1"/>
  </cols>
  <sheetData>
    <row r="1" spans="2:11" x14ac:dyDescent="0.9">
      <c r="B1" s="206"/>
      <c r="C1"/>
      <c r="D1"/>
    </row>
    <row r="2" spans="2:11" x14ac:dyDescent="0.9">
      <c r="B2" s="206"/>
      <c r="C2"/>
      <c r="D2"/>
      <c r="G2" s="251" t="e" vm="1">
        <v>#VALUE!</v>
      </c>
    </row>
    <row r="3" spans="2:11" x14ac:dyDescent="0.9">
      <c r="B3" s="206"/>
      <c r="C3"/>
      <c r="D3"/>
      <c r="G3" s="251"/>
    </row>
    <row r="4" spans="2:11" x14ac:dyDescent="0.9">
      <c r="B4" s="206"/>
      <c r="C4"/>
      <c r="D4"/>
      <c r="G4" s="251"/>
    </row>
    <row r="5" spans="2:11" x14ac:dyDescent="0.9">
      <c r="B5" s="206"/>
      <c r="C5"/>
      <c r="D5"/>
    </row>
    <row r="6" spans="2:11" ht="78" customHeight="1" x14ac:dyDescent="0.9">
      <c r="B6" s="206"/>
      <c r="C6"/>
      <c r="D6"/>
    </row>
    <row r="7" spans="2:11" ht="62.45" customHeight="1" x14ac:dyDescent="0.7">
      <c r="B7" s="252">
        <f>C6</f>
        <v>0</v>
      </c>
      <c r="C7" s="252"/>
      <c r="D7" s="252"/>
      <c r="E7" s="211"/>
      <c r="F7" s="211"/>
      <c r="G7" s="211"/>
      <c r="H7" s="211"/>
    </row>
    <row r="8" spans="2:11" ht="31.5" hidden="1" x14ac:dyDescent="0.7">
      <c r="B8" s="199"/>
      <c r="C8" s="199"/>
      <c r="D8" s="199"/>
      <c r="E8" s="207" t="s">
        <v>263</v>
      </c>
      <c r="F8" s="207" t="s">
        <v>512</v>
      </c>
      <c r="G8" s="208"/>
      <c r="H8" s="208"/>
    </row>
    <row r="9" spans="2:11" ht="31.5" x14ac:dyDescent="0.7">
      <c r="B9" s="199"/>
      <c r="C9" s="199"/>
      <c r="D9" s="199"/>
      <c r="E9" s="249" t="s">
        <v>238</v>
      </c>
      <c r="F9" s="250"/>
      <c r="G9" s="249" t="s">
        <v>241</v>
      </c>
      <c r="H9" s="250"/>
    </row>
    <row r="10" spans="2:11" ht="31.5" x14ac:dyDescent="0.7">
      <c r="B10" s="163" t="s">
        <v>415</v>
      </c>
      <c r="C10" s="163" t="s">
        <v>257</v>
      </c>
      <c r="D10" s="163" t="s">
        <v>416</v>
      </c>
      <c r="E10" s="209" t="s">
        <v>20</v>
      </c>
      <c r="F10" s="209" t="s">
        <v>85</v>
      </c>
      <c r="G10" s="210" t="s">
        <v>20</v>
      </c>
      <c r="H10" s="210" t="s">
        <v>85</v>
      </c>
    </row>
    <row r="11" spans="2:11" s="168" customFormat="1" x14ac:dyDescent="0.9">
      <c r="B11" s="243" t="s">
        <v>513</v>
      </c>
      <c r="C11" s="247">
        <v>46180</v>
      </c>
      <c r="D11" s="164" t="s">
        <v>1027</v>
      </c>
      <c r="E11" s="212">
        <v>1006500</v>
      </c>
      <c r="F11" s="212">
        <v>0</v>
      </c>
      <c r="G11" s="212">
        <v>0</v>
      </c>
      <c r="H11" s="212">
        <v>0</v>
      </c>
      <c r="I11"/>
      <c r="J11"/>
      <c r="K11"/>
    </row>
    <row r="12" spans="2:11" s="168" customFormat="1" x14ac:dyDescent="0.9">
      <c r="B12" s="244"/>
      <c r="C12" s="248"/>
      <c r="D12" s="164" t="s">
        <v>1028</v>
      </c>
      <c r="E12" s="212">
        <v>0</v>
      </c>
      <c r="F12" s="212">
        <v>43000</v>
      </c>
      <c r="G12" s="212">
        <v>0</v>
      </c>
      <c r="H12" s="212">
        <v>0</v>
      </c>
      <c r="I12"/>
      <c r="J12"/>
      <c r="K12"/>
    </row>
    <row r="13" spans="2:11" s="168" customFormat="1" x14ac:dyDescent="0.9">
      <c r="B13" s="244"/>
      <c r="C13" s="248"/>
      <c r="D13" s="164" t="s">
        <v>1029</v>
      </c>
      <c r="E13" s="212">
        <v>0</v>
      </c>
      <c r="F13" s="212">
        <v>30000</v>
      </c>
      <c r="G13" s="212">
        <v>0</v>
      </c>
      <c r="H13" s="212">
        <v>0</v>
      </c>
      <c r="I13"/>
      <c r="J13"/>
      <c r="K13"/>
    </row>
    <row r="14" spans="2:11" s="168" customFormat="1" x14ac:dyDescent="0.9">
      <c r="B14" s="244"/>
      <c r="C14" s="248"/>
      <c r="D14" s="164" t="s">
        <v>1030</v>
      </c>
      <c r="E14" s="212">
        <v>0</v>
      </c>
      <c r="F14" s="212">
        <v>128000</v>
      </c>
      <c r="G14" s="212">
        <v>0</v>
      </c>
      <c r="H14" s="212">
        <v>0</v>
      </c>
      <c r="I14"/>
      <c r="J14"/>
      <c r="K14"/>
    </row>
    <row r="15" spans="2:11" s="168" customFormat="1" x14ac:dyDescent="0.9">
      <c r="B15" s="244"/>
      <c r="C15" s="248"/>
      <c r="D15" s="164" t="s">
        <v>553</v>
      </c>
      <c r="E15" s="212">
        <v>0</v>
      </c>
      <c r="F15" s="212">
        <v>15000</v>
      </c>
      <c r="G15" s="212">
        <v>0</v>
      </c>
      <c r="H15" s="212">
        <v>0</v>
      </c>
      <c r="I15"/>
      <c r="J15"/>
      <c r="K15"/>
    </row>
    <row r="16" spans="2:11" s="168" customFormat="1" x14ac:dyDescent="0.9">
      <c r="B16" s="244"/>
      <c r="C16" s="248"/>
      <c r="D16" s="164" t="s">
        <v>554</v>
      </c>
      <c r="E16" s="212">
        <v>0</v>
      </c>
      <c r="F16" s="212">
        <v>65000</v>
      </c>
      <c r="G16" s="212">
        <v>0</v>
      </c>
      <c r="H16" s="212">
        <v>0</v>
      </c>
      <c r="I16"/>
      <c r="J16"/>
      <c r="K16"/>
    </row>
    <row r="17" spans="2:11" s="168" customFormat="1" x14ac:dyDescent="0.9">
      <c r="B17" s="244"/>
      <c r="C17" s="248"/>
      <c r="D17" s="164" t="s">
        <v>1031</v>
      </c>
      <c r="E17" s="212">
        <v>0</v>
      </c>
      <c r="F17" s="212">
        <v>60000</v>
      </c>
      <c r="G17" s="212">
        <v>0</v>
      </c>
      <c r="H17" s="212">
        <v>0</v>
      </c>
      <c r="I17"/>
      <c r="J17"/>
      <c r="K17"/>
    </row>
    <row r="18" spans="2:11" s="168" customFormat="1" x14ac:dyDescent="0.9">
      <c r="B18" s="244"/>
      <c r="C18" s="248"/>
      <c r="D18" s="164" t="s">
        <v>1032</v>
      </c>
      <c r="E18" s="212">
        <v>0</v>
      </c>
      <c r="F18" s="212">
        <v>32000</v>
      </c>
      <c r="G18" s="212">
        <v>0</v>
      </c>
      <c r="H18" s="212">
        <v>0</v>
      </c>
      <c r="I18"/>
      <c r="J18"/>
      <c r="K18"/>
    </row>
    <row r="19" spans="2:11" s="168" customFormat="1" x14ac:dyDescent="0.9">
      <c r="B19" s="244"/>
      <c r="C19" s="248"/>
      <c r="D19" s="164" t="s">
        <v>1033</v>
      </c>
      <c r="E19" s="212">
        <v>0</v>
      </c>
      <c r="F19" s="212">
        <v>70000</v>
      </c>
      <c r="G19" s="212">
        <v>0</v>
      </c>
      <c r="H19" s="212">
        <v>0</v>
      </c>
      <c r="I19"/>
      <c r="J19"/>
      <c r="K19"/>
    </row>
    <row r="20" spans="2:11" s="168" customFormat="1" x14ac:dyDescent="0.9">
      <c r="B20" s="244"/>
      <c r="C20" s="248"/>
      <c r="D20" s="164" t="s">
        <v>1034</v>
      </c>
      <c r="E20" s="212">
        <v>0</v>
      </c>
      <c r="F20" s="212">
        <v>60000</v>
      </c>
      <c r="G20" s="212">
        <v>0</v>
      </c>
      <c r="H20" s="212">
        <v>0</v>
      </c>
      <c r="I20"/>
      <c r="J20"/>
      <c r="K20"/>
    </row>
    <row r="21" spans="2:11" s="168" customFormat="1" x14ac:dyDescent="0.9">
      <c r="B21" s="244"/>
      <c r="C21" s="248"/>
      <c r="D21" s="164" t="s">
        <v>1035</v>
      </c>
      <c r="E21" s="212">
        <v>0</v>
      </c>
      <c r="F21" s="212">
        <v>6000</v>
      </c>
      <c r="G21" s="212">
        <v>0</v>
      </c>
      <c r="H21" s="212">
        <v>0</v>
      </c>
      <c r="I21"/>
      <c r="J21"/>
      <c r="K21"/>
    </row>
    <row r="22" spans="2:11" s="168" customFormat="1" x14ac:dyDescent="0.9">
      <c r="B22" s="244"/>
      <c r="C22" s="248"/>
      <c r="D22" s="164" t="s">
        <v>555</v>
      </c>
      <c r="E22" s="212">
        <v>0</v>
      </c>
      <c r="F22" s="212">
        <v>28000</v>
      </c>
      <c r="G22" s="212">
        <v>0</v>
      </c>
      <c r="H22" s="212">
        <v>0</v>
      </c>
      <c r="I22"/>
      <c r="J22"/>
      <c r="K22"/>
    </row>
    <row r="23" spans="2:11" s="168" customFormat="1" x14ac:dyDescent="0.9">
      <c r="B23" s="244"/>
      <c r="C23" s="248"/>
      <c r="D23" s="164" t="s">
        <v>1036</v>
      </c>
      <c r="E23" s="212">
        <v>0</v>
      </c>
      <c r="F23" s="212">
        <v>176000</v>
      </c>
      <c r="G23" s="212">
        <v>0</v>
      </c>
      <c r="H23" s="212">
        <v>0</v>
      </c>
      <c r="I23"/>
      <c r="J23"/>
      <c r="K23"/>
    </row>
    <row r="24" spans="2:11" s="168" customFormat="1" x14ac:dyDescent="0.9">
      <c r="B24" s="244"/>
      <c r="C24" s="248"/>
      <c r="D24" s="164" t="s">
        <v>1037</v>
      </c>
      <c r="E24" s="212">
        <v>0</v>
      </c>
      <c r="F24" s="212">
        <v>200000</v>
      </c>
      <c r="G24" s="212">
        <v>0</v>
      </c>
      <c r="H24" s="212">
        <v>0</v>
      </c>
      <c r="I24"/>
      <c r="J24"/>
      <c r="K24"/>
    </row>
    <row r="25" spans="2:11" s="168" customFormat="1" ht="59.25" x14ac:dyDescent="0.9">
      <c r="B25" s="244"/>
      <c r="C25" s="248"/>
      <c r="D25" s="164" t="s">
        <v>1038</v>
      </c>
      <c r="E25" s="212">
        <v>0</v>
      </c>
      <c r="F25" s="212">
        <v>96000</v>
      </c>
      <c r="G25" s="212">
        <v>0</v>
      </c>
      <c r="H25" s="212">
        <v>0</v>
      </c>
      <c r="I25"/>
      <c r="J25"/>
      <c r="K25"/>
    </row>
    <row r="26" spans="2:11" s="168" customFormat="1" x14ac:dyDescent="0.9">
      <c r="B26" s="244"/>
      <c r="C26" s="248"/>
      <c r="D26" s="164" t="s">
        <v>1039</v>
      </c>
      <c r="E26" s="212">
        <v>0</v>
      </c>
      <c r="F26" s="212">
        <v>20000</v>
      </c>
      <c r="G26" s="212">
        <v>0</v>
      </c>
      <c r="H26" s="212">
        <v>0</v>
      </c>
      <c r="I26"/>
      <c r="J26"/>
      <c r="K26"/>
    </row>
    <row r="27" spans="2:11" s="168" customFormat="1" x14ac:dyDescent="0.9">
      <c r="B27" s="244"/>
      <c r="C27" s="248"/>
      <c r="D27" s="164" t="s">
        <v>1040</v>
      </c>
      <c r="E27" s="212">
        <v>0</v>
      </c>
      <c r="F27" s="212">
        <v>7000</v>
      </c>
      <c r="G27" s="212">
        <v>0</v>
      </c>
      <c r="H27" s="212">
        <v>0</v>
      </c>
      <c r="I27"/>
      <c r="J27"/>
      <c r="K27"/>
    </row>
    <row r="28" spans="2:11" s="168" customFormat="1" x14ac:dyDescent="0.9">
      <c r="B28" s="244"/>
      <c r="C28" s="248"/>
      <c r="D28" s="164" t="s">
        <v>1041</v>
      </c>
      <c r="E28" s="212">
        <v>0</v>
      </c>
      <c r="F28" s="212">
        <v>100000</v>
      </c>
      <c r="G28" s="212">
        <v>0</v>
      </c>
      <c r="H28" s="212">
        <v>0</v>
      </c>
      <c r="I28"/>
      <c r="J28"/>
      <c r="K28"/>
    </row>
    <row r="29" spans="2:11" s="168" customFormat="1" x14ac:dyDescent="0.9">
      <c r="B29" s="244"/>
      <c r="C29" s="248"/>
      <c r="D29" s="164" t="s">
        <v>1042</v>
      </c>
      <c r="E29" s="212">
        <v>0</v>
      </c>
      <c r="F29" s="212">
        <v>0</v>
      </c>
      <c r="G29" s="212">
        <v>9980</v>
      </c>
      <c r="H29" s="212">
        <v>0</v>
      </c>
      <c r="I29"/>
      <c r="J29"/>
      <c r="K29"/>
    </row>
    <row r="30" spans="2:11" s="168" customFormat="1" x14ac:dyDescent="0.9">
      <c r="B30" s="244"/>
      <c r="C30" s="247">
        <v>46181</v>
      </c>
      <c r="D30" s="164" t="s">
        <v>1009</v>
      </c>
      <c r="E30" s="212">
        <v>0</v>
      </c>
      <c r="F30" s="212">
        <v>43000</v>
      </c>
      <c r="G30" s="212">
        <v>0</v>
      </c>
      <c r="H30" s="212">
        <v>0</v>
      </c>
      <c r="I30"/>
      <c r="J30"/>
      <c r="K30"/>
    </row>
    <row r="31" spans="2:11" s="168" customFormat="1" x14ac:dyDescent="0.9">
      <c r="B31" s="244"/>
      <c r="C31" s="248"/>
      <c r="D31" s="164" t="s">
        <v>1010</v>
      </c>
      <c r="E31" s="212">
        <v>0</v>
      </c>
      <c r="F31" s="212">
        <v>30000</v>
      </c>
      <c r="G31" s="212">
        <v>0</v>
      </c>
      <c r="H31" s="212">
        <v>0</v>
      </c>
      <c r="I31"/>
      <c r="J31"/>
      <c r="K31"/>
    </row>
    <row r="32" spans="2:11" s="168" customFormat="1" x14ac:dyDescent="0.9">
      <c r="B32" s="244"/>
      <c r="C32" s="248"/>
      <c r="D32" s="164" t="s">
        <v>1011</v>
      </c>
      <c r="E32" s="212">
        <v>0</v>
      </c>
      <c r="F32" s="212">
        <v>128000</v>
      </c>
      <c r="G32" s="212">
        <v>0</v>
      </c>
      <c r="H32" s="212">
        <v>0</v>
      </c>
      <c r="I32"/>
      <c r="J32"/>
      <c r="K32"/>
    </row>
    <row r="33" spans="2:11" s="168" customFormat="1" x14ac:dyDescent="0.9">
      <c r="B33" s="244"/>
      <c r="C33" s="248"/>
      <c r="D33" s="164" t="s">
        <v>1012</v>
      </c>
      <c r="E33" s="212">
        <v>0</v>
      </c>
      <c r="F33" s="212">
        <v>15000</v>
      </c>
      <c r="G33" s="212">
        <v>0</v>
      </c>
      <c r="H33" s="212">
        <v>0</v>
      </c>
      <c r="I33"/>
      <c r="J33"/>
      <c r="K33"/>
    </row>
    <row r="34" spans="2:11" s="168" customFormat="1" x14ac:dyDescent="0.9">
      <c r="B34" s="244"/>
      <c r="C34" s="248"/>
      <c r="D34" s="164" t="s">
        <v>1013</v>
      </c>
      <c r="E34" s="212">
        <v>0</v>
      </c>
      <c r="F34" s="212">
        <v>65000</v>
      </c>
      <c r="G34" s="212">
        <v>0</v>
      </c>
      <c r="H34" s="212">
        <v>0</v>
      </c>
      <c r="I34"/>
      <c r="J34"/>
      <c r="K34"/>
    </row>
    <row r="35" spans="2:11" s="168" customFormat="1" x14ac:dyDescent="0.9">
      <c r="B35" s="244"/>
      <c r="C35" s="248"/>
      <c r="D35" s="164" t="s">
        <v>1014</v>
      </c>
      <c r="E35" s="212">
        <v>0</v>
      </c>
      <c r="F35" s="212">
        <v>10000</v>
      </c>
      <c r="G35" s="212">
        <v>0</v>
      </c>
      <c r="H35" s="212">
        <v>0</v>
      </c>
      <c r="I35"/>
      <c r="J35"/>
      <c r="K35"/>
    </row>
    <row r="36" spans="2:11" s="168" customFormat="1" x14ac:dyDescent="0.9">
      <c r="B36" s="244"/>
      <c r="C36" s="248"/>
      <c r="D36" s="164" t="s">
        <v>1015</v>
      </c>
      <c r="E36" s="212">
        <v>0</v>
      </c>
      <c r="F36" s="212">
        <v>60000</v>
      </c>
      <c r="G36" s="212">
        <v>0</v>
      </c>
      <c r="H36" s="212">
        <v>0</v>
      </c>
      <c r="I36"/>
      <c r="J36"/>
      <c r="K36"/>
    </row>
    <row r="37" spans="2:11" s="168" customFormat="1" x14ac:dyDescent="0.9">
      <c r="B37" s="244"/>
      <c r="C37" s="248"/>
      <c r="D37" s="164" t="s">
        <v>1016</v>
      </c>
      <c r="E37" s="212">
        <v>0</v>
      </c>
      <c r="F37" s="212">
        <v>32000</v>
      </c>
      <c r="G37" s="212">
        <v>0</v>
      </c>
      <c r="H37" s="212">
        <v>0</v>
      </c>
      <c r="I37"/>
      <c r="J37"/>
      <c r="K37"/>
    </row>
    <row r="38" spans="2:11" s="168" customFormat="1" x14ac:dyDescent="0.9">
      <c r="B38" s="244"/>
      <c r="C38" s="248"/>
      <c r="D38" s="164" t="s">
        <v>1017</v>
      </c>
      <c r="E38" s="212">
        <v>0</v>
      </c>
      <c r="F38" s="212">
        <v>70000</v>
      </c>
      <c r="G38" s="212">
        <v>0</v>
      </c>
      <c r="H38" s="212">
        <v>0</v>
      </c>
      <c r="I38"/>
      <c r="J38"/>
      <c r="K38"/>
    </row>
    <row r="39" spans="2:11" s="168" customFormat="1" x14ac:dyDescent="0.9">
      <c r="B39" s="244"/>
      <c r="C39" s="248"/>
      <c r="D39" s="164" t="s">
        <v>1018</v>
      </c>
      <c r="E39" s="212">
        <v>0</v>
      </c>
      <c r="F39" s="212">
        <v>105000</v>
      </c>
      <c r="G39" s="212">
        <v>0</v>
      </c>
      <c r="H39" s="212">
        <v>0</v>
      </c>
      <c r="I39"/>
      <c r="J39"/>
      <c r="K39"/>
    </row>
    <row r="40" spans="2:11" s="168" customFormat="1" x14ac:dyDescent="0.9">
      <c r="B40" s="244"/>
      <c r="C40" s="248"/>
      <c r="D40" s="164" t="s">
        <v>1019</v>
      </c>
      <c r="E40" s="212">
        <v>0</v>
      </c>
      <c r="F40" s="212">
        <v>28000</v>
      </c>
      <c r="G40" s="212">
        <v>0</v>
      </c>
      <c r="H40" s="212">
        <v>0</v>
      </c>
      <c r="I40"/>
      <c r="J40"/>
      <c r="K40"/>
    </row>
    <row r="41" spans="2:11" s="168" customFormat="1" x14ac:dyDescent="0.9">
      <c r="B41" s="244"/>
      <c r="C41" s="248"/>
      <c r="D41" s="164" t="s">
        <v>1020</v>
      </c>
      <c r="E41" s="212">
        <v>0</v>
      </c>
      <c r="F41" s="212">
        <v>176000</v>
      </c>
      <c r="G41" s="212">
        <v>0</v>
      </c>
      <c r="H41" s="212">
        <v>0</v>
      </c>
      <c r="I41"/>
      <c r="J41"/>
      <c r="K41"/>
    </row>
    <row r="42" spans="2:11" s="168" customFormat="1" x14ac:dyDescent="0.9">
      <c r="B42" s="244"/>
      <c r="C42" s="248"/>
      <c r="D42" s="164" t="s">
        <v>1021</v>
      </c>
      <c r="E42" s="212">
        <v>0</v>
      </c>
      <c r="F42" s="212">
        <v>200000</v>
      </c>
      <c r="G42" s="212">
        <v>0</v>
      </c>
      <c r="H42" s="212">
        <v>0</v>
      </c>
      <c r="I42"/>
      <c r="J42"/>
      <c r="K42"/>
    </row>
    <row r="43" spans="2:11" s="168" customFormat="1" x14ac:dyDescent="0.9">
      <c r="B43" s="244"/>
      <c r="C43" s="248"/>
      <c r="D43" s="164" t="s">
        <v>1022</v>
      </c>
      <c r="E43" s="212">
        <v>0</v>
      </c>
      <c r="F43" s="212">
        <v>12000</v>
      </c>
      <c r="G43" s="212">
        <v>0</v>
      </c>
      <c r="H43" s="212">
        <v>0</v>
      </c>
      <c r="I43"/>
      <c r="J43"/>
      <c r="K43"/>
    </row>
    <row r="44" spans="2:11" s="168" customFormat="1" x14ac:dyDescent="0.9">
      <c r="B44" s="244"/>
      <c r="C44" s="248"/>
      <c r="D44" s="164" t="s">
        <v>1023</v>
      </c>
      <c r="E44" s="212">
        <v>0</v>
      </c>
      <c r="F44" s="212">
        <v>20000</v>
      </c>
      <c r="G44" s="212">
        <v>0</v>
      </c>
      <c r="H44" s="212">
        <v>0</v>
      </c>
      <c r="I44"/>
      <c r="J44"/>
      <c r="K44"/>
    </row>
    <row r="45" spans="2:11" s="168" customFormat="1" x14ac:dyDescent="0.9">
      <c r="B45" s="244"/>
      <c r="C45" s="248"/>
      <c r="D45" s="164" t="s">
        <v>1024</v>
      </c>
      <c r="E45" s="212">
        <v>0</v>
      </c>
      <c r="F45" s="212">
        <v>80000</v>
      </c>
      <c r="G45" s="212">
        <v>0</v>
      </c>
      <c r="H45" s="212">
        <v>0</v>
      </c>
      <c r="I45"/>
      <c r="J45"/>
      <c r="K45"/>
    </row>
    <row r="46" spans="2:11" s="168" customFormat="1" x14ac:dyDescent="0.9">
      <c r="B46" s="244"/>
      <c r="C46" s="248"/>
      <c r="D46" s="164" t="s">
        <v>1025</v>
      </c>
      <c r="E46" s="212">
        <v>0</v>
      </c>
      <c r="F46" s="212">
        <v>50000</v>
      </c>
      <c r="G46" s="212">
        <v>0</v>
      </c>
      <c r="H46" s="212">
        <v>0</v>
      </c>
      <c r="I46"/>
      <c r="J46"/>
      <c r="K46"/>
    </row>
    <row r="47" spans="2:11" s="168" customFormat="1" x14ac:dyDescent="0.9">
      <c r="B47" s="244"/>
      <c r="C47" s="248"/>
      <c r="D47" s="164" t="s">
        <v>1026</v>
      </c>
      <c r="E47" s="212">
        <v>0</v>
      </c>
      <c r="F47" s="212">
        <v>0</v>
      </c>
      <c r="G47" s="212">
        <v>3000</v>
      </c>
      <c r="H47" s="212">
        <v>0</v>
      </c>
      <c r="I47"/>
      <c r="J47"/>
      <c r="K47"/>
    </row>
    <row r="48" spans="2:11" s="168" customFormat="1" x14ac:dyDescent="0.9">
      <c r="B48" s="244"/>
      <c r="C48" s="247">
        <v>46182</v>
      </c>
      <c r="D48" s="164" t="s">
        <v>1028</v>
      </c>
      <c r="E48" s="212">
        <v>0</v>
      </c>
      <c r="F48" s="212">
        <v>43000</v>
      </c>
      <c r="G48" s="212">
        <v>0</v>
      </c>
      <c r="H48" s="212">
        <v>0</v>
      </c>
      <c r="I48"/>
      <c r="J48"/>
      <c r="K48"/>
    </row>
    <row r="49" spans="2:11" s="168" customFormat="1" x14ac:dyDescent="0.9">
      <c r="B49" s="244"/>
      <c r="C49" s="248"/>
      <c r="D49" s="164" t="s">
        <v>1030</v>
      </c>
      <c r="E49" s="212">
        <v>0</v>
      </c>
      <c r="F49" s="212">
        <v>128000</v>
      </c>
      <c r="G49" s="212">
        <v>0</v>
      </c>
      <c r="H49" s="212">
        <v>0</v>
      </c>
      <c r="I49"/>
      <c r="J49"/>
      <c r="K49"/>
    </row>
    <row r="50" spans="2:11" s="168" customFormat="1" x14ac:dyDescent="0.9">
      <c r="B50" s="244"/>
      <c r="C50" s="248"/>
      <c r="D50" s="164" t="s">
        <v>554</v>
      </c>
      <c r="E50" s="212">
        <v>0</v>
      </c>
      <c r="F50" s="212">
        <v>65000</v>
      </c>
      <c r="G50" s="212">
        <v>0</v>
      </c>
      <c r="H50" s="212">
        <v>0</v>
      </c>
      <c r="I50"/>
      <c r="J50"/>
      <c r="K50"/>
    </row>
    <row r="51" spans="2:11" s="168" customFormat="1" x14ac:dyDescent="0.9">
      <c r="B51" s="244"/>
      <c r="C51" s="248"/>
      <c r="D51" s="164" t="s">
        <v>1032</v>
      </c>
      <c r="E51" s="212">
        <v>0</v>
      </c>
      <c r="F51" s="212">
        <v>32000</v>
      </c>
      <c r="G51" s="212">
        <v>0</v>
      </c>
      <c r="H51" s="212">
        <v>0</v>
      </c>
      <c r="I51"/>
      <c r="J51"/>
      <c r="K51"/>
    </row>
    <row r="52" spans="2:11" s="168" customFormat="1" x14ac:dyDescent="0.9">
      <c r="B52" s="244"/>
      <c r="C52" s="248"/>
      <c r="D52" s="164" t="s">
        <v>1033</v>
      </c>
      <c r="E52" s="212">
        <v>0</v>
      </c>
      <c r="F52" s="212">
        <v>70000</v>
      </c>
      <c r="G52" s="212">
        <v>0</v>
      </c>
      <c r="H52" s="212">
        <v>0</v>
      </c>
      <c r="I52"/>
      <c r="J52"/>
      <c r="K52"/>
    </row>
    <row r="53" spans="2:11" s="168" customFormat="1" x14ac:dyDescent="0.9">
      <c r="B53" s="244"/>
      <c r="C53" s="248"/>
      <c r="D53" s="164" t="s">
        <v>555</v>
      </c>
      <c r="E53" s="212">
        <v>0</v>
      </c>
      <c r="F53" s="212">
        <v>28000</v>
      </c>
      <c r="G53" s="212">
        <v>0</v>
      </c>
      <c r="H53" s="212">
        <v>0</v>
      </c>
      <c r="I53"/>
      <c r="J53"/>
      <c r="K53"/>
    </row>
    <row r="54" spans="2:11" s="168" customFormat="1" x14ac:dyDescent="0.9">
      <c r="B54" s="244"/>
      <c r="C54" s="248"/>
      <c r="D54" s="164" t="s">
        <v>655</v>
      </c>
      <c r="E54" s="212">
        <v>0</v>
      </c>
      <c r="F54" s="212">
        <v>30000</v>
      </c>
      <c r="G54" s="212">
        <v>0</v>
      </c>
      <c r="H54" s="212">
        <v>0</v>
      </c>
      <c r="I54"/>
      <c r="J54"/>
      <c r="K54"/>
    </row>
    <row r="55" spans="2:11" s="168" customFormat="1" x14ac:dyDescent="0.9">
      <c r="B55" s="244"/>
      <c r="C55" s="248"/>
      <c r="D55" s="164" t="s">
        <v>656</v>
      </c>
      <c r="E55" s="212">
        <v>0</v>
      </c>
      <c r="F55" s="212">
        <v>15000</v>
      </c>
      <c r="G55" s="212">
        <v>0</v>
      </c>
      <c r="H55" s="212">
        <v>0</v>
      </c>
      <c r="I55"/>
      <c r="J55"/>
      <c r="K55"/>
    </row>
    <row r="56" spans="2:11" s="168" customFormat="1" x14ac:dyDescent="0.9">
      <c r="B56" s="244"/>
      <c r="C56" s="248"/>
      <c r="D56" s="164" t="s">
        <v>1043</v>
      </c>
      <c r="E56" s="212">
        <v>0</v>
      </c>
      <c r="F56" s="212">
        <v>30000</v>
      </c>
      <c r="G56" s="212">
        <v>0</v>
      </c>
      <c r="H56" s="212">
        <v>0</v>
      </c>
      <c r="I56"/>
      <c r="J56"/>
      <c r="K56"/>
    </row>
    <row r="57" spans="2:11" s="168" customFormat="1" x14ac:dyDescent="0.9">
      <c r="B57" s="244"/>
      <c r="C57" s="248"/>
      <c r="D57" s="164" t="s">
        <v>1044</v>
      </c>
      <c r="E57" s="212">
        <v>0</v>
      </c>
      <c r="F57" s="212">
        <v>70000</v>
      </c>
      <c r="G57" s="212">
        <v>0</v>
      </c>
      <c r="H57" s="212">
        <v>0</v>
      </c>
      <c r="I57"/>
      <c r="J57"/>
      <c r="K57"/>
    </row>
    <row r="58" spans="2:11" s="168" customFormat="1" x14ac:dyDescent="0.9">
      <c r="B58" s="244"/>
      <c r="C58" s="248"/>
      <c r="D58" s="164" t="s">
        <v>1045</v>
      </c>
      <c r="E58" s="212">
        <v>0</v>
      </c>
      <c r="F58" s="212">
        <v>99000</v>
      </c>
      <c r="G58" s="212">
        <v>0</v>
      </c>
      <c r="H58" s="212">
        <v>0</v>
      </c>
      <c r="I58"/>
      <c r="J58"/>
      <c r="K58"/>
    </row>
    <row r="59" spans="2:11" s="168" customFormat="1" x14ac:dyDescent="0.9">
      <c r="B59" s="244"/>
      <c r="C59" s="248"/>
      <c r="D59" s="164" t="s">
        <v>1046</v>
      </c>
      <c r="E59" s="212">
        <v>0</v>
      </c>
      <c r="F59" s="212">
        <v>12000</v>
      </c>
      <c r="G59" s="212">
        <v>0</v>
      </c>
      <c r="H59" s="212">
        <v>0</v>
      </c>
      <c r="I59"/>
      <c r="J59"/>
      <c r="K59"/>
    </row>
    <row r="60" spans="2:11" s="168" customFormat="1" x14ac:dyDescent="0.9">
      <c r="B60" s="244"/>
      <c r="C60" s="248"/>
      <c r="D60" s="164" t="s">
        <v>1047</v>
      </c>
      <c r="E60" s="212">
        <v>0</v>
      </c>
      <c r="F60" s="212">
        <v>156000</v>
      </c>
      <c r="G60" s="212">
        <v>0</v>
      </c>
      <c r="H60" s="212">
        <v>0</v>
      </c>
      <c r="I60"/>
      <c r="J60"/>
      <c r="K60"/>
    </row>
    <row r="61" spans="2:11" s="168" customFormat="1" x14ac:dyDescent="0.9">
      <c r="B61" s="244"/>
      <c r="C61" s="248"/>
      <c r="D61" s="164" t="s">
        <v>1048</v>
      </c>
      <c r="E61" s="212">
        <v>0</v>
      </c>
      <c r="F61" s="212">
        <v>20000</v>
      </c>
      <c r="G61" s="212">
        <v>0</v>
      </c>
      <c r="H61" s="212">
        <v>0</v>
      </c>
      <c r="I61"/>
      <c r="J61"/>
      <c r="K61"/>
    </row>
    <row r="62" spans="2:11" s="168" customFormat="1" x14ac:dyDescent="0.9">
      <c r="B62" s="244"/>
      <c r="C62" s="248"/>
      <c r="D62" s="164" t="s">
        <v>1049</v>
      </c>
      <c r="E62" s="212">
        <v>0</v>
      </c>
      <c r="F62" s="212">
        <v>200000</v>
      </c>
      <c r="G62" s="212">
        <v>0</v>
      </c>
      <c r="H62" s="212">
        <v>0</v>
      </c>
      <c r="I62"/>
      <c r="J62"/>
      <c r="K62"/>
    </row>
    <row r="63" spans="2:11" s="168" customFormat="1" ht="59.25" x14ac:dyDescent="0.9">
      <c r="B63" s="244"/>
      <c r="C63" s="248"/>
      <c r="D63" s="164" t="s">
        <v>1050</v>
      </c>
      <c r="E63" s="212">
        <v>0</v>
      </c>
      <c r="F63" s="212">
        <v>60000</v>
      </c>
      <c r="G63" s="212">
        <v>0</v>
      </c>
      <c r="H63" s="212">
        <v>0</v>
      </c>
      <c r="I63"/>
      <c r="J63"/>
      <c r="K63"/>
    </row>
    <row r="64" spans="2:11" s="168" customFormat="1" x14ac:dyDescent="0.9">
      <c r="B64" s="244"/>
      <c r="C64" s="248"/>
      <c r="D64" s="164" t="s">
        <v>1051</v>
      </c>
      <c r="E64" s="212">
        <v>0</v>
      </c>
      <c r="F64" s="212">
        <v>0</v>
      </c>
      <c r="G64" s="212">
        <v>0</v>
      </c>
      <c r="H64" s="212">
        <v>600</v>
      </c>
      <c r="I64"/>
      <c r="J64"/>
      <c r="K64"/>
    </row>
    <row r="65" spans="2:11" s="168" customFormat="1" x14ac:dyDescent="0.9">
      <c r="B65" s="244"/>
      <c r="C65" s="248"/>
      <c r="D65" s="164" t="s">
        <v>1052</v>
      </c>
      <c r="E65" s="212">
        <v>0</v>
      </c>
      <c r="F65" s="212">
        <v>0</v>
      </c>
      <c r="G65" s="212">
        <v>0</v>
      </c>
      <c r="H65" s="212">
        <v>2000</v>
      </c>
      <c r="I65"/>
      <c r="J65"/>
      <c r="K65"/>
    </row>
    <row r="66" spans="2:11" s="168" customFormat="1" x14ac:dyDescent="0.9">
      <c r="B66" s="244"/>
      <c r="C66" s="247">
        <v>46183</v>
      </c>
      <c r="D66" s="164" t="s">
        <v>1028</v>
      </c>
      <c r="E66" s="212">
        <v>0</v>
      </c>
      <c r="F66" s="212">
        <v>43000</v>
      </c>
      <c r="G66" s="212">
        <v>0</v>
      </c>
      <c r="H66" s="212">
        <v>0</v>
      </c>
      <c r="I66"/>
      <c r="J66"/>
      <c r="K66"/>
    </row>
    <row r="67" spans="2:11" s="168" customFormat="1" x14ac:dyDescent="0.9">
      <c r="B67" s="244"/>
      <c r="C67" s="248"/>
      <c r="D67" s="164" t="s">
        <v>1030</v>
      </c>
      <c r="E67" s="212">
        <v>0</v>
      </c>
      <c r="F67" s="212">
        <v>128000</v>
      </c>
      <c r="G67" s="212">
        <v>0</v>
      </c>
      <c r="H67" s="212">
        <v>0</v>
      </c>
      <c r="I67"/>
      <c r="J67"/>
      <c r="K67"/>
    </row>
    <row r="68" spans="2:11" s="168" customFormat="1" x14ac:dyDescent="0.9">
      <c r="B68" s="244"/>
      <c r="C68" s="248"/>
      <c r="D68" s="164" t="s">
        <v>553</v>
      </c>
      <c r="E68" s="212">
        <v>0</v>
      </c>
      <c r="F68" s="212">
        <v>15000</v>
      </c>
      <c r="G68" s="212">
        <v>0</v>
      </c>
      <c r="H68" s="212">
        <v>0</v>
      </c>
      <c r="I68"/>
      <c r="J68"/>
      <c r="K68"/>
    </row>
    <row r="69" spans="2:11" s="168" customFormat="1" x14ac:dyDescent="0.9">
      <c r="B69" s="244"/>
      <c r="C69" s="248"/>
      <c r="D69" s="164" t="s">
        <v>554</v>
      </c>
      <c r="E69" s="212">
        <v>0</v>
      </c>
      <c r="F69" s="212">
        <v>65000</v>
      </c>
      <c r="G69" s="212">
        <v>0</v>
      </c>
      <c r="H69" s="212">
        <v>0</v>
      </c>
      <c r="I69"/>
      <c r="J69"/>
      <c r="K69"/>
    </row>
    <row r="70" spans="2:11" s="168" customFormat="1" x14ac:dyDescent="0.9">
      <c r="B70" s="244"/>
      <c r="C70" s="248"/>
      <c r="D70" s="164" t="s">
        <v>1033</v>
      </c>
      <c r="E70" s="212">
        <v>0</v>
      </c>
      <c r="F70" s="212">
        <v>70000</v>
      </c>
      <c r="G70" s="212">
        <v>0</v>
      </c>
      <c r="H70" s="212">
        <v>0</v>
      </c>
      <c r="I70"/>
      <c r="J70"/>
      <c r="K70"/>
    </row>
    <row r="71" spans="2:11" s="168" customFormat="1" x14ac:dyDescent="0.9">
      <c r="B71" s="244"/>
      <c r="C71" s="248"/>
      <c r="D71" s="164" t="s">
        <v>555</v>
      </c>
      <c r="E71" s="212">
        <v>0</v>
      </c>
      <c r="F71" s="212">
        <v>28000</v>
      </c>
      <c r="G71" s="212">
        <v>0</v>
      </c>
      <c r="H71" s="212">
        <v>0</v>
      </c>
      <c r="I71"/>
      <c r="J71"/>
      <c r="K71"/>
    </row>
    <row r="72" spans="2:11" s="168" customFormat="1" x14ac:dyDescent="0.9">
      <c r="B72" s="244"/>
      <c r="C72" s="248"/>
      <c r="D72" s="164" t="s">
        <v>655</v>
      </c>
      <c r="E72" s="212">
        <v>0</v>
      </c>
      <c r="F72" s="212">
        <v>30000</v>
      </c>
      <c r="G72" s="212">
        <v>0</v>
      </c>
      <c r="H72" s="212">
        <v>0</v>
      </c>
      <c r="I72"/>
      <c r="J72"/>
      <c r="K72"/>
    </row>
    <row r="73" spans="2:11" s="168" customFormat="1" x14ac:dyDescent="0.9">
      <c r="B73" s="244"/>
      <c r="C73" s="248"/>
      <c r="D73" s="164" t="s">
        <v>1043</v>
      </c>
      <c r="E73" s="212">
        <v>0</v>
      </c>
      <c r="F73" s="212">
        <v>30000</v>
      </c>
      <c r="G73" s="212">
        <v>0</v>
      </c>
      <c r="H73" s="212">
        <v>0</v>
      </c>
      <c r="I73"/>
      <c r="J73"/>
      <c r="K73"/>
    </row>
    <row r="74" spans="2:11" s="168" customFormat="1" x14ac:dyDescent="0.9">
      <c r="B74" s="244"/>
      <c r="C74" s="248"/>
      <c r="D74" s="164" t="s">
        <v>657</v>
      </c>
      <c r="E74" s="212">
        <v>0</v>
      </c>
      <c r="F74" s="212">
        <v>95000</v>
      </c>
      <c r="G74" s="212">
        <v>0</v>
      </c>
      <c r="H74" s="212">
        <v>0</v>
      </c>
      <c r="I74"/>
      <c r="J74"/>
      <c r="K74"/>
    </row>
    <row r="75" spans="2:11" s="168" customFormat="1" x14ac:dyDescent="0.9">
      <c r="B75" s="244"/>
      <c r="C75" s="248"/>
      <c r="D75" s="164" t="s">
        <v>1053</v>
      </c>
      <c r="E75" s="212">
        <v>0</v>
      </c>
      <c r="F75" s="212">
        <v>20000</v>
      </c>
      <c r="G75" s="212">
        <v>0</v>
      </c>
      <c r="H75" s="212">
        <v>0</v>
      </c>
      <c r="I75"/>
      <c r="J75"/>
      <c r="K75"/>
    </row>
    <row r="76" spans="2:11" s="168" customFormat="1" x14ac:dyDescent="0.9">
      <c r="B76" s="244"/>
      <c r="C76" s="248"/>
      <c r="D76" s="164" t="s">
        <v>1054</v>
      </c>
      <c r="E76" s="212">
        <v>0</v>
      </c>
      <c r="F76" s="212">
        <v>74000</v>
      </c>
      <c r="G76" s="212">
        <v>0</v>
      </c>
      <c r="H76" s="212">
        <v>0</v>
      </c>
      <c r="I76"/>
      <c r="J76"/>
      <c r="K76"/>
    </row>
    <row r="77" spans="2:11" s="168" customFormat="1" x14ac:dyDescent="0.9">
      <c r="B77" s="244"/>
      <c r="C77" s="248"/>
      <c r="D77" s="164" t="s">
        <v>1055</v>
      </c>
      <c r="E77" s="212">
        <v>0</v>
      </c>
      <c r="F77" s="212">
        <v>20000</v>
      </c>
      <c r="G77" s="212">
        <v>0</v>
      </c>
      <c r="H77" s="212">
        <v>0</v>
      </c>
      <c r="I77"/>
      <c r="J77"/>
      <c r="K77"/>
    </row>
    <row r="78" spans="2:11" s="168" customFormat="1" x14ac:dyDescent="0.9">
      <c r="B78" s="244"/>
      <c r="C78" s="248"/>
      <c r="D78" s="164" t="s">
        <v>861</v>
      </c>
      <c r="E78" s="212">
        <v>0</v>
      </c>
      <c r="F78" s="212">
        <v>152000</v>
      </c>
      <c r="G78" s="212">
        <v>0</v>
      </c>
      <c r="H78" s="212">
        <v>0</v>
      </c>
      <c r="I78"/>
      <c r="J78"/>
      <c r="K78"/>
    </row>
    <row r="79" spans="2:11" s="168" customFormat="1" x14ac:dyDescent="0.9">
      <c r="B79" s="244"/>
      <c r="C79" s="248"/>
      <c r="D79" s="164" t="s">
        <v>1056</v>
      </c>
      <c r="E79" s="212">
        <v>0</v>
      </c>
      <c r="F79" s="212">
        <v>30000</v>
      </c>
      <c r="G79" s="212">
        <v>0</v>
      </c>
      <c r="H79" s="212">
        <v>0</v>
      </c>
      <c r="I79"/>
      <c r="J79"/>
      <c r="K79"/>
    </row>
    <row r="80" spans="2:11" s="168" customFormat="1" x14ac:dyDescent="0.9">
      <c r="B80" s="244"/>
      <c r="C80" s="248"/>
      <c r="D80" s="164" t="s">
        <v>1057</v>
      </c>
      <c r="E80" s="212">
        <v>0</v>
      </c>
      <c r="F80" s="212">
        <v>12000</v>
      </c>
      <c r="G80" s="212">
        <v>0</v>
      </c>
      <c r="H80" s="212">
        <v>0</v>
      </c>
      <c r="I80"/>
      <c r="J80"/>
      <c r="K80"/>
    </row>
    <row r="81" spans="2:11" s="168" customFormat="1" x14ac:dyDescent="0.9">
      <c r="B81" s="244"/>
      <c r="C81" s="248"/>
      <c r="D81" s="164" t="s">
        <v>1058</v>
      </c>
      <c r="E81" s="212">
        <v>0</v>
      </c>
      <c r="F81" s="212">
        <v>21000</v>
      </c>
      <c r="G81" s="212">
        <v>0</v>
      </c>
      <c r="H81" s="212">
        <v>0</v>
      </c>
      <c r="I81"/>
      <c r="J81"/>
      <c r="K81"/>
    </row>
    <row r="82" spans="2:11" s="168" customFormat="1" x14ac:dyDescent="0.9">
      <c r="B82" s="244"/>
      <c r="C82" s="248"/>
      <c r="D82" s="164" t="s">
        <v>1059</v>
      </c>
      <c r="E82" s="212">
        <v>0</v>
      </c>
      <c r="F82" s="212">
        <v>20000</v>
      </c>
      <c r="G82" s="212">
        <v>0</v>
      </c>
      <c r="H82" s="212">
        <v>0</v>
      </c>
      <c r="I82"/>
      <c r="J82"/>
      <c r="K82"/>
    </row>
    <row r="83" spans="2:11" s="168" customFormat="1" x14ac:dyDescent="0.9">
      <c r="B83" s="244"/>
      <c r="C83" s="247">
        <v>46184</v>
      </c>
      <c r="D83" s="164" t="s">
        <v>554</v>
      </c>
      <c r="E83" s="212">
        <v>0</v>
      </c>
      <c r="F83" s="212">
        <v>65000</v>
      </c>
      <c r="G83" s="212">
        <v>0</v>
      </c>
      <c r="H83" s="212">
        <v>0</v>
      </c>
      <c r="I83"/>
      <c r="J83"/>
      <c r="K83"/>
    </row>
    <row r="84" spans="2:11" s="168" customFormat="1" x14ac:dyDescent="0.9">
      <c r="B84" s="244"/>
      <c r="C84" s="248"/>
      <c r="D84" s="164" t="s">
        <v>1033</v>
      </c>
      <c r="E84" s="212">
        <v>0</v>
      </c>
      <c r="F84" s="212">
        <v>70000</v>
      </c>
      <c r="G84" s="212">
        <v>0</v>
      </c>
      <c r="H84" s="212">
        <v>0</v>
      </c>
      <c r="I84"/>
      <c r="J84"/>
      <c r="K84"/>
    </row>
    <row r="85" spans="2:11" s="168" customFormat="1" x14ac:dyDescent="0.9">
      <c r="B85" s="244"/>
      <c r="C85" s="248"/>
      <c r="D85" s="164" t="s">
        <v>555</v>
      </c>
      <c r="E85" s="212">
        <v>0</v>
      </c>
      <c r="F85" s="212">
        <v>28000</v>
      </c>
      <c r="G85" s="212">
        <v>0</v>
      </c>
      <c r="H85" s="212">
        <v>0</v>
      </c>
      <c r="I85"/>
      <c r="J85"/>
      <c r="K85"/>
    </row>
    <row r="86" spans="2:11" s="168" customFormat="1" x14ac:dyDescent="0.9">
      <c r="B86" s="244"/>
      <c r="C86" s="248"/>
      <c r="D86" s="164" t="s">
        <v>655</v>
      </c>
      <c r="E86" s="212">
        <v>0</v>
      </c>
      <c r="F86" s="212">
        <v>30000</v>
      </c>
      <c r="G86" s="212">
        <v>0</v>
      </c>
      <c r="H86" s="212">
        <v>0</v>
      </c>
      <c r="I86"/>
      <c r="J86"/>
      <c r="K86"/>
    </row>
    <row r="87" spans="2:11" s="168" customFormat="1" x14ac:dyDescent="0.9">
      <c r="B87" s="244"/>
      <c r="C87" s="248"/>
      <c r="D87" s="164" t="s">
        <v>656</v>
      </c>
      <c r="E87" s="212">
        <v>0</v>
      </c>
      <c r="F87" s="212">
        <v>30000</v>
      </c>
      <c r="G87" s="212">
        <v>0</v>
      </c>
      <c r="H87" s="212">
        <v>0</v>
      </c>
      <c r="I87"/>
      <c r="J87"/>
      <c r="K87"/>
    </row>
    <row r="88" spans="2:11" s="168" customFormat="1" x14ac:dyDescent="0.9">
      <c r="B88" s="244"/>
      <c r="C88" s="248"/>
      <c r="D88" s="164" t="s">
        <v>1043</v>
      </c>
      <c r="E88" s="212">
        <v>0</v>
      </c>
      <c r="F88" s="212">
        <v>30000</v>
      </c>
      <c r="G88" s="212">
        <v>0</v>
      </c>
      <c r="H88" s="212">
        <v>0</v>
      </c>
      <c r="I88"/>
      <c r="J88"/>
      <c r="K88"/>
    </row>
    <row r="89" spans="2:11" s="168" customFormat="1" x14ac:dyDescent="0.9">
      <c r="B89" s="244"/>
      <c r="C89" s="248"/>
      <c r="D89" s="164" t="s">
        <v>1047</v>
      </c>
      <c r="E89" s="212">
        <v>0</v>
      </c>
      <c r="F89" s="212">
        <v>156000</v>
      </c>
      <c r="G89" s="212">
        <v>0</v>
      </c>
      <c r="H89" s="212">
        <v>0</v>
      </c>
      <c r="I89"/>
      <c r="J89"/>
      <c r="K89"/>
    </row>
    <row r="90" spans="2:11" s="168" customFormat="1" x14ac:dyDescent="0.9">
      <c r="B90" s="244"/>
      <c r="C90" s="248"/>
      <c r="D90" s="164" t="s">
        <v>657</v>
      </c>
      <c r="E90" s="212">
        <v>0</v>
      </c>
      <c r="F90" s="212">
        <v>95000</v>
      </c>
      <c r="G90" s="212">
        <v>0</v>
      </c>
      <c r="H90" s="212">
        <v>0</v>
      </c>
      <c r="I90"/>
      <c r="J90"/>
      <c r="K90"/>
    </row>
    <row r="91" spans="2:11" s="168" customFormat="1" x14ac:dyDescent="0.9">
      <c r="B91" s="244"/>
      <c r="C91" s="248"/>
      <c r="D91" s="164" t="s">
        <v>1054</v>
      </c>
      <c r="E91" s="212">
        <v>0</v>
      </c>
      <c r="F91" s="212">
        <v>74000</v>
      </c>
      <c r="G91" s="212">
        <v>0</v>
      </c>
      <c r="H91" s="212">
        <v>0</v>
      </c>
      <c r="I91"/>
      <c r="J91"/>
      <c r="K91"/>
    </row>
    <row r="92" spans="2:11" s="168" customFormat="1" x14ac:dyDescent="0.9">
      <c r="B92" s="244"/>
      <c r="C92" s="248"/>
      <c r="D92" s="164" t="s">
        <v>1055</v>
      </c>
      <c r="E92" s="212">
        <v>0</v>
      </c>
      <c r="F92" s="212">
        <v>25000</v>
      </c>
      <c r="G92" s="212">
        <v>0</v>
      </c>
      <c r="H92" s="212">
        <v>0</v>
      </c>
      <c r="I92"/>
      <c r="J92"/>
      <c r="K92"/>
    </row>
    <row r="93" spans="2:11" s="168" customFormat="1" x14ac:dyDescent="0.9">
      <c r="B93" s="244"/>
      <c r="C93" s="248"/>
      <c r="D93" s="164" t="s">
        <v>1060</v>
      </c>
      <c r="E93" s="212">
        <v>0</v>
      </c>
      <c r="F93" s="212">
        <v>40000</v>
      </c>
      <c r="G93" s="212">
        <v>0</v>
      </c>
      <c r="H93" s="212">
        <v>0</v>
      </c>
      <c r="I93"/>
      <c r="J93"/>
      <c r="K93"/>
    </row>
    <row r="94" spans="2:11" s="168" customFormat="1" x14ac:dyDescent="0.9">
      <c r="B94" s="244"/>
      <c r="C94" s="248"/>
      <c r="D94" s="164" t="s">
        <v>670</v>
      </c>
      <c r="E94" s="212">
        <v>0</v>
      </c>
      <c r="F94" s="212">
        <v>116000</v>
      </c>
      <c r="G94" s="212">
        <v>0</v>
      </c>
      <c r="H94" s="212">
        <v>0</v>
      </c>
      <c r="I94"/>
      <c r="J94"/>
      <c r="K94"/>
    </row>
    <row r="95" spans="2:11" s="168" customFormat="1" x14ac:dyDescent="0.9">
      <c r="B95" s="244"/>
      <c r="C95" s="248"/>
      <c r="D95" s="164" t="s">
        <v>1061</v>
      </c>
      <c r="E95" s="212">
        <v>0</v>
      </c>
      <c r="F95" s="212">
        <v>690000</v>
      </c>
      <c r="G95" s="212">
        <v>0</v>
      </c>
      <c r="H95" s="212">
        <v>0</v>
      </c>
      <c r="I95"/>
      <c r="J95"/>
      <c r="K95"/>
    </row>
    <row r="96" spans="2:11" s="168" customFormat="1" x14ac:dyDescent="0.9">
      <c r="B96" s="244"/>
      <c r="C96" s="248"/>
      <c r="D96" s="164" t="s">
        <v>777</v>
      </c>
      <c r="E96" s="212">
        <v>0</v>
      </c>
      <c r="F96" s="212">
        <v>14000</v>
      </c>
      <c r="G96" s="212">
        <v>0</v>
      </c>
      <c r="H96" s="212">
        <v>0</v>
      </c>
      <c r="I96"/>
      <c r="J96"/>
      <c r="K96"/>
    </row>
    <row r="97" spans="2:11" s="168" customFormat="1" x14ac:dyDescent="0.9">
      <c r="B97" s="244"/>
      <c r="C97" s="248"/>
      <c r="D97" s="164" t="s">
        <v>1062</v>
      </c>
      <c r="E97" s="212">
        <v>0</v>
      </c>
      <c r="F97" s="212">
        <v>0</v>
      </c>
      <c r="G97" s="212">
        <v>9980</v>
      </c>
      <c r="H97" s="212">
        <v>0</v>
      </c>
      <c r="I97"/>
      <c r="J97"/>
      <c r="K97"/>
    </row>
    <row r="98" spans="2:11" s="168" customFormat="1" x14ac:dyDescent="0.9">
      <c r="B98" s="244"/>
      <c r="C98" s="248"/>
      <c r="D98" s="164" t="s">
        <v>1063</v>
      </c>
      <c r="E98" s="212">
        <v>0</v>
      </c>
      <c r="F98" s="212">
        <v>200000</v>
      </c>
      <c r="G98" s="212">
        <v>0</v>
      </c>
      <c r="H98" s="212">
        <v>0</v>
      </c>
      <c r="I98"/>
      <c r="J98"/>
      <c r="K98"/>
    </row>
    <row r="99" spans="2:11" s="168" customFormat="1" x14ac:dyDescent="0.9">
      <c r="B99" s="244"/>
      <c r="C99" s="248"/>
      <c r="D99" s="164" t="s">
        <v>1064</v>
      </c>
      <c r="E99" s="212">
        <v>0</v>
      </c>
      <c r="F99" s="212">
        <v>100000</v>
      </c>
      <c r="G99" s="212">
        <v>0</v>
      </c>
      <c r="H99" s="212">
        <v>0</v>
      </c>
      <c r="I99"/>
      <c r="J99"/>
      <c r="K99"/>
    </row>
    <row r="100" spans="2:11" s="168" customFormat="1" x14ac:dyDescent="0.9">
      <c r="B100" s="244"/>
      <c r="C100" s="248"/>
      <c r="D100" s="164" t="s">
        <v>1065</v>
      </c>
      <c r="E100" s="212">
        <v>0</v>
      </c>
      <c r="F100" s="212">
        <v>200000</v>
      </c>
      <c r="G100" s="212">
        <v>0</v>
      </c>
      <c r="H100" s="212">
        <v>0</v>
      </c>
      <c r="I100"/>
      <c r="J100"/>
      <c r="K100"/>
    </row>
    <row r="101" spans="2:11" s="168" customFormat="1" x14ac:dyDescent="0.9">
      <c r="B101" s="244"/>
      <c r="C101" s="248"/>
      <c r="D101" s="164" t="s">
        <v>1066</v>
      </c>
      <c r="E101" s="212">
        <v>0</v>
      </c>
      <c r="F101" s="212">
        <v>10000</v>
      </c>
      <c r="G101" s="212">
        <v>0</v>
      </c>
      <c r="H101" s="212">
        <v>0</v>
      </c>
      <c r="I101"/>
      <c r="J101"/>
      <c r="K101"/>
    </row>
    <row r="102" spans="2:11" s="168" customFormat="1" ht="59.25" x14ac:dyDescent="0.9">
      <c r="B102" s="244"/>
      <c r="C102" s="248"/>
      <c r="D102" s="164" t="s">
        <v>1067</v>
      </c>
      <c r="E102" s="212">
        <v>0</v>
      </c>
      <c r="F102" s="212">
        <v>70000</v>
      </c>
      <c r="G102" s="212">
        <v>0</v>
      </c>
      <c r="H102" s="212">
        <v>0</v>
      </c>
      <c r="I102"/>
      <c r="J102"/>
      <c r="K102"/>
    </row>
    <row r="103" spans="2:11" ht="31.5" x14ac:dyDescent="0.7">
      <c r="B103" s="244"/>
      <c r="C103" s="247">
        <v>46185</v>
      </c>
      <c r="D103" s="164" t="s">
        <v>554</v>
      </c>
      <c r="E103" s="212">
        <v>0</v>
      </c>
      <c r="F103" s="212">
        <v>65000</v>
      </c>
      <c r="G103" s="212">
        <v>0</v>
      </c>
      <c r="H103" s="212">
        <v>0</v>
      </c>
    </row>
    <row r="104" spans="2:11" ht="31.5" x14ac:dyDescent="0.7">
      <c r="B104" s="244"/>
      <c r="C104" s="248"/>
      <c r="D104" s="164" t="s">
        <v>555</v>
      </c>
      <c r="E104" s="212">
        <v>0</v>
      </c>
      <c r="F104" s="212">
        <v>28000</v>
      </c>
      <c r="G104" s="212">
        <v>0</v>
      </c>
      <c r="H104" s="212">
        <v>0</v>
      </c>
    </row>
    <row r="105" spans="2:11" ht="31.5" x14ac:dyDescent="0.7">
      <c r="B105" s="244"/>
      <c r="C105" s="248"/>
      <c r="D105" s="164" t="s">
        <v>655</v>
      </c>
      <c r="E105" s="212">
        <v>0</v>
      </c>
      <c r="F105" s="212">
        <v>30000</v>
      </c>
      <c r="G105" s="212">
        <v>0</v>
      </c>
      <c r="H105" s="212">
        <v>0</v>
      </c>
    </row>
    <row r="106" spans="2:11" ht="31.5" x14ac:dyDescent="0.7">
      <c r="B106" s="244"/>
      <c r="C106" s="248"/>
      <c r="D106" s="164" t="s">
        <v>656</v>
      </c>
      <c r="E106" s="212">
        <v>0</v>
      </c>
      <c r="F106" s="212">
        <v>30000</v>
      </c>
      <c r="G106" s="212">
        <v>0</v>
      </c>
      <c r="H106" s="212">
        <v>0</v>
      </c>
    </row>
    <row r="107" spans="2:11" ht="31.5" x14ac:dyDescent="0.7">
      <c r="B107" s="244"/>
      <c r="C107" s="248"/>
      <c r="D107" s="164" t="s">
        <v>657</v>
      </c>
      <c r="E107" s="212">
        <v>0</v>
      </c>
      <c r="F107" s="212">
        <v>95000</v>
      </c>
      <c r="G107" s="212">
        <v>0</v>
      </c>
      <c r="H107" s="212">
        <v>0</v>
      </c>
    </row>
    <row r="108" spans="2:11" ht="31.5" x14ac:dyDescent="0.7">
      <c r="B108" s="244"/>
      <c r="C108" s="248"/>
      <c r="D108" s="164" t="s">
        <v>670</v>
      </c>
      <c r="E108" s="212">
        <v>0</v>
      </c>
      <c r="F108" s="212">
        <v>116000</v>
      </c>
      <c r="G108" s="212">
        <v>0</v>
      </c>
      <c r="H108" s="212">
        <v>0</v>
      </c>
    </row>
    <row r="109" spans="2:11" ht="31.5" x14ac:dyDescent="0.7">
      <c r="B109" s="244"/>
      <c r="C109" s="248"/>
      <c r="D109" s="164" t="s">
        <v>777</v>
      </c>
      <c r="E109" s="212">
        <v>0</v>
      </c>
      <c r="F109" s="212">
        <v>14000</v>
      </c>
      <c r="G109" s="212">
        <v>0</v>
      </c>
      <c r="H109" s="212">
        <v>0</v>
      </c>
    </row>
    <row r="110" spans="2:11" ht="31.5" x14ac:dyDescent="0.7">
      <c r="B110" s="244"/>
      <c r="C110" s="248"/>
      <c r="D110" s="164" t="s">
        <v>778</v>
      </c>
      <c r="E110" s="212">
        <v>0</v>
      </c>
      <c r="F110" s="212">
        <v>52000</v>
      </c>
      <c r="G110" s="212">
        <v>0</v>
      </c>
      <c r="H110" s="212">
        <v>0</v>
      </c>
    </row>
    <row r="111" spans="2:11" ht="31.5" x14ac:dyDescent="0.7">
      <c r="B111" s="244"/>
      <c r="C111" s="248"/>
      <c r="D111" s="164" t="s">
        <v>779</v>
      </c>
      <c r="E111" s="212">
        <v>0</v>
      </c>
      <c r="F111" s="212">
        <v>45000</v>
      </c>
      <c r="G111" s="212">
        <v>0</v>
      </c>
      <c r="H111" s="212">
        <v>0</v>
      </c>
    </row>
    <row r="112" spans="2:11" ht="31.5" x14ac:dyDescent="0.7">
      <c r="B112" s="244"/>
      <c r="C112" s="248"/>
      <c r="D112" s="164" t="s">
        <v>1068</v>
      </c>
      <c r="E112" s="212">
        <v>0</v>
      </c>
      <c r="F112" s="212">
        <v>90000</v>
      </c>
      <c r="G112" s="212">
        <v>0</v>
      </c>
      <c r="H112" s="212">
        <v>0</v>
      </c>
    </row>
    <row r="113" spans="2:8" ht="31.5" x14ac:dyDescent="0.7">
      <c r="B113" s="244"/>
      <c r="C113" s="248"/>
      <c r="D113" s="164" t="s">
        <v>780</v>
      </c>
      <c r="E113" s="212">
        <v>0</v>
      </c>
      <c r="F113" s="212">
        <v>70000</v>
      </c>
      <c r="G113" s="212">
        <v>0</v>
      </c>
      <c r="H113" s="212">
        <v>0</v>
      </c>
    </row>
    <row r="114" spans="2:8" ht="31.5" x14ac:dyDescent="0.7">
      <c r="B114" s="244"/>
      <c r="C114" s="248"/>
      <c r="D114" s="164" t="s">
        <v>781</v>
      </c>
      <c r="E114" s="212">
        <v>0</v>
      </c>
      <c r="F114" s="212">
        <v>25000</v>
      </c>
      <c r="G114" s="212">
        <v>0</v>
      </c>
      <c r="H114" s="212">
        <v>0</v>
      </c>
    </row>
    <row r="115" spans="2:8" ht="31.5" x14ac:dyDescent="0.7">
      <c r="B115" s="244"/>
      <c r="C115" s="248"/>
      <c r="D115" s="164" t="s">
        <v>782</v>
      </c>
      <c r="E115" s="212">
        <v>0</v>
      </c>
      <c r="F115" s="212">
        <v>18000</v>
      </c>
      <c r="G115" s="212">
        <v>0</v>
      </c>
      <c r="H115" s="212">
        <v>0</v>
      </c>
    </row>
    <row r="116" spans="2:8" ht="31.5" x14ac:dyDescent="0.7">
      <c r="B116" s="244"/>
      <c r="C116" s="248"/>
      <c r="D116" s="164" t="s">
        <v>1069</v>
      </c>
      <c r="E116" s="212">
        <v>0</v>
      </c>
      <c r="F116" s="212">
        <v>148000</v>
      </c>
      <c r="G116" s="212">
        <v>0</v>
      </c>
      <c r="H116" s="212">
        <v>0</v>
      </c>
    </row>
    <row r="117" spans="2:8" ht="31.5" x14ac:dyDescent="0.7">
      <c r="B117" s="244"/>
      <c r="C117" s="248"/>
      <c r="D117" s="164" t="s">
        <v>1070</v>
      </c>
      <c r="E117" s="212">
        <v>0</v>
      </c>
      <c r="F117" s="212">
        <v>25000</v>
      </c>
      <c r="G117" s="212">
        <v>0</v>
      </c>
      <c r="H117" s="212">
        <v>0</v>
      </c>
    </row>
    <row r="118" spans="2:8" ht="31.5" x14ac:dyDescent="0.7">
      <c r="B118" s="244"/>
      <c r="C118" s="248"/>
      <c r="D118" s="164" t="s">
        <v>1071</v>
      </c>
      <c r="E118" s="212">
        <v>0</v>
      </c>
      <c r="F118" s="212">
        <v>10000</v>
      </c>
      <c r="G118" s="212">
        <v>0</v>
      </c>
      <c r="H118" s="212">
        <v>0</v>
      </c>
    </row>
    <row r="119" spans="2:8" ht="31.5" x14ac:dyDescent="0.7">
      <c r="B119" s="244"/>
      <c r="C119" s="247">
        <v>46186</v>
      </c>
      <c r="D119" s="164" t="s">
        <v>553</v>
      </c>
      <c r="E119" s="212">
        <v>0</v>
      </c>
      <c r="F119" s="212">
        <v>15000</v>
      </c>
      <c r="G119" s="212">
        <v>0</v>
      </c>
      <c r="H119" s="212">
        <v>0</v>
      </c>
    </row>
    <row r="120" spans="2:8" ht="31.5" x14ac:dyDescent="0.7">
      <c r="B120" s="244"/>
      <c r="C120" s="248"/>
      <c r="D120" s="164" t="s">
        <v>554</v>
      </c>
      <c r="E120" s="212">
        <v>0</v>
      </c>
      <c r="F120" s="212">
        <v>65000</v>
      </c>
      <c r="G120" s="212">
        <v>0</v>
      </c>
      <c r="H120" s="212">
        <v>0</v>
      </c>
    </row>
    <row r="121" spans="2:8" ht="31.5" x14ac:dyDescent="0.7">
      <c r="B121" s="244"/>
      <c r="C121" s="248"/>
      <c r="D121" s="164" t="s">
        <v>555</v>
      </c>
      <c r="E121" s="212">
        <v>0</v>
      </c>
      <c r="F121" s="212">
        <v>28000</v>
      </c>
      <c r="G121" s="212">
        <v>0</v>
      </c>
      <c r="H121" s="212">
        <v>0</v>
      </c>
    </row>
    <row r="122" spans="2:8" ht="31.5" x14ac:dyDescent="0.7">
      <c r="B122" s="244"/>
      <c r="C122" s="248"/>
      <c r="D122" s="164" t="s">
        <v>655</v>
      </c>
      <c r="E122" s="212">
        <v>0</v>
      </c>
      <c r="F122" s="212">
        <v>30000</v>
      </c>
      <c r="G122" s="212">
        <v>0</v>
      </c>
      <c r="H122" s="212">
        <v>0</v>
      </c>
    </row>
    <row r="123" spans="2:8" ht="31.5" x14ac:dyDescent="0.7">
      <c r="B123" s="244"/>
      <c r="C123" s="248"/>
      <c r="D123" s="164" t="s">
        <v>1044</v>
      </c>
      <c r="E123" s="212">
        <v>0</v>
      </c>
      <c r="F123" s="212">
        <v>75000</v>
      </c>
      <c r="G123" s="212">
        <v>0</v>
      </c>
      <c r="H123" s="212">
        <v>0</v>
      </c>
    </row>
    <row r="124" spans="2:8" ht="31.5" x14ac:dyDescent="0.7">
      <c r="B124" s="244"/>
      <c r="C124" s="248"/>
      <c r="D124" s="164" t="s">
        <v>1047</v>
      </c>
      <c r="E124" s="212">
        <v>0</v>
      </c>
      <c r="F124" s="212">
        <v>156000</v>
      </c>
      <c r="G124" s="212">
        <v>0</v>
      </c>
      <c r="H124" s="212">
        <v>0</v>
      </c>
    </row>
    <row r="125" spans="2:8" ht="31.5" x14ac:dyDescent="0.7">
      <c r="B125" s="244"/>
      <c r="C125" s="248"/>
      <c r="D125" s="164" t="s">
        <v>1054</v>
      </c>
      <c r="E125" s="212">
        <v>0</v>
      </c>
      <c r="F125" s="212">
        <v>74000</v>
      </c>
      <c r="G125" s="212">
        <v>0</v>
      </c>
      <c r="H125" s="212">
        <v>0</v>
      </c>
    </row>
    <row r="126" spans="2:8" ht="31.5" x14ac:dyDescent="0.7">
      <c r="B126" s="244"/>
      <c r="C126" s="248"/>
      <c r="D126" s="164" t="s">
        <v>670</v>
      </c>
      <c r="E126" s="212">
        <v>0</v>
      </c>
      <c r="F126" s="212">
        <v>116000</v>
      </c>
      <c r="G126" s="212">
        <v>0</v>
      </c>
      <c r="H126" s="212">
        <v>0</v>
      </c>
    </row>
    <row r="127" spans="2:8" ht="31.5" x14ac:dyDescent="0.7">
      <c r="B127" s="244"/>
      <c r="C127" s="248"/>
      <c r="D127" s="164" t="s">
        <v>777</v>
      </c>
      <c r="E127" s="212">
        <v>0</v>
      </c>
      <c r="F127" s="212">
        <v>14000</v>
      </c>
      <c r="G127" s="212">
        <v>0</v>
      </c>
      <c r="H127" s="212">
        <v>0</v>
      </c>
    </row>
    <row r="128" spans="2:8" ht="31.5" x14ac:dyDescent="0.7">
      <c r="B128" s="244"/>
      <c r="C128" s="248"/>
      <c r="D128" s="164" t="s">
        <v>778</v>
      </c>
      <c r="E128" s="212">
        <v>0</v>
      </c>
      <c r="F128" s="212">
        <v>52000</v>
      </c>
      <c r="G128" s="212">
        <v>0</v>
      </c>
      <c r="H128" s="212">
        <v>0</v>
      </c>
    </row>
    <row r="129" spans="2:8" ht="31.5" x14ac:dyDescent="0.7">
      <c r="B129" s="244"/>
      <c r="C129" s="248"/>
      <c r="D129" s="164" t="s">
        <v>779</v>
      </c>
      <c r="E129" s="212">
        <v>0</v>
      </c>
      <c r="F129" s="212">
        <v>45000</v>
      </c>
      <c r="G129" s="212">
        <v>0</v>
      </c>
      <c r="H129" s="212">
        <v>0</v>
      </c>
    </row>
    <row r="130" spans="2:8" ht="31.5" x14ac:dyDescent="0.7">
      <c r="B130" s="244"/>
      <c r="C130" s="248"/>
      <c r="D130" s="164" t="s">
        <v>781</v>
      </c>
      <c r="E130" s="212">
        <v>0</v>
      </c>
      <c r="F130" s="212">
        <v>25000</v>
      </c>
      <c r="G130" s="212">
        <v>0</v>
      </c>
      <c r="H130" s="212">
        <v>0</v>
      </c>
    </row>
    <row r="131" spans="2:8" ht="31.5" x14ac:dyDescent="0.7">
      <c r="B131" s="244"/>
      <c r="C131" s="248"/>
      <c r="D131" s="164" t="s">
        <v>782</v>
      </c>
      <c r="E131" s="212">
        <v>0</v>
      </c>
      <c r="F131" s="212">
        <v>18000</v>
      </c>
      <c r="G131" s="212">
        <v>0</v>
      </c>
      <c r="H131" s="212">
        <v>0</v>
      </c>
    </row>
    <row r="132" spans="2:8" ht="31.5" x14ac:dyDescent="0.7">
      <c r="B132" s="244"/>
      <c r="C132" s="248"/>
      <c r="D132" s="164" t="s">
        <v>1072</v>
      </c>
      <c r="E132" s="212">
        <v>0</v>
      </c>
      <c r="F132" s="212">
        <v>0</v>
      </c>
      <c r="G132" s="212">
        <v>14970</v>
      </c>
      <c r="H132" s="212">
        <v>0</v>
      </c>
    </row>
    <row r="133" spans="2:8" ht="31.5" x14ac:dyDescent="0.7">
      <c r="B133" s="244"/>
      <c r="C133" s="248"/>
      <c r="D133" s="164" t="s">
        <v>783</v>
      </c>
      <c r="E133" s="212">
        <v>0</v>
      </c>
      <c r="F133" s="212">
        <v>100000</v>
      </c>
      <c r="G133" s="212">
        <v>0</v>
      </c>
      <c r="H133" s="212">
        <v>0</v>
      </c>
    </row>
    <row r="134" spans="2:8" ht="31.5" x14ac:dyDescent="0.7">
      <c r="B134" s="244"/>
      <c r="C134" s="248"/>
      <c r="D134" s="164" t="s">
        <v>1073</v>
      </c>
      <c r="E134" s="212">
        <v>0</v>
      </c>
      <c r="F134" s="212">
        <v>200000</v>
      </c>
      <c r="G134" s="212">
        <v>0</v>
      </c>
      <c r="H134" s="212">
        <v>0</v>
      </c>
    </row>
    <row r="135" spans="2:8" ht="31.5" x14ac:dyDescent="0.7">
      <c r="B135" s="244"/>
      <c r="C135" s="248"/>
      <c r="D135" s="164" t="s">
        <v>1074</v>
      </c>
      <c r="E135" s="212">
        <v>0</v>
      </c>
      <c r="F135" s="212">
        <v>100000</v>
      </c>
      <c r="G135" s="212">
        <v>0</v>
      </c>
      <c r="H135" s="212">
        <v>0</v>
      </c>
    </row>
    <row r="136" spans="2:8" ht="31.5" x14ac:dyDescent="0.7">
      <c r="B136" s="244"/>
      <c r="C136" s="248"/>
      <c r="D136" s="164" t="s">
        <v>1075</v>
      </c>
      <c r="E136" s="212">
        <v>0</v>
      </c>
      <c r="F136" s="212">
        <v>25000</v>
      </c>
      <c r="G136" s="212">
        <v>0</v>
      </c>
      <c r="H136" s="212">
        <v>0</v>
      </c>
    </row>
    <row r="137" spans="2:8" ht="31.5" x14ac:dyDescent="0.7">
      <c r="B137" s="244"/>
      <c r="C137" s="248"/>
      <c r="D137" s="164" t="s">
        <v>1076</v>
      </c>
      <c r="E137" s="212">
        <v>0</v>
      </c>
      <c r="F137" s="212">
        <v>45000</v>
      </c>
      <c r="G137" s="212">
        <v>0</v>
      </c>
      <c r="H137" s="212">
        <v>0</v>
      </c>
    </row>
    <row r="138" spans="2:8" ht="31.5" x14ac:dyDescent="0.7">
      <c r="B138" s="244"/>
      <c r="C138" s="248"/>
      <c r="D138" s="164" t="s">
        <v>1077</v>
      </c>
      <c r="E138" s="212">
        <v>0</v>
      </c>
      <c r="F138" s="212">
        <v>10000</v>
      </c>
      <c r="G138" s="212">
        <v>0</v>
      </c>
      <c r="H138" s="212">
        <v>0</v>
      </c>
    </row>
    <row r="139" spans="2:8" ht="31.5" x14ac:dyDescent="0.7">
      <c r="B139" s="244"/>
      <c r="C139" s="247">
        <v>46187</v>
      </c>
      <c r="D139" s="164" t="s">
        <v>554</v>
      </c>
      <c r="E139" s="212">
        <v>0</v>
      </c>
      <c r="F139" s="212">
        <v>65000</v>
      </c>
      <c r="G139" s="212">
        <v>0</v>
      </c>
      <c r="H139" s="212">
        <v>0</v>
      </c>
    </row>
    <row r="140" spans="2:8" ht="31.5" x14ac:dyDescent="0.7">
      <c r="B140" s="244"/>
      <c r="C140" s="248"/>
      <c r="D140" s="164" t="s">
        <v>555</v>
      </c>
      <c r="E140" s="212">
        <v>0</v>
      </c>
      <c r="F140" s="212">
        <v>28000</v>
      </c>
      <c r="G140" s="212">
        <v>0</v>
      </c>
      <c r="H140" s="212">
        <v>0</v>
      </c>
    </row>
    <row r="141" spans="2:8" ht="31.5" x14ac:dyDescent="0.7">
      <c r="B141" s="244"/>
      <c r="C141" s="248"/>
      <c r="D141" s="164" t="s">
        <v>655</v>
      </c>
      <c r="E141" s="212">
        <v>0</v>
      </c>
      <c r="F141" s="212">
        <v>30000</v>
      </c>
      <c r="G141" s="212">
        <v>0</v>
      </c>
      <c r="H141" s="212">
        <v>0</v>
      </c>
    </row>
    <row r="142" spans="2:8" ht="31.5" x14ac:dyDescent="0.7">
      <c r="B142" s="244"/>
      <c r="C142" s="248"/>
      <c r="D142" s="164" t="s">
        <v>656</v>
      </c>
      <c r="E142" s="212">
        <v>0</v>
      </c>
      <c r="F142" s="212">
        <v>30000</v>
      </c>
      <c r="G142" s="212">
        <v>0</v>
      </c>
      <c r="H142" s="212">
        <v>0</v>
      </c>
    </row>
    <row r="143" spans="2:8" ht="31.5" x14ac:dyDescent="0.7">
      <c r="B143" s="244"/>
      <c r="C143" s="248"/>
      <c r="D143" s="164" t="s">
        <v>657</v>
      </c>
      <c r="E143" s="212">
        <v>0</v>
      </c>
      <c r="F143" s="212">
        <v>115000</v>
      </c>
      <c r="G143" s="212">
        <v>0</v>
      </c>
      <c r="H143" s="212">
        <v>0</v>
      </c>
    </row>
    <row r="144" spans="2:8" ht="31.5" x14ac:dyDescent="0.7">
      <c r="B144" s="244"/>
      <c r="C144" s="248"/>
      <c r="D144" s="164" t="s">
        <v>670</v>
      </c>
      <c r="E144" s="212">
        <v>0</v>
      </c>
      <c r="F144" s="212">
        <v>116000</v>
      </c>
      <c r="G144" s="212">
        <v>0</v>
      </c>
      <c r="H144" s="212">
        <v>0</v>
      </c>
    </row>
    <row r="145" spans="2:8" ht="31.5" x14ac:dyDescent="0.7">
      <c r="B145" s="244"/>
      <c r="C145" s="248"/>
      <c r="D145" s="164" t="s">
        <v>777</v>
      </c>
      <c r="E145" s="212">
        <v>0</v>
      </c>
      <c r="F145" s="212">
        <v>14000</v>
      </c>
      <c r="G145" s="212">
        <v>0</v>
      </c>
      <c r="H145" s="212">
        <v>0</v>
      </c>
    </row>
    <row r="146" spans="2:8" ht="31.5" x14ac:dyDescent="0.7">
      <c r="B146" s="244"/>
      <c r="C146" s="248"/>
      <c r="D146" s="164" t="s">
        <v>778</v>
      </c>
      <c r="E146" s="212">
        <v>0</v>
      </c>
      <c r="F146" s="212">
        <v>52000</v>
      </c>
      <c r="G146" s="212">
        <v>0</v>
      </c>
      <c r="H146" s="212">
        <v>0</v>
      </c>
    </row>
    <row r="147" spans="2:8" ht="31.5" x14ac:dyDescent="0.7">
      <c r="B147" s="244"/>
      <c r="C147" s="248"/>
      <c r="D147" s="164" t="s">
        <v>779</v>
      </c>
      <c r="E147" s="212">
        <v>0</v>
      </c>
      <c r="F147" s="212">
        <v>45000</v>
      </c>
      <c r="G147" s="212">
        <v>0</v>
      </c>
      <c r="H147" s="212">
        <v>0</v>
      </c>
    </row>
    <row r="148" spans="2:8" ht="31.5" x14ac:dyDescent="0.7">
      <c r="B148" s="244"/>
      <c r="C148" s="248"/>
      <c r="D148" s="164" t="s">
        <v>780</v>
      </c>
      <c r="E148" s="212">
        <v>0</v>
      </c>
      <c r="F148" s="212">
        <v>70000</v>
      </c>
      <c r="G148" s="212">
        <v>0</v>
      </c>
      <c r="H148" s="212">
        <v>0</v>
      </c>
    </row>
    <row r="149" spans="2:8" ht="31.5" x14ac:dyDescent="0.7">
      <c r="B149" s="244"/>
      <c r="C149" s="248"/>
      <c r="D149" s="164" t="s">
        <v>781</v>
      </c>
      <c r="E149" s="212">
        <v>0</v>
      </c>
      <c r="F149" s="212">
        <v>25000</v>
      </c>
      <c r="G149" s="212">
        <v>0</v>
      </c>
      <c r="H149" s="212">
        <v>0</v>
      </c>
    </row>
    <row r="150" spans="2:8" ht="31.5" x14ac:dyDescent="0.7">
      <c r="B150" s="244"/>
      <c r="C150" s="248"/>
      <c r="D150" s="164" t="s">
        <v>782</v>
      </c>
      <c r="E150" s="212">
        <v>0</v>
      </c>
      <c r="F150" s="212">
        <v>18000</v>
      </c>
      <c r="G150" s="212">
        <v>0</v>
      </c>
      <c r="H150" s="212">
        <v>0</v>
      </c>
    </row>
    <row r="151" spans="2:8" ht="31.5" x14ac:dyDescent="0.7">
      <c r="B151" s="244"/>
      <c r="C151" s="248"/>
      <c r="D151" s="164" t="s">
        <v>783</v>
      </c>
      <c r="E151" s="212">
        <v>0</v>
      </c>
      <c r="F151" s="212">
        <v>100000</v>
      </c>
      <c r="G151" s="212">
        <v>0</v>
      </c>
      <c r="H151" s="212">
        <v>0</v>
      </c>
    </row>
    <row r="152" spans="2:8" ht="31.5" x14ac:dyDescent="0.7">
      <c r="B152" s="244"/>
      <c r="C152" s="248"/>
      <c r="D152" s="164" t="s">
        <v>784</v>
      </c>
      <c r="E152" s="212">
        <v>0</v>
      </c>
      <c r="F152" s="212">
        <v>156000</v>
      </c>
      <c r="G152" s="212">
        <v>0</v>
      </c>
      <c r="H152" s="212">
        <v>0</v>
      </c>
    </row>
    <row r="153" spans="2:8" ht="31.5" x14ac:dyDescent="0.7">
      <c r="B153" s="244"/>
      <c r="C153" s="248"/>
      <c r="D153" s="164" t="s">
        <v>785</v>
      </c>
      <c r="E153" s="212">
        <v>0</v>
      </c>
      <c r="F153" s="212">
        <v>0</v>
      </c>
      <c r="G153" s="212">
        <v>0</v>
      </c>
      <c r="H153" s="212">
        <v>1500</v>
      </c>
    </row>
    <row r="154" spans="2:8" ht="31.5" x14ac:dyDescent="0.7">
      <c r="B154" s="244"/>
      <c r="C154" s="248"/>
      <c r="D154" s="164" t="s">
        <v>786</v>
      </c>
      <c r="E154" s="212">
        <v>0</v>
      </c>
      <c r="F154" s="212">
        <v>8000</v>
      </c>
      <c r="G154" s="212">
        <v>0</v>
      </c>
      <c r="H154" s="212">
        <v>0</v>
      </c>
    </row>
    <row r="155" spans="2:8" ht="31.5" x14ac:dyDescent="0.7">
      <c r="B155" s="244"/>
      <c r="C155" s="248"/>
      <c r="D155" s="164" t="s">
        <v>787</v>
      </c>
      <c r="E155" s="212">
        <v>0</v>
      </c>
      <c r="F155" s="212">
        <v>10000</v>
      </c>
      <c r="G155" s="212">
        <v>0</v>
      </c>
      <c r="H155" s="212">
        <v>0</v>
      </c>
    </row>
    <row r="156" spans="2:8" ht="31.5" x14ac:dyDescent="0.7">
      <c r="B156" s="244"/>
      <c r="C156" s="248"/>
      <c r="D156" s="164" t="s">
        <v>788</v>
      </c>
      <c r="E156" s="212">
        <v>0</v>
      </c>
      <c r="F156" s="212">
        <v>0</v>
      </c>
      <c r="G156" s="212">
        <v>0</v>
      </c>
      <c r="H156" s="212">
        <v>2000</v>
      </c>
    </row>
    <row r="157" spans="2:8" ht="31.5" x14ac:dyDescent="0.7">
      <c r="B157" s="244"/>
      <c r="C157" s="248"/>
      <c r="D157" s="164" t="s">
        <v>789</v>
      </c>
      <c r="E157" s="212">
        <v>0</v>
      </c>
      <c r="F157" s="212">
        <v>449000</v>
      </c>
      <c r="G157" s="212">
        <v>0</v>
      </c>
      <c r="H157" s="212">
        <v>0</v>
      </c>
    </row>
    <row r="158" spans="2:8" ht="31.5" x14ac:dyDescent="0.7">
      <c r="B158" s="244"/>
      <c r="C158" s="247">
        <v>46188</v>
      </c>
      <c r="D158" s="164" t="s">
        <v>553</v>
      </c>
      <c r="E158" s="212">
        <v>0</v>
      </c>
      <c r="F158" s="212">
        <v>15000</v>
      </c>
      <c r="G158" s="212">
        <v>0</v>
      </c>
      <c r="H158" s="212">
        <v>0</v>
      </c>
    </row>
    <row r="159" spans="2:8" ht="31.5" x14ac:dyDescent="0.7">
      <c r="B159" s="244"/>
      <c r="C159" s="248"/>
      <c r="D159" s="164" t="s">
        <v>554</v>
      </c>
      <c r="E159" s="212">
        <v>0</v>
      </c>
      <c r="F159" s="212">
        <v>65000</v>
      </c>
      <c r="G159" s="212">
        <v>0</v>
      </c>
      <c r="H159" s="212">
        <v>0</v>
      </c>
    </row>
    <row r="160" spans="2:8" ht="31.5" x14ac:dyDescent="0.7">
      <c r="B160" s="244"/>
      <c r="C160" s="248"/>
      <c r="D160" s="164" t="s">
        <v>555</v>
      </c>
      <c r="E160" s="212">
        <v>0</v>
      </c>
      <c r="F160" s="212">
        <v>28000</v>
      </c>
      <c r="G160" s="212">
        <v>0</v>
      </c>
      <c r="H160" s="212">
        <v>0</v>
      </c>
    </row>
    <row r="161" spans="2:8" ht="31.5" x14ac:dyDescent="0.7">
      <c r="B161" s="244"/>
      <c r="C161" s="248"/>
      <c r="D161" s="164" t="s">
        <v>655</v>
      </c>
      <c r="E161" s="212">
        <v>0</v>
      </c>
      <c r="F161" s="212">
        <v>30000</v>
      </c>
      <c r="G161" s="212">
        <v>0</v>
      </c>
      <c r="H161" s="212">
        <v>0</v>
      </c>
    </row>
    <row r="162" spans="2:8" ht="31.5" x14ac:dyDescent="0.7">
      <c r="B162" s="244"/>
      <c r="C162" s="248"/>
      <c r="D162" s="164" t="s">
        <v>657</v>
      </c>
      <c r="E162" s="212">
        <v>0</v>
      </c>
      <c r="F162" s="212">
        <v>95000</v>
      </c>
      <c r="G162" s="212">
        <v>0</v>
      </c>
      <c r="H162" s="212">
        <v>0</v>
      </c>
    </row>
    <row r="163" spans="2:8" ht="31.5" x14ac:dyDescent="0.7">
      <c r="B163" s="244"/>
      <c r="C163" s="248"/>
      <c r="D163" s="164" t="s">
        <v>777</v>
      </c>
      <c r="E163" s="212">
        <v>0</v>
      </c>
      <c r="F163" s="212">
        <v>14000</v>
      </c>
      <c r="G163" s="212">
        <v>0</v>
      </c>
      <c r="H163" s="212">
        <v>0</v>
      </c>
    </row>
    <row r="164" spans="2:8" ht="31.5" x14ac:dyDescent="0.7">
      <c r="B164" s="244"/>
      <c r="C164" s="248"/>
      <c r="D164" s="164" t="s">
        <v>778</v>
      </c>
      <c r="E164" s="212">
        <v>0</v>
      </c>
      <c r="F164" s="212">
        <v>52000</v>
      </c>
      <c r="G164" s="212">
        <v>0</v>
      </c>
      <c r="H164" s="212">
        <v>0</v>
      </c>
    </row>
    <row r="165" spans="2:8" ht="31.5" x14ac:dyDescent="0.7">
      <c r="B165" s="244"/>
      <c r="C165" s="248"/>
      <c r="D165" s="164" t="s">
        <v>779</v>
      </c>
      <c r="E165" s="212">
        <v>0</v>
      </c>
      <c r="F165" s="212">
        <v>45000</v>
      </c>
      <c r="G165" s="212">
        <v>0</v>
      </c>
      <c r="H165" s="212">
        <v>0</v>
      </c>
    </row>
    <row r="166" spans="2:8" ht="31.5" x14ac:dyDescent="0.7">
      <c r="B166" s="244"/>
      <c r="C166" s="248"/>
      <c r="D166" s="164" t="s">
        <v>781</v>
      </c>
      <c r="E166" s="212">
        <v>0</v>
      </c>
      <c r="F166" s="212">
        <v>25000</v>
      </c>
      <c r="G166" s="212">
        <v>0</v>
      </c>
      <c r="H166" s="212">
        <v>0</v>
      </c>
    </row>
    <row r="167" spans="2:8" ht="31.5" x14ac:dyDescent="0.7">
      <c r="B167" s="244"/>
      <c r="C167" s="248"/>
      <c r="D167" s="164" t="s">
        <v>782</v>
      </c>
      <c r="E167" s="212">
        <v>0</v>
      </c>
      <c r="F167" s="212">
        <v>36000</v>
      </c>
      <c r="G167" s="212">
        <v>0</v>
      </c>
      <c r="H167" s="212">
        <v>0</v>
      </c>
    </row>
    <row r="168" spans="2:8" ht="31.5" x14ac:dyDescent="0.7">
      <c r="B168" s="244"/>
      <c r="C168" s="248"/>
      <c r="D168" s="164" t="s">
        <v>783</v>
      </c>
      <c r="E168" s="212">
        <v>0</v>
      </c>
      <c r="F168" s="212">
        <v>100000</v>
      </c>
      <c r="G168" s="212">
        <v>0</v>
      </c>
      <c r="H168" s="212">
        <v>0</v>
      </c>
    </row>
    <row r="169" spans="2:8" ht="31.5" x14ac:dyDescent="0.7">
      <c r="B169" s="244"/>
      <c r="C169" s="248"/>
      <c r="D169" s="164" t="s">
        <v>817</v>
      </c>
      <c r="E169" s="212">
        <v>0</v>
      </c>
      <c r="F169" s="212">
        <v>70000</v>
      </c>
      <c r="G169" s="212">
        <v>0</v>
      </c>
      <c r="H169" s="212">
        <v>0</v>
      </c>
    </row>
    <row r="170" spans="2:8" ht="31.5" x14ac:dyDescent="0.7">
      <c r="B170" s="244"/>
      <c r="C170" s="248"/>
      <c r="D170" s="164" t="s">
        <v>818</v>
      </c>
      <c r="E170" s="212">
        <v>0</v>
      </c>
      <c r="F170" s="212">
        <v>126000</v>
      </c>
      <c r="G170" s="212">
        <v>0</v>
      </c>
      <c r="H170" s="212">
        <v>0</v>
      </c>
    </row>
    <row r="171" spans="2:8" ht="31.5" x14ac:dyDescent="0.7">
      <c r="B171" s="244"/>
      <c r="C171" s="248"/>
      <c r="D171" s="164" t="s">
        <v>819</v>
      </c>
      <c r="E171" s="212">
        <v>0</v>
      </c>
      <c r="F171" s="212">
        <v>132000</v>
      </c>
      <c r="G171" s="212">
        <v>0</v>
      </c>
      <c r="H171" s="212">
        <v>0</v>
      </c>
    </row>
    <row r="172" spans="2:8" ht="31.5" x14ac:dyDescent="0.7">
      <c r="B172" s="244"/>
      <c r="C172" s="248"/>
      <c r="D172" s="164" t="s">
        <v>820</v>
      </c>
      <c r="E172" s="212">
        <v>0</v>
      </c>
      <c r="F172" s="212">
        <v>0</v>
      </c>
      <c r="G172" s="212">
        <v>0</v>
      </c>
      <c r="H172" s="212">
        <v>1000</v>
      </c>
    </row>
    <row r="173" spans="2:8" ht="31.5" x14ac:dyDescent="0.7">
      <c r="B173" s="244"/>
      <c r="C173" s="248"/>
      <c r="D173" s="164" t="s">
        <v>821</v>
      </c>
      <c r="E173" s="212">
        <v>0</v>
      </c>
      <c r="F173" s="212">
        <v>45000</v>
      </c>
      <c r="G173" s="212">
        <v>0</v>
      </c>
      <c r="H173" s="212">
        <v>0</v>
      </c>
    </row>
    <row r="174" spans="2:8" ht="31.5" x14ac:dyDescent="0.7">
      <c r="B174" s="244"/>
      <c r="C174" s="248"/>
      <c r="D174" s="164" t="s">
        <v>822</v>
      </c>
      <c r="E174" s="212">
        <v>0</v>
      </c>
      <c r="F174" s="212">
        <v>0</v>
      </c>
      <c r="G174" s="212">
        <v>0</v>
      </c>
      <c r="H174" s="212">
        <v>140</v>
      </c>
    </row>
    <row r="175" spans="2:8" ht="31.5" x14ac:dyDescent="0.7">
      <c r="B175" s="244"/>
      <c r="C175" s="248"/>
      <c r="D175" s="164" t="s">
        <v>823</v>
      </c>
      <c r="E175" s="212">
        <v>0</v>
      </c>
      <c r="F175" s="212">
        <v>10000</v>
      </c>
      <c r="G175" s="212">
        <v>0</v>
      </c>
      <c r="H175" s="212">
        <v>0</v>
      </c>
    </row>
    <row r="176" spans="2:8" ht="31.5" x14ac:dyDescent="0.7">
      <c r="B176" s="244"/>
      <c r="C176" s="248"/>
      <c r="D176" s="164" t="s">
        <v>1189</v>
      </c>
      <c r="E176" s="212">
        <v>0</v>
      </c>
      <c r="F176" s="212">
        <v>0</v>
      </c>
      <c r="G176" s="212">
        <v>19960</v>
      </c>
      <c r="H176" s="212">
        <v>0</v>
      </c>
    </row>
    <row r="177" spans="2:8" ht="31.5" x14ac:dyDescent="0.7">
      <c r="B177" s="244"/>
      <c r="C177" s="247">
        <v>46189</v>
      </c>
      <c r="D177" s="164" t="s">
        <v>842</v>
      </c>
      <c r="E177" s="212">
        <v>0</v>
      </c>
      <c r="F177" s="212">
        <v>55000</v>
      </c>
      <c r="G177" s="212">
        <v>0</v>
      </c>
      <c r="H177" s="212">
        <v>0</v>
      </c>
    </row>
    <row r="178" spans="2:8" ht="31.5" x14ac:dyDescent="0.7">
      <c r="B178" s="244"/>
      <c r="C178" s="248"/>
      <c r="D178" s="164" t="s">
        <v>843</v>
      </c>
      <c r="E178" s="212">
        <v>0</v>
      </c>
      <c r="F178" s="212">
        <v>70000</v>
      </c>
      <c r="G178" s="212">
        <v>0</v>
      </c>
      <c r="H178" s="212">
        <v>0</v>
      </c>
    </row>
    <row r="179" spans="2:8" ht="31.5" x14ac:dyDescent="0.7">
      <c r="B179" s="244"/>
      <c r="C179" s="248"/>
      <c r="D179" s="164" t="s">
        <v>844</v>
      </c>
      <c r="E179" s="212">
        <v>0</v>
      </c>
      <c r="F179" s="212">
        <v>15000</v>
      </c>
      <c r="G179" s="212">
        <v>0</v>
      </c>
      <c r="H179" s="212">
        <v>0</v>
      </c>
    </row>
    <row r="180" spans="2:8" ht="31.5" x14ac:dyDescent="0.7">
      <c r="B180" s="244"/>
      <c r="C180" s="248"/>
      <c r="D180" s="164" t="s">
        <v>845</v>
      </c>
      <c r="E180" s="212">
        <v>0</v>
      </c>
      <c r="F180" s="212">
        <v>110000</v>
      </c>
      <c r="G180" s="212">
        <v>0</v>
      </c>
      <c r="H180" s="212">
        <v>0</v>
      </c>
    </row>
    <row r="181" spans="2:8" ht="31.5" x14ac:dyDescent="0.7">
      <c r="B181" s="244"/>
      <c r="C181" s="248"/>
      <c r="D181" s="164" t="s">
        <v>846</v>
      </c>
      <c r="E181" s="212">
        <v>0</v>
      </c>
      <c r="F181" s="212">
        <v>25000</v>
      </c>
      <c r="G181" s="212">
        <v>0</v>
      </c>
      <c r="H181" s="212">
        <v>0</v>
      </c>
    </row>
    <row r="182" spans="2:8" ht="31.5" x14ac:dyDescent="0.7">
      <c r="B182" s="244"/>
      <c r="C182" s="248"/>
      <c r="D182" s="164" t="s">
        <v>847</v>
      </c>
      <c r="E182" s="212">
        <v>0</v>
      </c>
      <c r="F182" s="212">
        <v>112000</v>
      </c>
      <c r="G182" s="212">
        <v>0</v>
      </c>
      <c r="H182" s="212">
        <v>0</v>
      </c>
    </row>
    <row r="183" spans="2:8" ht="31.5" x14ac:dyDescent="0.7">
      <c r="B183" s="244"/>
      <c r="C183" s="248"/>
      <c r="D183" s="164" t="s">
        <v>848</v>
      </c>
      <c r="E183" s="212">
        <v>0</v>
      </c>
      <c r="F183" s="212">
        <v>28000</v>
      </c>
      <c r="G183" s="212">
        <v>0</v>
      </c>
      <c r="H183" s="212">
        <v>0</v>
      </c>
    </row>
    <row r="184" spans="2:8" ht="31.5" x14ac:dyDescent="0.7">
      <c r="B184" s="244"/>
      <c r="C184" s="248"/>
      <c r="D184" s="164" t="s">
        <v>849</v>
      </c>
      <c r="E184" s="212">
        <v>0</v>
      </c>
      <c r="F184" s="212">
        <v>18000</v>
      </c>
      <c r="G184" s="212">
        <v>0</v>
      </c>
      <c r="H184" s="212">
        <v>0</v>
      </c>
    </row>
    <row r="185" spans="2:8" ht="31.5" x14ac:dyDescent="0.7">
      <c r="B185" s="244"/>
      <c r="C185" s="248"/>
      <c r="D185" s="164" t="s">
        <v>850</v>
      </c>
      <c r="E185" s="212">
        <v>0</v>
      </c>
      <c r="F185" s="212">
        <v>100000</v>
      </c>
      <c r="G185" s="212">
        <v>0</v>
      </c>
      <c r="H185" s="212">
        <v>0</v>
      </c>
    </row>
    <row r="186" spans="2:8" ht="31.5" x14ac:dyDescent="0.7">
      <c r="B186" s="244"/>
      <c r="C186" s="248"/>
      <c r="D186" s="164" t="s">
        <v>862</v>
      </c>
      <c r="E186" s="212">
        <v>0</v>
      </c>
      <c r="F186" s="212">
        <v>78000</v>
      </c>
      <c r="G186" s="212">
        <v>0</v>
      </c>
      <c r="H186" s="212">
        <v>0</v>
      </c>
    </row>
    <row r="187" spans="2:8" ht="31.5" x14ac:dyDescent="0.7">
      <c r="B187" s="244"/>
      <c r="C187" s="248"/>
      <c r="D187" s="164" t="s">
        <v>863</v>
      </c>
      <c r="E187" s="212">
        <v>0</v>
      </c>
      <c r="F187" s="212">
        <v>124000</v>
      </c>
      <c r="G187" s="212">
        <v>0</v>
      </c>
      <c r="H187" s="212">
        <v>0</v>
      </c>
    </row>
    <row r="188" spans="2:8" ht="31.5" x14ac:dyDescent="0.7">
      <c r="B188" s="244"/>
      <c r="C188" s="248"/>
      <c r="D188" s="164" t="s">
        <v>947</v>
      </c>
      <c r="E188" s="212">
        <v>0</v>
      </c>
      <c r="F188" s="212">
        <v>0</v>
      </c>
      <c r="G188" s="212">
        <v>0</v>
      </c>
      <c r="H188" s="212">
        <v>2000</v>
      </c>
    </row>
    <row r="189" spans="2:8" ht="31.5" x14ac:dyDescent="0.7">
      <c r="B189" s="244"/>
      <c r="C189" s="247">
        <v>46190</v>
      </c>
      <c r="D189" s="164" t="s">
        <v>861</v>
      </c>
      <c r="E189" s="212">
        <v>0</v>
      </c>
      <c r="F189" s="212">
        <v>152000</v>
      </c>
      <c r="G189" s="212">
        <v>0</v>
      </c>
      <c r="H189" s="212">
        <v>0</v>
      </c>
    </row>
    <row r="190" spans="2:8" ht="31.5" x14ac:dyDescent="0.7">
      <c r="B190" s="244"/>
      <c r="C190" s="248"/>
      <c r="D190" s="164" t="s">
        <v>842</v>
      </c>
      <c r="E190" s="212">
        <v>0</v>
      </c>
      <c r="F190" s="212">
        <v>65000</v>
      </c>
      <c r="G190" s="212">
        <v>0</v>
      </c>
      <c r="H190" s="212">
        <v>0</v>
      </c>
    </row>
    <row r="191" spans="2:8" ht="31.5" x14ac:dyDescent="0.7">
      <c r="B191" s="244"/>
      <c r="C191" s="248"/>
      <c r="D191" s="164" t="s">
        <v>843</v>
      </c>
      <c r="E191" s="212">
        <v>0</v>
      </c>
      <c r="F191" s="212">
        <v>70000</v>
      </c>
      <c r="G191" s="212">
        <v>0</v>
      </c>
      <c r="H191" s="212">
        <v>0</v>
      </c>
    </row>
    <row r="192" spans="2:8" ht="31.5" x14ac:dyDescent="0.7">
      <c r="B192" s="244"/>
      <c r="C192" s="248"/>
      <c r="D192" s="164" t="s">
        <v>909</v>
      </c>
      <c r="E192" s="212">
        <v>0</v>
      </c>
      <c r="F192" s="212">
        <v>23000</v>
      </c>
      <c r="G192" s="212">
        <v>0</v>
      </c>
      <c r="H192" s="212">
        <v>0</v>
      </c>
    </row>
    <row r="193" spans="2:8" ht="31.5" x14ac:dyDescent="0.7">
      <c r="B193" s="244"/>
      <c r="C193" s="248"/>
      <c r="D193" s="164" t="s">
        <v>910</v>
      </c>
      <c r="E193" s="212">
        <v>0</v>
      </c>
      <c r="F193" s="212">
        <v>31000</v>
      </c>
      <c r="G193" s="212">
        <v>0</v>
      </c>
      <c r="H193" s="212">
        <v>0</v>
      </c>
    </row>
    <row r="194" spans="2:8" ht="31.5" x14ac:dyDescent="0.7">
      <c r="B194" s="244"/>
      <c r="C194" s="248"/>
      <c r="D194" s="164" t="s">
        <v>911</v>
      </c>
      <c r="E194" s="212">
        <v>0</v>
      </c>
      <c r="F194" s="212">
        <v>25000</v>
      </c>
      <c r="G194" s="212">
        <v>0</v>
      </c>
      <c r="H194" s="212">
        <v>0</v>
      </c>
    </row>
    <row r="195" spans="2:8" ht="31.5" x14ac:dyDescent="0.7">
      <c r="B195" s="244"/>
      <c r="C195" s="248"/>
      <c r="D195" s="164" t="s">
        <v>912</v>
      </c>
      <c r="E195" s="212">
        <v>0</v>
      </c>
      <c r="F195" s="212">
        <v>15000</v>
      </c>
      <c r="G195" s="212">
        <v>0</v>
      </c>
      <c r="H195" s="212">
        <v>0</v>
      </c>
    </row>
    <row r="196" spans="2:8" ht="31.5" x14ac:dyDescent="0.7">
      <c r="B196" s="244"/>
      <c r="C196" s="248"/>
      <c r="D196" s="164" t="s">
        <v>913</v>
      </c>
      <c r="E196" s="212">
        <v>0</v>
      </c>
      <c r="F196" s="212">
        <v>110000</v>
      </c>
      <c r="G196" s="212">
        <v>0</v>
      </c>
      <c r="H196" s="212">
        <v>0</v>
      </c>
    </row>
    <row r="197" spans="2:8" ht="31.5" x14ac:dyDescent="0.7">
      <c r="B197" s="244"/>
      <c r="C197" s="248"/>
      <c r="D197" s="164" t="s">
        <v>914</v>
      </c>
      <c r="E197" s="212">
        <v>0</v>
      </c>
      <c r="F197" s="212">
        <v>112000</v>
      </c>
      <c r="G197" s="212">
        <v>0</v>
      </c>
      <c r="H197" s="212">
        <v>0</v>
      </c>
    </row>
    <row r="198" spans="2:8" ht="31.5" x14ac:dyDescent="0.7">
      <c r="B198" s="244"/>
      <c r="C198" s="248"/>
      <c r="D198" s="164" t="s">
        <v>915</v>
      </c>
      <c r="E198" s="212">
        <v>0</v>
      </c>
      <c r="F198" s="212">
        <v>80000</v>
      </c>
      <c r="G198" s="212">
        <v>0</v>
      </c>
      <c r="H198" s="212">
        <v>0</v>
      </c>
    </row>
    <row r="199" spans="2:8" ht="31.5" x14ac:dyDescent="0.7">
      <c r="B199" s="244"/>
      <c r="C199" s="248"/>
      <c r="D199" s="164" t="s">
        <v>916</v>
      </c>
      <c r="E199" s="212">
        <v>0</v>
      </c>
      <c r="F199" s="212">
        <v>18000</v>
      </c>
      <c r="G199" s="212">
        <v>0</v>
      </c>
      <c r="H199" s="212">
        <v>0</v>
      </c>
    </row>
    <row r="200" spans="2:8" ht="31.5" x14ac:dyDescent="0.7">
      <c r="B200" s="244"/>
      <c r="C200" s="248"/>
      <c r="D200" s="164" t="s">
        <v>917</v>
      </c>
      <c r="E200" s="212">
        <v>0</v>
      </c>
      <c r="F200" s="212">
        <v>100000</v>
      </c>
      <c r="G200" s="212">
        <v>0</v>
      </c>
      <c r="H200" s="212">
        <v>0</v>
      </c>
    </row>
    <row r="201" spans="2:8" ht="56.25" x14ac:dyDescent="0.7">
      <c r="B201" s="244"/>
      <c r="C201" s="248"/>
      <c r="D201" s="164" t="s">
        <v>941</v>
      </c>
      <c r="E201" s="212">
        <v>0</v>
      </c>
      <c r="F201" s="212">
        <v>224000</v>
      </c>
      <c r="G201" s="212">
        <v>0</v>
      </c>
      <c r="H201" s="212">
        <v>0</v>
      </c>
    </row>
    <row r="202" spans="2:8" ht="31.5" x14ac:dyDescent="0.7">
      <c r="B202" s="244"/>
      <c r="C202" s="248"/>
      <c r="D202" s="164" t="s">
        <v>942</v>
      </c>
      <c r="E202" s="212">
        <v>0</v>
      </c>
      <c r="F202" s="212">
        <v>7000</v>
      </c>
      <c r="G202" s="212">
        <v>0</v>
      </c>
      <c r="H202" s="212">
        <v>0</v>
      </c>
    </row>
    <row r="203" spans="2:8" ht="31.5" x14ac:dyDescent="0.7">
      <c r="B203" s="244"/>
      <c r="C203" s="248"/>
      <c r="D203" s="164" t="s">
        <v>943</v>
      </c>
      <c r="E203" s="212">
        <v>0</v>
      </c>
      <c r="F203" s="212">
        <v>20000</v>
      </c>
      <c r="G203" s="212">
        <v>0</v>
      </c>
      <c r="H203" s="212">
        <v>0</v>
      </c>
    </row>
    <row r="204" spans="2:8" ht="31.5" x14ac:dyDescent="0.7">
      <c r="B204" s="244"/>
      <c r="C204" s="248"/>
      <c r="D204" s="164" t="s">
        <v>944</v>
      </c>
      <c r="E204" s="212">
        <v>0</v>
      </c>
      <c r="F204" s="212">
        <v>32000</v>
      </c>
      <c r="G204" s="212">
        <v>0</v>
      </c>
      <c r="H204" s="212">
        <v>0</v>
      </c>
    </row>
    <row r="205" spans="2:8" ht="31.5" x14ac:dyDescent="0.7">
      <c r="B205" s="244"/>
      <c r="C205" s="248"/>
      <c r="D205" s="164" t="s">
        <v>945</v>
      </c>
      <c r="E205" s="212">
        <v>0</v>
      </c>
      <c r="F205" s="212">
        <v>25000</v>
      </c>
      <c r="G205" s="212">
        <v>0</v>
      </c>
      <c r="H205" s="212">
        <v>0</v>
      </c>
    </row>
    <row r="206" spans="2:8" ht="31.5" x14ac:dyDescent="0.7">
      <c r="B206" s="244"/>
      <c r="C206" s="248"/>
      <c r="D206" s="164" t="s">
        <v>946</v>
      </c>
      <c r="E206" s="212">
        <v>0</v>
      </c>
      <c r="F206" s="212">
        <v>300000</v>
      </c>
      <c r="G206" s="212">
        <v>0</v>
      </c>
      <c r="H206" s="212">
        <v>0</v>
      </c>
    </row>
    <row r="207" spans="2:8" ht="31.5" x14ac:dyDescent="0.7">
      <c r="B207" s="244"/>
      <c r="C207" s="248"/>
      <c r="D207" s="164" t="s">
        <v>948</v>
      </c>
      <c r="E207" s="212">
        <v>0</v>
      </c>
      <c r="F207" s="212">
        <v>1500000</v>
      </c>
      <c r="G207" s="212">
        <v>0</v>
      </c>
      <c r="H207" s="212">
        <v>0</v>
      </c>
    </row>
    <row r="208" spans="2:8" ht="56.25" x14ac:dyDescent="0.7">
      <c r="B208" s="244"/>
      <c r="C208" s="248"/>
      <c r="D208" s="164" t="s">
        <v>950</v>
      </c>
      <c r="E208" s="212">
        <v>0</v>
      </c>
      <c r="F208" s="212">
        <v>200000</v>
      </c>
      <c r="G208" s="212">
        <v>0</v>
      </c>
      <c r="H208" s="212">
        <v>0</v>
      </c>
    </row>
    <row r="209" spans="2:8" ht="31.5" x14ac:dyDescent="0.7">
      <c r="B209" s="244"/>
      <c r="C209" s="248"/>
      <c r="D209" s="164" t="s">
        <v>951</v>
      </c>
      <c r="E209" s="212">
        <v>0</v>
      </c>
      <c r="F209" s="212">
        <v>150000</v>
      </c>
      <c r="G209" s="212">
        <v>0</v>
      </c>
      <c r="H209" s="212">
        <v>0</v>
      </c>
    </row>
    <row r="210" spans="2:8" ht="31.5" x14ac:dyDescent="0.7">
      <c r="B210" s="244"/>
      <c r="C210" s="248"/>
      <c r="D210" s="164" t="s">
        <v>952</v>
      </c>
      <c r="E210" s="212">
        <v>0</v>
      </c>
      <c r="F210" s="212">
        <v>300000</v>
      </c>
      <c r="G210" s="212">
        <v>0</v>
      </c>
      <c r="H210" s="212">
        <v>0</v>
      </c>
    </row>
    <row r="211" spans="2:8" ht="31.5" x14ac:dyDescent="0.7">
      <c r="B211" s="244"/>
      <c r="C211" s="248"/>
      <c r="D211" s="164" t="s">
        <v>958</v>
      </c>
      <c r="E211" s="212">
        <v>0</v>
      </c>
      <c r="F211" s="212">
        <v>4500000</v>
      </c>
      <c r="G211" s="212">
        <v>0</v>
      </c>
      <c r="H211" s="212">
        <v>0</v>
      </c>
    </row>
    <row r="212" spans="2:8" ht="31.5" x14ac:dyDescent="0.7">
      <c r="B212" s="244"/>
      <c r="C212" s="248"/>
      <c r="D212" s="164" t="s">
        <v>995</v>
      </c>
      <c r="E212" s="212">
        <v>0</v>
      </c>
      <c r="F212" s="212">
        <v>45000</v>
      </c>
      <c r="G212" s="212">
        <v>0</v>
      </c>
      <c r="H212" s="212">
        <v>0</v>
      </c>
    </row>
    <row r="213" spans="2:8" ht="31.5" x14ac:dyDescent="0.7">
      <c r="B213" s="244"/>
      <c r="C213" s="248"/>
      <c r="D213" s="164" t="s">
        <v>996</v>
      </c>
      <c r="E213" s="212">
        <v>0</v>
      </c>
      <c r="F213" s="212">
        <v>25000</v>
      </c>
      <c r="G213" s="212">
        <v>0</v>
      </c>
      <c r="H213" s="212">
        <v>0</v>
      </c>
    </row>
    <row r="214" spans="2:8" ht="31.5" x14ac:dyDescent="0.7">
      <c r="B214" s="244"/>
      <c r="C214" s="248"/>
      <c r="D214" s="164" t="s">
        <v>1190</v>
      </c>
      <c r="E214" s="212">
        <v>0</v>
      </c>
      <c r="F214" s="212">
        <v>0</v>
      </c>
      <c r="G214" s="212">
        <v>5000</v>
      </c>
      <c r="H214" s="212">
        <v>0</v>
      </c>
    </row>
    <row r="215" spans="2:8" ht="31.5" x14ac:dyDescent="0.7">
      <c r="B215" s="244"/>
      <c r="C215" s="248"/>
      <c r="D215" s="164" t="s">
        <v>1191</v>
      </c>
      <c r="E215" s="212">
        <v>0</v>
      </c>
      <c r="F215" s="212">
        <v>0</v>
      </c>
      <c r="G215" s="212">
        <v>29940</v>
      </c>
      <c r="H215" s="212">
        <v>0</v>
      </c>
    </row>
    <row r="216" spans="2:8" ht="56.25" x14ac:dyDescent="0.7">
      <c r="B216" s="244"/>
      <c r="C216" s="248"/>
      <c r="D216" s="164" t="s">
        <v>1196</v>
      </c>
      <c r="E216" s="212">
        <v>0</v>
      </c>
      <c r="F216" s="212">
        <v>0</v>
      </c>
      <c r="G216" s="212">
        <v>0</v>
      </c>
      <c r="H216" s="212">
        <v>200</v>
      </c>
    </row>
    <row r="217" spans="2:8" ht="31.5" x14ac:dyDescent="0.7">
      <c r="B217" s="244"/>
      <c r="C217" s="247">
        <v>46191</v>
      </c>
      <c r="D217" s="164" t="s">
        <v>555</v>
      </c>
      <c r="E217" s="212">
        <v>0</v>
      </c>
      <c r="F217" s="212">
        <v>35000</v>
      </c>
      <c r="G217" s="212">
        <v>0</v>
      </c>
      <c r="H217" s="212">
        <v>0</v>
      </c>
    </row>
    <row r="218" spans="2:8" ht="31.5" x14ac:dyDescent="0.7">
      <c r="B218" s="244"/>
      <c r="C218" s="248"/>
      <c r="D218" s="164" t="s">
        <v>842</v>
      </c>
      <c r="E218" s="212">
        <v>0</v>
      </c>
      <c r="F218" s="212">
        <v>65000</v>
      </c>
      <c r="G218" s="212">
        <v>0</v>
      </c>
      <c r="H218" s="212">
        <v>0</v>
      </c>
    </row>
    <row r="219" spans="2:8" ht="31.5" x14ac:dyDescent="0.7">
      <c r="B219" s="244"/>
      <c r="C219" s="248"/>
      <c r="D219" s="164" t="s">
        <v>843</v>
      </c>
      <c r="E219" s="212">
        <v>0</v>
      </c>
      <c r="F219" s="212">
        <v>70000</v>
      </c>
      <c r="G219" s="212">
        <v>0</v>
      </c>
      <c r="H219" s="212">
        <v>0</v>
      </c>
    </row>
    <row r="220" spans="2:8" ht="31.5" x14ac:dyDescent="0.7">
      <c r="B220" s="244"/>
      <c r="C220" s="248"/>
      <c r="D220" s="164" t="s">
        <v>909</v>
      </c>
      <c r="E220" s="212">
        <v>0</v>
      </c>
      <c r="F220" s="212">
        <v>23000</v>
      </c>
      <c r="G220" s="212">
        <v>0</v>
      </c>
      <c r="H220" s="212">
        <v>0</v>
      </c>
    </row>
    <row r="221" spans="2:8" ht="31.5" x14ac:dyDescent="0.7">
      <c r="B221" s="244"/>
      <c r="C221" s="248"/>
      <c r="D221" s="164" t="s">
        <v>910</v>
      </c>
      <c r="E221" s="212">
        <v>0</v>
      </c>
      <c r="F221" s="212">
        <v>31000</v>
      </c>
      <c r="G221" s="212">
        <v>0</v>
      </c>
      <c r="H221" s="212">
        <v>0</v>
      </c>
    </row>
    <row r="222" spans="2:8" ht="31.5" x14ac:dyDescent="0.7">
      <c r="B222" s="244"/>
      <c r="C222" s="248"/>
      <c r="D222" s="164" t="s">
        <v>914</v>
      </c>
      <c r="E222" s="212">
        <v>0</v>
      </c>
      <c r="F222" s="212">
        <v>112000</v>
      </c>
      <c r="G222" s="212">
        <v>0</v>
      </c>
      <c r="H222" s="212">
        <v>0</v>
      </c>
    </row>
    <row r="223" spans="2:8" ht="31.5" x14ac:dyDescent="0.7">
      <c r="B223" s="244"/>
      <c r="C223" s="248"/>
      <c r="D223" s="164" t="s">
        <v>917</v>
      </c>
      <c r="E223" s="212">
        <v>0</v>
      </c>
      <c r="F223" s="212">
        <v>100000</v>
      </c>
      <c r="G223" s="212">
        <v>0</v>
      </c>
      <c r="H223" s="212">
        <v>0</v>
      </c>
    </row>
    <row r="224" spans="2:8" ht="31.5" x14ac:dyDescent="0.7">
      <c r="B224" s="244"/>
      <c r="C224" s="248"/>
      <c r="D224" s="164" t="s">
        <v>995</v>
      </c>
      <c r="E224" s="212">
        <v>0</v>
      </c>
      <c r="F224" s="212">
        <v>45000</v>
      </c>
      <c r="G224" s="212">
        <v>0</v>
      </c>
      <c r="H224" s="212">
        <v>0</v>
      </c>
    </row>
    <row r="225" spans="2:8" ht="31.5" x14ac:dyDescent="0.7">
      <c r="B225" s="244"/>
      <c r="C225" s="248"/>
      <c r="D225" s="164" t="s">
        <v>997</v>
      </c>
      <c r="E225" s="212">
        <v>0</v>
      </c>
      <c r="F225" s="212">
        <v>30000</v>
      </c>
      <c r="G225" s="212">
        <v>0</v>
      </c>
      <c r="H225" s="212">
        <v>0</v>
      </c>
    </row>
    <row r="226" spans="2:8" ht="31.5" x14ac:dyDescent="0.7">
      <c r="B226" s="244"/>
      <c r="C226" s="248"/>
      <c r="D226" s="164" t="s">
        <v>998</v>
      </c>
      <c r="E226" s="212">
        <v>0</v>
      </c>
      <c r="F226" s="212">
        <v>25000</v>
      </c>
      <c r="G226" s="212">
        <v>0</v>
      </c>
      <c r="H226" s="212">
        <v>0</v>
      </c>
    </row>
    <row r="227" spans="2:8" ht="31.5" x14ac:dyDescent="0.7">
      <c r="B227" s="244"/>
      <c r="C227" s="248"/>
      <c r="D227" s="164" t="s">
        <v>999</v>
      </c>
      <c r="E227" s="212">
        <v>0</v>
      </c>
      <c r="F227" s="212">
        <v>15000</v>
      </c>
      <c r="G227" s="212">
        <v>0</v>
      </c>
      <c r="H227" s="212">
        <v>0</v>
      </c>
    </row>
    <row r="228" spans="2:8" ht="31.5" x14ac:dyDescent="0.7">
      <c r="B228" s="244"/>
      <c r="C228" s="248"/>
      <c r="D228" s="164" t="s">
        <v>1000</v>
      </c>
      <c r="E228" s="212">
        <v>0</v>
      </c>
      <c r="F228" s="212">
        <v>80000</v>
      </c>
      <c r="G228" s="212">
        <v>0</v>
      </c>
      <c r="H228" s="212">
        <v>0</v>
      </c>
    </row>
    <row r="229" spans="2:8" ht="31.5" x14ac:dyDescent="0.7">
      <c r="B229" s="244"/>
      <c r="C229" s="248"/>
      <c r="D229" s="164" t="s">
        <v>1001</v>
      </c>
      <c r="E229" s="212">
        <v>0</v>
      </c>
      <c r="F229" s="212">
        <v>80000</v>
      </c>
      <c r="G229" s="212">
        <v>0</v>
      </c>
      <c r="H229" s="212">
        <v>0</v>
      </c>
    </row>
    <row r="230" spans="2:8" ht="31.5" x14ac:dyDescent="0.7">
      <c r="B230" s="244"/>
      <c r="C230" s="248"/>
      <c r="D230" s="164" t="s">
        <v>1002</v>
      </c>
      <c r="E230" s="212">
        <v>0</v>
      </c>
      <c r="F230" s="212">
        <v>25000</v>
      </c>
      <c r="G230" s="212">
        <v>0</v>
      </c>
      <c r="H230" s="212">
        <v>0</v>
      </c>
    </row>
    <row r="231" spans="2:8" ht="31.5" x14ac:dyDescent="0.7">
      <c r="B231" s="244"/>
      <c r="C231" s="248"/>
      <c r="D231" s="164" t="s">
        <v>1003</v>
      </c>
      <c r="E231" s="212">
        <v>0</v>
      </c>
      <c r="F231" s="212">
        <v>18000</v>
      </c>
      <c r="G231" s="212">
        <v>0</v>
      </c>
      <c r="H231" s="212">
        <v>0</v>
      </c>
    </row>
    <row r="232" spans="2:8" ht="31.5" x14ac:dyDescent="0.7">
      <c r="B232" s="244"/>
      <c r="C232" s="248"/>
      <c r="D232" s="164" t="s">
        <v>1004</v>
      </c>
      <c r="E232" s="212">
        <v>0</v>
      </c>
      <c r="F232" s="212">
        <v>60000</v>
      </c>
      <c r="G232" s="212">
        <v>0</v>
      </c>
      <c r="H232" s="212">
        <v>0</v>
      </c>
    </row>
    <row r="233" spans="2:8" ht="31.5" x14ac:dyDescent="0.7">
      <c r="B233" s="244"/>
      <c r="C233" s="248"/>
      <c r="D233" s="164" t="s">
        <v>1005</v>
      </c>
      <c r="E233" s="212">
        <v>0</v>
      </c>
      <c r="F233" s="212">
        <v>720000</v>
      </c>
      <c r="G233" s="212">
        <v>0</v>
      </c>
      <c r="H233" s="212">
        <v>0</v>
      </c>
    </row>
    <row r="234" spans="2:8" ht="31.5" x14ac:dyDescent="0.7">
      <c r="B234" s="244"/>
      <c r="C234" s="248"/>
      <c r="D234" s="164" t="s">
        <v>1006</v>
      </c>
      <c r="E234" s="212">
        <v>0</v>
      </c>
      <c r="F234" s="212">
        <v>216000</v>
      </c>
      <c r="G234" s="212">
        <v>0</v>
      </c>
      <c r="H234" s="212">
        <v>0</v>
      </c>
    </row>
    <row r="235" spans="2:8" ht="31.5" x14ac:dyDescent="0.7">
      <c r="B235" s="244"/>
      <c r="C235" s="248"/>
      <c r="D235" s="164" t="s">
        <v>1007</v>
      </c>
      <c r="E235" s="212">
        <v>0</v>
      </c>
      <c r="F235" s="212">
        <v>140000</v>
      </c>
      <c r="G235" s="212">
        <v>0</v>
      </c>
      <c r="H235" s="212">
        <v>0</v>
      </c>
    </row>
    <row r="236" spans="2:8" ht="31.5" x14ac:dyDescent="0.7">
      <c r="B236" s="244"/>
      <c r="C236" s="248"/>
      <c r="D236" s="164" t="s">
        <v>1008</v>
      </c>
      <c r="E236" s="212">
        <v>0</v>
      </c>
      <c r="F236" s="212">
        <v>19500</v>
      </c>
      <c r="G236" s="212">
        <v>0</v>
      </c>
      <c r="H236" s="212">
        <v>0</v>
      </c>
    </row>
    <row r="237" spans="2:8" ht="56.25" x14ac:dyDescent="0.7">
      <c r="B237" s="244"/>
      <c r="C237" s="248"/>
      <c r="D237" s="164" t="s">
        <v>1162</v>
      </c>
      <c r="E237" s="212">
        <v>0</v>
      </c>
      <c r="F237" s="212">
        <v>30000</v>
      </c>
      <c r="G237" s="212">
        <v>0</v>
      </c>
      <c r="H237" s="212">
        <v>0</v>
      </c>
    </row>
    <row r="238" spans="2:8" ht="31.5" x14ac:dyDescent="0.7">
      <c r="B238" s="244"/>
      <c r="C238" s="248"/>
      <c r="D238" s="164" t="s">
        <v>1163</v>
      </c>
      <c r="E238" s="212">
        <v>0</v>
      </c>
      <c r="F238" s="212">
        <v>100000</v>
      </c>
      <c r="G238" s="212">
        <v>0</v>
      </c>
      <c r="H238" s="212">
        <v>0</v>
      </c>
    </row>
    <row r="239" spans="2:8" ht="31.5" x14ac:dyDescent="0.7">
      <c r="B239" s="244"/>
      <c r="C239" s="248"/>
      <c r="D239" s="164" t="s">
        <v>1164</v>
      </c>
      <c r="E239" s="212">
        <v>0</v>
      </c>
      <c r="F239" s="212">
        <v>60000</v>
      </c>
      <c r="G239" s="212">
        <v>0</v>
      </c>
      <c r="H239" s="212">
        <v>0</v>
      </c>
    </row>
    <row r="240" spans="2:8" ht="31.5" x14ac:dyDescent="0.7">
      <c r="B240" s="244"/>
      <c r="C240" s="248"/>
      <c r="D240" s="164" t="s">
        <v>1165</v>
      </c>
      <c r="E240" s="212">
        <v>0</v>
      </c>
      <c r="F240" s="212">
        <v>20000</v>
      </c>
      <c r="G240" s="212">
        <v>0</v>
      </c>
      <c r="H240" s="212">
        <v>0</v>
      </c>
    </row>
    <row r="241" spans="2:8" ht="31.5" x14ac:dyDescent="0.7">
      <c r="B241" s="244"/>
      <c r="C241" s="248"/>
      <c r="D241" s="164" t="s">
        <v>1166</v>
      </c>
      <c r="E241" s="212">
        <v>0</v>
      </c>
      <c r="F241" s="212">
        <v>32000</v>
      </c>
      <c r="G241" s="212">
        <v>0</v>
      </c>
      <c r="H241" s="212">
        <v>0</v>
      </c>
    </row>
    <row r="242" spans="2:8" ht="31.5" x14ac:dyDescent="0.7">
      <c r="B242" s="244"/>
      <c r="C242" s="247">
        <v>46192</v>
      </c>
      <c r="D242" s="164" t="s">
        <v>842</v>
      </c>
      <c r="E242" s="212">
        <v>0</v>
      </c>
      <c r="F242" s="212">
        <v>55000</v>
      </c>
      <c r="G242" s="212">
        <v>0</v>
      </c>
      <c r="H242" s="212">
        <v>0</v>
      </c>
    </row>
    <row r="243" spans="2:8" ht="31.5" x14ac:dyDescent="0.7">
      <c r="B243" s="244"/>
      <c r="C243" s="248"/>
      <c r="D243" s="164" t="s">
        <v>843</v>
      </c>
      <c r="E243" s="212">
        <v>0</v>
      </c>
      <c r="F243" s="212">
        <v>70000</v>
      </c>
      <c r="G243" s="212">
        <v>0</v>
      </c>
      <c r="H243" s="212">
        <v>0</v>
      </c>
    </row>
    <row r="244" spans="2:8" ht="31.5" x14ac:dyDescent="0.7">
      <c r="B244" s="244"/>
      <c r="C244" s="248"/>
      <c r="D244" s="164" t="s">
        <v>1078</v>
      </c>
      <c r="E244" s="212">
        <v>0</v>
      </c>
      <c r="F244" s="212">
        <v>500000</v>
      </c>
      <c r="G244" s="212">
        <v>0</v>
      </c>
      <c r="H244" s="212">
        <v>0</v>
      </c>
    </row>
    <row r="245" spans="2:8" ht="31.5" x14ac:dyDescent="0.7">
      <c r="B245" s="244"/>
      <c r="C245" s="248"/>
      <c r="D245" s="164" t="s">
        <v>910</v>
      </c>
      <c r="E245" s="212">
        <v>0</v>
      </c>
      <c r="F245" s="212">
        <v>31000</v>
      </c>
      <c r="G245" s="212">
        <v>0</v>
      </c>
      <c r="H245" s="212">
        <v>0</v>
      </c>
    </row>
    <row r="246" spans="2:8" ht="31.5" x14ac:dyDescent="0.7">
      <c r="B246" s="244"/>
      <c r="C246" s="248"/>
      <c r="D246" s="164" t="s">
        <v>914</v>
      </c>
      <c r="E246" s="212">
        <v>0</v>
      </c>
      <c r="F246" s="212">
        <v>112000</v>
      </c>
      <c r="G246" s="212">
        <v>0</v>
      </c>
      <c r="H246" s="212">
        <v>0</v>
      </c>
    </row>
    <row r="247" spans="2:8" ht="31.5" x14ac:dyDescent="0.7">
      <c r="B247" s="244"/>
      <c r="C247" s="248"/>
      <c r="D247" s="164" t="s">
        <v>915</v>
      </c>
      <c r="E247" s="212">
        <v>0</v>
      </c>
      <c r="F247" s="212">
        <v>80000</v>
      </c>
      <c r="G247" s="212">
        <v>0</v>
      </c>
      <c r="H247" s="212">
        <v>0</v>
      </c>
    </row>
    <row r="248" spans="2:8" ht="31.5" x14ac:dyDescent="0.7">
      <c r="B248" s="244"/>
      <c r="C248" s="248"/>
      <c r="D248" s="164" t="s">
        <v>995</v>
      </c>
      <c r="E248" s="212">
        <v>0</v>
      </c>
      <c r="F248" s="212">
        <v>45000</v>
      </c>
      <c r="G248" s="212">
        <v>0</v>
      </c>
      <c r="H248" s="212">
        <v>0</v>
      </c>
    </row>
    <row r="249" spans="2:8" ht="31.5" x14ac:dyDescent="0.7">
      <c r="B249" s="244"/>
      <c r="C249" s="248"/>
      <c r="D249" s="164" t="s">
        <v>998</v>
      </c>
      <c r="E249" s="212">
        <v>0</v>
      </c>
      <c r="F249" s="212">
        <v>25000</v>
      </c>
      <c r="G249" s="212">
        <v>0</v>
      </c>
      <c r="H249" s="212">
        <v>0</v>
      </c>
    </row>
    <row r="250" spans="2:8" ht="31.5" x14ac:dyDescent="0.7">
      <c r="B250" s="244"/>
      <c r="C250" s="248"/>
      <c r="D250" s="164" t="s">
        <v>1000</v>
      </c>
      <c r="E250" s="212">
        <v>0</v>
      </c>
      <c r="F250" s="212">
        <v>80000</v>
      </c>
      <c r="G250" s="212">
        <v>0</v>
      </c>
      <c r="H250" s="212">
        <v>0</v>
      </c>
    </row>
    <row r="251" spans="2:8" ht="31.5" x14ac:dyDescent="0.7">
      <c r="B251" s="244"/>
      <c r="C251" s="248"/>
      <c r="D251" s="164" t="s">
        <v>1002</v>
      </c>
      <c r="E251" s="212">
        <v>0</v>
      </c>
      <c r="F251" s="212">
        <v>25000</v>
      </c>
      <c r="G251" s="212">
        <v>0</v>
      </c>
      <c r="H251" s="212">
        <v>0</v>
      </c>
    </row>
    <row r="252" spans="2:8" ht="31.5" x14ac:dyDescent="0.7">
      <c r="B252" s="244"/>
      <c r="C252" s="248"/>
      <c r="D252" s="164" t="s">
        <v>1003</v>
      </c>
      <c r="E252" s="212">
        <v>0</v>
      </c>
      <c r="F252" s="212">
        <v>18000</v>
      </c>
      <c r="G252" s="212">
        <v>0</v>
      </c>
      <c r="H252" s="212">
        <v>0</v>
      </c>
    </row>
    <row r="253" spans="2:8" ht="31.5" x14ac:dyDescent="0.7">
      <c r="B253" s="244"/>
      <c r="C253" s="248"/>
      <c r="D253" s="164" t="s">
        <v>1167</v>
      </c>
      <c r="E253" s="212">
        <v>0</v>
      </c>
      <c r="F253" s="212">
        <v>30000</v>
      </c>
      <c r="G253" s="212">
        <v>0</v>
      </c>
      <c r="H253" s="212">
        <v>0</v>
      </c>
    </row>
    <row r="254" spans="2:8" ht="31.5" x14ac:dyDescent="0.7">
      <c r="B254" s="244"/>
      <c r="C254" s="248"/>
      <c r="D254" s="164" t="s">
        <v>1168</v>
      </c>
      <c r="E254" s="212">
        <v>0</v>
      </c>
      <c r="F254" s="212">
        <v>15000</v>
      </c>
      <c r="G254" s="212">
        <v>0</v>
      </c>
      <c r="H254" s="212">
        <v>0</v>
      </c>
    </row>
    <row r="255" spans="2:8" ht="31.5" x14ac:dyDescent="0.7">
      <c r="B255" s="244"/>
      <c r="C255" s="248"/>
      <c r="D255" s="164" t="s">
        <v>1169</v>
      </c>
      <c r="E255" s="212">
        <v>0</v>
      </c>
      <c r="F255" s="212">
        <v>33000</v>
      </c>
      <c r="G255" s="212">
        <v>0</v>
      </c>
      <c r="H255" s="212">
        <v>0</v>
      </c>
    </row>
    <row r="256" spans="2:8" ht="31.5" x14ac:dyDescent="0.7">
      <c r="B256" s="244"/>
      <c r="C256" s="248"/>
      <c r="D256" s="164" t="s">
        <v>1170</v>
      </c>
      <c r="E256" s="212">
        <v>0</v>
      </c>
      <c r="F256" s="212">
        <v>100000</v>
      </c>
      <c r="G256" s="212">
        <v>0</v>
      </c>
      <c r="H256" s="212">
        <v>0</v>
      </c>
    </row>
    <row r="257" spans="2:8" ht="31.5" x14ac:dyDescent="0.7">
      <c r="B257" s="244"/>
      <c r="C257" s="248"/>
      <c r="D257" s="164" t="s">
        <v>1171</v>
      </c>
      <c r="E257" s="212">
        <v>0</v>
      </c>
      <c r="F257" s="212">
        <v>800000</v>
      </c>
      <c r="G257" s="212">
        <v>0</v>
      </c>
      <c r="H257" s="212">
        <v>0</v>
      </c>
    </row>
    <row r="258" spans="2:8" ht="31.5" x14ac:dyDescent="0.7">
      <c r="B258" s="244"/>
      <c r="C258" s="248"/>
      <c r="D258" s="164" t="s">
        <v>1172</v>
      </c>
      <c r="E258" s="212">
        <v>0</v>
      </c>
      <c r="F258" s="212">
        <v>50000</v>
      </c>
      <c r="G258" s="212">
        <v>0</v>
      </c>
      <c r="H258" s="212">
        <v>0</v>
      </c>
    </row>
    <row r="259" spans="2:8" ht="31.5" x14ac:dyDescent="0.7">
      <c r="B259" s="244"/>
      <c r="C259" s="248"/>
      <c r="D259" s="164" t="s">
        <v>1173</v>
      </c>
      <c r="E259" s="212">
        <v>0</v>
      </c>
      <c r="F259" s="212">
        <v>20000</v>
      </c>
      <c r="G259" s="212">
        <v>0</v>
      </c>
      <c r="H259" s="212">
        <v>0</v>
      </c>
    </row>
    <row r="260" spans="2:8" ht="31.5" x14ac:dyDescent="0.7">
      <c r="B260" s="244"/>
      <c r="C260" s="248"/>
      <c r="D260" s="164" t="s">
        <v>1174</v>
      </c>
      <c r="E260" s="212">
        <v>0</v>
      </c>
      <c r="F260" s="212">
        <v>25000</v>
      </c>
      <c r="G260" s="212">
        <v>0</v>
      </c>
      <c r="H260" s="212">
        <v>0</v>
      </c>
    </row>
    <row r="261" spans="2:8" ht="31.5" x14ac:dyDescent="0.7">
      <c r="B261" s="244"/>
      <c r="C261" s="248"/>
      <c r="D261" s="164" t="s">
        <v>1175</v>
      </c>
      <c r="E261" s="212">
        <v>0</v>
      </c>
      <c r="F261" s="212">
        <v>0</v>
      </c>
      <c r="G261" s="212">
        <v>0</v>
      </c>
      <c r="H261" s="212">
        <v>500</v>
      </c>
    </row>
    <row r="262" spans="2:8" ht="31.5" x14ac:dyDescent="0.7">
      <c r="B262" s="244"/>
      <c r="C262" s="248"/>
      <c r="D262" s="164" t="s">
        <v>1176</v>
      </c>
      <c r="E262" s="212">
        <v>0</v>
      </c>
      <c r="F262" s="212">
        <v>0</v>
      </c>
      <c r="G262" s="212">
        <v>0</v>
      </c>
      <c r="H262" s="212">
        <v>500</v>
      </c>
    </row>
    <row r="263" spans="2:8" ht="31.5" x14ac:dyDescent="0.7">
      <c r="B263" s="244"/>
      <c r="C263" s="248"/>
      <c r="D263" s="164" t="s">
        <v>1177</v>
      </c>
      <c r="E263" s="212">
        <v>0</v>
      </c>
      <c r="F263" s="212">
        <v>0</v>
      </c>
      <c r="G263" s="212">
        <v>0</v>
      </c>
      <c r="H263" s="212">
        <v>500</v>
      </c>
    </row>
    <row r="264" spans="2:8" ht="31.5" x14ac:dyDescent="0.7">
      <c r="B264" s="244"/>
      <c r="C264" s="248"/>
      <c r="D264" s="164" t="s">
        <v>1192</v>
      </c>
      <c r="E264" s="212">
        <v>0</v>
      </c>
      <c r="F264" s="212">
        <v>0</v>
      </c>
      <c r="G264" s="212">
        <v>0</v>
      </c>
      <c r="H264" s="212">
        <v>12000</v>
      </c>
    </row>
    <row r="265" spans="2:8" ht="31.5" x14ac:dyDescent="0.7">
      <c r="B265" s="244"/>
      <c r="C265" s="247">
        <v>46193</v>
      </c>
      <c r="D265" s="164" t="s">
        <v>843</v>
      </c>
      <c r="E265" s="212">
        <v>0</v>
      </c>
      <c r="F265" s="212">
        <v>70000</v>
      </c>
      <c r="G265" s="212">
        <v>0</v>
      </c>
      <c r="H265" s="212">
        <v>0</v>
      </c>
    </row>
    <row r="266" spans="2:8" ht="31.5" x14ac:dyDescent="0.7">
      <c r="B266" s="244"/>
      <c r="C266" s="248"/>
      <c r="D266" s="164" t="s">
        <v>909</v>
      </c>
      <c r="E266" s="212">
        <v>0</v>
      </c>
      <c r="F266" s="212">
        <v>23000</v>
      </c>
      <c r="G266" s="212">
        <v>0</v>
      </c>
      <c r="H266" s="212">
        <v>0</v>
      </c>
    </row>
    <row r="267" spans="2:8" ht="31.5" x14ac:dyDescent="0.7">
      <c r="B267" s="244"/>
      <c r="C267" s="248"/>
      <c r="D267" s="164" t="s">
        <v>910</v>
      </c>
      <c r="E267" s="212">
        <v>0</v>
      </c>
      <c r="F267" s="212">
        <v>31000</v>
      </c>
      <c r="G267" s="212">
        <v>0</v>
      </c>
      <c r="H267" s="212">
        <v>0</v>
      </c>
    </row>
    <row r="268" spans="2:8" ht="31.5" x14ac:dyDescent="0.7">
      <c r="B268" s="244"/>
      <c r="C268" s="248"/>
      <c r="D268" s="164" t="s">
        <v>915</v>
      </c>
      <c r="E268" s="212">
        <v>0</v>
      </c>
      <c r="F268" s="212">
        <v>80000</v>
      </c>
      <c r="G268" s="212">
        <v>0</v>
      </c>
      <c r="H268" s="212">
        <v>0</v>
      </c>
    </row>
    <row r="269" spans="2:8" ht="31.5" x14ac:dyDescent="0.7">
      <c r="B269" s="244"/>
      <c r="C269" s="248"/>
      <c r="D269" s="164" t="s">
        <v>995</v>
      </c>
      <c r="E269" s="212">
        <v>0</v>
      </c>
      <c r="F269" s="212">
        <v>45000</v>
      </c>
      <c r="G269" s="212">
        <v>0</v>
      </c>
      <c r="H269" s="212">
        <v>0</v>
      </c>
    </row>
    <row r="270" spans="2:8" ht="31.5" x14ac:dyDescent="0.7">
      <c r="B270" s="244"/>
      <c r="C270" s="248"/>
      <c r="D270" s="164" t="s">
        <v>998</v>
      </c>
      <c r="E270" s="212">
        <v>0</v>
      </c>
      <c r="F270" s="212">
        <v>25000</v>
      </c>
      <c r="G270" s="212">
        <v>0</v>
      </c>
      <c r="H270" s="212">
        <v>0</v>
      </c>
    </row>
    <row r="271" spans="2:8" ht="31.5" x14ac:dyDescent="0.7">
      <c r="B271" s="244"/>
      <c r="C271" s="248"/>
      <c r="D271" s="164" t="s">
        <v>1000</v>
      </c>
      <c r="E271" s="212">
        <v>0</v>
      </c>
      <c r="F271" s="212">
        <v>80000</v>
      </c>
      <c r="G271" s="212">
        <v>0</v>
      </c>
      <c r="H271" s="212">
        <v>0</v>
      </c>
    </row>
    <row r="272" spans="2:8" ht="31.5" x14ac:dyDescent="0.7">
      <c r="B272" s="244"/>
      <c r="C272" s="248"/>
      <c r="D272" s="164" t="s">
        <v>1002</v>
      </c>
      <c r="E272" s="212">
        <v>0</v>
      </c>
      <c r="F272" s="212">
        <v>25000</v>
      </c>
      <c r="G272" s="212">
        <v>0</v>
      </c>
      <c r="H272" s="212">
        <v>0</v>
      </c>
    </row>
    <row r="273" spans="2:8" ht="31.5" x14ac:dyDescent="0.7">
      <c r="B273" s="244"/>
      <c r="C273" s="248"/>
      <c r="D273" s="164" t="s">
        <v>1003</v>
      </c>
      <c r="E273" s="212">
        <v>0</v>
      </c>
      <c r="F273" s="212">
        <v>18000</v>
      </c>
      <c r="G273" s="212">
        <v>0</v>
      </c>
      <c r="H273" s="212">
        <v>0</v>
      </c>
    </row>
    <row r="274" spans="2:8" ht="31.5" x14ac:dyDescent="0.7">
      <c r="B274" s="244"/>
      <c r="C274" s="248"/>
      <c r="D274" s="164" t="s">
        <v>1168</v>
      </c>
      <c r="E274" s="212">
        <v>0</v>
      </c>
      <c r="F274" s="212">
        <v>15000</v>
      </c>
      <c r="G274" s="212">
        <v>0</v>
      </c>
      <c r="H274" s="212">
        <v>0</v>
      </c>
    </row>
    <row r="275" spans="2:8" ht="31.5" x14ac:dyDescent="0.7">
      <c r="B275" s="244"/>
      <c r="C275" s="248"/>
      <c r="D275" s="164" t="s">
        <v>1169</v>
      </c>
      <c r="E275" s="212">
        <v>0</v>
      </c>
      <c r="F275" s="212">
        <v>35000</v>
      </c>
      <c r="G275" s="212">
        <v>0</v>
      </c>
      <c r="H275" s="212">
        <v>0</v>
      </c>
    </row>
    <row r="276" spans="2:8" ht="31.5" x14ac:dyDescent="0.7">
      <c r="B276" s="244"/>
      <c r="C276" s="248"/>
      <c r="D276" s="164" t="s">
        <v>1170</v>
      </c>
      <c r="E276" s="212">
        <v>0</v>
      </c>
      <c r="F276" s="212">
        <v>100000</v>
      </c>
      <c r="G276" s="212">
        <v>0</v>
      </c>
      <c r="H276" s="212">
        <v>0</v>
      </c>
    </row>
    <row r="277" spans="2:8" ht="31.5" x14ac:dyDescent="0.7">
      <c r="B277" s="244"/>
      <c r="C277" s="248"/>
      <c r="D277" s="164" t="s">
        <v>1178</v>
      </c>
      <c r="E277" s="212">
        <v>0</v>
      </c>
      <c r="F277" s="212">
        <v>52000</v>
      </c>
      <c r="G277" s="212">
        <v>0</v>
      </c>
      <c r="H277" s="212">
        <v>0</v>
      </c>
    </row>
    <row r="278" spans="2:8" ht="31.5" x14ac:dyDescent="0.7">
      <c r="B278" s="244"/>
      <c r="C278" s="248"/>
      <c r="D278" s="164" t="s">
        <v>1179</v>
      </c>
      <c r="E278" s="212">
        <v>0</v>
      </c>
      <c r="F278" s="212">
        <v>30000</v>
      </c>
      <c r="G278" s="212">
        <v>0</v>
      </c>
      <c r="H278" s="212">
        <v>0</v>
      </c>
    </row>
    <row r="279" spans="2:8" ht="31.5" x14ac:dyDescent="0.7">
      <c r="B279" s="244"/>
      <c r="C279" s="248"/>
      <c r="D279" s="164" t="s">
        <v>1180</v>
      </c>
      <c r="E279" s="212">
        <v>0</v>
      </c>
      <c r="F279" s="212">
        <v>100000</v>
      </c>
      <c r="G279" s="212">
        <v>0</v>
      </c>
      <c r="H279" s="212">
        <v>0</v>
      </c>
    </row>
    <row r="280" spans="2:8" ht="56.25" x14ac:dyDescent="0.7">
      <c r="B280" s="244"/>
      <c r="C280" s="248"/>
      <c r="D280" s="164" t="s">
        <v>1181</v>
      </c>
      <c r="E280" s="212">
        <v>0</v>
      </c>
      <c r="F280" s="212">
        <v>55000</v>
      </c>
      <c r="G280" s="212">
        <v>0</v>
      </c>
      <c r="H280" s="212">
        <v>0</v>
      </c>
    </row>
    <row r="281" spans="2:8" ht="56.25" x14ac:dyDescent="0.7">
      <c r="B281" s="244"/>
      <c r="C281" s="248"/>
      <c r="D281" s="164" t="s">
        <v>1182</v>
      </c>
      <c r="E281" s="212">
        <v>0</v>
      </c>
      <c r="F281" s="212">
        <v>60000</v>
      </c>
      <c r="G281" s="212">
        <v>0</v>
      </c>
      <c r="H281" s="212">
        <v>0</v>
      </c>
    </row>
    <row r="282" spans="2:8" ht="31.5" x14ac:dyDescent="0.7">
      <c r="B282" s="244"/>
      <c r="C282" s="247">
        <v>46194</v>
      </c>
      <c r="D282" s="164" t="s">
        <v>817</v>
      </c>
      <c r="E282" s="212">
        <v>0</v>
      </c>
      <c r="F282" s="212">
        <v>70000</v>
      </c>
      <c r="G282" s="212">
        <v>0</v>
      </c>
      <c r="H282" s="212">
        <v>0</v>
      </c>
    </row>
    <row r="283" spans="2:8" ht="31.5" x14ac:dyDescent="0.7">
      <c r="B283" s="244"/>
      <c r="C283" s="248"/>
      <c r="D283" s="164" t="s">
        <v>910</v>
      </c>
      <c r="E283" s="212">
        <v>0</v>
      </c>
      <c r="F283" s="212">
        <v>31000</v>
      </c>
      <c r="G283" s="212">
        <v>0</v>
      </c>
      <c r="H283" s="212">
        <v>0</v>
      </c>
    </row>
    <row r="284" spans="2:8" ht="31.5" x14ac:dyDescent="0.7">
      <c r="B284" s="244"/>
      <c r="C284" s="248"/>
      <c r="D284" s="164" t="s">
        <v>995</v>
      </c>
      <c r="E284" s="212">
        <v>0</v>
      </c>
      <c r="F284" s="212">
        <v>45000</v>
      </c>
      <c r="G284" s="212">
        <v>0</v>
      </c>
      <c r="H284" s="212">
        <v>0</v>
      </c>
    </row>
    <row r="285" spans="2:8" ht="31.5" x14ac:dyDescent="0.7">
      <c r="B285" s="244"/>
      <c r="C285" s="248"/>
      <c r="D285" s="164" t="s">
        <v>998</v>
      </c>
      <c r="E285" s="212">
        <v>0</v>
      </c>
      <c r="F285" s="212">
        <v>25000</v>
      </c>
      <c r="G285" s="212">
        <v>0</v>
      </c>
      <c r="H285" s="212">
        <v>0</v>
      </c>
    </row>
    <row r="286" spans="2:8" ht="31.5" x14ac:dyDescent="0.7">
      <c r="B286" s="244"/>
      <c r="C286" s="248"/>
      <c r="D286" s="164" t="s">
        <v>1000</v>
      </c>
      <c r="E286" s="212">
        <v>0</v>
      </c>
      <c r="F286" s="212">
        <v>80000</v>
      </c>
      <c r="G286" s="212">
        <v>0</v>
      </c>
      <c r="H286" s="212">
        <v>0</v>
      </c>
    </row>
    <row r="287" spans="2:8" ht="31.5" x14ac:dyDescent="0.7">
      <c r="B287" s="244"/>
      <c r="C287" s="248"/>
      <c r="D287" s="164" t="s">
        <v>1001</v>
      </c>
      <c r="E287" s="212">
        <v>0</v>
      </c>
      <c r="F287" s="212">
        <v>80000</v>
      </c>
      <c r="G287" s="212">
        <v>0</v>
      </c>
      <c r="H287" s="212">
        <v>0</v>
      </c>
    </row>
    <row r="288" spans="2:8" ht="31.5" x14ac:dyDescent="0.7">
      <c r="B288" s="244"/>
      <c r="C288" s="248"/>
      <c r="D288" s="164" t="s">
        <v>1002</v>
      </c>
      <c r="E288" s="212">
        <v>0</v>
      </c>
      <c r="F288" s="212">
        <v>25000</v>
      </c>
      <c r="G288" s="212">
        <v>0</v>
      </c>
      <c r="H288" s="212">
        <v>0</v>
      </c>
    </row>
    <row r="289" spans="2:8" ht="31.5" x14ac:dyDescent="0.7">
      <c r="B289" s="244"/>
      <c r="C289" s="248"/>
      <c r="D289" s="164" t="s">
        <v>1003</v>
      </c>
      <c r="E289" s="212">
        <v>0</v>
      </c>
      <c r="F289" s="212">
        <v>18000</v>
      </c>
      <c r="G289" s="212">
        <v>0</v>
      </c>
      <c r="H289" s="212">
        <v>0</v>
      </c>
    </row>
    <row r="290" spans="2:8" ht="31.5" x14ac:dyDescent="0.7">
      <c r="B290" s="244"/>
      <c r="C290" s="248"/>
      <c r="D290" s="164" t="s">
        <v>1168</v>
      </c>
      <c r="E290" s="212">
        <v>0</v>
      </c>
      <c r="F290" s="212">
        <v>15000</v>
      </c>
      <c r="G290" s="212">
        <v>0</v>
      </c>
      <c r="H290" s="212">
        <v>0</v>
      </c>
    </row>
    <row r="291" spans="2:8" ht="31.5" x14ac:dyDescent="0.7">
      <c r="B291" s="244"/>
      <c r="C291" s="248"/>
      <c r="D291" s="164" t="s">
        <v>1169</v>
      </c>
      <c r="E291" s="212">
        <v>0</v>
      </c>
      <c r="F291" s="212">
        <v>33000</v>
      </c>
      <c r="G291" s="212">
        <v>0</v>
      </c>
      <c r="H291" s="212">
        <v>0</v>
      </c>
    </row>
    <row r="292" spans="2:8" ht="31.5" x14ac:dyDescent="0.7">
      <c r="B292" s="244"/>
      <c r="C292" s="248"/>
      <c r="D292" s="164" t="s">
        <v>1170</v>
      </c>
      <c r="E292" s="212">
        <v>0</v>
      </c>
      <c r="F292" s="212">
        <v>100000</v>
      </c>
      <c r="G292" s="212">
        <v>0</v>
      </c>
      <c r="H292" s="212">
        <v>0</v>
      </c>
    </row>
    <row r="293" spans="2:8" ht="31.5" x14ac:dyDescent="0.7">
      <c r="B293" s="244"/>
      <c r="C293" s="248"/>
      <c r="D293" s="164" t="s">
        <v>1222</v>
      </c>
      <c r="E293" s="212">
        <v>0</v>
      </c>
      <c r="F293" s="212">
        <v>52000</v>
      </c>
      <c r="G293" s="212">
        <v>0</v>
      </c>
      <c r="H293" s="212">
        <v>0</v>
      </c>
    </row>
    <row r="294" spans="2:8" ht="31.5" x14ac:dyDescent="0.7">
      <c r="B294" s="244"/>
      <c r="C294" s="248"/>
      <c r="D294" s="164" t="s">
        <v>1223</v>
      </c>
      <c r="E294" s="212">
        <v>0</v>
      </c>
      <c r="F294" s="212">
        <v>30000</v>
      </c>
      <c r="G294" s="212">
        <v>0</v>
      </c>
      <c r="H294" s="212">
        <v>0</v>
      </c>
    </row>
    <row r="295" spans="2:8" ht="31.5" x14ac:dyDescent="0.7">
      <c r="B295" s="244"/>
      <c r="C295" s="248"/>
      <c r="D295" s="164" t="s">
        <v>1224</v>
      </c>
      <c r="E295" s="212">
        <v>0</v>
      </c>
      <c r="F295" s="212">
        <v>102000</v>
      </c>
      <c r="G295" s="212">
        <v>0</v>
      </c>
      <c r="H295" s="212">
        <v>0</v>
      </c>
    </row>
    <row r="296" spans="2:8" ht="31.5" x14ac:dyDescent="0.7">
      <c r="B296" s="244"/>
      <c r="C296" s="248"/>
      <c r="D296" s="164" t="s">
        <v>1225</v>
      </c>
      <c r="E296" s="212">
        <v>0</v>
      </c>
      <c r="F296" s="212">
        <v>60000</v>
      </c>
      <c r="G296" s="212">
        <v>0</v>
      </c>
      <c r="H296" s="212">
        <v>0</v>
      </c>
    </row>
    <row r="297" spans="2:8" ht="31.5" x14ac:dyDescent="0.7">
      <c r="B297" s="244"/>
      <c r="C297" s="248"/>
      <c r="D297" s="164" t="s">
        <v>1226</v>
      </c>
      <c r="E297" s="212">
        <v>0</v>
      </c>
      <c r="F297" s="212">
        <v>80000</v>
      </c>
      <c r="G297" s="212">
        <v>0</v>
      </c>
      <c r="H297" s="212">
        <v>0</v>
      </c>
    </row>
    <row r="298" spans="2:8" ht="31.5" x14ac:dyDescent="0.7">
      <c r="B298" s="244"/>
      <c r="C298" s="248"/>
      <c r="D298" s="164" t="s">
        <v>1246</v>
      </c>
      <c r="E298" s="212">
        <v>0</v>
      </c>
      <c r="F298" s="212">
        <v>80000</v>
      </c>
      <c r="G298" s="212">
        <v>0</v>
      </c>
      <c r="H298" s="212">
        <v>0</v>
      </c>
    </row>
    <row r="299" spans="2:8" ht="31.5" x14ac:dyDescent="0.7">
      <c r="B299" s="244"/>
      <c r="C299" s="248"/>
      <c r="D299" s="164" t="s">
        <v>1247</v>
      </c>
      <c r="E299" s="212">
        <v>0</v>
      </c>
      <c r="F299" s="212">
        <v>80000</v>
      </c>
      <c r="G299" s="212">
        <v>0</v>
      </c>
      <c r="H299" s="212">
        <v>0</v>
      </c>
    </row>
    <row r="300" spans="2:8" ht="31.5" x14ac:dyDescent="0.7">
      <c r="B300" s="244"/>
      <c r="C300" s="248"/>
      <c r="D300" s="164" t="s">
        <v>1248</v>
      </c>
      <c r="E300" s="212">
        <v>0</v>
      </c>
      <c r="F300" s="212">
        <v>100000</v>
      </c>
      <c r="G300" s="212">
        <v>0</v>
      </c>
      <c r="H300" s="212">
        <v>0</v>
      </c>
    </row>
    <row r="301" spans="2:8" ht="31.5" x14ac:dyDescent="0.7">
      <c r="B301" s="244"/>
      <c r="C301" s="248"/>
      <c r="D301" s="164" t="s">
        <v>1249</v>
      </c>
      <c r="E301" s="212">
        <v>0</v>
      </c>
      <c r="F301" s="212">
        <v>80000</v>
      </c>
      <c r="G301" s="212">
        <v>0</v>
      </c>
      <c r="H301" s="212">
        <v>0</v>
      </c>
    </row>
    <row r="302" spans="2:8" ht="56.25" x14ac:dyDescent="0.7">
      <c r="B302" s="244"/>
      <c r="C302" s="248"/>
      <c r="D302" s="164" t="s">
        <v>1250</v>
      </c>
      <c r="E302" s="212">
        <v>0</v>
      </c>
      <c r="F302" s="212">
        <v>560000</v>
      </c>
      <c r="G302" s="212">
        <v>0</v>
      </c>
      <c r="H302" s="212">
        <v>0</v>
      </c>
    </row>
    <row r="303" spans="2:8" ht="31.5" x14ac:dyDescent="0.7">
      <c r="B303" s="244"/>
      <c r="C303" s="248"/>
      <c r="D303" s="164" t="s">
        <v>1251</v>
      </c>
      <c r="E303" s="212">
        <v>0</v>
      </c>
      <c r="F303" s="212">
        <v>196000</v>
      </c>
      <c r="G303" s="212">
        <v>0</v>
      </c>
      <c r="H303" s="212">
        <v>0</v>
      </c>
    </row>
    <row r="304" spans="2:8" s="204" customFormat="1" ht="56.25" x14ac:dyDescent="0.7">
      <c r="B304" s="244"/>
      <c r="C304" s="247">
        <v>46195</v>
      </c>
      <c r="D304" s="164" t="s">
        <v>1261</v>
      </c>
      <c r="E304" s="212">
        <v>0</v>
      </c>
      <c r="F304" s="212">
        <v>112000</v>
      </c>
      <c r="G304" s="212">
        <v>0</v>
      </c>
      <c r="H304" s="212">
        <v>0</v>
      </c>
    </row>
    <row r="305" spans="2:8" ht="31.5" x14ac:dyDescent="0.7">
      <c r="B305" s="244"/>
      <c r="C305" s="248"/>
      <c r="D305" s="164" t="s">
        <v>1262</v>
      </c>
      <c r="E305" s="212">
        <v>0</v>
      </c>
      <c r="F305" s="212">
        <v>200000</v>
      </c>
      <c r="G305" s="212">
        <v>0</v>
      </c>
      <c r="H305" s="212">
        <v>0</v>
      </c>
    </row>
    <row r="306" spans="2:8" ht="31.5" x14ac:dyDescent="0.7">
      <c r="B306" s="244"/>
      <c r="C306" s="248"/>
      <c r="D306" s="164" t="s">
        <v>1263</v>
      </c>
      <c r="E306" s="212">
        <v>0</v>
      </c>
      <c r="F306" s="212">
        <v>200000</v>
      </c>
      <c r="G306" s="212">
        <v>0</v>
      </c>
      <c r="H306" s="212">
        <v>0</v>
      </c>
    </row>
    <row r="307" spans="2:8" ht="31.5" x14ac:dyDescent="0.5">
      <c r="B307" s="245" t="s">
        <v>509</v>
      </c>
      <c r="C307" s="246"/>
      <c r="D307" s="246"/>
      <c r="E307" s="212">
        <v>1006500</v>
      </c>
      <c r="F307" s="212">
        <v>26914500</v>
      </c>
      <c r="G307" s="212">
        <v>92830</v>
      </c>
      <c r="H307" s="212">
        <v>22940</v>
      </c>
    </row>
    <row r="308" spans="2:8" x14ac:dyDescent="0.9">
      <c r="B308" s="206"/>
      <c r="C308"/>
      <c r="D308"/>
      <c r="E308"/>
      <c r="F308"/>
      <c r="G308"/>
      <c r="H308"/>
    </row>
    <row r="309" spans="2:8" x14ac:dyDescent="0.9">
      <c r="B309" s="206"/>
      <c r="C309"/>
      <c r="D309"/>
      <c r="E309"/>
      <c r="F309"/>
      <c r="G309"/>
      <c r="H309"/>
    </row>
    <row r="310" spans="2:8" x14ac:dyDescent="0.9">
      <c r="B310" s="206"/>
      <c r="C310"/>
      <c r="D310"/>
      <c r="E310"/>
      <c r="F310"/>
      <c r="G310"/>
      <c r="H310"/>
    </row>
    <row r="311" spans="2:8" x14ac:dyDescent="0.9">
      <c r="B311" s="206"/>
      <c r="C311"/>
      <c r="D311"/>
      <c r="E311"/>
      <c r="F311"/>
      <c r="G311"/>
      <c r="H311"/>
    </row>
    <row r="312" spans="2:8" x14ac:dyDescent="0.9">
      <c r="B312" s="206"/>
      <c r="C312"/>
      <c r="D312"/>
      <c r="E312"/>
      <c r="F312"/>
      <c r="G312"/>
      <c r="H312"/>
    </row>
    <row r="313" spans="2:8" x14ac:dyDescent="0.9">
      <c r="B313" s="206"/>
      <c r="C313"/>
      <c r="D313"/>
      <c r="E313"/>
      <c r="F313"/>
      <c r="G313"/>
      <c r="H313"/>
    </row>
    <row r="314" spans="2:8" x14ac:dyDescent="0.9">
      <c r="B314" s="206"/>
      <c r="C314"/>
      <c r="D314"/>
      <c r="E314"/>
      <c r="F314"/>
      <c r="G314"/>
      <c r="H314"/>
    </row>
    <row r="315" spans="2:8" x14ac:dyDescent="0.9">
      <c r="B315" s="206"/>
      <c r="C315"/>
      <c r="D315"/>
      <c r="E315"/>
      <c r="F315"/>
      <c r="G315"/>
      <c r="H315"/>
    </row>
    <row r="316" spans="2:8" x14ac:dyDescent="0.9">
      <c r="B316" s="206"/>
      <c r="C316"/>
      <c r="D316"/>
      <c r="E316"/>
      <c r="F316"/>
      <c r="G316"/>
      <c r="H316"/>
    </row>
    <row r="317" spans="2:8" x14ac:dyDescent="0.9">
      <c r="B317" s="206"/>
      <c r="C317"/>
      <c r="D317"/>
      <c r="E317"/>
      <c r="F317"/>
      <c r="G317"/>
      <c r="H317"/>
    </row>
    <row r="318" spans="2:8" x14ac:dyDescent="0.9">
      <c r="B318" s="206"/>
      <c r="C318"/>
      <c r="D318"/>
      <c r="E318"/>
      <c r="F318"/>
      <c r="G318"/>
      <c r="H318"/>
    </row>
    <row r="319" spans="2:8" x14ac:dyDescent="0.9">
      <c r="B319" s="206"/>
      <c r="C319"/>
      <c r="D319"/>
      <c r="E319"/>
      <c r="F319"/>
      <c r="G319"/>
      <c r="H319"/>
    </row>
    <row r="320" spans="2:8" x14ac:dyDescent="0.9">
      <c r="B320" s="206"/>
      <c r="C320"/>
      <c r="D320"/>
      <c r="E320"/>
      <c r="F320"/>
      <c r="G320"/>
      <c r="H320"/>
    </row>
    <row r="321" spans="2:2" customFormat="1" x14ac:dyDescent="0.9">
      <c r="B321" s="206"/>
    </row>
    <row r="322" spans="2:2" customFormat="1" x14ac:dyDescent="0.9">
      <c r="B322" s="206"/>
    </row>
    <row r="323" spans="2:2" customFormat="1" x14ac:dyDescent="0.9">
      <c r="B323" s="206"/>
    </row>
    <row r="324" spans="2:2" customFormat="1" x14ac:dyDescent="0.9">
      <c r="B324" s="206"/>
    </row>
    <row r="325" spans="2:2" customFormat="1" x14ac:dyDescent="0.9">
      <c r="B325" s="206"/>
    </row>
    <row r="326" spans="2:2" customFormat="1" x14ac:dyDescent="0.9">
      <c r="B326" s="206"/>
    </row>
    <row r="327" spans="2:2" customFormat="1" x14ac:dyDescent="0.9">
      <c r="B327" s="206"/>
    </row>
    <row r="328" spans="2:2" customFormat="1" x14ac:dyDescent="0.9">
      <c r="B328" s="206"/>
    </row>
    <row r="329" spans="2:2" customFormat="1" x14ac:dyDescent="0.9">
      <c r="B329" s="206"/>
    </row>
    <row r="330" spans="2:2" customFormat="1" x14ac:dyDescent="0.9">
      <c r="B330" s="206"/>
    </row>
    <row r="331" spans="2:2" customFormat="1" x14ac:dyDescent="0.9">
      <c r="B331" s="206"/>
    </row>
    <row r="332" spans="2:2" customFormat="1" x14ac:dyDescent="0.9">
      <c r="B332" s="206"/>
    </row>
    <row r="333" spans="2:2" customFormat="1" x14ac:dyDescent="0.9">
      <c r="B333" s="206"/>
    </row>
    <row r="334" spans="2:2" customFormat="1" x14ac:dyDescent="0.9">
      <c r="B334" s="206"/>
    </row>
    <row r="335" spans="2:2" customFormat="1" x14ac:dyDescent="0.9">
      <c r="B335" s="206"/>
    </row>
    <row r="336" spans="2:2" customFormat="1" x14ac:dyDescent="0.9">
      <c r="B336" s="206"/>
    </row>
    <row r="337" spans="2:2" customFormat="1" x14ac:dyDescent="0.9">
      <c r="B337" s="206"/>
    </row>
    <row r="338" spans="2:2" customFormat="1" x14ac:dyDescent="0.9">
      <c r="B338" s="206"/>
    </row>
    <row r="339" spans="2:2" customFormat="1" x14ac:dyDescent="0.9">
      <c r="B339" s="206"/>
    </row>
    <row r="340" spans="2:2" customFormat="1" x14ac:dyDescent="0.9">
      <c r="B340" s="206"/>
    </row>
    <row r="341" spans="2:2" customFormat="1" x14ac:dyDescent="0.9">
      <c r="B341" s="206"/>
    </row>
    <row r="342" spans="2:2" customFormat="1" x14ac:dyDescent="0.9">
      <c r="B342" s="206"/>
    </row>
    <row r="343" spans="2:2" customFormat="1" x14ac:dyDescent="0.9">
      <c r="B343" s="206"/>
    </row>
    <row r="344" spans="2:2" customFormat="1" x14ac:dyDescent="0.9">
      <c r="B344" s="206"/>
    </row>
    <row r="345" spans="2:2" customFormat="1" x14ac:dyDescent="0.9">
      <c r="B345" s="206"/>
    </row>
    <row r="346" spans="2:2" customFormat="1" x14ac:dyDescent="0.9">
      <c r="B346" s="206"/>
    </row>
    <row r="347" spans="2:2" customFormat="1" x14ac:dyDescent="0.9">
      <c r="B347" s="206"/>
    </row>
    <row r="348" spans="2:2" customFormat="1" x14ac:dyDescent="0.9">
      <c r="B348" s="206"/>
    </row>
    <row r="349" spans="2:2" customFormat="1" x14ac:dyDescent="0.9">
      <c r="B349" s="206"/>
    </row>
    <row r="350" spans="2:2" customFormat="1" x14ac:dyDescent="0.9">
      <c r="B350" s="206"/>
    </row>
    <row r="351" spans="2:2" customFormat="1" x14ac:dyDescent="0.9">
      <c r="B351" s="206"/>
    </row>
    <row r="352" spans="2:2" customFormat="1" x14ac:dyDescent="0.9">
      <c r="B352" s="206"/>
    </row>
    <row r="353" spans="2:2" customFormat="1" x14ac:dyDescent="0.9">
      <c r="B353" s="206"/>
    </row>
    <row r="354" spans="2:2" customFormat="1" x14ac:dyDescent="0.9">
      <c r="B354" s="206"/>
    </row>
    <row r="355" spans="2:2" customFormat="1" x14ac:dyDescent="0.9">
      <c r="B355" s="206"/>
    </row>
    <row r="356" spans="2:2" customFormat="1" x14ac:dyDescent="0.9">
      <c r="B356" s="206"/>
    </row>
    <row r="357" spans="2:2" customFormat="1" x14ac:dyDescent="0.9">
      <c r="B357" s="206"/>
    </row>
    <row r="358" spans="2:2" customFormat="1" x14ac:dyDescent="0.9">
      <c r="B358" s="206"/>
    </row>
    <row r="359" spans="2:2" customFormat="1" x14ac:dyDescent="0.9">
      <c r="B359" s="206"/>
    </row>
    <row r="360" spans="2:2" customFormat="1" x14ac:dyDescent="0.9">
      <c r="B360" s="206"/>
    </row>
    <row r="361" spans="2:2" customFormat="1" x14ac:dyDescent="0.9">
      <c r="B361" s="206"/>
    </row>
    <row r="362" spans="2:2" customFormat="1" x14ac:dyDescent="0.9">
      <c r="B362" s="206"/>
    </row>
    <row r="363" spans="2:2" customFormat="1" x14ac:dyDescent="0.9">
      <c r="B363" s="206"/>
    </row>
    <row r="364" spans="2:2" customFormat="1" x14ac:dyDescent="0.9">
      <c r="B364" s="206"/>
    </row>
    <row r="365" spans="2:2" customFormat="1" x14ac:dyDescent="0.9">
      <c r="B365" s="206"/>
    </row>
    <row r="366" spans="2:2" customFormat="1" x14ac:dyDescent="0.9">
      <c r="B366" s="206"/>
    </row>
    <row r="367" spans="2:2" customFormat="1" x14ac:dyDescent="0.9">
      <c r="B367" s="206"/>
    </row>
    <row r="368" spans="2:2" customFormat="1" x14ac:dyDescent="0.9">
      <c r="B368" s="206"/>
    </row>
    <row r="369" spans="2:2" customFormat="1" x14ac:dyDescent="0.9">
      <c r="B369" s="206"/>
    </row>
    <row r="370" spans="2:2" customFormat="1" x14ac:dyDescent="0.9">
      <c r="B370" s="206"/>
    </row>
    <row r="371" spans="2:2" customFormat="1" x14ac:dyDescent="0.9">
      <c r="B371" s="206"/>
    </row>
    <row r="372" spans="2:2" customFormat="1" x14ac:dyDescent="0.9">
      <c r="B372" s="206"/>
    </row>
    <row r="373" spans="2:2" customFormat="1" x14ac:dyDescent="0.9">
      <c r="B373" s="206"/>
    </row>
    <row r="374" spans="2:2" customFormat="1" x14ac:dyDescent="0.9">
      <c r="B374" s="206"/>
    </row>
    <row r="375" spans="2:2" customFormat="1" x14ac:dyDescent="0.9">
      <c r="B375" s="206"/>
    </row>
    <row r="376" spans="2:2" customFormat="1" x14ac:dyDescent="0.9">
      <c r="B376" s="206"/>
    </row>
    <row r="377" spans="2:2" customFormat="1" x14ac:dyDescent="0.9">
      <c r="B377" s="206"/>
    </row>
    <row r="378" spans="2:2" customFormat="1" x14ac:dyDescent="0.9">
      <c r="B378" s="206"/>
    </row>
    <row r="379" spans="2:2" customFormat="1" x14ac:dyDescent="0.9">
      <c r="B379" s="206"/>
    </row>
    <row r="380" spans="2:2" customFormat="1" x14ac:dyDescent="0.9">
      <c r="B380" s="206"/>
    </row>
    <row r="381" spans="2:2" customFormat="1" x14ac:dyDescent="0.9">
      <c r="B381" s="206"/>
    </row>
    <row r="382" spans="2:2" customFormat="1" x14ac:dyDescent="0.9">
      <c r="B382" s="206"/>
    </row>
    <row r="383" spans="2:2" customFormat="1" x14ac:dyDescent="0.9">
      <c r="B383" s="206"/>
    </row>
    <row r="384" spans="2:2" customFormat="1" x14ac:dyDescent="0.9">
      <c r="B384" s="206"/>
    </row>
    <row r="385" spans="2:2" customFormat="1" x14ac:dyDescent="0.9">
      <c r="B385" s="206"/>
    </row>
    <row r="386" spans="2:2" customFormat="1" x14ac:dyDescent="0.9">
      <c r="B386" s="206"/>
    </row>
    <row r="387" spans="2:2" customFormat="1" x14ac:dyDescent="0.9">
      <c r="B387" s="206"/>
    </row>
    <row r="388" spans="2:2" customFormat="1" x14ac:dyDescent="0.9">
      <c r="B388" s="206"/>
    </row>
    <row r="389" spans="2:2" customFormat="1" x14ac:dyDescent="0.9">
      <c r="B389" s="206"/>
    </row>
    <row r="390" spans="2:2" customFormat="1" x14ac:dyDescent="0.9">
      <c r="B390" s="206"/>
    </row>
    <row r="391" spans="2:2" customFormat="1" x14ac:dyDescent="0.9">
      <c r="B391" s="206"/>
    </row>
    <row r="392" spans="2:2" customFormat="1" x14ac:dyDescent="0.9">
      <c r="B392" s="206"/>
    </row>
    <row r="393" spans="2:2" customFormat="1" x14ac:dyDescent="0.9">
      <c r="B393" s="206"/>
    </row>
    <row r="394" spans="2:2" customFormat="1" x14ac:dyDescent="0.9">
      <c r="B394" s="206"/>
    </row>
    <row r="395" spans="2:2" customFormat="1" x14ac:dyDescent="0.9">
      <c r="B395" s="206"/>
    </row>
    <row r="396" spans="2:2" customFormat="1" x14ac:dyDescent="0.9">
      <c r="B396" s="206"/>
    </row>
    <row r="397" spans="2:2" customFormat="1" x14ac:dyDescent="0.9">
      <c r="B397" s="206"/>
    </row>
    <row r="398" spans="2:2" customFormat="1" x14ac:dyDescent="0.9">
      <c r="B398" s="206"/>
    </row>
    <row r="399" spans="2:2" customFormat="1" x14ac:dyDescent="0.9">
      <c r="B399" s="206"/>
    </row>
    <row r="400" spans="2:2" customFormat="1" x14ac:dyDescent="0.9">
      <c r="B400" s="206"/>
    </row>
    <row r="401" spans="2:2" customFormat="1" x14ac:dyDescent="0.9">
      <c r="B401" s="206"/>
    </row>
    <row r="402" spans="2:2" customFormat="1" x14ac:dyDescent="0.9">
      <c r="B402" s="206"/>
    </row>
    <row r="403" spans="2:2" customFormat="1" x14ac:dyDescent="0.9">
      <c r="B403" s="206"/>
    </row>
    <row r="404" spans="2:2" customFormat="1" x14ac:dyDescent="0.9">
      <c r="B404" s="206"/>
    </row>
    <row r="405" spans="2:2" customFormat="1" x14ac:dyDescent="0.9">
      <c r="B405" s="206"/>
    </row>
    <row r="406" spans="2:2" customFormat="1" x14ac:dyDescent="0.9">
      <c r="B406" s="206"/>
    </row>
    <row r="407" spans="2:2" customFormat="1" x14ac:dyDescent="0.9">
      <c r="B407" s="206"/>
    </row>
    <row r="408" spans="2:2" customFormat="1" x14ac:dyDescent="0.9">
      <c r="B408" s="206"/>
    </row>
    <row r="409" spans="2:2" customFormat="1" x14ac:dyDescent="0.9">
      <c r="B409" s="206"/>
    </row>
    <row r="410" spans="2:2" customFormat="1" x14ac:dyDescent="0.9">
      <c r="B410" s="206"/>
    </row>
    <row r="411" spans="2:2" customFormat="1" x14ac:dyDescent="0.9">
      <c r="B411" s="206"/>
    </row>
    <row r="412" spans="2:2" customFormat="1" x14ac:dyDescent="0.9">
      <c r="B412" s="206"/>
    </row>
    <row r="413" spans="2:2" customFormat="1" x14ac:dyDescent="0.9">
      <c r="B413" s="206"/>
    </row>
    <row r="414" spans="2:2" customFormat="1" x14ac:dyDescent="0.9">
      <c r="B414" s="206"/>
    </row>
    <row r="415" spans="2:2" customFormat="1" x14ac:dyDescent="0.9">
      <c r="B415" s="206"/>
    </row>
    <row r="416" spans="2:2" customFormat="1" x14ac:dyDescent="0.9">
      <c r="B416" s="206"/>
    </row>
    <row r="417" spans="2:2" customFormat="1" x14ac:dyDescent="0.9">
      <c r="B417" s="206"/>
    </row>
    <row r="418" spans="2:2" customFormat="1" x14ac:dyDescent="0.9">
      <c r="B418" s="206"/>
    </row>
    <row r="419" spans="2:2" customFormat="1" x14ac:dyDescent="0.9">
      <c r="B419" s="206"/>
    </row>
    <row r="420" spans="2:2" customFormat="1" x14ac:dyDescent="0.9">
      <c r="B420" s="206"/>
    </row>
    <row r="421" spans="2:2" customFormat="1" x14ac:dyDescent="0.9">
      <c r="B421" s="206"/>
    </row>
    <row r="422" spans="2:2" customFormat="1" x14ac:dyDescent="0.9">
      <c r="B422" s="206"/>
    </row>
    <row r="423" spans="2:2" customFormat="1" x14ac:dyDescent="0.9">
      <c r="B423" s="206"/>
    </row>
    <row r="424" spans="2:2" customFormat="1" x14ac:dyDescent="0.9">
      <c r="B424" s="206"/>
    </row>
    <row r="425" spans="2:2" customFormat="1" x14ac:dyDescent="0.9">
      <c r="B425" s="206"/>
    </row>
    <row r="426" spans="2:2" customFormat="1" x14ac:dyDescent="0.9">
      <c r="B426" s="206"/>
    </row>
    <row r="427" spans="2:2" customFormat="1" x14ac:dyDescent="0.9">
      <c r="B427" s="206"/>
    </row>
    <row r="428" spans="2:2" customFormat="1" x14ac:dyDescent="0.9">
      <c r="B428" s="206"/>
    </row>
    <row r="429" spans="2:2" customFormat="1" x14ac:dyDescent="0.9">
      <c r="B429" s="206"/>
    </row>
    <row r="430" spans="2:2" customFormat="1" x14ac:dyDescent="0.9">
      <c r="B430" s="206"/>
    </row>
    <row r="431" spans="2:2" customFormat="1" x14ac:dyDescent="0.9">
      <c r="B431" s="206"/>
    </row>
    <row r="432" spans="2:2" customFormat="1" x14ac:dyDescent="0.9">
      <c r="B432" s="206"/>
    </row>
    <row r="433" spans="2:2" customFormat="1" x14ac:dyDescent="0.9">
      <c r="B433" s="206"/>
    </row>
    <row r="434" spans="2:2" customFormat="1" x14ac:dyDescent="0.9">
      <c r="B434" s="206"/>
    </row>
    <row r="435" spans="2:2" customFormat="1" x14ac:dyDescent="0.9">
      <c r="B435" s="206"/>
    </row>
    <row r="436" spans="2:2" customFormat="1" x14ac:dyDescent="0.9">
      <c r="B436" s="206"/>
    </row>
    <row r="437" spans="2:2" customFormat="1" x14ac:dyDescent="0.9">
      <c r="B437" s="206"/>
    </row>
    <row r="438" spans="2:2" customFormat="1" x14ac:dyDescent="0.9">
      <c r="B438" s="206"/>
    </row>
    <row r="439" spans="2:2" customFormat="1" x14ac:dyDescent="0.9">
      <c r="B439" s="206"/>
    </row>
    <row r="440" spans="2:2" customFormat="1" x14ac:dyDescent="0.9">
      <c r="B440" s="206"/>
    </row>
    <row r="441" spans="2:2" customFormat="1" x14ac:dyDescent="0.9">
      <c r="B441" s="206"/>
    </row>
    <row r="442" spans="2:2" customFormat="1" x14ac:dyDescent="0.9">
      <c r="B442" s="206"/>
    </row>
    <row r="443" spans="2:2" customFormat="1" x14ac:dyDescent="0.9">
      <c r="B443" s="206"/>
    </row>
    <row r="444" spans="2:2" customFormat="1" x14ac:dyDescent="0.9">
      <c r="B444" s="206"/>
    </row>
    <row r="445" spans="2:2" customFormat="1" x14ac:dyDescent="0.9">
      <c r="B445" s="206"/>
    </row>
    <row r="446" spans="2:2" customFormat="1" x14ac:dyDescent="0.9">
      <c r="B446" s="206"/>
    </row>
    <row r="447" spans="2:2" customFormat="1" x14ac:dyDescent="0.9">
      <c r="B447" s="206"/>
    </row>
    <row r="448" spans="2:2" customFormat="1" x14ac:dyDescent="0.9">
      <c r="B448" s="206"/>
    </row>
    <row r="449" spans="2:2" customFormat="1" x14ac:dyDescent="0.9">
      <c r="B449" s="206"/>
    </row>
    <row r="450" spans="2:2" customFormat="1" x14ac:dyDescent="0.9">
      <c r="B450" s="206"/>
    </row>
    <row r="451" spans="2:2" customFormat="1" x14ac:dyDescent="0.9">
      <c r="B451" s="206"/>
    </row>
    <row r="452" spans="2:2" customFormat="1" x14ac:dyDescent="0.9">
      <c r="B452" s="206"/>
    </row>
    <row r="453" spans="2:2" customFormat="1" x14ac:dyDescent="0.9">
      <c r="B453" s="206"/>
    </row>
    <row r="454" spans="2:2" customFormat="1" x14ac:dyDescent="0.9">
      <c r="B454" s="206"/>
    </row>
    <row r="455" spans="2:2" customFormat="1" x14ac:dyDescent="0.9">
      <c r="B455" s="206"/>
    </row>
    <row r="456" spans="2:2" customFormat="1" x14ac:dyDescent="0.9">
      <c r="B456" s="206"/>
    </row>
    <row r="457" spans="2:2" customFormat="1" x14ac:dyDescent="0.9">
      <c r="B457" s="206"/>
    </row>
    <row r="458" spans="2:2" customFormat="1" x14ac:dyDescent="0.9">
      <c r="B458" s="206"/>
    </row>
    <row r="459" spans="2:2" customFormat="1" x14ac:dyDescent="0.9">
      <c r="B459" s="206"/>
    </row>
    <row r="460" spans="2:2" customFormat="1" x14ac:dyDescent="0.9">
      <c r="B460" s="206"/>
    </row>
    <row r="461" spans="2:2" customFormat="1" x14ac:dyDescent="0.9">
      <c r="B461" s="206"/>
    </row>
    <row r="462" spans="2:2" customFormat="1" x14ac:dyDescent="0.9">
      <c r="B462" s="206"/>
    </row>
    <row r="463" spans="2:2" customFormat="1" x14ac:dyDescent="0.9">
      <c r="B463" s="206"/>
    </row>
    <row r="464" spans="2:2" customFormat="1" x14ac:dyDescent="0.9">
      <c r="B464" s="206"/>
    </row>
    <row r="465" spans="2:2" customFormat="1" x14ac:dyDescent="0.9">
      <c r="B465" s="206"/>
    </row>
    <row r="466" spans="2:2" customFormat="1" x14ac:dyDescent="0.9">
      <c r="B466" s="206"/>
    </row>
    <row r="467" spans="2:2" customFormat="1" x14ac:dyDescent="0.9">
      <c r="B467" s="206"/>
    </row>
    <row r="468" spans="2:2" customFormat="1" x14ac:dyDescent="0.9">
      <c r="B468" s="206"/>
    </row>
    <row r="469" spans="2:2" customFormat="1" x14ac:dyDescent="0.9">
      <c r="B469" s="206"/>
    </row>
    <row r="470" spans="2:2" customFormat="1" x14ac:dyDescent="0.9">
      <c r="B470" s="206"/>
    </row>
    <row r="471" spans="2:2" customFormat="1" x14ac:dyDescent="0.9">
      <c r="B471" s="206"/>
    </row>
    <row r="472" spans="2:2" customFormat="1" x14ac:dyDescent="0.9">
      <c r="B472" s="206"/>
    </row>
    <row r="473" spans="2:2" customFormat="1" x14ac:dyDescent="0.9">
      <c r="B473" s="206"/>
    </row>
    <row r="474" spans="2:2" customFormat="1" x14ac:dyDescent="0.9">
      <c r="B474" s="206"/>
    </row>
    <row r="475" spans="2:2" customFormat="1" x14ac:dyDescent="0.9">
      <c r="B475" s="206"/>
    </row>
    <row r="476" spans="2:2" customFormat="1" x14ac:dyDescent="0.9">
      <c r="B476" s="206"/>
    </row>
    <row r="477" spans="2:2" customFormat="1" x14ac:dyDescent="0.9">
      <c r="B477" s="206"/>
    </row>
    <row r="478" spans="2:2" customFormat="1" x14ac:dyDescent="0.9">
      <c r="B478" s="206"/>
    </row>
    <row r="479" spans="2:2" customFormat="1" x14ac:dyDescent="0.9">
      <c r="B479" s="206"/>
    </row>
    <row r="480" spans="2:2" customFormat="1" x14ac:dyDescent="0.9">
      <c r="B480" s="206"/>
    </row>
    <row r="481" spans="2:2" customFormat="1" x14ac:dyDescent="0.9">
      <c r="B481" s="206"/>
    </row>
    <row r="482" spans="2:2" customFormat="1" x14ac:dyDescent="0.9">
      <c r="B482" s="206"/>
    </row>
    <row r="483" spans="2:2" customFormat="1" x14ac:dyDescent="0.9">
      <c r="B483" s="206"/>
    </row>
    <row r="484" spans="2:2" customFormat="1" x14ac:dyDescent="0.9">
      <c r="B484" s="206"/>
    </row>
    <row r="485" spans="2:2" customFormat="1" x14ac:dyDescent="0.9">
      <c r="B485" s="206"/>
    </row>
    <row r="486" spans="2:2" customFormat="1" x14ac:dyDescent="0.9">
      <c r="B486" s="206"/>
    </row>
    <row r="487" spans="2:2" customFormat="1" x14ac:dyDescent="0.9">
      <c r="B487" s="206"/>
    </row>
    <row r="488" spans="2:2" customFormat="1" x14ac:dyDescent="0.9">
      <c r="B488" s="206"/>
    </row>
    <row r="489" spans="2:2" customFormat="1" x14ac:dyDescent="0.9">
      <c r="B489" s="206"/>
    </row>
    <row r="490" spans="2:2" customFormat="1" x14ac:dyDescent="0.9">
      <c r="B490" s="206"/>
    </row>
    <row r="491" spans="2:2" customFormat="1" x14ac:dyDescent="0.9">
      <c r="B491" s="206"/>
    </row>
    <row r="492" spans="2:2" customFormat="1" x14ac:dyDescent="0.9">
      <c r="B492" s="206"/>
    </row>
    <row r="493" spans="2:2" customFormat="1" x14ac:dyDescent="0.9">
      <c r="B493" s="206"/>
    </row>
    <row r="494" spans="2:2" customFormat="1" x14ac:dyDescent="0.9">
      <c r="B494" s="206"/>
    </row>
    <row r="495" spans="2:2" customFormat="1" x14ac:dyDescent="0.9">
      <c r="B495" s="206"/>
    </row>
    <row r="496" spans="2:2" customFormat="1" x14ac:dyDescent="0.9">
      <c r="B496" s="206"/>
    </row>
    <row r="497" spans="2:2" customFormat="1" x14ac:dyDescent="0.9">
      <c r="B497" s="206"/>
    </row>
    <row r="498" spans="2:2" customFormat="1" x14ac:dyDescent="0.9">
      <c r="B498" s="206"/>
    </row>
    <row r="499" spans="2:2" customFormat="1" x14ac:dyDescent="0.9">
      <c r="B499" s="206"/>
    </row>
    <row r="500" spans="2:2" customFormat="1" x14ac:dyDescent="0.9">
      <c r="B500" s="206"/>
    </row>
    <row r="501" spans="2:2" customFormat="1" x14ac:dyDescent="0.9">
      <c r="B501" s="206"/>
    </row>
    <row r="502" spans="2:2" customFormat="1" x14ac:dyDescent="0.9">
      <c r="B502" s="206"/>
    </row>
    <row r="503" spans="2:2" customFormat="1" x14ac:dyDescent="0.9">
      <c r="B503" s="206"/>
    </row>
    <row r="504" spans="2:2" customFormat="1" x14ac:dyDescent="0.9">
      <c r="B504" s="206"/>
    </row>
    <row r="505" spans="2:2" customFormat="1" x14ac:dyDescent="0.9">
      <c r="B505" s="206"/>
    </row>
    <row r="506" spans="2:2" customFormat="1" x14ac:dyDescent="0.9">
      <c r="B506" s="206"/>
    </row>
    <row r="507" spans="2:2" customFormat="1" x14ac:dyDescent="0.9">
      <c r="B507" s="206"/>
    </row>
    <row r="508" spans="2:2" customFormat="1" x14ac:dyDescent="0.9">
      <c r="B508" s="206"/>
    </row>
    <row r="509" spans="2:2" customFormat="1" x14ac:dyDescent="0.9">
      <c r="B509" s="206"/>
    </row>
    <row r="510" spans="2:2" customFormat="1" x14ac:dyDescent="0.9">
      <c r="B510" s="206"/>
    </row>
    <row r="511" spans="2:2" customFormat="1" x14ac:dyDescent="0.9">
      <c r="B511" s="206"/>
    </row>
    <row r="512" spans="2:2" customFormat="1" x14ac:dyDescent="0.9">
      <c r="B512" s="206"/>
    </row>
    <row r="513" spans="2:2" customFormat="1" x14ac:dyDescent="0.9">
      <c r="B513" s="206"/>
    </row>
    <row r="514" spans="2:2" customFormat="1" x14ac:dyDescent="0.9">
      <c r="B514" s="206"/>
    </row>
    <row r="515" spans="2:2" customFormat="1" x14ac:dyDescent="0.9">
      <c r="B515" s="206"/>
    </row>
    <row r="516" spans="2:2" customFormat="1" x14ac:dyDescent="0.9">
      <c r="B516" s="206"/>
    </row>
    <row r="517" spans="2:2" customFormat="1" x14ac:dyDescent="0.9">
      <c r="B517" s="206"/>
    </row>
    <row r="518" spans="2:2" customFormat="1" x14ac:dyDescent="0.9">
      <c r="B518" s="206"/>
    </row>
    <row r="519" spans="2:2" customFormat="1" x14ac:dyDescent="0.9">
      <c r="B519" s="206"/>
    </row>
    <row r="520" spans="2:2" customFormat="1" x14ac:dyDescent="0.9">
      <c r="B520" s="206"/>
    </row>
    <row r="521" spans="2:2" customFormat="1" x14ac:dyDescent="0.9">
      <c r="B521" s="206"/>
    </row>
    <row r="522" spans="2:2" customFormat="1" x14ac:dyDescent="0.9">
      <c r="B522" s="206"/>
    </row>
    <row r="523" spans="2:2" customFormat="1" x14ac:dyDescent="0.9">
      <c r="B523" s="206"/>
    </row>
    <row r="524" spans="2:2" customFormat="1" x14ac:dyDescent="0.9">
      <c r="B524" s="206"/>
    </row>
    <row r="525" spans="2:2" customFormat="1" x14ac:dyDescent="0.9">
      <c r="B525" s="206"/>
    </row>
    <row r="526" spans="2:2" customFormat="1" x14ac:dyDescent="0.9">
      <c r="B526" s="206"/>
    </row>
    <row r="527" spans="2:2" customFormat="1" x14ac:dyDescent="0.9">
      <c r="B527" s="206"/>
    </row>
    <row r="528" spans="2:2" customFormat="1" x14ac:dyDescent="0.9">
      <c r="B528" s="206"/>
    </row>
    <row r="529" spans="2:2" customFormat="1" x14ac:dyDescent="0.9">
      <c r="B529" s="206"/>
    </row>
    <row r="530" spans="2:2" customFormat="1" x14ac:dyDescent="0.9">
      <c r="B530" s="206"/>
    </row>
    <row r="531" spans="2:2" customFormat="1" x14ac:dyDescent="0.9">
      <c r="B531" s="206"/>
    </row>
    <row r="532" spans="2:2" customFormat="1" x14ac:dyDescent="0.9">
      <c r="B532" s="206"/>
    </row>
    <row r="533" spans="2:2" customFormat="1" x14ac:dyDescent="0.9">
      <c r="B533" s="206"/>
    </row>
    <row r="534" spans="2:2" customFormat="1" x14ac:dyDescent="0.9">
      <c r="B534" s="206"/>
    </row>
    <row r="535" spans="2:2" customFormat="1" x14ac:dyDescent="0.9">
      <c r="B535" s="206"/>
    </row>
    <row r="536" spans="2:2" customFormat="1" x14ac:dyDescent="0.9">
      <c r="B536" s="206"/>
    </row>
    <row r="537" spans="2:2" customFormat="1" x14ac:dyDescent="0.9">
      <c r="B537" s="206"/>
    </row>
    <row r="538" spans="2:2" customFormat="1" x14ac:dyDescent="0.9">
      <c r="B538" s="206"/>
    </row>
    <row r="539" spans="2:2" customFormat="1" x14ac:dyDescent="0.9">
      <c r="B539" s="206"/>
    </row>
    <row r="540" spans="2:2" customFormat="1" x14ac:dyDescent="0.9">
      <c r="B540" s="206"/>
    </row>
    <row r="541" spans="2:2" customFormat="1" x14ac:dyDescent="0.9">
      <c r="B541" s="206"/>
    </row>
    <row r="542" spans="2:2" customFormat="1" x14ac:dyDescent="0.9">
      <c r="B542" s="206"/>
    </row>
    <row r="543" spans="2:2" customFormat="1" x14ac:dyDescent="0.9">
      <c r="B543" s="206"/>
    </row>
    <row r="544" spans="2:2" customFormat="1" x14ac:dyDescent="0.9">
      <c r="B544" s="206"/>
    </row>
    <row r="545" spans="2:2" customFormat="1" x14ac:dyDescent="0.9">
      <c r="B545" s="206"/>
    </row>
    <row r="546" spans="2:2" customFormat="1" x14ac:dyDescent="0.9">
      <c r="B546" s="206"/>
    </row>
    <row r="547" spans="2:2" customFormat="1" x14ac:dyDescent="0.9">
      <c r="B547" s="206"/>
    </row>
    <row r="548" spans="2:2" customFormat="1" x14ac:dyDescent="0.9">
      <c r="B548" s="206"/>
    </row>
    <row r="549" spans="2:2" customFormat="1" x14ac:dyDescent="0.9">
      <c r="B549" s="206"/>
    </row>
    <row r="550" spans="2:2" customFormat="1" x14ac:dyDescent="0.9">
      <c r="B550" s="206"/>
    </row>
    <row r="551" spans="2:2" customFormat="1" x14ac:dyDescent="0.9">
      <c r="B551" s="206"/>
    </row>
    <row r="552" spans="2:2" customFormat="1" x14ac:dyDescent="0.9">
      <c r="B552" s="206"/>
    </row>
    <row r="553" spans="2:2" customFormat="1" x14ac:dyDescent="0.9">
      <c r="B553" s="206"/>
    </row>
    <row r="554" spans="2:2" customFormat="1" x14ac:dyDescent="0.9">
      <c r="B554" s="206"/>
    </row>
    <row r="555" spans="2:2" customFormat="1" x14ac:dyDescent="0.9">
      <c r="B555" s="206"/>
    </row>
    <row r="556" spans="2:2" customFormat="1" x14ac:dyDescent="0.9">
      <c r="B556" s="206"/>
    </row>
    <row r="557" spans="2:2" customFormat="1" x14ac:dyDescent="0.9">
      <c r="B557" s="206"/>
    </row>
    <row r="558" spans="2:2" customFormat="1" x14ac:dyDescent="0.9">
      <c r="B558" s="206"/>
    </row>
    <row r="559" spans="2:2" customFormat="1" x14ac:dyDescent="0.9">
      <c r="B559" s="206"/>
    </row>
    <row r="560" spans="2:2" customFormat="1" x14ac:dyDescent="0.9">
      <c r="B560" s="206"/>
    </row>
    <row r="561" spans="2:2" customFormat="1" x14ac:dyDescent="0.9">
      <c r="B561" s="206"/>
    </row>
    <row r="562" spans="2:2" customFormat="1" x14ac:dyDescent="0.9">
      <c r="B562" s="206"/>
    </row>
    <row r="563" spans="2:2" customFormat="1" x14ac:dyDescent="0.9">
      <c r="B563" s="206"/>
    </row>
    <row r="564" spans="2:2" customFormat="1" x14ac:dyDescent="0.9">
      <c r="B564" s="206"/>
    </row>
    <row r="565" spans="2:2" customFormat="1" x14ac:dyDescent="0.9">
      <c r="B565" s="206"/>
    </row>
    <row r="566" spans="2:2" customFormat="1" x14ac:dyDescent="0.9">
      <c r="B566" s="206"/>
    </row>
    <row r="567" spans="2:2" customFormat="1" x14ac:dyDescent="0.9">
      <c r="B567" s="206"/>
    </row>
    <row r="568" spans="2:2" customFormat="1" x14ac:dyDescent="0.9">
      <c r="B568" s="206"/>
    </row>
    <row r="569" spans="2:2" customFormat="1" x14ac:dyDescent="0.9">
      <c r="B569" s="206"/>
    </row>
    <row r="570" spans="2:2" customFormat="1" x14ac:dyDescent="0.9">
      <c r="B570" s="206"/>
    </row>
    <row r="571" spans="2:2" customFormat="1" x14ac:dyDescent="0.9">
      <c r="B571" s="206"/>
    </row>
    <row r="572" spans="2:2" customFormat="1" x14ac:dyDescent="0.9">
      <c r="B572" s="206"/>
    </row>
    <row r="573" spans="2:2" customFormat="1" x14ac:dyDescent="0.9">
      <c r="B573" s="206"/>
    </row>
    <row r="574" spans="2:2" customFormat="1" x14ac:dyDescent="0.9">
      <c r="B574" s="206"/>
    </row>
    <row r="575" spans="2:2" customFormat="1" x14ac:dyDescent="0.9">
      <c r="B575" s="206"/>
    </row>
    <row r="576" spans="2:2" customFormat="1" x14ac:dyDescent="0.9">
      <c r="B576" s="206"/>
    </row>
    <row r="577" spans="2:8" x14ac:dyDescent="0.9">
      <c r="B577" s="206"/>
      <c r="C577"/>
      <c r="D577"/>
      <c r="E577"/>
      <c r="F577"/>
      <c r="G577"/>
      <c r="H577"/>
    </row>
    <row r="578" spans="2:8" x14ac:dyDescent="0.9">
      <c r="B578" s="206"/>
      <c r="C578"/>
      <c r="D578"/>
      <c r="E578"/>
      <c r="F578"/>
      <c r="G578"/>
      <c r="H578"/>
    </row>
    <row r="579" spans="2:8" x14ac:dyDescent="0.9">
      <c r="B579" s="206"/>
      <c r="C579"/>
      <c r="D579"/>
      <c r="E579"/>
      <c r="F579"/>
      <c r="G579"/>
      <c r="H579"/>
    </row>
    <row r="580" spans="2:8" x14ac:dyDescent="0.9">
      <c r="B580" s="206"/>
      <c r="C580"/>
      <c r="D580"/>
      <c r="E580"/>
      <c r="F580"/>
    </row>
    <row r="581" spans="2:8" x14ac:dyDescent="0.9">
      <c r="B581" s="206"/>
      <c r="C581"/>
      <c r="D581"/>
      <c r="E581"/>
      <c r="F581"/>
    </row>
    <row r="582" spans="2:8" x14ac:dyDescent="0.9">
      <c r="B582" s="206"/>
      <c r="C582"/>
      <c r="D582"/>
      <c r="E582"/>
      <c r="F582"/>
    </row>
    <row r="583" spans="2:8" x14ac:dyDescent="0.9">
      <c r="B583" s="206"/>
      <c r="C583"/>
      <c r="D583"/>
      <c r="E583"/>
      <c r="F583"/>
    </row>
    <row r="584" spans="2:8" x14ac:dyDescent="0.9">
      <c r="B584" s="206"/>
      <c r="C584"/>
      <c r="D584"/>
      <c r="E584"/>
      <c r="F584"/>
    </row>
    <row r="585" spans="2:8" x14ac:dyDescent="0.9">
      <c r="B585" s="206"/>
      <c r="C585"/>
      <c r="D585"/>
      <c r="E585"/>
      <c r="F585"/>
    </row>
    <row r="586" spans="2:8" x14ac:dyDescent="0.9">
      <c r="B586" s="206"/>
      <c r="C586"/>
      <c r="D586"/>
      <c r="E586"/>
      <c r="F586"/>
    </row>
    <row r="587" spans="2:8" x14ac:dyDescent="0.9">
      <c r="B587" s="206"/>
      <c r="C587"/>
      <c r="D587"/>
      <c r="E587"/>
      <c r="F587"/>
    </row>
    <row r="588" spans="2:8" x14ac:dyDescent="0.9">
      <c r="B588" s="206"/>
      <c r="C588"/>
      <c r="D588"/>
      <c r="E588"/>
      <c r="F588"/>
    </row>
    <row r="589" spans="2:8" x14ac:dyDescent="0.9">
      <c r="B589" s="206"/>
      <c r="C589"/>
      <c r="D589"/>
      <c r="E589"/>
      <c r="F589"/>
    </row>
    <row r="590" spans="2:8" x14ac:dyDescent="0.9">
      <c r="B590" s="206"/>
      <c r="C590"/>
      <c r="D590"/>
      <c r="E590"/>
      <c r="F590"/>
    </row>
    <row r="591" spans="2:8" x14ac:dyDescent="0.9">
      <c r="B591" s="206"/>
      <c r="C591"/>
      <c r="D591"/>
      <c r="E591"/>
      <c r="F591"/>
    </row>
    <row r="592" spans="2:8" x14ac:dyDescent="0.9">
      <c r="B592" s="206"/>
      <c r="C592"/>
      <c r="D592"/>
      <c r="E592"/>
      <c r="F592"/>
    </row>
    <row r="593" spans="2:6" x14ac:dyDescent="0.9">
      <c r="B593" s="206"/>
      <c r="C593"/>
      <c r="D593"/>
      <c r="E593"/>
      <c r="F593"/>
    </row>
    <row r="594" spans="2:6" x14ac:dyDescent="0.9">
      <c r="B594" s="206"/>
      <c r="C594"/>
      <c r="D594"/>
      <c r="E594"/>
      <c r="F594"/>
    </row>
    <row r="595" spans="2:6" x14ac:dyDescent="0.9">
      <c r="B595" s="206"/>
      <c r="C595"/>
      <c r="D595"/>
      <c r="E595"/>
      <c r="F595"/>
    </row>
    <row r="596" spans="2:6" x14ac:dyDescent="0.9">
      <c r="B596" s="206"/>
      <c r="C596"/>
      <c r="D596"/>
      <c r="E596"/>
      <c r="F596"/>
    </row>
    <row r="597" spans="2:6" x14ac:dyDescent="0.9">
      <c r="B597" s="206"/>
      <c r="C597"/>
      <c r="D597"/>
      <c r="E597"/>
      <c r="F597"/>
    </row>
    <row r="598" spans="2:6" x14ac:dyDescent="0.9">
      <c r="B598" s="206"/>
      <c r="C598"/>
      <c r="D598"/>
      <c r="E598"/>
      <c r="F598"/>
    </row>
    <row r="599" spans="2:6" x14ac:dyDescent="0.9">
      <c r="B599" s="206"/>
      <c r="C599"/>
      <c r="D599"/>
      <c r="E599"/>
      <c r="F599"/>
    </row>
    <row r="600" spans="2:6" x14ac:dyDescent="0.9">
      <c r="B600" s="206"/>
      <c r="C600"/>
      <c r="D600"/>
      <c r="E600"/>
      <c r="F600"/>
    </row>
    <row r="601" spans="2:6" x14ac:dyDescent="0.9">
      <c r="B601" s="206"/>
      <c r="C601"/>
      <c r="D601"/>
      <c r="E601"/>
      <c r="F601"/>
    </row>
    <row r="602" spans="2:6" x14ac:dyDescent="0.9">
      <c r="B602" s="206"/>
      <c r="C602"/>
      <c r="D602"/>
      <c r="E602"/>
      <c r="F602"/>
    </row>
    <row r="603" spans="2:6" x14ac:dyDescent="0.9">
      <c r="B603" s="206"/>
      <c r="C603"/>
      <c r="D603"/>
      <c r="E603"/>
      <c r="F603"/>
    </row>
    <row r="604" spans="2:6" x14ac:dyDescent="0.9">
      <c r="B604" s="206"/>
      <c r="C604"/>
      <c r="D604"/>
      <c r="E604"/>
      <c r="F604"/>
    </row>
    <row r="605" spans="2:6" x14ac:dyDescent="0.9">
      <c r="B605" s="206"/>
      <c r="C605"/>
      <c r="D605"/>
      <c r="E605"/>
      <c r="F605"/>
    </row>
    <row r="606" spans="2:6" x14ac:dyDescent="0.9">
      <c r="B606" s="206"/>
      <c r="C606"/>
      <c r="D606"/>
      <c r="E606"/>
      <c r="F606"/>
    </row>
    <row r="607" spans="2:6" x14ac:dyDescent="0.9">
      <c r="B607" s="206"/>
      <c r="C607"/>
      <c r="D607"/>
      <c r="E607"/>
      <c r="F607"/>
    </row>
    <row r="608" spans="2:6" x14ac:dyDescent="0.9">
      <c r="B608" s="206"/>
      <c r="C608"/>
      <c r="D608"/>
      <c r="E608"/>
      <c r="F608"/>
    </row>
    <row r="609" spans="2:6" x14ac:dyDescent="0.9">
      <c r="B609" s="206"/>
      <c r="C609"/>
      <c r="D609"/>
      <c r="E609"/>
      <c r="F609"/>
    </row>
    <row r="610" spans="2:6" x14ac:dyDescent="0.9">
      <c r="B610" s="206"/>
      <c r="C610"/>
      <c r="D610"/>
      <c r="E610"/>
      <c r="F610"/>
    </row>
    <row r="611" spans="2:6" x14ac:dyDescent="0.9">
      <c r="B611" s="206"/>
      <c r="C611"/>
      <c r="D611"/>
      <c r="E611"/>
      <c r="F611"/>
    </row>
    <row r="612" spans="2:6" x14ac:dyDescent="0.9">
      <c r="B612" s="206"/>
      <c r="C612"/>
      <c r="D612"/>
      <c r="E612"/>
      <c r="F612"/>
    </row>
    <row r="613" spans="2:6" x14ac:dyDescent="0.9">
      <c r="B613" s="206"/>
      <c r="C613"/>
      <c r="D613"/>
      <c r="E613"/>
      <c r="F613"/>
    </row>
    <row r="614" spans="2:6" x14ac:dyDescent="0.9">
      <c r="B614" s="206"/>
      <c r="C614"/>
      <c r="D614"/>
      <c r="E614"/>
      <c r="F614"/>
    </row>
    <row r="615" spans="2:6" x14ac:dyDescent="0.9">
      <c r="B615" s="206"/>
      <c r="C615"/>
      <c r="D615"/>
      <c r="E615"/>
      <c r="F615"/>
    </row>
    <row r="616" spans="2:6" x14ac:dyDescent="0.9">
      <c r="B616" s="206"/>
      <c r="C616"/>
      <c r="D616"/>
      <c r="E616"/>
      <c r="F616"/>
    </row>
    <row r="617" spans="2:6" x14ac:dyDescent="0.9">
      <c r="B617" s="206"/>
      <c r="C617"/>
      <c r="D617"/>
      <c r="E617"/>
      <c r="F617"/>
    </row>
    <row r="618" spans="2:6" x14ac:dyDescent="0.9">
      <c r="B618" s="206"/>
      <c r="C618"/>
      <c r="D618"/>
      <c r="E618"/>
      <c r="F618"/>
    </row>
    <row r="619" spans="2:6" x14ac:dyDescent="0.9">
      <c r="B619" s="206"/>
      <c r="C619"/>
      <c r="D619"/>
      <c r="E619"/>
      <c r="F619"/>
    </row>
    <row r="620" spans="2:6" x14ac:dyDescent="0.9">
      <c r="B620" s="206"/>
      <c r="C620"/>
      <c r="D620"/>
      <c r="E620"/>
      <c r="F620"/>
    </row>
    <row r="621" spans="2:6" x14ac:dyDescent="0.9">
      <c r="B621" s="206"/>
      <c r="C621"/>
      <c r="D621"/>
      <c r="E621"/>
      <c r="F621"/>
    </row>
    <row r="622" spans="2:6" x14ac:dyDescent="0.9">
      <c r="B622" s="206"/>
      <c r="C622"/>
      <c r="D622"/>
      <c r="E622"/>
      <c r="F622"/>
    </row>
    <row r="623" spans="2:6" x14ac:dyDescent="0.9">
      <c r="B623" s="206"/>
      <c r="C623"/>
      <c r="D623"/>
      <c r="E623"/>
      <c r="F623"/>
    </row>
    <row r="624" spans="2:6" x14ac:dyDescent="0.9">
      <c r="B624" s="206"/>
      <c r="C624"/>
      <c r="D624"/>
      <c r="E624"/>
      <c r="F624"/>
    </row>
    <row r="625" spans="2:6" x14ac:dyDescent="0.9">
      <c r="B625" s="206"/>
      <c r="C625"/>
      <c r="D625"/>
      <c r="E625"/>
      <c r="F625"/>
    </row>
    <row r="626" spans="2:6" x14ac:dyDescent="0.9">
      <c r="B626" s="206"/>
      <c r="C626"/>
      <c r="D626"/>
      <c r="E626"/>
      <c r="F626"/>
    </row>
    <row r="627" spans="2:6" x14ac:dyDescent="0.9">
      <c r="B627" s="206"/>
      <c r="C627"/>
      <c r="D627"/>
      <c r="E627"/>
      <c r="F627"/>
    </row>
    <row r="628" spans="2:6" x14ac:dyDescent="0.9">
      <c r="B628" s="206"/>
      <c r="C628"/>
      <c r="D628"/>
      <c r="E628"/>
      <c r="F628"/>
    </row>
    <row r="629" spans="2:6" x14ac:dyDescent="0.9">
      <c r="B629" s="206"/>
      <c r="C629"/>
      <c r="D629"/>
      <c r="E629"/>
      <c r="F629"/>
    </row>
    <row r="630" spans="2:6" x14ac:dyDescent="0.9">
      <c r="B630" s="206"/>
      <c r="C630"/>
      <c r="D630"/>
      <c r="E630"/>
      <c r="F630"/>
    </row>
    <row r="631" spans="2:6" x14ac:dyDescent="0.9">
      <c r="B631" s="206"/>
      <c r="C631"/>
      <c r="D631"/>
      <c r="E631"/>
      <c r="F631"/>
    </row>
    <row r="632" spans="2:6" x14ac:dyDescent="0.9">
      <c r="B632" s="206"/>
      <c r="C632"/>
      <c r="D632"/>
      <c r="E632"/>
      <c r="F632"/>
    </row>
    <row r="633" spans="2:6" x14ac:dyDescent="0.9">
      <c r="B633" s="206"/>
      <c r="C633"/>
      <c r="D633"/>
      <c r="E633"/>
      <c r="F633"/>
    </row>
    <row r="634" spans="2:6" x14ac:dyDescent="0.9">
      <c r="B634" s="206"/>
      <c r="C634"/>
      <c r="D634"/>
      <c r="E634"/>
      <c r="F634"/>
    </row>
    <row r="635" spans="2:6" x14ac:dyDescent="0.9">
      <c r="B635" s="206"/>
      <c r="C635"/>
      <c r="D635"/>
      <c r="E635"/>
      <c r="F635"/>
    </row>
    <row r="636" spans="2:6" x14ac:dyDescent="0.9">
      <c r="B636" s="206"/>
      <c r="C636"/>
      <c r="D636"/>
      <c r="E636"/>
      <c r="F636"/>
    </row>
    <row r="637" spans="2:6" x14ac:dyDescent="0.9">
      <c r="B637" s="206"/>
      <c r="C637"/>
      <c r="D637"/>
      <c r="E637"/>
      <c r="F637"/>
    </row>
    <row r="638" spans="2:6" x14ac:dyDescent="0.9">
      <c r="B638" s="206"/>
      <c r="C638"/>
      <c r="D638"/>
      <c r="E638"/>
      <c r="F638"/>
    </row>
    <row r="639" spans="2:6" x14ac:dyDescent="0.9">
      <c r="B639" s="206"/>
      <c r="C639"/>
      <c r="D639"/>
      <c r="E639"/>
      <c r="F639"/>
    </row>
    <row r="640" spans="2:6" x14ac:dyDescent="0.9">
      <c r="B640" s="206"/>
      <c r="C640"/>
      <c r="D640"/>
      <c r="E640"/>
      <c r="F640"/>
    </row>
    <row r="641" spans="2:6" x14ac:dyDescent="0.9">
      <c r="B641" s="206"/>
      <c r="C641"/>
      <c r="D641"/>
      <c r="E641"/>
      <c r="F641"/>
    </row>
    <row r="642" spans="2:6" x14ac:dyDescent="0.9">
      <c r="B642" s="206"/>
      <c r="C642"/>
      <c r="D642"/>
      <c r="E642"/>
      <c r="F642"/>
    </row>
    <row r="643" spans="2:6" x14ac:dyDescent="0.9">
      <c r="B643" s="206"/>
      <c r="C643"/>
      <c r="D643"/>
      <c r="E643"/>
      <c r="F643"/>
    </row>
    <row r="644" spans="2:6" x14ac:dyDescent="0.9">
      <c r="B644" s="206"/>
      <c r="C644"/>
      <c r="D644"/>
      <c r="E644"/>
      <c r="F644"/>
    </row>
    <row r="645" spans="2:6" x14ac:dyDescent="0.9">
      <c r="B645" s="206"/>
      <c r="C645"/>
      <c r="D645"/>
      <c r="E645"/>
      <c r="F645"/>
    </row>
    <row r="646" spans="2:6" x14ac:dyDescent="0.9">
      <c r="B646" s="206"/>
      <c r="C646"/>
      <c r="D646"/>
      <c r="E646"/>
      <c r="F646"/>
    </row>
    <row r="647" spans="2:6" x14ac:dyDescent="0.9">
      <c r="B647" s="206"/>
      <c r="C647"/>
      <c r="D647"/>
      <c r="E647"/>
      <c r="F647"/>
    </row>
    <row r="648" spans="2:6" x14ac:dyDescent="0.9">
      <c r="B648" s="206"/>
      <c r="C648"/>
      <c r="D648"/>
      <c r="E648"/>
      <c r="F648"/>
    </row>
    <row r="649" spans="2:6" x14ac:dyDescent="0.9">
      <c r="B649" s="206"/>
      <c r="C649"/>
      <c r="D649"/>
      <c r="E649"/>
      <c r="F649"/>
    </row>
    <row r="650" spans="2:6" x14ac:dyDescent="0.9">
      <c r="B650" s="206"/>
      <c r="C650"/>
      <c r="D650"/>
      <c r="E650"/>
      <c r="F650"/>
    </row>
    <row r="651" spans="2:6" x14ac:dyDescent="0.9">
      <c r="B651" s="206"/>
      <c r="C651"/>
      <c r="D651"/>
      <c r="E651"/>
      <c r="F651"/>
    </row>
    <row r="652" spans="2:6" x14ac:dyDescent="0.9">
      <c r="B652" s="206"/>
      <c r="C652"/>
      <c r="D652"/>
      <c r="E652"/>
      <c r="F652"/>
    </row>
    <row r="653" spans="2:6" x14ac:dyDescent="0.9">
      <c r="B653" s="206"/>
      <c r="C653"/>
      <c r="D653"/>
      <c r="E653"/>
      <c r="F653"/>
    </row>
    <row r="654" spans="2:6" x14ac:dyDescent="0.9">
      <c r="B654" s="206"/>
      <c r="C654"/>
      <c r="D654"/>
      <c r="E654"/>
      <c r="F654"/>
    </row>
    <row r="655" spans="2:6" x14ac:dyDescent="0.9">
      <c r="B655" s="206"/>
      <c r="C655"/>
      <c r="D655"/>
      <c r="E655"/>
      <c r="F655"/>
    </row>
  </sheetData>
  <mergeCells count="22">
    <mergeCell ref="C282:C303"/>
    <mergeCell ref="C304:C306"/>
    <mergeCell ref="E9:F9"/>
    <mergeCell ref="G9:H9"/>
    <mergeCell ref="G2:G4"/>
    <mergeCell ref="B7:D7"/>
    <mergeCell ref="B11:B306"/>
    <mergeCell ref="B307:D307"/>
    <mergeCell ref="C11:C29"/>
    <mergeCell ref="C30:C47"/>
    <mergeCell ref="C48:C65"/>
    <mergeCell ref="C66:C82"/>
    <mergeCell ref="C83:C102"/>
    <mergeCell ref="C103:C118"/>
    <mergeCell ref="C119:C138"/>
    <mergeCell ref="C139:C157"/>
    <mergeCell ref="C158:C176"/>
    <mergeCell ref="C177:C188"/>
    <mergeCell ref="C189:C216"/>
    <mergeCell ref="C217:C241"/>
    <mergeCell ref="C242:C264"/>
    <mergeCell ref="C265:C281"/>
  </mergeCells>
  <hyperlinks>
    <hyperlink ref="G2" location="Home!A1" display="Home!A1" xr:uid="{61A6B0F6-8321-4CA1-AA6D-0D63A8F41C60}"/>
  </hyperlinks>
  <pageMargins left="0.70866141732283472" right="0.70866141732283472" top="0.33541666666666664" bottom="0.74803149606299213" header="0.31496062992125984" footer="0.31496062992125984"/>
  <pageSetup paperSize="9" scale="28" fitToWidth="10" fitToHeight="10" orientation="landscape" r:id="rId2"/>
  <rowBreaks count="9" manualBreakCount="9">
    <brk id="47" min="1" max="7" man="1"/>
    <brk id="82" min="1" max="7" man="1"/>
    <brk id="118" min="1" max="7" man="1"/>
    <brk id="157" min="1" max="7" man="1"/>
    <brk id="188" min="1" max="7" man="1"/>
    <brk id="216" min="1" max="7" man="1"/>
    <brk id="241" min="1" max="7" man="1"/>
    <brk id="264" min="1" max="7" man="1"/>
    <brk id="281" min="1" max="7" man="1"/>
  </rowBreaks>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أوراق العمل</vt:lpstr>
      </vt:variant>
      <vt:variant>
        <vt:i4>11</vt:i4>
      </vt:variant>
      <vt:variant>
        <vt:lpstr>النطاقات المسماة</vt:lpstr>
      </vt:variant>
      <vt:variant>
        <vt:i4>5</vt:i4>
      </vt:variant>
    </vt:vector>
  </HeadingPairs>
  <TitlesOfParts>
    <vt:vector size="16" baseType="lpstr">
      <vt:lpstr>Home</vt:lpstr>
      <vt:lpstr>judje</vt:lpstr>
      <vt:lpstr>data</vt:lpstr>
      <vt:lpstr>Daily Operation</vt:lpstr>
      <vt:lpstr>ورقة1</vt:lpstr>
      <vt:lpstr>ميزان المراجعة</vt:lpstr>
      <vt:lpstr>ورقة3</vt:lpstr>
      <vt:lpstr>Daily Journal</vt:lpstr>
      <vt:lpstr>التقرير العام</vt:lpstr>
      <vt:lpstr>report</vt:lpstr>
      <vt:lpstr>التقرير التحليلي</vt:lpstr>
      <vt:lpstr>Home!Print_Area</vt:lpstr>
      <vt:lpstr>report!Print_Area</vt:lpstr>
      <vt:lpstr>التقرير التحليلي!Print_Area</vt:lpstr>
      <vt:lpstr>التقرير العام!Print_Area</vt:lpstr>
      <vt:lpstr>report!Print_Titles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Alshehsb</dc:creator>
  <cp:lastModifiedBy>ALBAASHA</cp:lastModifiedBy>
  <cp:lastPrinted>2026-06-22T17:59:01Z</cp:lastPrinted>
  <dcterms:created xsi:type="dcterms:W3CDTF">2026-06-10T22:32:02Z</dcterms:created>
  <dcterms:modified xsi:type="dcterms:W3CDTF">2026-06-22T20:46:35Z</dcterms:modified>
</cp:coreProperties>
</file>